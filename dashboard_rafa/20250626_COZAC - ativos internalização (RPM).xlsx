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enforcegestaoativos.sharepoint.com/OLRJ/01 - Casos Sob Gestão/JV/COZAC - JV_2022/1 - Controle da Operação/"/>
    </mc:Choice>
  </mc:AlternateContent>
  <xr:revisionPtr revIDLastSave="2220" documentId="8_{372327F8-A197-4D7D-B5AD-E51B78A007FE}" xr6:coauthVersionLast="47" xr6:coauthVersionMax="47" xr10:uidLastSave="{DDAF1207-D132-463C-9C4E-A528BA28725A}"/>
  <bookViews>
    <workbookView xWindow="-28920" yWindow="-30" windowWidth="29040" windowHeight="15720" xr2:uid="{90050784-E1CC-488C-9469-AFE5820BBAB0}"/>
  </bookViews>
  <sheets>
    <sheet name="Resumo Imóveis 2 - VENDAS" sheetId="2" r:id="rId1"/>
    <sheet name="Pgto Alugueis Processo" sheetId="14" r:id="rId2"/>
    <sheet name="Pgto Alugueis SPE RESIDENCIAL" sheetId="15" r:id="rId3"/>
    <sheet name="Resumo Imóveis" sheetId="1" r:id="rId4"/>
    <sheet name="Listagem Imobiliária-23-01-26" sheetId="13" r:id="rId5"/>
    <sheet name="Contrato" sheetId="5" state="hidden" r:id="rId6"/>
    <sheet name="Desembolsos" sheetId="7" state="hidden" r:id="rId7"/>
    <sheet name="Despesas(OLD)" sheetId="6" state="hidden" r:id="rId8"/>
    <sheet name="Despesas(BI)" sheetId="8" state="hidden" r:id="rId9"/>
    <sheet name="Planilha1" sheetId="12" state="hidden" r:id="rId10"/>
    <sheet name="Despesas - NPL" sheetId="9" state="hidden" r:id="rId11"/>
    <sheet name="Despesas - SPE" sheetId="10" state="hidden" r:id="rId12"/>
    <sheet name="Receitas" sheetId="11"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__bookmark_1" localSheetId="3">#REF!</definedName>
    <definedName name="__bookmark_1">#REF!</definedName>
    <definedName name="_xlnm._FilterDatabase" localSheetId="10" hidden="1">'Despesas - NPL'!$B$5:$Y$335</definedName>
    <definedName name="_xlnm._FilterDatabase" localSheetId="11" hidden="1">'Despesas - SPE'!$A$3:$X$545</definedName>
    <definedName name="_xlnm._FilterDatabase" localSheetId="8" hidden="1">'Despesas(BI)'!$L$6:$M$18</definedName>
    <definedName name="_xlnm._FilterDatabase" localSheetId="7" hidden="1">'Despesas(OLD)'!$A$2:$V$316</definedName>
    <definedName name="_xlnm._FilterDatabase" localSheetId="4" hidden="1">'Listagem Imobiliária-23-01-26'!$A$1:$BL$208</definedName>
    <definedName name="_xlnm._FilterDatabase" localSheetId="3" hidden="1">'Resumo Imóveis'!$B$4:$O$45</definedName>
    <definedName name="A" localSheetId="3">[1]BRACAL!#REF!</definedName>
    <definedName name="A">[1]BRACAL!#REF!</definedName>
    <definedName name="aA" localSheetId="3">[2]BRACAL!#REF!</definedName>
    <definedName name="aA">[2]BRACAL!#REF!</definedName>
    <definedName name="aaa" localSheetId="3">[2]BRACAL!#REF!</definedName>
    <definedName name="aaa">[2]BRACAL!#REF!</definedName>
    <definedName name="aaaa" localSheetId="3">#REF!</definedName>
    <definedName name="aaaa">#REF!</definedName>
    <definedName name="AB" localSheetId="3">[1]BRACAL!#REF!</definedName>
    <definedName name="AB">[1]BRACAL!#REF!</definedName>
    <definedName name="AC" localSheetId="3">#REF!</definedName>
    <definedName name="AC">#REF!</definedName>
    <definedName name="aewqeW" localSheetId="3">#REF!</definedName>
    <definedName name="aewqeW">#REF!</definedName>
    <definedName name="ajuizatxt">[3]Atualização!#REF!</definedName>
    <definedName name="alienacao" localSheetId="3">#REF!</definedName>
    <definedName name="alienacao">#REF!</definedName>
    <definedName name="ANALISTA" localSheetId="3">#REF! tabela9analista</definedName>
    <definedName name="ANALISTA">#REF! tabela9analista</definedName>
    <definedName name="Apoio">[4]PRJ!$AG$27:$AI$32</definedName>
    <definedName name="Área_Construída" localSheetId="3">#REF!</definedName>
    <definedName name="Área_Construída">#REF!</definedName>
    <definedName name="_xlnm.Extract" localSheetId="3">#REF!</definedName>
    <definedName name="_xlnm.Extract">#REF!</definedName>
    <definedName name="as" localSheetId="3">[2]BRACAL!#REF!</definedName>
    <definedName name="as">[2]BRACAL!#REF!</definedName>
    <definedName name="asa" localSheetId="3">[2]BRACAL!#REF!</definedName>
    <definedName name="asa">[2]BRACAL!#REF!</definedName>
    <definedName name="asd" localSheetId="3">[2]BRACAL!#REF!</definedName>
    <definedName name="asd">[2]BRACAL!#REF!</definedName>
    <definedName name="asdf" localSheetId="3">[2]BRACAL!#REF!</definedName>
    <definedName name="asdf">[2]BRACAL!#REF!</definedName>
    <definedName name="atualizatxt">[3]Atualização!#REF!</definedName>
    <definedName name="b">[1]BRACAL!#REF!</definedName>
    <definedName name="ba">[1]BRACAL!#REF!</definedName>
    <definedName name="_xlnm.Database" localSheetId="3">#REF!</definedName>
    <definedName name="_xlnm.Database">#REF!</definedName>
    <definedName name="base">#REF!</definedName>
    <definedName name="bb" localSheetId="3">[2]BRACAL!#REF!</definedName>
    <definedName name="bb">[2]BRACAL!#REF!</definedName>
    <definedName name="bbb" localSheetId="3">[1]BRACAL!#REF!</definedName>
    <definedName name="bbb">[1]BRACAL!#REF!</definedName>
    <definedName name="bbbb" localSheetId="3">[2]BRACAL!#REF!</definedName>
    <definedName name="bbbb">[2]BRACAL!#REF!</definedName>
    <definedName name="bbbbn" localSheetId="3">[2]BRACAL!#REF!</definedName>
    <definedName name="bbbbn">[2]BRACAL!#REF!</definedName>
    <definedName name="bbbn">[1]BRACAL!#REF!</definedName>
    <definedName name="bColat">[5]Mult_Exec!$C$12</definedName>
    <definedName name="Bem" localSheetId="3">#REF!</definedName>
    <definedName name="Bem">#REF!</definedName>
    <definedName name="bm" localSheetId="3">[2]BRACAL!#REF!</definedName>
    <definedName name="bm">[2]BRACAL!#REF!</definedName>
    <definedName name="bn" localSheetId="3">[2]BRACAL!#REF!</definedName>
    <definedName name="bn">[2]BRACAL!#REF!</definedName>
    <definedName name="C_Node_Total">[6]RECORD!$C$2</definedName>
    <definedName name="Chart_Value_Basis">[6]TORNADO!$B$2</definedName>
    <definedName name="Cidades" localSheetId="3">#REF!</definedName>
    <definedName name="Cidades">#REF!</definedName>
    <definedName name="CN_9_7" localSheetId="3">#REF!</definedName>
    <definedName name="CN_9_7">#REF!</definedName>
    <definedName name="CN_9_7_LB_1_Val" localSheetId="3">#REF!</definedName>
    <definedName name="CN_9_7_LB_1_Val">#REF!</definedName>
    <definedName name="CN_9_7_UB_1_Val" localSheetId="3">#REF!</definedName>
    <definedName name="CN_9_7_UB_1_Val">#REF!</definedName>
    <definedName name="_xlnm.Criteria" localSheetId="3">#REF!</definedName>
    <definedName name="_xlnm.Criteria">#REF!</definedName>
    <definedName name="D_Node_Total">[6]RECORD!$C$1</definedName>
    <definedName name="DADOS">[7]DADOS!$A$2:$N$1048576</definedName>
    <definedName name="Devedir" localSheetId="3">#REF!</definedName>
    <definedName name="Devedir">#REF!</definedName>
    <definedName name="di_7_fut">[8]PESA!$F$2</definedName>
    <definedName name="diastxt" localSheetId="3">[3]Atualização!#REF!</definedName>
    <definedName name="diastxt">[3]Atualização!#REF!</definedName>
    <definedName name="DN_12_3" localSheetId="3">#REF!</definedName>
    <definedName name="DN_12_3">#REF!</definedName>
    <definedName name="DN_12_3_LB_1_Val" localSheetId="3">#REF!</definedName>
    <definedName name="DN_12_3_LB_1_Val">#REF!</definedName>
    <definedName name="DN_12_3_MB_Val" localSheetId="3">#REF!</definedName>
    <definedName name="DN_12_3_MB_Val">#REF!</definedName>
    <definedName name="DN_12_3_UB_1_Val" localSheetId="3">#REF!</definedName>
    <definedName name="DN_12_3_UB_1_Val">#REF!</definedName>
    <definedName name="dquarta01">'[9]Ind TRT 2001'!$BJ$5:$BJ$366</definedName>
    <definedName name="dt_bs">[8]PESA!$C$1</definedName>
    <definedName name="es" localSheetId="3">#REF!</definedName>
    <definedName name="es">#REF!</definedName>
    <definedName name="g" localSheetId="3">[2]BRACAL!#REF!</definedName>
    <definedName name="g">[2]BRACAL!#REF!</definedName>
    <definedName name="Garantia" localSheetId="3">#REF!</definedName>
    <definedName name="Garantia">#REF!</definedName>
    <definedName name="GENETICS2005" localSheetId="3">[10]BRACAL!#REF!</definedName>
    <definedName name="GENETICS2005">[10]BRACAL!#REF!</definedName>
    <definedName name="GEP" localSheetId="3">#REF!</definedName>
    <definedName name="GEP">#REF!</definedName>
    <definedName name="hhh" localSheetId="3">#REF!</definedName>
    <definedName name="hhh">#REF!</definedName>
    <definedName name="hiop" localSheetId="3">#REF!</definedName>
    <definedName name="hiop">#REF!</definedName>
    <definedName name="huahuha" localSheetId="3">#REF!</definedName>
    <definedName name="huahuha">#REF!</definedName>
    <definedName name="igpm_fut">[8]PESA!$F$1</definedName>
    <definedName name="irrf">[9]IRRF!$G$16</definedName>
    <definedName name="j" localSheetId="3">[2]BRACAL!#REF!</definedName>
    <definedName name="j">[2]BRACAL!#REF!</definedName>
    <definedName name="jk" localSheetId="3">#REF!</definedName>
    <definedName name="jk">#REF!</definedName>
    <definedName name="jurosmora">[3]Atualização!#REF!</definedName>
    <definedName name="jurostxt">[3]Atualização!#REF!</definedName>
    <definedName name="Logradouro" localSheetId="3">#REF!</definedName>
    <definedName name="Logradouro">#REF!</definedName>
    <definedName name="logradouros" localSheetId="3">#REF!</definedName>
    <definedName name="logradouros">#REF!</definedName>
    <definedName name="mm" localSheetId="3">#REF!</definedName>
    <definedName name="mm">#REF!</definedName>
    <definedName name="Natureza_ônus" localSheetId="3">#REF!</definedName>
    <definedName name="Natureza_ônus">#REF!</definedName>
    <definedName name="No_of_Branches">OFFSET([6]RECORD!$H$5,1,0,[6]RECORD!$C$4,1)</definedName>
    <definedName name="Node_Name">OFFSET([6]RECORD!$D$5,1,0,[6]RECORD!$C$4,1)</definedName>
    <definedName name="Node_Type">OFFSET([6]RECORD!$C$5,1,0,[6]RECORD!$C$4,1)</definedName>
    <definedName name="numeração">'[11]Base de dados'!$B$4:$B$97</definedName>
    <definedName name="O_Node_Total">[6]RECORD!$C$3</definedName>
    <definedName name="ON_CN_19_10_LB_1_Val">[12]DTREE!$O$22</definedName>
    <definedName name="ON_CN_19_10_UB_1_Val">[12]DTREE!$O$16</definedName>
    <definedName name="ON_CN_28_10_LB_1_Val">[12]DTREE!$O$31</definedName>
    <definedName name="ON_CN_28_10_UB_1_Val">[12]DTREE!$O$25</definedName>
    <definedName name="ON_CN_9_7_LB_1" localSheetId="3">#REF!</definedName>
    <definedName name="ON_CN_9_7_LB_1">#REF!</definedName>
    <definedName name="ON_CN_9_7_LB_1_Val" localSheetId="3">#REF!</definedName>
    <definedName name="ON_CN_9_7_LB_1_Val">#REF!</definedName>
    <definedName name="ON_CN_9_7_UB_1" localSheetId="3">#REF!</definedName>
    <definedName name="ON_CN_9_7_UB_1">#REF!</definedName>
    <definedName name="ON_CN_9_7_UB_1_Val" localSheetId="3">#REF!</definedName>
    <definedName name="ON_CN_9_7_UB_1_Val">#REF!</definedName>
    <definedName name="ON_DN_12_3_LB_1" localSheetId="3">#REF!</definedName>
    <definedName name="ON_DN_12_3_LB_1">#REF!</definedName>
    <definedName name="ON_DN_12_3_LB_1_Val" localSheetId="3">#REF!</definedName>
    <definedName name="ON_DN_12_3_LB_1_Val">#REF!</definedName>
    <definedName name="ON_DN_12_3_MB" localSheetId="3">#REF!</definedName>
    <definedName name="ON_DN_12_3_MB">#REF!</definedName>
    <definedName name="ON_DN_12_3_MB_Val" localSheetId="3">#REF!</definedName>
    <definedName name="ON_DN_12_3_MB_Val">#REF!</definedName>
    <definedName name="Ônus" localSheetId="3">#REF!</definedName>
    <definedName name="Ônus">#REF!</definedName>
    <definedName name="Print_Area_MI" localSheetId="3">#REF!</definedName>
    <definedName name="Print_Area_MI">#REF!</definedName>
    <definedName name="PRJ" localSheetId="3">#REF! tabela9analista</definedName>
    <definedName name="PRJ">#REF! tabela9analista</definedName>
    <definedName name="q" localSheetId="3">[2]BRACAL!#REF!</definedName>
    <definedName name="q">[2]BRACAL!#REF!</definedName>
    <definedName name="rBaseDate_Selic">[5]DB!$G$8</definedName>
    <definedName name="rBaseDate_TR">[5]DB!$F$8</definedName>
    <definedName name="rBaseDay_TR">[5]DB!$F$7</definedName>
    <definedName name="rD0">[5]Mult_Exec!$C$4</definedName>
    <definedName name="rDate">[5]Mult_Exec!$C$5</definedName>
    <definedName name="rLastWorkDay">[5]DB!$C$4</definedName>
    <definedName name="rngDISeries">[5]DB!$O$17:$Q$10009</definedName>
    <definedName name="rngFeriados">#REF!</definedName>
    <definedName name="rngInflationSeries">[5]DB!$J$17:$M$716</definedName>
    <definedName name="rngPrincipal">[5]Mult_Exec!$Y:$Y</definedName>
    <definedName name="rngScenarioTerm">[5]Mult_Exec!$B$33:$B$42</definedName>
    <definedName name="rNow">[5]DB!$C$2</definedName>
    <definedName name="rPercCorretor">[5]Main!$C$29</definedName>
    <definedName name="rPercITBI">[5]Mult_Exec!$C$28</definedName>
    <definedName name="rPercLeilao">[5]Mult_Exec!$C$27</definedName>
    <definedName name="rPercLiqDivida">[5]Mult_Exec!$C$19</definedName>
    <definedName name="rPercLiqGarantia">[5]Mult_Exec!$C$26</definedName>
    <definedName name="rPercOtCustos">[5]Mult_Exec!$C$30</definedName>
    <definedName name="rPercValArrem">[5]Mult_Exec!$C$25</definedName>
    <definedName name="rPercValVenda">[5]Mult_Exec!$C$24</definedName>
    <definedName name="rTxSpread">[5]Mult_Exec!$C$9</definedName>
    <definedName name="rValColat">[5]Mult_Exec!$C$14</definedName>
    <definedName name="rVP">[5]Mult_Exec!$O$6</definedName>
    <definedName name="Series_Downside">OFFSET([6]TORNADO!$L$40,1,0,[6]TORNADO!$B$39,1)</definedName>
    <definedName name="Series_Upside">OFFSET([6]TORNADO!$M$40,1,0,[6]TORNADO!$B$39,1)</definedName>
    <definedName name="solver_corr" hidden="1">1</definedName>
    <definedName name="solver_ctp1" hidden="1">0</definedName>
    <definedName name="solver_ctp2" hidden="1">0</definedName>
    <definedName name="solver_disp" hidden="1">0</definedName>
    <definedName name="solver_eval" hidden="1">0</definedName>
    <definedName name="solver_lcens" hidden="1">-1E+30</definedName>
    <definedName name="solver_lcut" hidden="1">-1E+30</definedName>
    <definedName name="solver_nsim" hidden="1">1</definedName>
    <definedName name="solver_nssim" hidden="1">-1</definedName>
    <definedName name="solver_ntri" hidden="1">100</definedName>
    <definedName name="solver_rsmp" hidden="1">2</definedName>
    <definedName name="solver_seed" hidden="1">0</definedName>
    <definedName name="solver_sthr" hidden="1">0</definedName>
    <definedName name="solver_ucens" hidden="1">1E+30</definedName>
    <definedName name="solver_ucut" hidden="1">1E+30</definedName>
    <definedName name="STATUS" localSheetId="3">#REF! tabela7status</definedName>
    <definedName name="STATUS">#REF! tabela7status</definedName>
    <definedName name="Status_ônus" localSheetId="3">#REF!</definedName>
    <definedName name="Status_ônus">#REF!</definedName>
    <definedName name="TIPO" localSheetId="3">#REF! tabela5tipo de ativo</definedName>
    <definedName name="TIPO">#REF! tabela5tipo de ativo</definedName>
    <definedName name="Tipos_ônus" localSheetId="3">#REF!</definedName>
    <definedName name="Tipos_ônus">#REF!</definedName>
    <definedName name="TJRO" localSheetId="3">#REF!</definedName>
    <definedName name="TJRO">#REF!</definedName>
    <definedName name="Tornado_Ascd_Dsc_Flag">[6]TORNADO!$J$40</definedName>
    <definedName name="UF" localSheetId="3">#REF! tabela8uf</definedName>
    <definedName name="UF">#REF! tabela8uf</definedName>
    <definedName name="ValidDepts" localSheetId="3">#REF!</definedName>
    <definedName name="ValidDepts">#REF!</definedName>
    <definedName name="VBA_Currente">[13]Mensagem!$C$3</definedName>
    <definedName name="VBA_Meta">[13]Mensagem!$C$4</definedName>
    <definedName name="VBA_Msg">[13]Mensagem!$C$5</definedName>
    <definedName name="VOTO" localSheetId="3">#REF!</definedName>
    <definedName name="VOTO">#REF!</definedName>
    <definedName name="w" localSheetId="3">[2]BRACAL!#REF!</definedName>
    <definedName name="w">[2]BRACAL!#REF!</definedName>
    <definedName name="wjr" localSheetId="3">[2]BRACAL!#REF!</definedName>
    <definedName name="wjr">[2]BRACAL!#REF!</definedName>
    <definedName name="wjra" localSheetId="3">[2]BRACAL!#REF!</definedName>
    <definedName name="wjra">[2]BRACAL!#REF!</definedName>
    <definedName name="wjras" localSheetId="3">[2]BRACAL!#REF!</definedName>
    <definedName name="wjras">[2]BRACAL!#REF!</definedName>
    <definedName name="wjrs">[2]BRACAL!#REF!</definedName>
    <definedName name="xx">[2]BRACAL!#REF!</definedName>
  </definedNames>
  <calcPr calcId="191028" iterate="1"/>
  <pivotCaches>
    <pivotCache cacheId="2" r:id="rId29"/>
    <pivotCache cacheId="3" r:id="rId3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10" i="2" l="1"/>
  <c r="F17" i="14"/>
  <c r="V5" i="2"/>
  <c r="V6" i="2"/>
  <c r="V8" i="2"/>
  <c r="V9" i="2"/>
  <c r="V39" i="2"/>
  <c r="V40" i="2"/>
  <c r="V41" i="2"/>
  <c r="V10" i="2"/>
  <c r="V11" i="2"/>
  <c r="V12" i="2"/>
  <c r="V13" i="2"/>
  <c r="V14" i="2"/>
  <c r="V15" i="2"/>
  <c r="V16" i="2"/>
  <c r="V42" i="2"/>
  <c r="V43" i="2"/>
  <c r="V17" i="2"/>
  <c r="V18" i="2"/>
  <c r="V19" i="2"/>
  <c r="V20" i="2"/>
  <c r="V21" i="2"/>
  <c r="V22" i="2"/>
  <c r="V23" i="2"/>
  <c r="V24" i="2"/>
  <c r="V25" i="2"/>
  <c r="V26" i="2"/>
  <c r="V27" i="2"/>
  <c r="V28" i="2"/>
  <c r="V29" i="2"/>
  <c r="V30" i="2"/>
  <c r="V31" i="2"/>
  <c r="V44" i="2"/>
  <c r="V7" i="2"/>
  <c r="V45" i="2"/>
  <c r="V32" i="2"/>
  <c r="V33" i="2"/>
  <c r="V34" i="2"/>
  <c r="V35" i="2"/>
  <c r="V36" i="2"/>
  <c r="V37" i="2"/>
  <c r="V38" i="2"/>
  <c r="V2" i="2" l="1"/>
  <c r="Y6" i="2"/>
  <c r="Y5" i="2"/>
  <c r="W6" i="2" l="1"/>
  <c r="W8" i="2"/>
  <c r="W9" i="2"/>
  <c r="W39" i="2"/>
  <c r="W40" i="2"/>
  <c r="W41" i="2"/>
  <c r="W10" i="2"/>
  <c r="W11" i="2"/>
  <c r="W12" i="2"/>
  <c r="W13" i="2"/>
  <c r="W14" i="2"/>
  <c r="W15" i="2"/>
  <c r="W16" i="2"/>
  <c r="W42" i="2"/>
  <c r="W43" i="2"/>
  <c r="W17" i="2"/>
  <c r="W18" i="2"/>
  <c r="W19" i="2"/>
  <c r="W20" i="2"/>
  <c r="W21" i="2"/>
  <c r="W22" i="2"/>
  <c r="W23" i="2"/>
  <c r="W24" i="2"/>
  <c r="W25" i="2"/>
  <c r="W26" i="2"/>
  <c r="W27" i="2"/>
  <c r="W28" i="2"/>
  <c r="W29" i="2"/>
  <c r="W30" i="2"/>
  <c r="W31" i="2"/>
  <c r="W44" i="2"/>
  <c r="W7" i="2"/>
  <c r="W45" i="2"/>
  <c r="W32" i="2"/>
  <c r="W33" i="2"/>
  <c r="W34" i="2"/>
  <c r="W35" i="2"/>
  <c r="W36" i="2"/>
  <c r="W37" i="2"/>
  <c r="W38" i="2"/>
  <c r="W5" i="2"/>
  <c r="X54" i="13"/>
  <c r="X11" i="13"/>
  <c r="X120" i="13"/>
  <c r="X16" i="13"/>
  <c r="X79" i="13"/>
  <c r="X201" i="13"/>
  <c r="X195" i="13"/>
  <c r="X190" i="13"/>
  <c r="X185" i="13"/>
  <c r="X73" i="13"/>
  <c r="X21" i="13"/>
  <c r="X145" i="13"/>
  <c r="X45" i="13"/>
  <c r="X100" i="13"/>
  <c r="X95" i="13"/>
  <c r="X84" i="13"/>
  <c r="X114" i="13"/>
  <c r="X196" i="13"/>
  <c r="X202" i="13"/>
  <c r="X166" i="13"/>
  <c r="X171" i="13"/>
  <c r="X161" i="13"/>
  <c r="X156" i="13"/>
  <c r="X151" i="13"/>
  <c r="X176" i="13"/>
  <c r="X85" i="13"/>
  <c r="X90" i="13"/>
  <c r="X141" i="13"/>
  <c r="X136" i="13"/>
  <c r="X132" i="13"/>
  <c r="X128" i="13"/>
  <c r="X123" i="13"/>
  <c r="X115" i="13"/>
  <c r="X109" i="13"/>
  <c r="X2" i="13"/>
  <c r="X68" i="13"/>
  <c r="X6" i="13"/>
  <c r="X104" i="13"/>
  <c r="X146" i="13"/>
  <c r="X25" i="13"/>
  <c r="X49" i="13"/>
  <c r="X64" i="13"/>
  <c r="X40" i="13"/>
  <c r="X35" i="13"/>
  <c r="X30" i="13"/>
  <c r="X74" i="13"/>
  <c r="X41" i="13"/>
  <c r="X36" i="13"/>
  <c r="X31" i="13"/>
  <c r="X75" i="13"/>
  <c r="X121" i="13"/>
  <c r="X7" i="13"/>
  <c r="X17" i="13"/>
  <c r="X3" i="13"/>
  <c r="X12" i="13"/>
  <c r="X69" i="13"/>
  <c r="X65" i="13"/>
  <c r="X181" i="13"/>
  <c r="X162" i="13"/>
  <c r="X116" i="13"/>
  <c r="X96" i="13"/>
  <c r="X86" i="13"/>
  <c r="X172" i="13"/>
  <c r="X22" i="13"/>
  <c r="X124" i="13"/>
  <c r="X26" i="13"/>
  <c r="X177" i="13"/>
  <c r="X147" i="13"/>
  <c r="X110" i="13"/>
  <c r="X91" i="13"/>
  <c r="X133" i="13"/>
  <c r="X105" i="13"/>
  <c r="X157" i="13"/>
  <c r="X152" i="13"/>
  <c r="X142" i="13"/>
  <c r="X167" i="13"/>
  <c r="X137" i="13"/>
  <c r="X101" i="13"/>
  <c r="X129" i="13"/>
  <c r="X46" i="13"/>
  <c r="X197" i="13"/>
  <c r="X203" i="13"/>
  <c r="X55" i="13"/>
  <c r="X60" i="13"/>
  <c r="X186" i="13"/>
  <c r="X50" i="13"/>
  <c r="X191" i="13"/>
  <c r="X80" i="13"/>
  <c r="X37" i="13"/>
  <c r="X4" i="13"/>
  <c r="X18" i="13"/>
  <c r="X81" i="13"/>
  <c r="X111" i="13"/>
  <c r="X198" i="13"/>
  <c r="X182" i="13"/>
  <c r="X153" i="13"/>
  <c r="X178" i="13"/>
  <c r="X204" i="13"/>
  <c r="X70" i="13"/>
  <c r="X158" i="13"/>
  <c r="X106" i="13"/>
  <c r="X163" i="13"/>
  <c r="X168" i="13"/>
  <c r="X8" i="13"/>
  <c r="X51" i="13"/>
  <c r="X13" i="13"/>
  <c r="X187" i="13"/>
  <c r="X27" i="13"/>
  <c r="X192" i="13"/>
  <c r="X173" i="13"/>
  <c r="X47" i="13"/>
  <c r="X207" i="13"/>
  <c r="X56" i="13"/>
  <c r="X61" i="13"/>
  <c r="X23" i="13"/>
  <c r="X76" i="13"/>
  <c r="X102" i="13"/>
  <c r="X42" i="13"/>
  <c r="X97" i="13"/>
  <c r="X87" i="13"/>
  <c r="X92" i="13"/>
  <c r="X32" i="13"/>
  <c r="X134" i="13"/>
  <c r="X66" i="13"/>
  <c r="X117" i="13"/>
  <c r="X130" i="13"/>
  <c r="X138" i="13"/>
  <c r="X125" i="13"/>
  <c r="X143" i="13"/>
  <c r="X148" i="13"/>
  <c r="X175" i="13"/>
  <c r="X67" i="13"/>
  <c r="X89" i="13"/>
  <c r="X183" i="13"/>
  <c r="X165" i="13"/>
  <c r="X179" i="13"/>
  <c r="X38" i="13"/>
  <c r="X83" i="13"/>
  <c r="X98" i="13"/>
  <c r="X189" i="13"/>
  <c r="X63" i="13"/>
  <c r="X122" i="13"/>
  <c r="X194" i="13"/>
  <c r="X206" i="13"/>
  <c r="X127" i="13"/>
  <c r="X159" i="13"/>
  <c r="X170" i="13"/>
  <c r="X199" i="13"/>
  <c r="X108" i="13"/>
  <c r="X112" i="13"/>
  <c r="X154" i="13"/>
  <c r="X103" i="13"/>
  <c r="X44" i="13"/>
  <c r="X200" i="13"/>
  <c r="X99" i="13"/>
  <c r="X149" i="13"/>
  <c r="X71" i="13"/>
  <c r="X160" i="13"/>
  <c r="X118" i="13"/>
  <c r="X5" i="13"/>
  <c r="X135" i="13"/>
  <c r="X78" i="13"/>
  <c r="X77" i="13"/>
  <c r="X131" i="13"/>
  <c r="X52" i="13"/>
  <c r="X113" i="13"/>
  <c r="X139" i="13"/>
  <c r="X24" i="13"/>
  <c r="X57" i="13"/>
  <c r="X164" i="13"/>
  <c r="X88" i="13"/>
  <c r="X144" i="13"/>
  <c r="X180" i="13"/>
  <c r="X33" i="13"/>
  <c r="X72" i="13"/>
  <c r="X58" i="13"/>
  <c r="X93" i="13"/>
  <c r="X169" i="13"/>
  <c r="X14" i="13"/>
  <c r="X29" i="13"/>
  <c r="X155" i="13"/>
  <c r="X82" i="13"/>
  <c r="X53" i="13"/>
  <c r="X62" i="13"/>
  <c r="X150" i="13"/>
  <c r="X19" i="13"/>
  <c r="X39" i="13"/>
  <c r="X94" i="13"/>
  <c r="X205" i="13"/>
  <c r="X34" i="13"/>
  <c r="X28" i="13"/>
  <c r="X119" i="13"/>
  <c r="X174" i="13"/>
  <c r="X15" i="13"/>
  <c r="X184" i="13"/>
  <c r="X140" i="13"/>
  <c r="X126" i="13"/>
  <c r="X20" i="13"/>
  <c r="X208" i="13"/>
  <c r="X107" i="13"/>
  <c r="X9" i="13"/>
  <c r="X193" i="13"/>
  <c r="X10" i="13"/>
  <c r="X48" i="13"/>
  <c r="X43" i="13"/>
  <c r="X188" i="13"/>
  <c r="X59" i="13"/>
  <c r="I2" i="2"/>
  <c r="G2" i="2"/>
  <c r="H2" i="9"/>
  <c r="D8" i="5" s="1"/>
  <c r="H1" i="9"/>
  <c r="D9" i="5" s="1"/>
  <c r="C39" i="5"/>
  <c r="J27" i="5"/>
  <c r="W2" i="2" l="1"/>
  <c r="J28" i="5"/>
  <c r="Q5" i="5"/>
  <c r="G2" i="10"/>
  <c r="D10" i="5" s="1"/>
  <c r="A2" i="10"/>
  <c r="H20" i="10" s="1"/>
  <c r="J20" i="10" s="1"/>
  <c r="B4" i="9"/>
  <c r="I323" i="9" s="1"/>
  <c r="H4" i="9"/>
  <c r="I9" i="5"/>
  <c r="I10" i="5" s="1"/>
  <c r="I11" i="5" s="1"/>
  <c r="I12" i="5" s="1"/>
  <c r="I13" i="5" s="1"/>
  <c r="I14" i="5" s="1"/>
  <c r="I15" i="5" s="1"/>
  <c r="I16" i="5" s="1"/>
  <c r="I17" i="5" s="1"/>
  <c r="I18" i="5" s="1"/>
  <c r="I19" i="5" s="1"/>
  <c r="I20" i="5" s="1"/>
  <c r="I21" i="5" s="1"/>
  <c r="I22" i="5" s="1"/>
  <c r="I23" i="5" s="1"/>
  <c r="I24" i="5" s="1"/>
  <c r="I25" i="5" s="1"/>
  <c r="I26" i="5" s="1"/>
  <c r="I27" i="5" s="1"/>
  <c r="I28" i="5" s="1"/>
  <c r="I29" i="5" s="1"/>
  <c r="I30" i="5" s="1"/>
  <c r="I31" i="5" s="1"/>
  <c r="I32" i="5" s="1"/>
  <c r="I33" i="5" s="1"/>
  <c r="I34" i="5" s="1"/>
  <c r="I35" i="5" s="1"/>
  <c r="I36" i="5" s="1"/>
  <c r="I37" i="5" s="1"/>
  <c r="I38" i="5" s="1"/>
  <c r="I39" i="5" s="1"/>
  <c r="I40" i="5" s="1"/>
  <c r="I41" i="5" s="1"/>
  <c r="I42" i="5" s="1"/>
  <c r="I43" i="5" s="1"/>
  <c r="I44" i="5" s="1"/>
  <c r="I45" i="5" s="1"/>
  <c r="I46" i="5" s="1"/>
  <c r="I47" i="5" s="1"/>
  <c r="I48" i="5" s="1"/>
  <c r="D2" i="7"/>
  <c r="D25" i="7" s="1"/>
  <c r="E25" i="7" s="1"/>
  <c r="G5" i="8"/>
  <c r="G6" i="8"/>
  <c r="G7" i="8"/>
  <c r="I7" i="8" s="1"/>
  <c r="G8" i="8"/>
  <c r="I8" i="8" s="1"/>
  <c r="G9" i="8"/>
  <c r="I9" i="8" s="1"/>
  <c r="G10" i="8"/>
  <c r="I10" i="8" s="1"/>
  <c r="G11" i="8"/>
  <c r="G12" i="8"/>
  <c r="G13" i="8"/>
  <c r="G14" i="8"/>
  <c r="G15" i="8"/>
  <c r="G16" i="8"/>
  <c r="G17" i="8"/>
  <c r="G18" i="8"/>
  <c r="G19" i="8"/>
  <c r="I19" i="8" s="1"/>
  <c r="G20" i="8"/>
  <c r="I20" i="8" s="1"/>
  <c r="G21" i="8"/>
  <c r="I21" i="8" s="1"/>
  <c r="G22" i="8"/>
  <c r="I22" i="8" s="1"/>
  <c r="G23" i="8"/>
  <c r="G24" i="8"/>
  <c r="G25" i="8"/>
  <c r="G26" i="8"/>
  <c r="G27" i="8"/>
  <c r="G28" i="8"/>
  <c r="G29" i="8"/>
  <c r="G30" i="8"/>
  <c r="G31" i="8"/>
  <c r="I31" i="8" s="1"/>
  <c r="G32" i="8"/>
  <c r="I32" i="8" s="1"/>
  <c r="G33" i="8"/>
  <c r="I33" i="8" s="1"/>
  <c r="G34" i="8"/>
  <c r="I34" i="8" s="1"/>
  <c r="G35" i="8"/>
  <c r="G36" i="8"/>
  <c r="G37" i="8"/>
  <c r="G38" i="8"/>
  <c r="G39" i="8"/>
  <c r="G40" i="8"/>
  <c r="G41" i="8"/>
  <c r="G42" i="8"/>
  <c r="G43" i="8"/>
  <c r="I43" i="8" s="1"/>
  <c r="G44" i="8"/>
  <c r="I44" i="8" s="1"/>
  <c r="G45" i="8"/>
  <c r="I45" i="8" s="1"/>
  <c r="G46" i="8"/>
  <c r="I46" i="8" s="1"/>
  <c r="G47" i="8"/>
  <c r="G48" i="8"/>
  <c r="G49" i="8"/>
  <c r="G50" i="8"/>
  <c r="G51" i="8"/>
  <c r="G52" i="8"/>
  <c r="G53" i="8"/>
  <c r="G54" i="8"/>
  <c r="G55" i="8"/>
  <c r="I55" i="8" s="1"/>
  <c r="G56" i="8"/>
  <c r="I56" i="8" s="1"/>
  <c r="G57" i="8"/>
  <c r="I57" i="8" s="1"/>
  <c r="G58" i="8"/>
  <c r="I58" i="8" s="1"/>
  <c r="G59" i="8"/>
  <c r="G60" i="8"/>
  <c r="G61" i="8"/>
  <c r="G62" i="8"/>
  <c r="G63" i="8"/>
  <c r="G64" i="8"/>
  <c r="G65" i="8"/>
  <c r="G66" i="8"/>
  <c r="G67" i="8"/>
  <c r="I67" i="8" s="1"/>
  <c r="G68" i="8"/>
  <c r="I68" i="8" s="1"/>
  <c r="G69" i="8"/>
  <c r="I69" i="8" s="1"/>
  <c r="G70" i="8"/>
  <c r="I70" i="8" s="1"/>
  <c r="G71" i="8"/>
  <c r="G72" i="8"/>
  <c r="G73" i="8"/>
  <c r="G74" i="8"/>
  <c r="G75" i="8"/>
  <c r="G76" i="8"/>
  <c r="G77" i="8"/>
  <c r="G78" i="8"/>
  <c r="G79" i="8"/>
  <c r="I79" i="8" s="1"/>
  <c r="G80" i="8"/>
  <c r="I80" i="8" s="1"/>
  <c r="G81" i="8"/>
  <c r="I81" i="8" s="1"/>
  <c r="G82" i="8"/>
  <c r="I82" i="8" s="1"/>
  <c r="G83" i="8"/>
  <c r="G84" i="8"/>
  <c r="G85" i="8"/>
  <c r="G86" i="8"/>
  <c r="G87" i="8"/>
  <c r="G88" i="8"/>
  <c r="G89" i="8"/>
  <c r="G90" i="8"/>
  <c r="G91" i="8"/>
  <c r="I91" i="8" s="1"/>
  <c r="G92" i="8"/>
  <c r="I92" i="8" s="1"/>
  <c r="G93" i="8"/>
  <c r="I93" i="8" s="1"/>
  <c r="G94" i="8"/>
  <c r="I94" i="8" s="1"/>
  <c r="G95" i="8"/>
  <c r="G96" i="8"/>
  <c r="G97" i="8"/>
  <c r="G98" i="8"/>
  <c r="G99" i="8"/>
  <c r="G100" i="8"/>
  <c r="G101" i="8"/>
  <c r="G102" i="8"/>
  <c r="G103" i="8"/>
  <c r="I103" i="8" s="1"/>
  <c r="G104" i="8"/>
  <c r="I104" i="8" s="1"/>
  <c r="G105" i="8"/>
  <c r="I105" i="8" s="1"/>
  <c r="G106" i="8"/>
  <c r="I106" i="8" s="1"/>
  <c r="G107" i="8"/>
  <c r="G108" i="8"/>
  <c r="G109" i="8"/>
  <c r="G110" i="8"/>
  <c r="G111" i="8"/>
  <c r="G112" i="8"/>
  <c r="G113" i="8"/>
  <c r="G114" i="8"/>
  <c r="G115" i="8"/>
  <c r="I115" i="8" s="1"/>
  <c r="G116" i="8"/>
  <c r="I116" i="8" s="1"/>
  <c r="G117" i="8"/>
  <c r="I117" i="8" s="1"/>
  <c r="G118" i="8"/>
  <c r="I118" i="8" s="1"/>
  <c r="G119" i="8"/>
  <c r="G120" i="8"/>
  <c r="G121" i="8"/>
  <c r="G122" i="8"/>
  <c r="G123" i="8"/>
  <c r="G124" i="8"/>
  <c r="G125" i="8"/>
  <c r="G126" i="8"/>
  <c r="G127" i="8"/>
  <c r="I127" i="8" s="1"/>
  <c r="G128" i="8"/>
  <c r="I128" i="8" s="1"/>
  <c r="G129" i="8"/>
  <c r="I129" i="8" s="1"/>
  <c r="G130" i="8"/>
  <c r="I130" i="8" s="1"/>
  <c r="G131" i="8"/>
  <c r="G132" i="8"/>
  <c r="G133" i="8"/>
  <c r="G134" i="8"/>
  <c r="G135" i="8"/>
  <c r="G136" i="8"/>
  <c r="G137" i="8"/>
  <c r="G138" i="8"/>
  <c r="G139" i="8"/>
  <c r="I139" i="8" s="1"/>
  <c r="G140" i="8"/>
  <c r="I140" i="8" s="1"/>
  <c r="G141" i="8"/>
  <c r="I141" i="8" s="1"/>
  <c r="G142" i="8"/>
  <c r="I142" i="8" s="1"/>
  <c r="G143" i="8"/>
  <c r="G144" i="8"/>
  <c r="G145" i="8"/>
  <c r="G146" i="8"/>
  <c r="G147" i="8"/>
  <c r="G148" i="8"/>
  <c r="G149" i="8"/>
  <c r="G150" i="8"/>
  <c r="G151" i="8"/>
  <c r="I151" i="8" s="1"/>
  <c r="G152" i="8"/>
  <c r="I152" i="8" s="1"/>
  <c r="G153" i="8"/>
  <c r="I153" i="8" s="1"/>
  <c r="G154" i="8"/>
  <c r="I154" i="8" s="1"/>
  <c r="G155" i="8"/>
  <c r="G156" i="8"/>
  <c r="G157" i="8"/>
  <c r="G158" i="8"/>
  <c r="G159" i="8"/>
  <c r="G160" i="8"/>
  <c r="G161" i="8"/>
  <c r="G162" i="8"/>
  <c r="G163" i="8"/>
  <c r="I163" i="8" s="1"/>
  <c r="G164" i="8"/>
  <c r="I164" i="8" s="1"/>
  <c r="G165" i="8"/>
  <c r="I165" i="8" s="1"/>
  <c r="G166" i="8"/>
  <c r="I166" i="8" s="1"/>
  <c r="G167" i="8"/>
  <c r="G168" i="8"/>
  <c r="G169" i="8"/>
  <c r="G170" i="8"/>
  <c r="G171" i="8"/>
  <c r="G172" i="8"/>
  <c r="G173" i="8"/>
  <c r="G174" i="8"/>
  <c r="G175" i="8"/>
  <c r="I175" i="8" s="1"/>
  <c r="G176" i="8"/>
  <c r="I176" i="8" s="1"/>
  <c r="G177" i="8"/>
  <c r="I177" i="8" s="1"/>
  <c r="G178" i="8"/>
  <c r="I178" i="8" s="1"/>
  <c r="G179" i="8"/>
  <c r="G180" i="8"/>
  <c r="G181" i="8"/>
  <c r="G182" i="8"/>
  <c r="G183" i="8"/>
  <c r="G184" i="8"/>
  <c r="G185" i="8"/>
  <c r="G4" i="8"/>
  <c r="E2" i="8"/>
  <c r="I4" i="8"/>
  <c r="I5" i="8"/>
  <c r="I6" i="8"/>
  <c r="I11" i="8"/>
  <c r="I12" i="8"/>
  <c r="I13" i="8"/>
  <c r="I14" i="8"/>
  <c r="I15" i="8"/>
  <c r="I16" i="8"/>
  <c r="I17" i="8"/>
  <c r="I18" i="8"/>
  <c r="I23" i="8"/>
  <c r="I24" i="8"/>
  <c r="I25" i="8"/>
  <c r="I26" i="8"/>
  <c r="I27" i="8"/>
  <c r="I28" i="8"/>
  <c r="I29" i="8"/>
  <c r="I30" i="8"/>
  <c r="I35" i="8"/>
  <c r="I36" i="8"/>
  <c r="I37" i="8"/>
  <c r="I38" i="8"/>
  <c r="I39" i="8"/>
  <c r="I40" i="8"/>
  <c r="I41" i="8"/>
  <c r="I42" i="8"/>
  <c r="I47" i="8"/>
  <c r="I48" i="8"/>
  <c r="I49" i="8"/>
  <c r="I50" i="8"/>
  <c r="I51" i="8"/>
  <c r="I52" i="8"/>
  <c r="I53" i="8"/>
  <c r="I54" i="8"/>
  <c r="I59" i="8"/>
  <c r="I60" i="8"/>
  <c r="I61" i="8"/>
  <c r="I62" i="8"/>
  <c r="I63" i="8"/>
  <c r="I64" i="8"/>
  <c r="I65" i="8"/>
  <c r="I66" i="8"/>
  <c r="I71" i="8"/>
  <c r="I72" i="8"/>
  <c r="I73" i="8"/>
  <c r="I74" i="8"/>
  <c r="I75" i="8"/>
  <c r="I76" i="8"/>
  <c r="I77" i="8"/>
  <c r="I78" i="8"/>
  <c r="I83" i="8"/>
  <c r="I84" i="8"/>
  <c r="I85" i="8"/>
  <c r="I86" i="8"/>
  <c r="I87" i="8"/>
  <c r="I88" i="8"/>
  <c r="I89" i="8"/>
  <c r="I90" i="8"/>
  <c r="I95" i="8"/>
  <c r="I96" i="8"/>
  <c r="I97" i="8"/>
  <c r="I98" i="8"/>
  <c r="I99" i="8"/>
  <c r="I100" i="8"/>
  <c r="I101" i="8"/>
  <c r="I102" i="8"/>
  <c r="I107" i="8"/>
  <c r="I108" i="8"/>
  <c r="I109" i="8"/>
  <c r="I110" i="8"/>
  <c r="I111" i="8"/>
  <c r="I112" i="8"/>
  <c r="I113" i="8"/>
  <c r="I114" i="8"/>
  <c r="I119" i="8"/>
  <c r="I120" i="8"/>
  <c r="I121" i="8"/>
  <c r="I122" i="8"/>
  <c r="I123" i="8"/>
  <c r="I124" i="8"/>
  <c r="I125" i="8"/>
  <c r="I126" i="8"/>
  <c r="I131" i="8"/>
  <c r="I132" i="8"/>
  <c r="I133" i="8"/>
  <c r="I134" i="8"/>
  <c r="I135" i="8"/>
  <c r="I136" i="8"/>
  <c r="I137" i="8"/>
  <c r="I138" i="8"/>
  <c r="I143" i="8"/>
  <c r="I144" i="8"/>
  <c r="I145" i="8"/>
  <c r="I146" i="8"/>
  <c r="I147" i="8"/>
  <c r="I148" i="8"/>
  <c r="I149" i="8"/>
  <c r="I150" i="8"/>
  <c r="I155" i="8"/>
  <c r="I156" i="8"/>
  <c r="I157" i="8"/>
  <c r="I158" i="8"/>
  <c r="I159" i="8"/>
  <c r="I160" i="8"/>
  <c r="I161" i="8"/>
  <c r="I162" i="8"/>
  <c r="I167" i="8"/>
  <c r="I168" i="8"/>
  <c r="I169" i="8"/>
  <c r="I170" i="8"/>
  <c r="I171" i="8"/>
  <c r="I172" i="8"/>
  <c r="I173" i="8"/>
  <c r="I174" i="8"/>
  <c r="I179" i="8"/>
  <c r="I180" i="8"/>
  <c r="I181" i="8"/>
  <c r="I182" i="8"/>
  <c r="I183" i="8"/>
  <c r="I184" i="8"/>
  <c r="I185" i="8"/>
  <c r="E185" i="8"/>
  <c r="E184" i="8"/>
  <c r="E183" i="8"/>
  <c r="E182" i="8"/>
  <c r="E181" i="8"/>
  <c r="E180" i="8"/>
  <c r="E179" i="8"/>
  <c r="E178" i="8"/>
  <c r="E177" i="8"/>
  <c r="E176" i="8"/>
  <c r="E175" i="8"/>
  <c r="E174" i="8"/>
  <c r="E173" i="8"/>
  <c r="E172" i="8"/>
  <c r="E171" i="8"/>
  <c r="E170" i="8"/>
  <c r="E169" i="8"/>
  <c r="E168" i="8"/>
  <c r="E167" i="8"/>
  <c r="E166" i="8"/>
  <c r="E165" i="8"/>
  <c r="E164" i="8"/>
  <c r="E163" i="8"/>
  <c r="E162" i="8"/>
  <c r="E161" i="8"/>
  <c r="E160" i="8"/>
  <c r="E159" i="8"/>
  <c r="E158" i="8"/>
  <c r="E157" i="8"/>
  <c r="E156" i="8"/>
  <c r="E155" i="8"/>
  <c r="E154" i="8"/>
  <c r="E153" i="8"/>
  <c r="E152" i="8"/>
  <c r="E151" i="8"/>
  <c r="E150" i="8"/>
  <c r="E149" i="8"/>
  <c r="E148" i="8"/>
  <c r="E147" i="8"/>
  <c r="E146" i="8"/>
  <c r="E145" i="8"/>
  <c r="E144" i="8"/>
  <c r="E143" i="8"/>
  <c r="E142" i="8"/>
  <c r="E141" i="8"/>
  <c r="E140" i="8"/>
  <c r="E139" i="8"/>
  <c r="E138" i="8"/>
  <c r="E137" i="8"/>
  <c r="E136" i="8"/>
  <c r="E135" i="8"/>
  <c r="E134" i="8"/>
  <c r="E133" i="8"/>
  <c r="E132" i="8"/>
  <c r="E131" i="8"/>
  <c r="E130" i="8"/>
  <c r="E129" i="8"/>
  <c r="E128" i="8"/>
  <c r="E127" i="8"/>
  <c r="E126" i="8"/>
  <c r="E125" i="8"/>
  <c r="E124" i="8"/>
  <c r="E123" i="8"/>
  <c r="E122" i="8"/>
  <c r="E121" i="8"/>
  <c r="E120" i="8"/>
  <c r="E119" i="8"/>
  <c r="E118" i="8"/>
  <c r="E117" i="8"/>
  <c r="E116" i="8"/>
  <c r="E115" i="8"/>
  <c r="E114" i="8"/>
  <c r="E113" i="8"/>
  <c r="E112" i="8"/>
  <c r="E111" i="8"/>
  <c r="E110" i="8"/>
  <c r="E109" i="8"/>
  <c r="E108" i="8"/>
  <c r="E107" i="8"/>
  <c r="E106" i="8"/>
  <c r="E105" i="8"/>
  <c r="E104" i="8"/>
  <c r="E103" i="8"/>
  <c r="E102" i="8"/>
  <c r="E101" i="8"/>
  <c r="E100" i="8"/>
  <c r="E99" i="8"/>
  <c r="E98" i="8"/>
  <c r="E97" i="8"/>
  <c r="E96" i="8"/>
  <c r="E95" i="8"/>
  <c r="E94" i="8"/>
  <c r="E93" i="8"/>
  <c r="E92" i="8"/>
  <c r="E91" i="8"/>
  <c r="E90" i="8"/>
  <c r="E89" i="8"/>
  <c r="E88" i="8"/>
  <c r="E87" i="8"/>
  <c r="E86" i="8"/>
  <c r="E85" i="8"/>
  <c r="E84" i="8"/>
  <c r="E83" i="8"/>
  <c r="E82" i="8"/>
  <c r="E81" i="8"/>
  <c r="E80" i="8"/>
  <c r="E79" i="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E47" i="8"/>
  <c r="E46" i="8"/>
  <c r="E45" i="8"/>
  <c r="E44" i="8"/>
  <c r="E43" i="8"/>
  <c r="E42" i="8"/>
  <c r="E41" i="8"/>
  <c r="E40" i="8"/>
  <c r="E39" i="8"/>
  <c r="E38" i="8"/>
  <c r="E37" i="8"/>
  <c r="E36" i="8"/>
  <c r="E35" i="8"/>
  <c r="E34" i="8"/>
  <c r="E33" i="8"/>
  <c r="E32" i="8"/>
  <c r="E31" i="8"/>
  <c r="E30" i="8"/>
  <c r="E29" i="8"/>
  <c r="E28" i="8"/>
  <c r="E27" i="8"/>
  <c r="E26" i="8"/>
  <c r="E25" i="8"/>
  <c r="E24" i="8"/>
  <c r="E23" i="8"/>
  <c r="E22" i="8"/>
  <c r="E21" i="8"/>
  <c r="E20" i="8"/>
  <c r="E19" i="8"/>
  <c r="E18" i="8"/>
  <c r="E17" i="8"/>
  <c r="E16" i="8"/>
  <c r="E15" i="8"/>
  <c r="E14" i="8"/>
  <c r="E13" i="8"/>
  <c r="E12" i="8"/>
  <c r="E11" i="8"/>
  <c r="E10" i="8"/>
  <c r="E9" i="8"/>
  <c r="E8" i="8"/>
  <c r="E7" i="8"/>
  <c r="E6" i="8"/>
  <c r="E5" i="8"/>
  <c r="E4" i="8"/>
  <c r="B27" i="7"/>
  <c r="D7" i="5" s="1"/>
  <c r="V3" i="6"/>
  <c r="V4" i="6"/>
  <c r="V5" i="6"/>
  <c r="V6" i="6"/>
  <c r="V7" i="6"/>
  <c r="V8" i="6"/>
  <c r="V9" i="6"/>
  <c r="V10" i="6"/>
  <c r="V11" i="6"/>
  <c r="V12" i="6"/>
  <c r="V13" i="6"/>
  <c r="V14" i="6"/>
  <c r="V15" i="6"/>
  <c r="V16" i="6"/>
  <c r="V17" i="6"/>
  <c r="V18" i="6"/>
  <c r="V19" i="6"/>
  <c r="V20" i="6"/>
  <c r="V21" i="6"/>
  <c r="V22" i="6"/>
  <c r="V23" i="6"/>
  <c r="V24" i="6"/>
  <c r="V25" i="6"/>
  <c r="V26" i="6"/>
  <c r="V27" i="6"/>
  <c r="V28" i="6"/>
  <c r="V29" i="6"/>
  <c r="V30" i="6"/>
  <c r="V31" i="6"/>
  <c r="V32" i="6"/>
  <c r="V33" i="6"/>
  <c r="V34" i="6"/>
  <c r="V35" i="6"/>
  <c r="V36" i="6"/>
  <c r="V37" i="6"/>
  <c r="V38" i="6"/>
  <c r="V39" i="6"/>
  <c r="V40" i="6"/>
  <c r="V41" i="6"/>
  <c r="V42" i="6"/>
  <c r="V43" i="6"/>
  <c r="V44" i="6"/>
  <c r="V45" i="6"/>
  <c r="V46" i="6"/>
  <c r="V47" i="6"/>
  <c r="V48" i="6"/>
  <c r="V49" i="6"/>
  <c r="V50" i="6"/>
  <c r="V51" i="6"/>
  <c r="V52" i="6"/>
  <c r="V53" i="6"/>
  <c r="V54" i="6"/>
  <c r="V55" i="6"/>
  <c r="V56" i="6"/>
  <c r="V57" i="6"/>
  <c r="V58" i="6"/>
  <c r="V59" i="6"/>
  <c r="V60" i="6"/>
  <c r="V61" i="6"/>
  <c r="V62" i="6"/>
  <c r="V63" i="6"/>
  <c r="V64" i="6"/>
  <c r="V65" i="6"/>
  <c r="V66" i="6"/>
  <c r="V67" i="6"/>
  <c r="V68" i="6"/>
  <c r="V69" i="6"/>
  <c r="V70" i="6"/>
  <c r="V71" i="6"/>
  <c r="V72" i="6"/>
  <c r="V73" i="6"/>
  <c r="V74" i="6"/>
  <c r="V75" i="6"/>
  <c r="V76" i="6"/>
  <c r="V77" i="6"/>
  <c r="V78" i="6"/>
  <c r="V79" i="6"/>
  <c r="V80" i="6"/>
  <c r="V81" i="6"/>
  <c r="V82" i="6"/>
  <c r="V83" i="6"/>
  <c r="V84" i="6"/>
  <c r="V85" i="6"/>
  <c r="V86" i="6"/>
  <c r="V87" i="6"/>
  <c r="V88" i="6"/>
  <c r="V89" i="6"/>
  <c r="V90" i="6"/>
  <c r="V91" i="6"/>
  <c r="V92" i="6"/>
  <c r="V93" i="6"/>
  <c r="V94" i="6"/>
  <c r="V95" i="6"/>
  <c r="V96" i="6"/>
  <c r="V97" i="6"/>
  <c r="V98" i="6"/>
  <c r="V99" i="6"/>
  <c r="V100" i="6"/>
  <c r="V101" i="6"/>
  <c r="V102" i="6"/>
  <c r="V103" i="6"/>
  <c r="V104" i="6"/>
  <c r="V105" i="6"/>
  <c r="V106" i="6"/>
  <c r="V107" i="6"/>
  <c r="V108" i="6"/>
  <c r="V109" i="6"/>
  <c r="V110" i="6"/>
  <c r="V111" i="6"/>
  <c r="V112" i="6"/>
  <c r="V113" i="6"/>
  <c r="V114" i="6"/>
  <c r="V115" i="6"/>
  <c r="V116" i="6"/>
  <c r="V117" i="6"/>
  <c r="V118" i="6"/>
  <c r="V119" i="6"/>
  <c r="V120" i="6"/>
  <c r="V121" i="6"/>
  <c r="V122" i="6"/>
  <c r="V123" i="6"/>
  <c r="V124" i="6"/>
  <c r="V125" i="6"/>
  <c r="V126" i="6"/>
  <c r="V127" i="6"/>
  <c r="V128" i="6"/>
  <c r="V129" i="6"/>
  <c r="V130" i="6"/>
  <c r="V131" i="6"/>
  <c r="V132" i="6"/>
  <c r="V133" i="6"/>
  <c r="V134" i="6"/>
  <c r="V135" i="6"/>
  <c r="V136" i="6"/>
  <c r="V137" i="6"/>
  <c r="V138" i="6"/>
  <c r="V139" i="6"/>
  <c r="V140" i="6"/>
  <c r="V141" i="6"/>
  <c r="V142" i="6"/>
  <c r="V143" i="6"/>
  <c r="V144" i="6"/>
  <c r="V145" i="6"/>
  <c r="V146" i="6"/>
  <c r="V147" i="6"/>
  <c r="V148" i="6"/>
  <c r="V149" i="6"/>
  <c r="V150" i="6"/>
  <c r="V151" i="6"/>
  <c r="V152" i="6"/>
  <c r="V153" i="6"/>
  <c r="V154" i="6"/>
  <c r="V155" i="6"/>
  <c r="V156" i="6"/>
  <c r="V157" i="6"/>
  <c r="V158" i="6"/>
  <c r="V159" i="6"/>
  <c r="V160" i="6"/>
  <c r="V161" i="6"/>
  <c r="V162" i="6"/>
  <c r="V163" i="6"/>
  <c r="V164" i="6"/>
  <c r="V165" i="6"/>
  <c r="V166" i="6"/>
  <c r="V167" i="6"/>
  <c r="V168" i="6"/>
  <c r="V169" i="6"/>
  <c r="V170" i="6"/>
  <c r="V171" i="6"/>
  <c r="V172" i="6"/>
  <c r="V173" i="6"/>
  <c r="V174" i="6"/>
  <c r="V175" i="6"/>
  <c r="V176" i="6"/>
  <c r="V177" i="6"/>
  <c r="V178" i="6"/>
  <c r="V179" i="6"/>
  <c r="V180" i="6"/>
  <c r="V181" i="6"/>
  <c r="V182" i="6"/>
  <c r="V183" i="6"/>
  <c r="V184" i="6"/>
  <c r="V185" i="6"/>
  <c r="V186" i="6"/>
  <c r="V187" i="6"/>
  <c r="V188" i="6"/>
  <c r="V189" i="6"/>
  <c r="V190" i="6"/>
  <c r="V191" i="6"/>
  <c r="V192" i="6"/>
  <c r="V193" i="6"/>
  <c r="V194" i="6"/>
  <c r="V195" i="6"/>
  <c r="V196" i="6"/>
  <c r="V197" i="6"/>
  <c r="V198" i="6"/>
  <c r="V199" i="6"/>
  <c r="V200" i="6"/>
  <c r="V201" i="6"/>
  <c r="V202" i="6"/>
  <c r="V203" i="6"/>
  <c r="V204" i="6"/>
  <c r="V205" i="6"/>
  <c r="V206" i="6"/>
  <c r="V207" i="6"/>
  <c r="V208" i="6"/>
  <c r="V209" i="6"/>
  <c r="V210" i="6"/>
  <c r="V211" i="6"/>
  <c r="V212" i="6"/>
  <c r="V213" i="6"/>
  <c r="V214" i="6"/>
  <c r="V215" i="6"/>
  <c r="V216" i="6"/>
  <c r="V217" i="6"/>
  <c r="V218" i="6"/>
  <c r="V219" i="6"/>
  <c r="V220" i="6"/>
  <c r="V221" i="6"/>
  <c r="V222" i="6"/>
  <c r="V223" i="6"/>
  <c r="V224" i="6"/>
  <c r="V225" i="6"/>
  <c r="V226" i="6"/>
  <c r="V227" i="6"/>
  <c r="V228" i="6"/>
  <c r="V229" i="6"/>
  <c r="V230" i="6"/>
  <c r="V231" i="6"/>
  <c r="V232" i="6"/>
  <c r="V233" i="6"/>
  <c r="V234" i="6"/>
  <c r="V235" i="6"/>
  <c r="V236" i="6"/>
  <c r="V237" i="6"/>
  <c r="V238" i="6"/>
  <c r="V239" i="6"/>
  <c r="V240" i="6"/>
  <c r="V241" i="6"/>
  <c r="V242" i="6"/>
  <c r="V243" i="6"/>
  <c r="V244" i="6"/>
  <c r="V245" i="6"/>
  <c r="V246" i="6"/>
  <c r="V247" i="6"/>
  <c r="V248" i="6"/>
  <c r="V249" i="6"/>
  <c r="V250" i="6"/>
  <c r="V251" i="6"/>
  <c r="V252" i="6"/>
  <c r="V253" i="6"/>
  <c r="V254" i="6"/>
  <c r="V255" i="6"/>
  <c r="V256" i="6"/>
  <c r="V257" i="6"/>
  <c r="V258" i="6"/>
  <c r="V259" i="6"/>
  <c r="V260" i="6"/>
  <c r="V261" i="6"/>
  <c r="V262" i="6"/>
  <c r="V263" i="6"/>
  <c r="V264" i="6"/>
  <c r="V265" i="6"/>
  <c r="V266" i="6"/>
  <c r="V267" i="6"/>
  <c r="V268" i="6"/>
  <c r="V269" i="6"/>
  <c r="V270" i="6"/>
  <c r="V271" i="6"/>
  <c r="V272" i="6"/>
  <c r="V273" i="6"/>
  <c r="V274" i="6"/>
  <c r="V275" i="6"/>
  <c r="V276" i="6"/>
  <c r="V277" i="6"/>
  <c r="V278" i="6"/>
  <c r="V279" i="6"/>
  <c r="V280" i="6"/>
  <c r="V281" i="6"/>
  <c r="V282" i="6"/>
  <c r="V283" i="6"/>
  <c r="V284" i="6"/>
  <c r="V285" i="6"/>
  <c r="V286" i="6"/>
  <c r="V287" i="6"/>
  <c r="V288" i="6"/>
  <c r="V289" i="6"/>
  <c r="V290" i="6"/>
  <c r="V291" i="6"/>
  <c r="V292" i="6"/>
  <c r="V293" i="6"/>
  <c r="V294" i="6"/>
  <c r="V295" i="6"/>
  <c r="V296" i="6"/>
  <c r="V297" i="6"/>
  <c r="V298" i="6"/>
  <c r="V299" i="6"/>
  <c r="V300" i="6"/>
  <c r="V301" i="6"/>
  <c r="V302" i="6"/>
  <c r="V303" i="6"/>
  <c r="V304" i="6"/>
  <c r="V305" i="6"/>
  <c r="V306" i="6"/>
  <c r="V307" i="6"/>
  <c r="V308" i="6"/>
  <c r="V309" i="6"/>
  <c r="V310" i="6"/>
  <c r="V311" i="6"/>
  <c r="V312" i="6"/>
  <c r="V313" i="6"/>
  <c r="V314" i="6"/>
  <c r="V315" i="6"/>
  <c r="V316" i="6"/>
  <c r="K46" i="2"/>
  <c r="I46" i="2"/>
  <c r="L4" i="5" s="1"/>
  <c r="O4" i="5" s="1"/>
  <c r="G46" i="2"/>
  <c r="M4" i="5" s="1"/>
  <c r="R56" i="1"/>
  <c r="S56" i="1"/>
  <c r="R57" i="1"/>
  <c r="S57" i="1"/>
  <c r="R58" i="1"/>
  <c r="S58" i="1"/>
  <c r="A47" i="1" a="1"/>
  <c r="A47" i="1" s="1"/>
  <c r="R60" i="1"/>
  <c r="R59" i="1"/>
  <c r="R55" i="1"/>
  <c r="R54" i="1"/>
  <c r="R53" i="1"/>
  <c r="E44" i="1"/>
  <c r="O44" i="1"/>
  <c r="E45" i="1"/>
  <c r="O45" i="1"/>
  <c r="W34" i="1"/>
  <c r="W38" i="1" s="1"/>
  <c r="I65" i="1"/>
  <c r="J64" i="1" s="1"/>
  <c r="K64" i="1" s="1"/>
  <c r="G60" i="1"/>
  <c r="J59" i="1" s="1"/>
  <c r="I59" i="1" s="1"/>
  <c r="F60" i="1"/>
  <c r="E60" i="1"/>
  <c r="E64" i="1" s="1"/>
  <c r="D60" i="1"/>
  <c r="D64" i="1" s="1"/>
  <c r="E43" i="1"/>
  <c r="E42" i="1"/>
  <c r="E41" i="1"/>
  <c r="E40" i="1"/>
  <c r="E39" i="1"/>
  <c r="E38" i="1"/>
  <c r="E37" i="1"/>
  <c r="E36" i="1"/>
  <c r="E33" i="1"/>
  <c r="E32" i="1"/>
  <c r="E31" i="1"/>
  <c r="E30" i="1"/>
  <c r="E29" i="1"/>
  <c r="E28" i="1"/>
  <c r="E27" i="1"/>
  <c r="E26" i="1"/>
  <c r="E25" i="1"/>
  <c r="E24" i="1"/>
  <c r="E23" i="1"/>
  <c r="E22" i="1"/>
  <c r="E21" i="1"/>
  <c r="E20" i="1"/>
  <c r="E19" i="1"/>
  <c r="E18" i="1"/>
  <c r="E15" i="1"/>
  <c r="E13" i="1"/>
  <c r="E9" i="1"/>
  <c r="E8" i="1"/>
  <c r="E7" i="1"/>
  <c r="E6" i="1"/>
  <c r="E5" i="1"/>
  <c r="O18" i="5" l="1"/>
  <c r="P18" i="5" s="1"/>
  <c r="O17" i="5"/>
  <c r="O15" i="5"/>
  <c r="O14" i="5"/>
  <c r="O9" i="5"/>
  <c r="O8" i="5"/>
  <c r="O7" i="5"/>
  <c r="P7" i="5" s="1"/>
  <c r="O16" i="5"/>
  <c r="O19" i="5"/>
  <c r="P19" i="5" s="1"/>
  <c r="O26" i="5"/>
  <c r="O25" i="5"/>
  <c r="P25" i="5" s="1"/>
  <c r="O13" i="5"/>
  <c r="P13" i="5" s="1"/>
  <c r="O24" i="5"/>
  <c r="P24" i="5" s="1"/>
  <c r="O12" i="5"/>
  <c r="P12" i="5" s="1"/>
  <c r="O23" i="5"/>
  <c r="O11" i="5"/>
  <c r="O22" i="5"/>
  <c r="O10" i="5"/>
  <c r="O21" i="5"/>
  <c r="O20" i="5"/>
  <c r="M10" i="5"/>
  <c r="M9" i="5"/>
  <c r="M8" i="5"/>
  <c r="M7" i="5"/>
  <c r="M11" i="5"/>
  <c r="O27" i="5"/>
  <c r="O28" i="5"/>
  <c r="J29" i="5"/>
  <c r="D17" i="7"/>
  <c r="E17" i="7" s="1"/>
  <c r="I313" i="9"/>
  <c r="I242" i="9"/>
  <c r="I236" i="9"/>
  <c r="I234" i="9"/>
  <c r="I134" i="9"/>
  <c r="I11" i="9"/>
  <c r="I314" i="9"/>
  <c r="I143" i="9"/>
  <c r="D19" i="7"/>
  <c r="E19" i="7" s="1"/>
  <c r="H125" i="10"/>
  <c r="H117" i="10"/>
  <c r="H91" i="10"/>
  <c r="H87" i="10"/>
  <c r="H84" i="10"/>
  <c r="H78" i="10"/>
  <c r="H360" i="10"/>
  <c r="H525" i="10"/>
  <c r="H359" i="10"/>
  <c r="H246" i="10"/>
  <c r="H157" i="10"/>
  <c r="H64" i="10"/>
  <c r="H399" i="10"/>
  <c r="H479" i="10"/>
  <c r="H203" i="10"/>
  <c r="H477" i="10"/>
  <c r="H294" i="10"/>
  <c r="H536" i="10"/>
  <c r="H474" i="10"/>
  <c r="H390" i="10"/>
  <c r="H534" i="10"/>
  <c r="H468" i="10"/>
  <c r="H280" i="10"/>
  <c r="H466" i="10"/>
  <c r="H277" i="10"/>
  <c r="H527" i="10"/>
  <c r="H453" i="10"/>
  <c r="H76" i="10"/>
  <c r="H440" i="10"/>
  <c r="H322" i="10"/>
  <c r="H233" i="10"/>
  <c r="H154" i="10"/>
  <c r="H30" i="10"/>
  <c r="H210" i="10"/>
  <c r="H311" i="10"/>
  <c r="H539" i="10"/>
  <c r="H392" i="10"/>
  <c r="H199" i="10"/>
  <c r="H369" i="10"/>
  <c r="H532" i="10"/>
  <c r="H164" i="10"/>
  <c r="H250" i="10"/>
  <c r="H439" i="10"/>
  <c r="H244" i="10"/>
  <c r="H156" i="10"/>
  <c r="H438" i="10"/>
  <c r="H503" i="10"/>
  <c r="H414" i="10"/>
  <c r="H321" i="10"/>
  <c r="H232" i="10"/>
  <c r="H133" i="10"/>
  <c r="H28" i="10"/>
  <c r="H483" i="10"/>
  <c r="H313" i="10"/>
  <c r="H393" i="10"/>
  <c r="H202" i="10"/>
  <c r="H281" i="10"/>
  <c r="H173" i="10"/>
  <c r="H367" i="10"/>
  <c r="H163" i="10"/>
  <c r="H513" i="10"/>
  <c r="H327" i="10"/>
  <c r="H45" i="10"/>
  <c r="H505" i="10"/>
  <c r="H501" i="10"/>
  <c r="H406" i="10"/>
  <c r="H320" i="10"/>
  <c r="H231" i="10"/>
  <c r="H126" i="10"/>
  <c r="H22" i="10"/>
  <c r="H500" i="10"/>
  <c r="H437" i="10"/>
  <c r="H351" i="10"/>
  <c r="H275" i="10"/>
  <c r="H197" i="10"/>
  <c r="H115" i="10"/>
  <c r="H21" i="10"/>
  <c r="H498" i="10"/>
  <c r="H432" i="10"/>
  <c r="H346" i="10"/>
  <c r="H274" i="10"/>
  <c r="H189" i="10"/>
  <c r="H111" i="10"/>
  <c r="H12" i="10"/>
  <c r="I40" i="9"/>
  <c r="I27" i="9"/>
  <c r="I97" i="9"/>
  <c r="I161" i="9"/>
  <c r="I204" i="9"/>
  <c r="I252" i="9"/>
  <c r="I295" i="9"/>
  <c r="I38" i="9"/>
  <c r="I109" i="9"/>
  <c r="I167" i="9"/>
  <c r="I217" i="9"/>
  <c r="I260" i="9"/>
  <c r="I300" i="9"/>
  <c r="I47" i="9"/>
  <c r="I115" i="9"/>
  <c r="I168" i="9"/>
  <c r="I220" i="9"/>
  <c r="I263" i="9"/>
  <c r="I308" i="9"/>
  <c r="I56" i="9"/>
  <c r="I119" i="9"/>
  <c r="I171" i="9"/>
  <c r="I227" i="9"/>
  <c r="I265" i="9"/>
  <c r="I311" i="9"/>
  <c r="I57" i="9"/>
  <c r="I126" i="9"/>
  <c r="I179" i="9"/>
  <c r="I228" i="9"/>
  <c r="I266" i="9"/>
  <c r="I312" i="9"/>
  <c r="I62" i="9"/>
  <c r="I127" i="9"/>
  <c r="I186" i="9"/>
  <c r="I232" i="9"/>
  <c r="I276" i="9"/>
  <c r="I211" i="9"/>
  <c r="I202" i="9"/>
  <c r="I284" i="9"/>
  <c r="I200" i="9"/>
  <c r="I90" i="9"/>
  <c r="I283" i="9"/>
  <c r="I196" i="9"/>
  <c r="I81" i="9"/>
  <c r="I282" i="9"/>
  <c r="I194" i="9"/>
  <c r="I74" i="9"/>
  <c r="I63" i="9"/>
  <c r="I296" i="9"/>
  <c r="I188" i="9"/>
  <c r="I132" i="9"/>
  <c r="I99" i="9"/>
  <c r="I290" i="9"/>
  <c r="I92" i="9"/>
  <c r="I280" i="9"/>
  <c r="I332" i="9"/>
  <c r="I259" i="9"/>
  <c r="I162" i="9"/>
  <c r="I29" i="9"/>
  <c r="I330" i="9"/>
  <c r="I251" i="9"/>
  <c r="I153" i="9"/>
  <c r="I23" i="9"/>
  <c r="I324" i="9"/>
  <c r="I248" i="9"/>
  <c r="I151" i="9"/>
  <c r="I21" i="9"/>
  <c r="H522" i="10"/>
  <c r="H496" i="10"/>
  <c r="H464" i="10"/>
  <c r="H431" i="10"/>
  <c r="H389" i="10"/>
  <c r="H345" i="10"/>
  <c r="H304" i="10"/>
  <c r="H268" i="10"/>
  <c r="H228" i="10"/>
  <c r="H186" i="10"/>
  <c r="H152" i="10"/>
  <c r="H109" i="10"/>
  <c r="H63" i="10"/>
  <c r="H11" i="10"/>
  <c r="H521" i="10"/>
  <c r="H493" i="10"/>
  <c r="H463" i="10"/>
  <c r="H420" i="10"/>
  <c r="H385" i="10"/>
  <c r="H343" i="10"/>
  <c r="H301" i="10"/>
  <c r="H267" i="10"/>
  <c r="H227" i="10"/>
  <c r="H185" i="10"/>
  <c r="H150" i="10"/>
  <c r="H107" i="10"/>
  <c r="H55" i="10"/>
  <c r="H545" i="10"/>
  <c r="H520" i="10"/>
  <c r="H489" i="10"/>
  <c r="H461" i="10"/>
  <c r="H419" i="10"/>
  <c r="H384" i="10"/>
  <c r="H342" i="10"/>
  <c r="H298" i="10"/>
  <c r="H258" i="10"/>
  <c r="H220" i="10"/>
  <c r="H184" i="10"/>
  <c r="H139" i="10"/>
  <c r="H105" i="10"/>
  <c r="H54" i="10"/>
  <c r="H541" i="10"/>
  <c r="H517" i="10"/>
  <c r="H485" i="10"/>
  <c r="H459" i="10"/>
  <c r="H416" i="10"/>
  <c r="H373" i="10"/>
  <c r="H337" i="10"/>
  <c r="H297" i="10"/>
  <c r="H257" i="10"/>
  <c r="H219" i="10"/>
  <c r="H180" i="10"/>
  <c r="H138" i="10"/>
  <c r="H102" i="10"/>
  <c r="H52" i="10"/>
  <c r="H540" i="10"/>
  <c r="H514" i="10"/>
  <c r="H484" i="10"/>
  <c r="H454" i="10"/>
  <c r="H415" i="10"/>
  <c r="H372" i="10"/>
  <c r="H336" i="10"/>
  <c r="H296" i="10"/>
  <c r="H251" i="10"/>
  <c r="H211" i="10"/>
  <c r="H179" i="10"/>
  <c r="H137" i="10"/>
  <c r="H92" i="10"/>
  <c r="H47" i="10"/>
  <c r="H538" i="10"/>
  <c r="H508" i="10"/>
  <c r="H481" i="10"/>
  <c r="H445" i="10"/>
  <c r="H407" i="10"/>
  <c r="H368" i="10"/>
  <c r="H324" i="10"/>
  <c r="H291" i="10"/>
  <c r="H249" i="10"/>
  <c r="H204" i="10"/>
  <c r="H172" i="10"/>
  <c r="H132" i="10"/>
  <c r="H89" i="10"/>
  <c r="H31" i="10"/>
  <c r="I84" i="9"/>
  <c r="I49" i="9"/>
  <c r="I14" i="9"/>
  <c r="I331" i="9"/>
  <c r="I307" i="9"/>
  <c r="I278" i="9"/>
  <c r="I250" i="9"/>
  <c r="I218" i="9"/>
  <c r="I187" i="9"/>
  <c r="I152" i="9"/>
  <c r="I116" i="9"/>
  <c r="I83" i="9"/>
  <c r="I48" i="9"/>
  <c r="I12" i="9"/>
  <c r="I328" i="9"/>
  <c r="I299" i="9"/>
  <c r="I275" i="9"/>
  <c r="I247" i="9"/>
  <c r="I216" i="9"/>
  <c r="I184" i="9"/>
  <c r="I149" i="9"/>
  <c r="I114" i="9"/>
  <c r="I79" i="9"/>
  <c r="I44" i="9"/>
  <c r="I9" i="9"/>
  <c r="I326" i="9"/>
  <c r="I298" i="9"/>
  <c r="I268" i="9"/>
  <c r="I244" i="9"/>
  <c r="I212" i="9"/>
  <c r="I180" i="9"/>
  <c r="I145" i="9"/>
  <c r="I110" i="9"/>
  <c r="I75" i="9"/>
  <c r="I10" i="9"/>
  <c r="I22" i="9"/>
  <c r="I34" i="9"/>
  <c r="I46" i="9"/>
  <c r="I58" i="9"/>
  <c r="I70" i="9"/>
  <c r="I82" i="9"/>
  <c r="I94" i="9"/>
  <c r="I106" i="9"/>
  <c r="I118" i="9"/>
  <c r="I130" i="9"/>
  <c r="I142" i="9"/>
  <c r="I154" i="9"/>
  <c r="I166" i="9"/>
  <c r="I178" i="9"/>
  <c r="I13" i="9"/>
  <c r="I26" i="9"/>
  <c r="I39" i="9"/>
  <c r="I52" i="9"/>
  <c r="I65" i="9"/>
  <c r="I78" i="9"/>
  <c r="I91" i="9"/>
  <c r="I104" i="9"/>
  <c r="I117" i="9"/>
  <c r="I131" i="9"/>
  <c r="I144" i="9"/>
  <c r="I157" i="9"/>
  <c r="I170" i="9"/>
  <c r="I183" i="9"/>
  <c r="I195" i="9"/>
  <c r="I207" i="9"/>
  <c r="I219" i="9"/>
  <c r="I231" i="9"/>
  <c r="I243" i="9"/>
  <c r="I255" i="9"/>
  <c r="I267" i="9"/>
  <c r="I279" i="9"/>
  <c r="I291" i="9"/>
  <c r="I303" i="9"/>
  <c r="I315" i="9"/>
  <c r="I327" i="9"/>
  <c r="I15" i="9"/>
  <c r="I28" i="9"/>
  <c r="I41" i="9"/>
  <c r="I54" i="9"/>
  <c r="I67" i="9"/>
  <c r="I80" i="9"/>
  <c r="I93" i="9"/>
  <c r="I107" i="9"/>
  <c r="I120" i="9"/>
  <c r="I133" i="9"/>
  <c r="I146" i="9"/>
  <c r="I159" i="9"/>
  <c r="I172" i="9"/>
  <c r="I185" i="9"/>
  <c r="I197" i="9"/>
  <c r="I209" i="9"/>
  <c r="I221" i="9"/>
  <c r="I233" i="9"/>
  <c r="I245" i="9"/>
  <c r="I257" i="9"/>
  <c r="I269" i="9"/>
  <c r="I281" i="9"/>
  <c r="I293" i="9"/>
  <c r="I305" i="9"/>
  <c r="I317" i="9"/>
  <c r="I329" i="9"/>
  <c r="I19" i="9"/>
  <c r="I32" i="9"/>
  <c r="I45" i="9"/>
  <c r="I59" i="9"/>
  <c r="I72" i="9"/>
  <c r="I85" i="9"/>
  <c r="I98" i="9"/>
  <c r="I111" i="9"/>
  <c r="I124" i="9"/>
  <c r="I137" i="9"/>
  <c r="I150" i="9"/>
  <c r="I163" i="9"/>
  <c r="I176" i="9"/>
  <c r="I189" i="9"/>
  <c r="I201" i="9"/>
  <c r="I213" i="9"/>
  <c r="I225" i="9"/>
  <c r="I237" i="9"/>
  <c r="I249" i="9"/>
  <c r="I261" i="9"/>
  <c r="I273" i="9"/>
  <c r="I285" i="9"/>
  <c r="I297" i="9"/>
  <c r="I309" i="9"/>
  <c r="I321" i="9"/>
  <c r="I333" i="9"/>
  <c r="I16" i="9"/>
  <c r="I33" i="9"/>
  <c r="I50" i="9"/>
  <c r="I68" i="9"/>
  <c r="I86" i="9"/>
  <c r="I102" i="9"/>
  <c r="I121" i="9"/>
  <c r="I138" i="9"/>
  <c r="I155" i="9"/>
  <c r="I173" i="9"/>
  <c r="I190" i="9"/>
  <c r="I205" i="9"/>
  <c r="I222" i="9"/>
  <c r="I238" i="9"/>
  <c r="I253" i="9"/>
  <c r="I270" i="9"/>
  <c r="I286" i="9"/>
  <c r="I301" i="9"/>
  <c r="I318" i="9"/>
  <c r="I334" i="9"/>
  <c r="I35" i="9"/>
  <c r="I51" i="9"/>
  <c r="I69" i="9"/>
  <c r="I87" i="9"/>
  <c r="I103" i="9"/>
  <c r="I139" i="9"/>
  <c r="I156" i="9"/>
  <c r="I174" i="9"/>
  <c r="I206" i="9"/>
  <c r="I223" i="9"/>
  <c r="I239" i="9"/>
  <c r="I271" i="9"/>
  <c r="I287" i="9"/>
  <c r="I319" i="9"/>
  <c r="I17" i="9"/>
  <c r="I122" i="9"/>
  <c r="I191" i="9"/>
  <c r="I254" i="9"/>
  <c r="I302" i="9"/>
  <c r="I335" i="9"/>
  <c r="I18" i="9"/>
  <c r="I36" i="9"/>
  <c r="I53" i="9"/>
  <c r="I71" i="9"/>
  <c r="I88" i="9"/>
  <c r="I105" i="9"/>
  <c r="I123" i="9"/>
  <c r="I140" i="9"/>
  <c r="I158" i="9"/>
  <c r="I175" i="9"/>
  <c r="I192" i="9"/>
  <c r="I208" i="9"/>
  <c r="I224" i="9"/>
  <c r="I240" i="9"/>
  <c r="I256" i="9"/>
  <c r="I272" i="9"/>
  <c r="I288" i="9"/>
  <c r="I304" i="9"/>
  <c r="I320" i="9"/>
  <c r="I6" i="9"/>
  <c r="I20" i="9"/>
  <c r="I37" i="9"/>
  <c r="I55" i="9"/>
  <c r="I73" i="9"/>
  <c r="I89" i="9"/>
  <c r="I108" i="9"/>
  <c r="I125" i="9"/>
  <c r="I141" i="9"/>
  <c r="I160" i="9"/>
  <c r="I177" i="9"/>
  <c r="I193" i="9"/>
  <c r="I210" i="9"/>
  <c r="I226" i="9"/>
  <c r="I241" i="9"/>
  <c r="I258" i="9"/>
  <c r="I274" i="9"/>
  <c r="I289" i="9"/>
  <c r="I306" i="9"/>
  <c r="I322" i="9"/>
  <c r="I7" i="9"/>
  <c r="I24" i="9"/>
  <c r="I42" i="9"/>
  <c r="I60" i="9"/>
  <c r="I76" i="9"/>
  <c r="I95" i="9"/>
  <c r="I112" i="9"/>
  <c r="I128" i="9"/>
  <c r="I147" i="9"/>
  <c r="I164" i="9"/>
  <c r="I181" i="9"/>
  <c r="I198" i="9"/>
  <c r="I214" i="9"/>
  <c r="I229" i="9"/>
  <c r="I246" i="9"/>
  <c r="I262" i="9"/>
  <c r="I277" i="9"/>
  <c r="I294" i="9"/>
  <c r="I310" i="9"/>
  <c r="I325" i="9"/>
  <c r="I8" i="9"/>
  <c r="I25" i="9"/>
  <c r="I43" i="9"/>
  <c r="I61" i="9"/>
  <c r="I77" i="9"/>
  <c r="I96" i="9"/>
  <c r="I113" i="9"/>
  <c r="I129" i="9"/>
  <c r="I148" i="9"/>
  <c r="I165" i="9"/>
  <c r="I182" i="9"/>
  <c r="I199" i="9"/>
  <c r="I215" i="9"/>
  <c r="I230" i="9"/>
  <c r="I136" i="9"/>
  <c r="I101" i="9"/>
  <c r="I66" i="9"/>
  <c r="I31" i="9"/>
  <c r="I316" i="9"/>
  <c r="I292" i="9"/>
  <c r="I264" i="9"/>
  <c r="I235" i="9"/>
  <c r="I203" i="9"/>
  <c r="I169" i="9"/>
  <c r="I135" i="9"/>
  <c r="I100" i="9"/>
  <c r="I64" i="9"/>
  <c r="I30" i="9"/>
  <c r="H535" i="10"/>
  <c r="H515" i="10"/>
  <c r="H497" i="10"/>
  <c r="H478" i="10"/>
  <c r="H455" i="10"/>
  <c r="H435" i="10"/>
  <c r="H408" i="10"/>
  <c r="H388" i="10"/>
  <c r="H361" i="10"/>
  <c r="H341" i="10"/>
  <c r="H315" i="10"/>
  <c r="H295" i="10"/>
  <c r="H272" i="10"/>
  <c r="H248" i="10"/>
  <c r="H225" i="10"/>
  <c r="H201" i="10"/>
  <c r="H178" i="10"/>
  <c r="H153" i="10"/>
  <c r="H131" i="10"/>
  <c r="H106" i="10"/>
  <c r="H83" i="10"/>
  <c r="H51" i="10"/>
  <c r="H13" i="10"/>
  <c r="H25" i="10"/>
  <c r="H37" i="10"/>
  <c r="H49" i="10"/>
  <c r="H61" i="10"/>
  <c r="H73" i="10"/>
  <c r="H85" i="10"/>
  <c r="H14" i="10"/>
  <c r="H26" i="10"/>
  <c r="H38" i="10"/>
  <c r="H50" i="10"/>
  <c r="H62" i="10"/>
  <c r="H74" i="10"/>
  <c r="H86" i="10"/>
  <c r="H98" i="10"/>
  <c r="H110" i="10"/>
  <c r="H122" i="10"/>
  <c r="H134" i="10"/>
  <c r="H146" i="10"/>
  <c r="H158" i="10"/>
  <c r="H170" i="10"/>
  <c r="H182" i="10"/>
  <c r="H194" i="10"/>
  <c r="H206" i="10"/>
  <c r="H218" i="10"/>
  <c r="H230" i="10"/>
  <c r="H242" i="10"/>
  <c r="H254" i="10"/>
  <c r="H266" i="10"/>
  <c r="H278" i="10"/>
  <c r="H290" i="10"/>
  <c r="H302" i="10"/>
  <c r="H314" i="10"/>
  <c r="H326" i="10"/>
  <c r="H338" i="10"/>
  <c r="H350" i="10"/>
  <c r="H362" i="10"/>
  <c r="H374" i="10"/>
  <c r="H386" i="10"/>
  <c r="H398" i="10"/>
  <c r="H410" i="10"/>
  <c r="H422" i="10"/>
  <c r="H434" i="10"/>
  <c r="H446" i="10"/>
  <c r="H458" i="10"/>
  <c r="H470" i="10"/>
  <c r="H5" i="10"/>
  <c r="H17" i="10"/>
  <c r="H29" i="10"/>
  <c r="H41" i="10"/>
  <c r="H53" i="10"/>
  <c r="H65" i="10"/>
  <c r="H77" i="10"/>
  <c r="H9" i="10"/>
  <c r="H24" i="10"/>
  <c r="H42" i="10"/>
  <c r="H57" i="10"/>
  <c r="H72" i="10"/>
  <c r="H10" i="10"/>
  <c r="H27" i="10"/>
  <c r="H43" i="10"/>
  <c r="H58" i="10"/>
  <c r="H75" i="10"/>
  <c r="H90" i="10"/>
  <c r="H103" i="10"/>
  <c r="H116" i="10"/>
  <c r="H129" i="10"/>
  <c r="H142" i="10"/>
  <c r="H155" i="10"/>
  <c r="H168" i="10"/>
  <c r="H181" i="10"/>
  <c r="H195" i="10"/>
  <c r="H208" i="10"/>
  <c r="H221" i="10"/>
  <c r="H234" i="10"/>
  <c r="H247" i="10"/>
  <c r="H260" i="10"/>
  <c r="H273" i="10"/>
  <c r="H286" i="10"/>
  <c r="H299" i="10"/>
  <c r="H312" i="10"/>
  <c r="H325" i="10"/>
  <c r="H339" i="10"/>
  <c r="H352" i="10"/>
  <c r="H365" i="10"/>
  <c r="H378" i="10"/>
  <c r="H391" i="10"/>
  <c r="H404" i="10"/>
  <c r="H417" i="10"/>
  <c r="H430" i="10"/>
  <c r="H443" i="10"/>
  <c r="H456" i="10"/>
  <c r="H469" i="10"/>
  <c r="H482" i="10"/>
  <c r="H494" i="10"/>
  <c r="H506" i="10"/>
  <c r="H518" i="10"/>
  <c r="H530" i="10"/>
  <c r="H542" i="10"/>
  <c r="H18" i="10"/>
  <c r="H33" i="10"/>
  <c r="H48" i="10"/>
  <c r="H66" i="10"/>
  <c r="H81" i="10"/>
  <c r="H95" i="10"/>
  <c r="H108" i="10"/>
  <c r="H121" i="10"/>
  <c r="H135" i="10"/>
  <c r="H148" i="10"/>
  <c r="H161" i="10"/>
  <c r="H174" i="10"/>
  <c r="H187" i="10"/>
  <c r="H200" i="10"/>
  <c r="H213" i="10"/>
  <c r="H226" i="10"/>
  <c r="H239" i="10"/>
  <c r="H252" i="10"/>
  <c r="H265" i="10"/>
  <c r="H279" i="10"/>
  <c r="H292" i="10"/>
  <c r="H305" i="10"/>
  <c r="H318" i="10"/>
  <c r="H331" i="10"/>
  <c r="H344" i="10"/>
  <c r="H357" i="10"/>
  <c r="H370" i="10"/>
  <c r="H383" i="10"/>
  <c r="H396" i="10"/>
  <c r="H409" i="10"/>
  <c r="H423" i="10"/>
  <c r="H436" i="10"/>
  <c r="H449" i="10"/>
  <c r="H462" i="10"/>
  <c r="H475" i="10"/>
  <c r="H487" i="10"/>
  <c r="H499" i="10"/>
  <c r="H511" i="10"/>
  <c r="H523" i="10"/>
  <c r="H15" i="10"/>
  <c r="H35" i="10"/>
  <c r="H56" i="10"/>
  <c r="H79" i="10"/>
  <c r="H96" i="10"/>
  <c r="H112" i="10"/>
  <c r="H127" i="10"/>
  <c r="H143" i="10"/>
  <c r="H159" i="10"/>
  <c r="H175" i="10"/>
  <c r="H190" i="10"/>
  <c r="H205" i="10"/>
  <c r="H222" i="10"/>
  <c r="H237" i="10"/>
  <c r="H253" i="10"/>
  <c r="H269" i="10"/>
  <c r="H284" i="10"/>
  <c r="H300" i="10"/>
  <c r="H316" i="10"/>
  <c r="H332" i="10"/>
  <c r="H347" i="10"/>
  <c r="H363" i="10"/>
  <c r="H379" i="10"/>
  <c r="H394" i="10"/>
  <c r="H411" i="10"/>
  <c r="H426" i="10"/>
  <c r="H441" i="10"/>
  <c r="H457" i="10"/>
  <c r="H473" i="10"/>
  <c r="H488" i="10"/>
  <c r="H502" i="10"/>
  <c r="H516" i="10"/>
  <c r="H531" i="10"/>
  <c r="H544" i="10"/>
  <c r="H16" i="10"/>
  <c r="H36" i="10"/>
  <c r="H59" i="10"/>
  <c r="H80" i="10"/>
  <c r="H97" i="10"/>
  <c r="H113" i="10"/>
  <c r="H128" i="10"/>
  <c r="H144" i="10"/>
  <c r="H160" i="10"/>
  <c r="H176" i="10"/>
  <c r="H191" i="10"/>
  <c r="H207" i="10"/>
  <c r="H223" i="10"/>
  <c r="H238" i="10"/>
  <c r="H255" i="10"/>
  <c r="H270" i="10"/>
  <c r="H285" i="10"/>
  <c r="H317" i="10"/>
  <c r="H333" i="10"/>
  <c r="H348" i="10"/>
  <c r="H364" i="10"/>
  <c r="H380" i="10"/>
  <c r="H395" i="10"/>
  <c r="H412" i="10"/>
  <c r="H427" i="10"/>
  <c r="H442" i="10"/>
  <c r="H19" i="10"/>
  <c r="H39" i="10"/>
  <c r="H60" i="10"/>
  <c r="H82" i="10"/>
  <c r="H99" i="10"/>
  <c r="H114" i="10"/>
  <c r="H130" i="10"/>
  <c r="H145" i="10"/>
  <c r="H162" i="10"/>
  <c r="H177" i="10"/>
  <c r="H192" i="10"/>
  <c r="H209" i="10"/>
  <c r="H224" i="10"/>
  <c r="H240" i="10"/>
  <c r="H256" i="10"/>
  <c r="H271" i="10"/>
  <c r="H287" i="10"/>
  <c r="H303" i="10"/>
  <c r="H319" i="10"/>
  <c r="H334" i="10"/>
  <c r="H349" i="10"/>
  <c r="H366" i="10"/>
  <c r="H381" i="10"/>
  <c r="H397" i="10"/>
  <c r="H413" i="10"/>
  <c r="H428" i="10"/>
  <c r="H444" i="10"/>
  <c r="H460" i="10"/>
  <c r="H476" i="10"/>
  <c r="H490" i="10"/>
  <c r="H504" i="10"/>
  <c r="H519" i="10"/>
  <c r="H533" i="10"/>
  <c r="H4" i="10"/>
  <c r="H23" i="10"/>
  <c r="H46" i="10"/>
  <c r="H68" i="10"/>
  <c r="H88" i="10"/>
  <c r="H104" i="10"/>
  <c r="H119" i="10"/>
  <c r="H136" i="10"/>
  <c r="H151" i="10"/>
  <c r="H166" i="10"/>
  <c r="H183" i="10"/>
  <c r="H198" i="10"/>
  <c r="H214" i="10"/>
  <c r="H229" i="10"/>
  <c r="H245" i="10"/>
  <c r="H261" i="10"/>
  <c r="H276" i="10"/>
  <c r="H293" i="10"/>
  <c r="H308" i="10"/>
  <c r="H323" i="10"/>
  <c r="H340" i="10"/>
  <c r="H355" i="10"/>
  <c r="H371" i="10"/>
  <c r="H387" i="10"/>
  <c r="H402" i="10"/>
  <c r="H418" i="10"/>
  <c r="H433" i="10"/>
  <c r="H450" i="10"/>
  <c r="H465" i="10"/>
  <c r="H480" i="10"/>
  <c r="H495" i="10"/>
  <c r="H509" i="10"/>
  <c r="H524" i="10"/>
  <c r="H537" i="10"/>
  <c r="H529" i="10"/>
  <c r="H512" i="10"/>
  <c r="H492" i="10"/>
  <c r="H472" i="10"/>
  <c r="H452" i="10"/>
  <c r="H429" i="10"/>
  <c r="H405" i="10"/>
  <c r="H382" i="10"/>
  <c r="H358" i="10"/>
  <c r="H335" i="10"/>
  <c r="H310" i="10"/>
  <c r="H289" i="10"/>
  <c r="H264" i="10"/>
  <c r="H243" i="10"/>
  <c r="H217" i="10"/>
  <c r="H196" i="10"/>
  <c r="H171" i="10"/>
  <c r="H149" i="10"/>
  <c r="H124" i="10"/>
  <c r="H101" i="10"/>
  <c r="H71" i="10"/>
  <c r="H44" i="10"/>
  <c r="H8" i="10"/>
  <c r="H528" i="10"/>
  <c r="H510" i="10"/>
  <c r="H491" i="10"/>
  <c r="H471" i="10"/>
  <c r="H451" i="10"/>
  <c r="H425" i="10"/>
  <c r="H403" i="10"/>
  <c r="H377" i="10"/>
  <c r="H356" i="10"/>
  <c r="H330" i="10"/>
  <c r="H309" i="10"/>
  <c r="H288" i="10"/>
  <c r="H263" i="10"/>
  <c r="H241" i="10"/>
  <c r="H216" i="10"/>
  <c r="H193" i="10"/>
  <c r="H169" i="10"/>
  <c r="H147" i="10"/>
  <c r="H123" i="10"/>
  <c r="H100" i="10"/>
  <c r="H70" i="10"/>
  <c r="H40" i="10"/>
  <c r="H7" i="10"/>
  <c r="H448" i="10"/>
  <c r="H424" i="10"/>
  <c r="H401" i="10"/>
  <c r="H376" i="10"/>
  <c r="H354" i="10"/>
  <c r="H329" i="10"/>
  <c r="H307" i="10"/>
  <c r="H283" i="10"/>
  <c r="H262" i="10"/>
  <c r="H236" i="10"/>
  <c r="H215" i="10"/>
  <c r="H167" i="10"/>
  <c r="H141" i="10"/>
  <c r="H120" i="10"/>
  <c r="H94" i="10"/>
  <c r="H69" i="10"/>
  <c r="H34" i="10"/>
  <c r="H6" i="10"/>
  <c r="H543" i="10"/>
  <c r="H526" i="10"/>
  <c r="H507" i="10"/>
  <c r="H486" i="10"/>
  <c r="H467" i="10"/>
  <c r="H447" i="10"/>
  <c r="H421" i="10"/>
  <c r="H400" i="10"/>
  <c r="H375" i="10"/>
  <c r="H353" i="10"/>
  <c r="H328" i="10"/>
  <c r="H306" i="10"/>
  <c r="H282" i="10"/>
  <c r="H259" i="10"/>
  <c r="H235" i="10"/>
  <c r="H212" i="10"/>
  <c r="H188" i="10"/>
  <c r="H165" i="10"/>
  <c r="H140" i="10"/>
  <c r="H118" i="10"/>
  <c r="H93" i="10"/>
  <c r="H67" i="10"/>
  <c r="H32" i="10"/>
  <c r="D10" i="7"/>
  <c r="E10" i="7" s="1"/>
  <c r="D14" i="7"/>
  <c r="E14" i="7" s="1"/>
  <c r="D8" i="7"/>
  <c r="E8" i="7" s="1"/>
  <c r="D15" i="7"/>
  <c r="E15" i="7" s="1"/>
  <c r="D16" i="7"/>
  <c r="E16" i="7" s="1"/>
  <c r="D18" i="7"/>
  <c r="E18" i="7" s="1"/>
  <c r="D7" i="7"/>
  <c r="E7" i="7" s="1"/>
  <c r="D20" i="7"/>
  <c r="E20" i="7" s="1"/>
  <c r="D4" i="7"/>
  <c r="E4" i="7" s="1"/>
  <c r="D5" i="7"/>
  <c r="E5" i="7" s="1"/>
  <c r="D22" i="7"/>
  <c r="E22" i="7" s="1"/>
  <c r="D6" i="7"/>
  <c r="E6" i="7" s="1"/>
  <c r="D26" i="7"/>
  <c r="E26" i="7" s="1"/>
  <c r="D9" i="7"/>
  <c r="E9" i="7" s="1"/>
  <c r="D21" i="7"/>
  <c r="E21" i="7" s="1"/>
  <c r="D11" i="7"/>
  <c r="E11" i="7" s="1"/>
  <c r="D23" i="7"/>
  <c r="E23" i="7" s="1"/>
  <c r="D12" i="7"/>
  <c r="E12" i="7" s="1"/>
  <c r="D24" i="7"/>
  <c r="E24" i="7" s="1"/>
  <c r="D13" i="7"/>
  <c r="E13" i="7" s="1"/>
  <c r="I2" i="8"/>
  <c r="D11" i="5"/>
  <c r="R61" i="1"/>
  <c r="J63" i="1"/>
  <c r="K63" i="1" s="1"/>
  <c r="J58" i="1"/>
  <c r="I58" i="1" s="1"/>
  <c r="D63" i="1"/>
  <c r="D65" i="1" s="1"/>
  <c r="E63" i="1"/>
  <c r="E65" i="1" s="1"/>
  <c r="Q24" i="5" l="1"/>
  <c r="Q18" i="5"/>
  <c r="Q12" i="5"/>
  <c r="P27" i="5"/>
  <c r="Q27" i="5"/>
  <c r="Q16" i="5"/>
  <c r="P16" i="5"/>
  <c r="Q13" i="5"/>
  <c r="Q10" i="5"/>
  <c r="P10" i="5"/>
  <c r="Q8" i="5"/>
  <c r="P8" i="5"/>
  <c r="P20" i="5"/>
  <c r="Q20" i="5"/>
  <c r="Q19" i="5"/>
  <c r="Q21" i="5"/>
  <c r="P21" i="5"/>
  <c r="Q7" i="5"/>
  <c r="Q22" i="5"/>
  <c r="P22" i="5"/>
  <c r="P9" i="5"/>
  <c r="Q9" i="5"/>
  <c r="Q26" i="5"/>
  <c r="P26" i="5"/>
  <c r="Q11" i="5"/>
  <c r="P11" i="5"/>
  <c r="Q15" i="5"/>
  <c r="P15" i="5"/>
  <c r="Q17" i="5"/>
  <c r="P17" i="5"/>
  <c r="Q14" i="5"/>
  <c r="P14" i="5"/>
  <c r="Q23" i="5"/>
  <c r="P23" i="5"/>
  <c r="Q25" i="5"/>
  <c r="O29" i="5"/>
  <c r="J30" i="5"/>
  <c r="P28" i="5"/>
  <c r="Q28" i="5"/>
  <c r="J246" i="10"/>
  <c r="J126" i="10"/>
  <c r="J202" i="10"/>
  <c r="J320" i="10"/>
  <c r="J322" i="10"/>
  <c r="J163" i="10"/>
  <c r="J414" i="10"/>
  <c r="J539" i="10"/>
  <c r="J466" i="10"/>
  <c r="J64" i="10"/>
  <c r="J468" i="10"/>
  <c r="J359" i="10"/>
  <c r="J154" i="10"/>
  <c r="J233" i="10"/>
  <c r="J250" i="10"/>
  <c r="J367" i="10"/>
  <c r="J503" i="10"/>
  <c r="J311" i="10"/>
  <c r="J280" i="10"/>
  <c r="J157" i="10"/>
  <c r="J173" i="10"/>
  <c r="J439" i="10"/>
  <c r="J536" i="10"/>
  <c r="J501" i="10"/>
  <c r="J483" i="10"/>
  <c r="J164" i="10"/>
  <c r="J440" i="10"/>
  <c r="J294" i="10"/>
  <c r="J84" i="10"/>
  <c r="J210" i="10"/>
  <c r="J30" i="10"/>
  <c r="J231" i="10"/>
  <c r="J474" i="10"/>
  <c r="J78" i="10"/>
  <c r="J505" i="10"/>
  <c r="J28" i="10"/>
  <c r="J532" i="10"/>
  <c r="J76" i="10"/>
  <c r="J477" i="10"/>
  <c r="J87" i="10"/>
  <c r="J22" i="10"/>
  <c r="J281" i="10"/>
  <c r="J525" i="10"/>
  <c r="J406" i="10"/>
  <c r="J45" i="10"/>
  <c r="J133" i="10"/>
  <c r="J369" i="10"/>
  <c r="J453" i="10"/>
  <c r="J203" i="10"/>
  <c r="J91" i="10"/>
  <c r="J438" i="10"/>
  <c r="J156" i="10"/>
  <c r="J390" i="10"/>
  <c r="J393" i="10"/>
  <c r="J327" i="10"/>
  <c r="J232" i="10"/>
  <c r="J199" i="10"/>
  <c r="J527" i="10"/>
  <c r="J479" i="10"/>
  <c r="J117" i="10"/>
  <c r="J534" i="10"/>
  <c r="J244" i="10"/>
  <c r="J360" i="10"/>
  <c r="J313" i="10"/>
  <c r="J513" i="10"/>
  <c r="J321" i="10"/>
  <c r="J392" i="10"/>
  <c r="J277" i="10"/>
  <c r="J399" i="10"/>
  <c r="J125" i="10"/>
  <c r="J432" i="10"/>
  <c r="J498" i="10"/>
  <c r="J197" i="10"/>
  <c r="J189" i="10"/>
  <c r="J21" i="10"/>
  <c r="J115" i="10"/>
  <c r="J275" i="10"/>
  <c r="J274" i="10"/>
  <c r="J346" i="10"/>
  <c r="J351" i="10"/>
  <c r="J12" i="10"/>
  <c r="J437" i="10"/>
  <c r="J111" i="10"/>
  <c r="J500" i="10"/>
  <c r="J291" i="10"/>
  <c r="J211" i="10"/>
  <c r="J138" i="10"/>
  <c r="J54" i="10"/>
  <c r="J520" i="10"/>
  <c r="J463" i="10"/>
  <c r="J389" i="10"/>
  <c r="J324" i="10"/>
  <c r="J251" i="10"/>
  <c r="J180" i="10"/>
  <c r="J105" i="10"/>
  <c r="J545" i="10"/>
  <c r="J493" i="10"/>
  <c r="J431" i="10"/>
  <c r="J368" i="10"/>
  <c r="J296" i="10"/>
  <c r="J219" i="10"/>
  <c r="J139" i="10"/>
  <c r="J55" i="10"/>
  <c r="J521" i="10"/>
  <c r="J464" i="10"/>
  <c r="J407" i="10"/>
  <c r="J336" i="10"/>
  <c r="J257" i="10"/>
  <c r="J184" i="10"/>
  <c r="J107" i="10"/>
  <c r="J11" i="10"/>
  <c r="J496" i="10"/>
  <c r="J372" i="10"/>
  <c r="J297" i="10"/>
  <c r="J220" i="10"/>
  <c r="J150" i="10"/>
  <c r="J63" i="10"/>
  <c r="J522" i="10"/>
  <c r="J481" i="10"/>
  <c r="J415" i="10"/>
  <c r="J337" i="10"/>
  <c r="J258" i="10"/>
  <c r="J185" i="10"/>
  <c r="J109" i="10"/>
  <c r="J445" i="10"/>
  <c r="J31" i="10"/>
  <c r="J508" i="10"/>
  <c r="J454" i="10"/>
  <c r="J373" i="10"/>
  <c r="J298" i="10"/>
  <c r="J227" i="10"/>
  <c r="J152" i="10"/>
  <c r="J89" i="10"/>
  <c r="J538" i="10"/>
  <c r="J484" i="10"/>
  <c r="J416" i="10"/>
  <c r="J342" i="10"/>
  <c r="J267" i="10"/>
  <c r="J186" i="10"/>
  <c r="J132" i="10"/>
  <c r="J47" i="10"/>
  <c r="J514" i="10"/>
  <c r="J459" i="10"/>
  <c r="J384" i="10"/>
  <c r="J301" i="10"/>
  <c r="J228" i="10"/>
  <c r="J172" i="10"/>
  <c r="J92" i="10"/>
  <c r="J540" i="10"/>
  <c r="J485" i="10"/>
  <c r="J419" i="10"/>
  <c r="J343" i="10"/>
  <c r="J268" i="10"/>
  <c r="J204" i="10"/>
  <c r="J137" i="10"/>
  <c r="J52" i="10"/>
  <c r="J517" i="10"/>
  <c r="J461" i="10"/>
  <c r="J385" i="10"/>
  <c r="J304" i="10"/>
  <c r="J249" i="10"/>
  <c r="J179" i="10"/>
  <c r="J102" i="10"/>
  <c r="J541" i="10"/>
  <c r="J489" i="10"/>
  <c r="J420" i="10"/>
  <c r="J345" i="10"/>
  <c r="J140" i="10"/>
  <c r="J421" i="10"/>
  <c r="J141" i="10"/>
  <c r="J448" i="10"/>
  <c r="J8" i="10"/>
  <c r="J310" i="10"/>
  <c r="J524" i="10"/>
  <c r="J340" i="10"/>
  <c r="J490" i="10"/>
  <c r="J303" i="10"/>
  <c r="J114" i="10"/>
  <c r="J348" i="10"/>
  <c r="J488" i="10"/>
  <c r="J300" i="10"/>
  <c r="J449" i="10"/>
  <c r="J292" i="10"/>
  <c r="J506" i="10"/>
  <c r="J352" i="10"/>
  <c r="J350" i="10"/>
  <c r="J341" i="10"/>
  <c r="J136" i="10"/>
  <c r="J194" i="10"/>
  <c r="J113" i="10"/>
  <c r="J182" i="10"/>
  <c r="J212" i="10"/>
  <c r="J486" i="10"/>
  <c r="J236" i="10"/>
  <c r="J70" i="10"/>
  <c r="J356" i="10"/>
  <c r="J101" i="10"/>
  <c r="J382" i="10"/>
  <c r="J293" i="10"/>
  <c r="J104" i="10"/>
  <c r="J444" i="10"/>
  <c r="J256" i="10"/>
  <c r="J60" i="10"/>
  <c r="J97" i="10"/>
  <c r="J441" i="10"/>
  <c r="J253" i="10"/>
  <c r="J56" i="10"/>
  <c r="J409" i="10"/>
  <c r="J252" i="10"/>
  <c r="J95" i="10"/>
  <c r="J312" i="10"/>
  <c r="J155" i="10"/>
  <c r="J57" i="10"/>
  <c r="J458" i="10"/>
  <c r="J314" i="10"/>
  <c r="J170" i="10"/>
  <c r="J26" i="10"/>
  <c r="J131" i="10"/>
  <c r="J408" i="10"/>
  <c r="J235" i="10"/>
  <c r="J507" i="10"/>
  <c r="J100" i="10"/>
  <c r="J377" i="10"/>
  <c r="J405" i="10"/>
  <c r="J276" i="10"/>
  <c r="J88" i="10"/>
  <c r="J240" i="10"/>
  <c r="J39" i="10"/>
  <c r="J426" i="10"/>
  <c r="J121" i="10"/>
  <c r="J285" i="10"/>
  <c r="J27" i="10"/>
  <c r="J288" i="10"/>
  <c r="J151" i="10"/>
  <c r="J144" i="10"/>
  <c r="J112" i="10"/>
  <c r="J135" i="10"/>
  <c r="J195" i="10"/>
  <c r="J17" i="10"/>
  <c r="J206" i="10"/>
  <c r="J62" i="10"/>
  <c r="J51" i="10"/>
  <c r="J165" i="10"/>
  <c r="J447" i="10"/>
  <c r="J167" i="10"/>
  <c r="J7" i="10"/>
  <c r="J309" i="10"/>
  <c r="J44" i="10"/>
  <c r="J335" i="10"/>
  <c r="J509" i="10"/>
  <c r="J323" i="10"/>
  <c r="J476" i="10"/>
  <c r="J287" i="10"/>
  <c r="J99" i="10"/>
  <c r="J333" i="10"/>
  <c r="J128" i="10"/>
  <c r="J473" i="10"/>
  <c r="J284" i="10"/>
  <c r="J96" i="10"/>
  <c r="J436" i="10"/>
  <c r="J279" i="10"/>
  <c r="J494" i="10"/>
  <c r="J339" i="10"/>
  <c r="J181" i="10"/>
  <c r="J10" i="10"/>
  <c r="J5" i="10"/>
  <c r="J338" i="10"/>
  <c r="J50" i="10"/>
  <c r="J83" i="10"/>
  <c r="J361" i="10"/>
  <c r="J188" i="10"/>
  <c r="J467" i="10"/>
  <c r="J215" i="10"/>
  <c r="J40" i="10"/>
  <c r="J330" i="10"/>
  <c r="J71" i="10"/>
  <c r="J358" i="10"/>
  <c r="J495" i="10"/>
  <c r="J308" i="10"/>
  <c r="J119" i="10"/>
  <c r="J460" i="10"/>
  <c r="J271" i="10"/>
  <c r="J82" i="10"/>
  <c r="J317" i="10"/>
  <c r="J457" i="10"/>
  <c r="J269" i="10"/>
  <c r="J79" i="10"/>
  <c r="J423" i="10"/>
  <c r="J265" i="10"/>
  <c r="J108" i="10"/>
  <c r="J482" i="10"/>
  <c r="J325" i="10"/>
  <c r="J168" i="10"/>
  <c r="J72" i="10"/>
  <c r="J470" i="10"/>
  <c r="J326" i="10"/>
  <c r="J38" i="10"/>
  <c r="J106" i="10"/>
  <c r="J388" i="10"/>
  <c r="J480" i="10"/>
  <c r="J469" i="10"/>
  <c r="J262" i="10"/>
  <c r="J124" i="10"/>
  <c r="J465" i="10"/>
  <c r="J428" i="10"/>
  <c r="J270" i="10"/>
  <c r="J237" i="10"/>
  <c r="J239" i="10"/>
  <c r="J456" i="10"/>
  <c r="J142" i="10"/>
  <c r="J302" i="10"/>
  <c r="J14" i="10"/>
  <c r="J435" i="10"/>
  <c r="J259" i="10"/>
  <c r="J526" i="10"/>
  <c r="J283" i="10"/>
  <c r="J123" i="10"/>
  <c r="J403" i="10"/>
  <c r="J149" i="10"/>
  <c r="J429" i="10"/>
  <c r="J450" i="10"/>
  <c r="J261" i="10"/>
  <c r="J68" i="10"/>
  <c r="J413" i="10"/>
  <c r="J224" i="10"/>
  <c r="J19" i="10"/>
  <c r="J255" i="10"/>
  <c r="J59" i="10"/>
  <c r="J411" i="10"/>
  <c r="J222" i="10"/>
  <c r="J15" i="10"/>
  <c r="J383" i="10"/>
  <c r="J226" i="10"/>
  <c r="J66" i="10"/>
  <c r="J443" i="10"/>
  <c r="J286" i="10"/>
  <c r="J129" i="10"/>
  <c r="J24" i="10"/>
  <c r="J434" i="10"/>
  <c r="J290" i="10"/>
  <c r="J146" i="10"/>
  <c r="J85" i="10"/>
  <c r="J178" i="10"/>
  <c r="J455" i="10"/>
  <c r="J80" i="10"/>
  <c r="J35" i="10"/>
  <c r="J396" i="10"/>
  <c r="J81" i="10"/>
  <c r="J299" i="10"/>
  <c r="J42" i="10"/>
  <c r="J158" i="10"/>
  <c r="J153" i="10"/>
  <c r="J282" i="10"/>
  <c r="J543" i="10"/>
  <c r="J307" i="10"/>
  <c r="J147" i="10"/>
  <c r="J425" i="10"/>
  <c r="J171" i="10"/>
  <c r="J452" i="10"/>
  <c r="J433" i="10"/>
  <c r="J245" i="10"/>
  <c r="J46" i="10"/>
  <c r="J397" i="10"/>
  <c r="J209" i="10"/>
  <c r="J442" i="10"/>
  <c r="J238" i="10"/>
  <c r="J36" i="10"/>
  <c r="J394" i="10"/>
  <c r="J205" i="10"/>
  <c r="J523" i="10"/>
  <c r="J370" i="10"/>
  <c r="J213" i="10"/>
  <c r="J48" i="10"/>
  <c r="J430" i="10"/>
  <c r="J273" i="10"/>
  <c r="J116" i="10"/>
  <c r="J9" i="10"/>
  <c r="J422" i="10"/>
  <c r="J278" i="10"/>
  <c r="J134" i="10"/>
  <c r="J73" i="10"/>
  <c r="J201" i="10"/>
  <c r="J478" i="10"/>
  <c r="J306" i="10"/>
  <c r="J6" i="10"/>
  <c r="J329" i="10"/>
  <c r="J169" i="10"/>
  <c r="J451" i="10"/>
  <c r="J196" i="10"/>
  <c r="J472" i="10"/>
  <c r="J418" i="10"/>
  <c r="J229" i="10"/>
  <c r="J23" i="10"/>
  <c r="J381" i="10"/>
  <c r="J192" i="10"/>
  <c r="J427" i="10"/>
  <c r="J223" i="10"/>
  <c r="J16" i="10"/>
  <c r="J379" i="10"/>
  <c r="J190" i="10"/>
  <c r="J511" i="10"/>
  <c r="J357" i="10"/>
  <c r="J200" i="10"/>
  <c r="J33" i="10"/>
  <c r="J417" i="10"/>
  <c r="J260" i="10"/>
  <c r="J103" i="10"/>
  <c r="J77" i="10"/>
  <c r="J410" i="10"/>
  <c r="J266" i="10"/>
  <c r="J122" i="10"/>
  <c r="J61" i="10"/>
  <c r="J225" i="10"/>
  <c r="J497" i="10"/>
  <c r="J69" i="10"/>
  <c r="J387" i="10"/>
  <c r="J395" i="10"/>
  <c r="J159" i="10"/>
  <c r="J174" i="10"/>
  <c r="J391" i="10"/>
  <c r="J234" i="10"/>
  <c r="J53" i="10"/>
  <c r="J386" i="10"/>
  <c r="J242" i="10"/>
  <c r="J98" i="10"/>
  <c r="J272" i="10"/>
  <c r="J535" i="10"/>
  <c r="J446" i="10"/>
  <c r="J67" i="10"/>
  <c r="J353" i="10"/>
  <c r="J376" i="10"/>
  <c r="J216" i="10"/>
  <c r="J491" i="10"/>
  <c r="J243" i="10"/>
  <c r="J512" i="10"/>
  <c r="J198" i="10"/>
  <c r="J533" i="10"/>
  <c r="J349" i="10"/>
  <c r="J162" i="10"/>
  <c r="J191" i="10"/>
  <c r="J531" i="10"/>
  <c r="J347" i="10"/>
  <c r="J487" i="10"/>
  <c r="J331" i="10"/>
  <c r="J542" i="10"/>
  <c r="J75" i="10"/>
  <c r="J37" i="10"/>
  <c r="J93" i="10"/>
  <c r="J375" i="10"/>
  <c r="J94" i="10"/>
  <c r="J401" i="10"/>
  <c r="J241" i="10"/>
  <c r="J510" i="10"/>
  <c r="J264" i="10"/>
  <c r="J529" i="10"/>
  <c r="J371" i="10"/>
  <c r="J183" i="10"/>
  <c r="J519" i="10"/>
  <c r="J334" i="10"/>
  <c r="J145" i="10"/>
  <c r="J380" i="10"/>
  <c r="J176" i="10"/>
  <c r="J516" i="10"/>
  <c r="J332" i="10"/>
  <c r="J143" i="10"/>
  <c r="J475" i="10"/>
  <c r="J318" i="10"/>
  <c r="J161" i="10"/>
  <c r="J530" i="10"/>
  <c r="J378" i="10"/>
  <c r="J221" i="10"/>
  <c r="J58" i="10"/>
  <c r="J41" i="10"/>
  <c r="J374" i="10"/>
  <c r="J230" i="10"/>
  <c r="J86" i="10"/>
  <c r="J25" i="10"/>
  <c r="J295" i="10"/>
  <c r="J32" i="10"/>
  <c r="J328" i="10"/>
  <c r="J34" i="10"/>
  <c r="J354" i="10"/>
  <c r="J193" i="10"/>
  <c r="J471" i="10"/>
  <c r="J217" i="10"/>
  <c r="J492" i="10"/>
  <c r="J402" i="10"/>
  <c r="J214" i="10"/>
  <c r="J4" i="10"/>
  <c r="J366" i="10"/>
  <c r="J177" i="10"/>
  <c r="J412" i="10"/>
  <c r="J207" i="10"/>
  <c r="J544" i="10"/>
  <c r="J363" i="10"/>
  <c r="J175" i="10"/>
  <c r="J499" i="10"/>
  <c r="J344" i="10"/>
  <c r="J187" i="10"/>
  <c r="J18" i="10"/>
  <c r="J404" i="10"/>
  <c r="J247" i="10"/>
  <c r="J90" i="10"/>
  <c r="J65" i="10"/>
  <c r="J398" i="10"/>
  <c r="J254" i="10"/>
  <c r="J110" i="10"/>
  <c r="J49" i="10"/>
  <c r="J248" i="10"/>
  <c r="J515" i="10"/>
  <c r="J118" i="10"/>
  <c r="J400" i="10"/>
  <c r="J120" i="10"/>
  <c r="J424" i="10"/>
  <c r="J263" i="10"/>
  <c r="J528" i="10"/>
  <c r="J289" i="10"/>
  <c r="J537" i="10"/>
  <c r="J355" i="10"/>
  <c r="J166" i="10"/>
  <c r="J504" i="10"/>
  <c r="J319" i="10"/>
  <c r="J130" i="10"/>
  <c r="J364" i="10"/>
  <c r="J160" i="10"/>
  <c r="J502" i="10"/>
  <c r="J316" i="10"/>
  <c r="J127" i="10"/>
  <c r="J462" i="10"/>
  <c r="J305" i="10"/>
  <c r="J148" i="10"/>
  <c r="J518" i="10"/>
  <c r="J365" i="10"/>
  <c r="J208" i="10"/>
  <c r="J43" i="10"/>
  <c r="J29" i="10"/>
  <c r="J362" i="10"/>
  <c r="J218" i="10"/>
  <c r="J74" i="10"/>
  <c r="J13" i="10"/>
  <c r="J315" i="10"/>
  <c r="E27" i="7"/>
  <c r="E7" i="5" s="1"/>
  <c r="M46" i="1"/>
  <c r="O43" i="1"/>
  <c r="O42" i="1"/>
  <c r="O41" i="1"/>
  <c r="O40" i="1"/>
  <c r="O39" i="1"/>
  <c r="O38" i="1"/>
  <c r="O37" i="1"/>
  <c r="O36" i="1"/>
  <c r="O35" i="1"/>
  <c r="X23" i="1" s="1"/>
  <c r="L35" i="1"/>
  <c r="O34" i="1"/>
  <c r="X22" i="1" s="1"/>
  <c r="L34" i="1"/>
  <c r="O33" i="1"/>
  <c r="L33" i="1"/>
  <c r="O32" i="1"/>
  <c r="L32" i="1"/>
  <c r="O31" i="1"/>
  <c r="L31" i="1"/>
  <c r="O30" i="1"/>
  <c r="L30" i="1"/>
  <c r="O29" i="1"/>
  <c r="L29" i="1"/>
  <c r="O28" i="1"/>
  <c r="L28" i="1"/>
  <c r="O27" i="1"/>
  <c r="L27" i="1"/>
  <c r="O26" i="1"/>
  <c r="L26" i="1"/>
  <c r="O25" i="1"/>
  <c r="L25" i="1"/>
  <c r="O24" i="1"/>
  <c r="L24" i="1"/>
  <c r="O23" i="1"/>
  <c r="L23" i="1"/>
  <c r="O22" i="1"/>
  <c r="L22" i="1"/>
  <c r="O21" i="1"/>
  <c r="L21" i="1"/>
  <c r="O20" i="1"/>
  <c r="L20" i="1"/>
  <c r="O19" i="1"/>
  <c r="L19" i="1"/>
  <c r="O18" i="1"/>
  <c r="L18" i="1"/>
  <c r="O17" i="1"/>
  <c r="V24" i="1" s="1"/>
  <c r="L17" i="1"/>
  <c r="O16" i="1"/>
  <c r="V23" i="1" s="1"/>
  <c r="L16" i="1"/>
  <c r="O15" i="1"/>
  <c r="L15" i="1"/>
  <c r="O14" i="1"/>
  <c r="V26" i="1" s="1"/>
  <c r="L14" i="1"/>
  <c r="O13" i="1"/>
  <c r="L13" i="1"/>
  <c r="O12" i="1"/>
  <c r="V22" i="1" s="1"/>
  <c r="L12" i="1"/>
  <c r="O11" i="1"/>
  <c r="V27" i="1" s="1"/>
  <c r="L11" i="1"/>
  <c r="O10" i="1"/>
  <c r="L10" i="1"/>
  <c r="O9" i="1"/>
  <c r="L9" i="1"/>
  <c r="O8" i="1"/>
  <c r="L8" i="1"/>
  <c r="O7" i="1"/>
  <c r="L7" i="1"/>
  <c r="O6" i="1"/>
  <c r="L6" i="1"/>
  <c r="O5" i="1"/>
  <c r="L5" i="1"/>
  <c r="M3" i="1"/>
  <c r="O30" i="5" l="1"/>
  <c r="J31" i="5"/>
  <c r="Q29" i="5"/>
  <c r="P29" i="5"/>
  <c r="J2" i="10"/>
  <c r="S60" i="1"/>
  <c r="S54" i="1"/>
  <c r="S53" i="1"/>
  <c r="S55" i="1"/>
  <c r="V25" i="1"/>
  <c r="V28" i="1" s="1"/>
  <c r="X35" i="1" s="1"/>
  <c r="S59" i="1"/>
  <c r="X24" i="1"/>
  <c r="X36" i="1" s="1"/>
  <c r="W12" i="1"/>
  <c r="V12" i="1"/>
  <c r="W13" i="1"/>
  <c r="V13" i="1"/>
  <c r="L3" i="1"/>
  <c r="O46" i="1"/>
  <c r="O3" i="1"/>
  <c r="L46" i="1"/>
  <c r="O31" i="5" l="1"/>
  <c r="J32" i="5"/>
  <c r="P30" i="5"/>
  <c r="Q30" i="5"/>
  <c r="S61" i="1"/>
  <c r="X34" i="1"/>
  <c r="X13" i="1"/>
  <c r="V14" i="1"/>
  <c r="X12" i="1"/>
  <c r="W14" i="1"/>
  <c r="X31" i="1" s="1"/>
  <c r="J33" i="5" l="1"/>
  <c r="O32" i="5"/>
  <c r="P31" i="5"/>
  <c r="Q31" i="5"/>
  <c r="X38" i="1"/>
  <c r="V16" i="1"/>
  <c r="X14" i="1"/>
  <c r="P32" i="5" l="1"/>
  <c r="Q32" i="5"/>
  <c r="O33" i="5"/>
  <c r="J34" i="5"/>
  <c r="Y38" i="1"/>
  <c r="Y32" i="1"/>
  <c r="Y34" i="1"/>
  <c r="Y31" i="1"/>
  <c r="M59" i="1"/>
  <c r="K65" i="1"/>
  <c r="M58" i="1"/>
  <c r="M60" i="1" s="1"/>
  <c r="O34" i="5" l="1"/>
  <c r="J35" i="5"/>
  <c r="P33" i="5"/>
  <c r="Q33" i="5"/>
  <c r="O59" i="1"/>
  <c r="O58" i="1"/>
  <c r="O35" i="5" l="1"/>
  <c r="J36" i="5"/>
  <c r="P34" i="5"/>
  <c r="Q34" i="5"/>
  <c r="O60" i="1"/>
  <c r="O36" i="5" l="1"/>
  <c r="J37" i="5"/>
  <c r="P35" i="5"/>
  <c r="Q35" i="5"/>
  <c r="O37" i="5" l="1"/>
  <c r="J38" i="5"/>
  <c r="P36" i="5"/>
  <c r="Q36" i="5"/>
  <c r="J39" i="5" l="1"/>
  <c r="O38" i="5"/>
  <c r="P37" i="5"/>
  <c r="Q37" i="5"/>
  <c r="P38" i="5" l="1"/>
  <c r="Q38" i="5"/>
  <c r="O39" i="5"/>
  <c r="J40" i="5"/>
  <c r="J41" i="5" l="1"/>
  <c r="O40" i="5"/>
  <c r="P39" i="5"/>
  <c r="Q39" i="5"/>
  <c r="P40" i="5" l="1"/>
  <c r="Q40" i="5"/>
  <c r="O41" i="5"/>
  <c r="J42" i="5"/>
  <c r="J43" i="5" l="1"/>
  <c r="O42" i="5"/>
  <c r="P41" i="5"/>
  <c r="Q41" i="5"/>
  <c r="J44" i="5" l="1"/>
  <c r="O43" i="5"/>
  <c r="P42" i="5"/>
  <c r="Q42" i="5"/>
  <c r="P43" i="5" l="1"/>
  <c r="Q43" i="5"/>
  <c r="O44" i="5"/>
  <c r="J45" i="5"/>
  <c r="Q44" i="5" l="1"/>
  <c r="P44" i="5"/>
  <c r="O45" i="5"/>
  <c r="J46" i="5"/>
  <c r="J47" i="5" l="1"/>
  <c r="O46" i="5"/>
  <c r="P45" i="5"/>
  <c r="Q45" i="5"/>
  <c r="P46" i="5" l="1"/>
  <c r="Q46" i="5"/>
  <c r="O47" i="5"/>
  <c r="J48" i="5"/>
  <c r="O48" i="5" s="1"/>
  <c r="P47" i="5" l="1"/>
  <c r="Q47" i="5"/>
  <c r="P48" i="5"/>
  <c r="Q48" i="5"/>
  <c r="K291" i="10" l="1" a="1"/>
  <c r="H100" i="8" a="1"/>
  <c r="I345" i="10" a="1"/>
  <c r="H38" i="8" a="1"/>
  <c r="I278" i="10" a="1"/>
  <c r="K283" i="10" a="1"/>
  <c r="L141" i="9" a="1"/>
  <c r="H41" i="8" a="1"/>
  <c r="I396" i="10" a="1"/>
  <c r="K347" i="10" a="1"/>
  <c r="I319" i="10" a="1"/>
  <c r="K306" i="10" a="1"/>
  <c r="K274" i="10" a="1"/>
  <c r="I336" i="10" a="1"/>
  <c r="K62" i="10" a="1"/>
  <c r="J83" i="9" a="1"/>
  <c r="U171" i="6" a="1"/>
  <c r="K91" i="10" a="1"/>
  <c r="U202" i="6" a="1"/>
  <c r="I162" i="10" a="1"/>
  <c r="K393" i="10" a="1"/>
  <c r="K381" i="10" a="1"/>
  <c r="I402" i="10" a="1"/>
  <c r="U210" i="6" a="1"/>
  <c r="K157" i="10" a="1"/>
  <c r="I403" i="10" a="1"/>
  <c r="K406" i="10" a="1"/>
  <c r="U145" i="6" a="1"/>
  <c r="K77" i="10" a="1"/>
  <c r="I160" i="10" a="1"/>
  <c r="K483" i="10" a="1"/>
  <c r="L248" i="9" a="1"/>
  <c r="I68" i="10" a="1"/>
  <c r="K541" i="10" a="1"/>
  <c r="L283" i="9" a="1"/>
  <c r="L253" i="9" a="1"/>
  <c r="U70" i="6" a="1"/>
  <c r="K129" i="10" a="1"/>
  <c r="U80" i="6" a="1"/>
  <c r="U161" i="6" a="1"/>
  <c r="I255" i="10" a="1"/>
  <c r="K451" i="10" a="1"/>
  <c r="I133" i="10" a="1"/>
  <c r="K377" i="10" a="1"/>
  <c r="I197" i="10" a="1"/>
  <c r="I132" i="10" a="1"/>
  <c r="U284" i="6" a="1"/>
  <c r="J331" i="9" a="1"/>
  <c r="I232" i="10" a="1"/>
  <c r="K316" i="10" a="1"/>
  <c r="H11" i="8" a="1"/>
  <c r="J166" i="9" a="1"/>
  <c r="I296" i="10" a="1"/>
  <c r="H156" i="8" a="1"/>
  <c r="K54" i="10" a="1"/>
  <c r="L84" i="9" a="1"/>
  <c r="L144" i="9" a="1"/>
  <c r="K497" i="10" a="1"/>
  <c r="I143" i="10" a="1"/>
  <c r="I221" i="10" a="1"/>
  <c r="L136" i="9" a="1"/>
  <c r="J269" i="9" a="1"/>
  <c r="I275" i="10" a="1"/>
  <c r="J154" i="9" a="1"/>
  <c r="U28" i="6" a="1"/>
  <c r="L127" i="9" a="1"/>
  <c r="U97" i="6" a="1"/>
  <c r="H150" i="8" a="1"/>
  <c r="L226" i="9" a="1"/>
  <c r="J322" i="9" a="1"/>
  <c r="K147" i="10" a="1"/>
  <c r="U49" i="6" a="1"/>
  <c r="I464" i="10" a="1"/>
  <c r="I252" i="10" a="1"/>
  <c r="U266" i="6" a="1"/>
  <c r="U63" i="6" a="1"/>
  <c r="J197" i="9" a="1"/>
  <c r="L267" i="9" a="1"/>
  <c r="K348" i="10" a="1"/>
  <c r="K228" i="10" a="1"/>
  <c r="L10" i="9" a="1"/>
  <c r="I186" i="10" a="1"/>
  <c r="L315" i="9" a="1"/>
  <c r="K420" i="10" a="1"/>
  <c r="K349" i="10" a="1"/>
  <c r="U275" i="6" a="1"/>
  <c r="J194" i="9" a="1"/>
  <c r="K543" i="10" a="1"/>
  <c r="J271" i="9" a="1"/>
  <c r="K149" i="10" a="1"/>
  <c r="J109" i="9" a="1"/>
  <c r="J276" i="9" a="1"/>
  <c r="I219" i="10" a="1"/>
  <c r="L124" i="9" a="1"/>
  <c r="J150" i="9" a="1"/>
  <c r="K370" i="10" a="1"/>
  <c r="L172" i="9" a="1"/>
  <c r="U247" i="6" a="1"/>
  <c r="K332" i="10" a="1"/>
  <c r="I90" i="10" a="1"/>
  <c r="K192" i="10" a="1"/>
  <c r="K27" i="10" a="1"/>
  <c r="L72" i="9" a="1"/>
  <c r="J155" i="9" a="1"/>
  <c r="K114" i="10" a="1"/>
  <c r="H176" i="8" a="1"/>
  <c r="K193" i="10" a="1"/>
  <c r="K295" i="10" a="1"/>
  <c r="L232" i="9" a="1"/>
  <c r="K444" i="10" a="1"/>
  <c r="I430" i="10" a="1"/>
  <c r="I6" i="10" a="1"/>
  <c r="I541" i="10" a="1"/>
  <c r="H174" i="8" a="1"/>
  <c r="U234" i="6" a="1"/>
  <c r="H55" i="8" a="1"/>
  <c r="H29" i="8" a="1"/>
  <c r="L225" i="9" a="1"/>
  <c r="U123" i="6" a="1"/>
  <c r="L193" i="9" a="1"/>
  <c r="K154" i="10" a="1"/>
  <c r="I491" i="10" a="1"/>
  <c r="J95" i="9" a="1"/>
  <c r="L219" i="9" a="1"/>
  <c r="J42" i="9" a="1"/>
  <c r="J93" i="9" a="1"/>
  <c r="I207" i="10" a="1"/>
  <c r="L281" i="9" a="1"/>
  <c r="K304" i="10" a="1"/>
  <c r="K365" i="10" a="1"/>
  <c r="J68" i="9" a="1"/>
  <c r="I202" i="10" a="1"/>
  <c r="U47" i="6" a="1"/>
  <c r="K513" i="10" a="1"/>
  <c r="U29" i="6" a="1"/>
  <c r="U51" i="6" a="1"/>
  <c r="J33" i="9" a="1"/>
  <c r="I169" i="10" a="1"/>
  <c r="L36" i="9" a="1"/>
  <c r="I477" i="10" a="1"/>
  <c r="J309" i="9" a="1"/>
  <c r="L76" i="9" a="1"/>
  <c r="U305" i="6" a="1"/>
  <c r="U15" i="6" a="1"/>
  <c r="J47" i="9" a="1"/>
  <c r="K284" i="10" a="1"/>
  <c r="K245" i="10" a="1"/>
  <c r="L164" i="9" a="1"/>
  <c r="K164" i="10" a="1"/>
  <c r="K384" i="10" a="1"/>
  <c r="I37" i="10" a="1"/>
  <c r="L242" i="9" a="1"/>
  <c r="J242" i="9" a="1"/>
  <c r="I383" i="10" a="1"/>
  <c r="K395" i="10" a="1"/>
  <c r="U16" i="6" a="1"/>
  <c r="H136" i="8" a="1"/>
  <c r="K297" i="10" a="1"/>
  <c r="I120" i="10" a="1"/>
  <c r="J244" i="9" a="1"/>
  <c r="K253" i="10" a="1"/>
  <c r="I495" i="10" a="1"/>
  <c r="I385" i="10" a="1"/>
  <c r="U17" i="6" a="1"/>
  <c r="K320" i="10" a="1"/>
  <c r="I302" i="10" a="1"/>
  <c r="I187" i="10" a="1"/>
  <c r="L8" i="9" a="1"/>
  <c r="U122" i="6" a="1"/>
  <c r="L30" i="9" a="1"/>
  <c r="K112" i="10" a="1"/>
  <c r="I303" i="10" a="1"/>
  <c r="K277" i="10" a="1"/>
  <c r="K57" i="10" a="1"/>
  <c r="J57" i="9" a="1"/>
  <c r="H61" i="8" a="1"/>
  <c r="K123" i="10" a="1"/>
  <c r="K51" i="10" a="1"/>
  <c r="K346" i="10" a="1"/>
  <c r="U261" i="6" a="1"/>
  <c r="I192" i="10" a="1"/>
  <c r="I249" i="10" a="1"/>
  <c r="I406" i="10" a="1"/>
  <c r="H7" i="8" a="1"/>
  <c r="J102" i="9" a="1"/>
  <c r="L287" i="9" a="1"/>
  <c r="K422" i="10" a="1"/>
  <c r="I60" i="10" a="1"/>
  <c r="U280" i="6" a="1"/>
  <c r="U141" i="6" a="1"/>
  <c r="H113" i="8" a="1"/>
  <c r="H92" i="8" a="1"/>
  <c r="I231" i="10" a="1"/>
  <c r="K229" i="10" a="1"/>
  <c r="J100" i="9" a="1"/>
  <c r="I286" i="10" a="1"/>
  <c r="K45" i="10" a="1"/>
  <c r="L42" i="9" a="1"/>
  <c r="U200" i="6" a="1"/>
  <c r="K275" i="10" a="1"/>
  <c r="I82" i="10" a="1"/>
  <c r="I48" i="10" a="1"/>
  <c r="K32" i="10" a="1"/>
  <c r="U293" i="6" a="1"/>
  <c r="J265" i="9" a="1"/>
  <c r="J147" i="9" a="1"/>
  <c r="K522" i="10" a="1"/>
  <c r="K167" i="10" a="1"/>
  <c r="H17" i="8" a="1"/>
  <c r="J207" i="9" a="1"/>
  <c r="U195" i="6" a="1"/>
  <c r="K289" i="10" a="1"/>
  <c r="K436" i="10" a="1"/>
  <c r="U115" i="6" a="1"/>
  <c r="K161" i="10" a="1"/>
  <c r="I203" i="10" a="1"/>
  <c r="I431" i="10" a="1"/>
  <c r="K259" i="10" a="1"/>
  <c r="L324" i="9" a="1"/>
  <c r="H102" i="8" a="1"/>
  <c r="K537" i="10" a="1"/>
  <c r="J124" i="9" a="1"/>
  <c r="L29" i="9" a="1"/>
  <c r="L15" i="9" a="1"/>
  <c r="I49" i="10" a="1"/>
  <c r="K366" i="10" a="1"/>
  <c r="I214" i="10" a="1"/>
  <c r="J254" i="9" a="1"/>
  <c r="K383" i="10" a="1"/>
  <c r="K452" i="10" a="1"/>
  <c r="I305" i="10" a="1"/>
  <c r="J189" i="9" a="1"/>
  <c r="I455" i="10" a="1"/>
  <c r="J106" i="9" a="1"/>
  <c r="H18" i="8" a="1"/>
  <c r="K416" i="10" a="1"/>
  <c r="H153" i="8" a="1"/>
  <c r="L202" i="9" a="1"/>
  <c r="H133" i="8" a="1"/>
  <c r="K448" i="10" a="1"/>
  <c r="I150" i="10" a="1"/>
  <c r="I493" i="10" a="1"/>
  <c r="K151" i="10" a="1"/>
  <c r="I449" i="10" a="1"/>
  <c r="J232" i="9" a="1"/>
  <c r="J277" i="9" a="1"/>
  <c r="K169" i="10" a="1"/>
  <c r="I417" i="10" a="1"/>
  <c r="K100" i="10" a="1"/>
  <c r="H25" i="8" a="1"/>
  <c r="I453" i="10" a="1"/>
  <c r="I438" i="10" a="1"/>
  <c r="K218" i="10" a="1"/>
  <c r="K460" i="10" a="1"/>
  <c r="I476" i="10" a="1"/>
  <c r="U30" i="6" a="1"/>
  <c r="K419" i="10" a="1"/>
  <c r="I106" i="10" a="1"/>
  <c r="K491" i="10" a="1"/>
  <c r="K265" i="10" a="1"/>
  <c r="K310" i="10" a="1"/>
  <c r="K441" i="10" a="1"/>
  <c r="J317" i="9" a="1"/>
  <c r="L62" i="9" a="1"/>
  <c r="K457" i="10" a="1"/>
  <c r="I418" i="10" a="1"/>
  <c r="U215" i="6" a="1"/>
  <c r="K81" i="10" a="1"/>
  <c r="I413" i="10" a="1"/>
  <c r="J70" i="9" a="1"/>
  <c r="K199" i="10" a="1"/>
  <c r="K515" i="10" a="1"/>
  <c r="J180" i="9" a="1"/>
  <c r="I213" i="10" a="1"/>
  <c r="K35" i="10" a="1"/>
  <c r="J311" i="9" a="1"/>
  <c r="L326" i="9" a="1"/>
  <c r="U43" i="6" a="1"/>
  <c r="I260" i="10" a="1"/>
  <c r="U233" i="6" a="1"/>
  <c r="K500" i="10" a="1"/>
  <c r="U32" i="6" a="1"/>
  <c r="I486" i="10" a="1"/>
  <c r="I461" i="10" a="1"/>
  <c r="I510" i="10" a="1"/>
  <c r="I458" i="10" a="1"/>
  <c r="K369" i="10" a="1"/>
  <c r="K285" i="10" a="1"/>
  <c r="K505" i="10" a="1"/>
  <c r="J233" i="9" a="1"/>
  <c r="U298" i="6" a="1"/>
  <c r="I13" i="10" a="1"/>
  <c r="K496" i="10" a="1"/>
  <c r="K524" i="10" a="1"/>
  <c r="I502" i="10" a="1"/>
  <c r="J18" i="9" a="1"/>
  <c r="L208" i="9" a="1"/>
  <c r="I371" i="10" a="1"/>
  <c r="J90" i="9" a="1"/>
  <c r="K458" i="10" a="1"/>
  <c r="U203" i="6" a="1"/>
  <c r="H47" i="8" a="1"/>
  <c r="J76" i="9" a="1"/>
  <c r="K396" i="10" a="1"/>
  <c r="U109" i="6" a="1"/>
  <c r="I429" i="10" a="1"/>
  <c r="K148" i="10" a="1"/>
  <c r="K408" i="10" a="1"/>
  <c r="L257" i="9" a="1"/>
  <c r="L97" i="9" a="1"/>
  <c r="U238" i="6" a="1"/>
  <c r="U152" i="6" a="1"/>
  <c r="L269" i="9" a="1"/>
  <c r="K109" i="10" a="1"/>
  <c r="I175" i="10" a="1"/>
  <c r="H139" i="8" a="1"/>
  <c r="L252" i="9" a="1"/>
  <c r="U90" i="6" a="1"/>
  <c r="K26" i="10" a="1"/>
  <c r="H168" i="8" a="1"/>
  <c r="J138" i="9" a="1"/>
  <c r="U107" i="6" a="1"/>
  <c r="K98" i="10" a="1"/>
  <c r="H183" i="8" a="1"/>
  <c r="K517" i="10" a="1"/>
  <c r="J74" i="9" a="1"/>
  <c r="L277" i="9" a="1"/>
  <c r="K437" i="10" a="1"/>
  <c r="I482" i="10" a="1"/>
  <c r="L37" i="9" a="1"/>
  <c r="J327" i="9" a="1"/>
  <c r="L51" i="9" a="1"/>
  <c r="I358" i="10" a="1"/>
  <c r="K163" i="10" a="1"/>
  <c r="L125" i="9" a="1"/>
  <c r="U308" i="6" a="1"/>
  <c r="J113" i="9" a="1"/>
  <c r="L120" i="9" a="1"/>
  <c r="I313" i="10" a="1"/>
  <c r="U228" i="6" a="1"/>
  <c r="U254" i="6" a="1"/>
  <c r="I352" i="10" a="1"/>
  <c r="K96" i="10" a="1"/>
  <c r="U68" i="6" a="1"/>
  <c r="I285" i="10" a="1"/>
  <c r="J307" i="9" a="1"/>
  <c r="K335" i="10" a="1"/>
  <c r="L108" i="9" a="1"/>
  <c r="K273" i="10" a="1"/>
  <c r="J142" i="9" a="1"/>
  <c r="J169" i="9" a="1"/>
  <c r="H62" i="8" a="1"/>
  <c r="K526" i="10" a="1"/>
  <c r="L38" i="9" a="1"/>
  <c r="J273" i="9" a="1"/>
  <c r="L110" i="9" a="1"/>
  <c r="I18" i="10" a="1"/>
  <c r="H177" i="8" a="1"/>
  <c r="K216" i="10" a="1"/>
  <c r="I487" i="10" a="1"/>
  <c r="L177" i="9" a="1"/>
  <c r="U98" i="6" a="1"/>
  <c r="K510" i="10" a="1"/>
  <c r="J161" i="9" a="1"/>
  <c r="K250" i="10" a="1"/>
  <c r="K520" i="10" a="1"/>
  <c r="K442" i="10" a="1"/>
  <c r="K373" i="10" a="1"/>
  <c r="L60" i="9" a="1"/>
  <c r="L284" i="9" a="1"/>
  <c r="L96" i="9" a="1"/>
  <c r="H78" i="8" a="1"/>
  <c r="H34" i="8" a="1"/>
  <c r="K538" i="10" a="1"/>
  <c r="J38" i="9" a="1"/>
  <c r="L237" i="9" a="1"/>
  <c r="J141" i="9" a="1"/>
  <c r="K262" i="10" a="1"/>
  <c r="K542" i="10" a="1"/>
  <c r="K271" i="10" a="1"/>
  <c r="H179" i="8" a="1"/>
  <c r="I355" i="10" a="1"/>
  <c r="K69" i="10" a="1"/>
  <c r="I46" i="10" a="1"/>
  <c r="I57" i="10" a="1"/>
  <c r="J54" i="9" a="1"/>
  <c r="I209" i="10" a="1"/>
  <c r="U175" i="6" a="1"/>
  <c r="I10" i="10" a="1"/>
  <c r="I353" i="10" a="1"/>
  <c r="U174" i="6" a="1"/>
  <c r="L328" i="9" a="1"/>
  <c r="I511" i="10" a="1"/>
  <c r="L331" i="9" a="1"/>
  <c r="K368" i="10" a="1"/>
  <c r="J252" i="9" a="1"/>
  <c r="K379" i="10" a="1"/>
  <c r="K74" i="10" a="1"/>
  <c r="H185" i="8" a="1"/>
  <c r="I327" i="10" a="1"/>
  <c r="K221" i="10" a="1"/>
  <c r="U81" i="6" a="1"/>
  <c r="I472" i="10" a="1"/>
  <c r="H79" i="8" a="1"/>
  <c r="K84" i="10" a="1"/>
  <c r="U48" i="6" a="1"/>
  <c r="K305" i="10" a="1"/>
  <c r="J135" i="9" a="1"/>
  <c r="K403" i="10" a="1"/>
  <c r="H115" i="8" a="1"/>
  <c r="I351" i="10" a="1"/>
  <c r="I433" i="10" a="1"/>
  <c r="I377" i="10" a="1"/>
  <c r="U130" i="6" a="1"/>
  <c r="H151" i="8" a="1"/>
  <c r="I204" i="10" a="1"/>
  <c r="U82" i="6" a="1"/>
  <c r="U57" i="6" a="1"/>
  <c r="K455" i="10" a="1"/>
  <c r="L28" i="9" a="1"/>
  <c r="K60" i="10" a="1"/>
  <c r="I332" i="10" a="1"/>
  <c r="H82" i="8" a="1"/>
  <c r="H10" i="8" a="1"/>
  <c r="K394" i="10" a="1"/>
  <c r="I407" i="10" a="1"/>
  <c r="I20" i="10" a="1"/>
  <c r="U197" i="6" a="1"/>
  <c r="K76" i="10" a="1"/>
  <c r="L14" i="9" a="1"/>
  <c r="U88" i="6" a="1"/>
  <c r="K535" i="10" a="1"/>
  <c r="I411" i="10" a="1"/>
  <c r="L293" i="9" a="1"/>
  <c r="K5" i="10" a="1"/>
  <c r="L300" i="9" a="1"/>
  <c r="L184" i="9" a="1"/>
  <c r="K126" i="10" a="1"/>
  <c r="I89" i="10" a="1"/>
  <c r="H6" i="8" a="1"/>
  <c r="U257" i="6" a="1"/>
  <c r="J192" i="9" a="1"/>
  <c r="I29" i="10" a="1"/>
  <c r="I354" i="10" a="1"/>
  <c r="J293" i="9" a="1"/>
  <c r="L191" i="9" a="1"/>
  <c r="I291" i="10" a="1"/>
  <c r="H4" i="8" a="1"/>
  <c r="L207" i="9" a="1"/>
  <c r="K263" i="10" a="1"/>
  <c r="L302" i="9" a="1"/>
  <c r="I442" i="10" a="1"/>
  <c r="L52" i="9" a="1"/>
  <c r="J67" i="9" a="1"/>
  <c r="K104" i="10" a="1"/>
  <c r="I173" i="10" a="1"/>
  <c r="J129" i="9" a="1"/>
  <c r="U137" i="6" a="1"/>
  <c r="K185" i="10" a="1"/>
  <c r="U50" i="6" a="1"/>
  <c r="I282" i="10" a="1"/>
  <c r="J332" i="9" a="1"/>
  <c r="U34" i="6" a="1"/>
  <c r="K433" i="10" a="1"/>
  <c r="L169" i="9" a="1"/>
  <c r="L41" i="9" a="1"/>
  <c r="H16" i="8" a="1"/>
  <c r="I294" i="10" a="1"/>
  <c r="J72" i="9" a="1"/>
  <c r="K249" i="10" a="1"/>
  <c r="L311" i="9" a="1"/>
  <c r="I139" i="10" a="1"/>
  <c r="I444" i="10" a="1"/>
  <c r="K521" i="10" a="1"/>
  <c r="U312" i="6" a="1"/>
  <c r="L126" i="9" a="1"/>
  <c r="J30" i="9" a="1"/>
  <c r="K85" i="10" a="1"/>
  <c r="I86" i="10" a="1"/>
  <c r="U85" i="6" a="1"/>
  <c r="L312" i="9" a="1"/>
  <c r="J196" i="9" a="1"/>
  <c r="J44" i="9" a="1"/>
  <c r="L195" i="9" a="1"/>
  <c r="I421" i="10" a="1"/>
  <c r="L313" i="9" a="1"/>
  <c r="K429" i="10" a="1"/>
  <c r="K181" i="10" a="1"/>
  <c r="I311" i="10" a="1"/>
  <c r="K36" i="10" a="1"/>
  <c r="H165" i="8" a="1"/>
  <c r="I238" i="10" a="1"/>
  <c r="I526" i="10" a="1"/>
  <c r="U223" i="6" a="1"/>
  <c r="I447" i="10" a="1"/>
  <c r="K302" i="10" a="1"/>
  <c r="I131" i="10" a="1"/>
  <c r="I494" i="10" a="1"/>
  <c r="K446" i="10" a="1"/>
  <c r="L263" i="9" a="1"/>
  <c r="K211" i="10" a="1"/>
  <c r="I19" i="10" a="1"/>
  <c r="K145" i="10" a="1"/>
  <c r="J294" i="9" a="1"/>
  <c r="J16" i="9" a="1"/>
  <c r="K474" i="10" a="1"/>
  <c r="K86" i="10" a="1"/>
  <c r="U219" i="6" a="1"/>
  <c r="K405" i="10" a="1"/>
  <c r="H75" i="8" a="1"/>
  <c r="L150" i="9" a="1"/>
  <c r="U244" i="6" a="1"/>
  <c r="I27" i="10" a="1"/>
  <c r="L179" i="9" a="1"/>
  <c r="U186" i="6" a="1"/>
  <c r="U72" i="6" a="1"/>
  <c r="I432" i="10" a="1"/>
  <c r="K174" i="10" a="1"/>
  <c r="K415" i="10" a="1"/>
  <c r="I56" i="10" a="1"/>
  <c r="U134" i="6" a="1"/>
  <c r="K353" i="10" a="1"/>
  <c r="K232" i="10" a="1"/>
  <c r="J210" i="9" a="1"/>
  <c r="I69" i="10" a="1"/>
  <c r="L163" i="9" a="1"/>
  <c r="L131" i="9" a="1"/>
  <c r="K176" i="10" a="1"/>
  <c r="K254" i="10" a="1"/>
  <c r="I485" i="10" a="1"/>
  <c r="L73" i="9" a="1"/>
  <c r="I42" i="10" a="1"/>
  <c r="K299" i="10" a="1"/>
  <c r="J46" i="9" a="1"/>
  <c r="U144" i="6" a="1"/>
  <c r="I344" i="10" a="1"/>
  <c r="I514" i="10" a="1"/>
  <c r="I235" i="10" a="1"/>
  <c r="I94" i="10" a="1"/>
  <c r="K119" i="10" a="1"/>
  <c r="J92" i="9" a="1"/>
  <c r="K315" i="10" a="1"/>
  <c r="I87" i="10" a="1"/>
  <c r="K490" i="10" a="1"/>
  <c r="H48" i="8" a="1"/>
  <c r="K331" i="10" a="1"/>
  <c r="I111" i="10" a="1"/>
  <c r="L88" i="9" a="1"/>
  <c r="K290" i="10" a="1"/>
  <c r="K95" i="10" a="1"/>
  <c r="I171" i="10" a="1"/>
  <c r="J333" i="9" a="1"/>
  <c r="H145" i="8" a="1"/>
  <c r="U214" i="6" a="1"/>
  <c r="K508" i="10" a="1"/>
  <c r="J251" i="9" a="1"/>
  <c r="U240" i="6" a="1"/>
  <c r="L133" i="9" a="1"/>
  <c r="K488" i="10" a="1"/>
  <c r="J165" i="9" a="1"/>
  <c r="K41" i="10" a="1"/>
  <c r="L129" i="9" a="1"/>
  <c r="I12" i="10" a="1"/>
  <c r="K4" i="10" a="1"/>
  <c r="J183" i="9" a="1"/>
  <c r="U156" i="6" a="1"/>
  <c r="H129" i="8" a="1"/>
  <c r="K410" i="10" a="1"/>
  <c r="K18" i="10" a="1"/>
  <c r="K223" i="10" a="1"/>
  <c r="L47" i="9" a="1"/>
  <c r="I525" i="10" a="1"/>
  <c r="K78" i="10" a="1"/>
  <c r="J173" i="9" a="1"/>
  <c r="L276" i="9" a="1"/>
  <c r="H98" i="8" a="1"/>
  <c r="K258" i="10" a="1"/>
  <c r="U135" i="6" a="1"/>
  <c r="H107" i="8" a="1"/>
  <c r="U131" i="6" a="1"/>
  <c r="I179" i="10" a="1"/>
  <c r="J110" i="9" a="1"/>
  <c r="K397" i="10" a="1"/>
  <c r="K66" i="10" a="1"/>
  <c r="L19" i="9" a="1"/>
  <c r="K97" i="10" a="1"/>
  <c r="I370" i="10" a="1"/>
  <c r="L213" i="9" a="1"/>
  <c r="L119" i="9" a="1"/>
  <c r="H173" i="8" a="1"/>
  <c r="J305" i="9" a="1"/>
  <c r="H5" i="8" a="1"/>
  <c r="L55" i="9" a="1"/>
  <c r="U267" i="6" a="1"/>
  <c r="U6" i="6" a="1"/>
  <c r="L212" i="9" a="1"/>
  <c r="J177" i="9" a="1"/>
  <c r="J29" i="9" a="1"/>
  <c r="U128" i="6" a="1"/>
  <c r="U193" i="6" a="1"/>
  <c r="I123" i="10" a="1"/>
  <c r="K447" i="10" a="1"/>
  <c r="I474" i="10" a="1"/>
  <c r="K336" i="10" a="1"/>
  <c r="U103" i="6" a="1"/>
  <c r="K105" i="10" a="1"/>
  <c r="L25" i="9" a="1"/>
  <c r="I399" i="10" a="1"/>
  <c r="K329" i="10" a="1"/>
  <c r="L217" i="9" a="1"/>
  <c r="L249" i="9" a="1"/>
  <c r="I265" i="10" a="1"/>
  <c r="K242" i="10" a="1"/>
  <c r="I321" i="10" a="1"/>
  <c r="J178" i="9" a="1"/>
  <c r="L85" i="9" a="1"/>
  <c r="L35" i="9" a="1"/>
  <c r="L334" i="9" a="1"/>
  <c r="L197" i="9" a="1"/>
  <c r="K255" i="10" a="1"/>
  <c r="K227" i="10" a="1"/>
  <c r="J115" i="9" a="1"/>
  <c r="I262" i="10" a="1"/>
  <c r="K175" i="10" a="1"/>
  <c r="I154" i="10" a="1"/>
  <c r="I426" i="10" a="1"/>
  <c r="H142" i="8" a="1"/>
  <c r="J208" i="9" a="1"/>
  <c r="L171" i="9" a="1"/>
  <c r="K222" i="10" a="1"/>
  <c r="K298" i="10" a="1"/>
  <c r="J176" i="9" a="1"/>
  <c r="U316" i="6" a="1"/>
  <c r="K171" i="10" a="1"/>
  <c r="I137" i="10" a="1"/>
  <c r="J78" i="9" a="1"/>
  <c r="J234" i="9" a="1"/>
  <c r="L175" i="9" a="1"/>
  <c r="I189" i="10" a="1"/>
  <c r="J117" i="9" a="1"/>
  <c r="J40" i="9" a="1"/>
  <c r="I62" i="10" a="1"/>
  <c r="J280" i="9" a="1"/>
  <c r="K303" i="10" a="1"/>
  <c r="U10" i="6" a="1"/>
  <c r="U294" i="6" a="1"/>
  <c r="L94" i="9" a="1"/>
  <c r="K139" i="10" a="1"/>
  <c r="K67" i="10" a="1"/>
  <c r="J25" i="9" a="1"/>
  <c r="K351" i="10" a="1"/>
  <c r="I102" i="10" a="1"/>
  <c r="K244" i="10" a="1"/>
  <c r="U95" i="6" a="1"/>
  <c r="U289" i="6" a="1"/>
  <c r="I92" i="10" a="1"/>
  <c r="L165" i="9" a="1"/>
  <c r="H152" i="8" a="1"/>
  <c r="I535" i="10" a="1"/>
  <c r="L278" i="9" a="1"/>
  <c r="H24" i="8" a="1"/>
  <c r="J237" i="9" a="1"/>
  <c r="L140" i="9" a="1"/>
  <c r="J330" i="9" a="1"/>
  <c r="L155" i="9" a="1"/>
  <c r="J23" i="9" a="1"/>
  <c r="K217" i="10" a="1"/>
  <c r="U31" i="6" a="1"/>
  <c r="J26" i="9" a="1"/>
  <c r="L83" i="9" a="1"/>
  <c r="U167" i="6" a="1"/>
  <c r="I505" i="10" a="1"/>
  <c r="I70" i="10" a="1"/>
  <c r="K93" i="10" a="1"/>
  <c r="L65" i="9" a="1"/>
  <c r="K364" i="10" a="1"/>
  <c r="U157" i="6" a="1"/>
  <c r="I293" i="10" a="1"/>
  <c r="I236" i="10" a="1"/>
  <c r="I503" i="10" a="1"/>
  <c r="U22" i="6" a="1"/>
  <c r="J239" i="9" a="1"/>
  <c r="K202" i="10" a="1"/>
  <c r="J168" i="9" a="1"/>
  <c r="I44" i="10" a="1"/>
  <c r="U7" i="6" a="1"/>
  <c r="I273" i="10" a="1"/>
  <c r="J298" i="9" a="1"/>
  <c r="U304" i="6" a="1"/>
  <c r="L70" i="9" a="1"/>
  <c r="U159" i="6" a="1"/>
  <c r="L198" i="9" a="1"/>
  <c r="K322" i="10" a="1"/>
  <c r="L189" i="9" a="1"/>
  <c r="L90" i="9" a="1"/>
  <c r="I393" i="10" a="1"/>
  <c r="J69" i="9" a="1"/>
  <c r="I176" i="10" a="1"/>
  <c r="I210" i="10" a="1"/>
  <c r="I372" i="10" a="1"/>
  <c r="K48" i="10" a="1"/>
  <c r="L103" i="9" a="1"/>
  <c r="I391" i="10" a="1"/>
  <c r="J304" i="9" a="1"/>
  <c r="J303" i="9" a="1"/>
  <c r="H94" i="8" a="1"/>
  <c r="I34" i="10" a="1"/>
  <c r="I138" i="10" a="1"/>
  <c r="I100" i="10" a="1"/>
  <c r="I360" i="10" a="1"/>
  <c r="I542" i="10" a="1"/>
  <c r="H64" i="8" a="1"/>
  <c r="K516" i="10" a="1"/>
  <c r="K191" i="10" a="1"/>
  <c r="I200" i="10" a="1"/>
  <c r="H143" i="8" a="1"/>
  <c r="I404" i="10" a="1"/>
  <c r="H149" i="8" a="1"/>
  <c r="J17" i="9" a="1"/>
  <c r="J274" i="9" a="1"/>
  <c r="J87" i="9" a="1"/>
  <c r="H59" i="8" a="1"/>
  <c r="J164" i="9" a="1"/>
  <c r="I153" i="10" a="1"/>
  <c r="U35" i="6" a="1"/>
  <c r="L206" i="9" a="1"/>
  <c r="U54" i="6" a="1"/>
  <c r="H54" i="8" a="1"/>
  <c r="H132" i="8" a="1"/>
  <c r="J230" i="9" a="1"/>
  <c r="J229" i="9" a="1"/>
  <c r="I473" i="10" a="1"/>
  <c r="H181" i="8" a="1"/>
  <c r="L34" i="9" a="1"/>
  <c r="J6" i="9" a="1"/>
  <c r="L106" i="9" a="1"/>
  <c r="H178" i="8" a="1"/>
  <c r="U225" i="6" a="1"/>
  <c r="U252" i="6" a="1"/>
  <c r="I460" i="10" a="1"/>
  <c r="J120" i="9" a="1"/>
  <c r="K278" i="10" a="1"/>
  <c r="L235" i="9" a="1"/>
  <c r="I67" i="10" a="1"/>
  <c r="K363" i="10" a="1"/>
  <c r="I459" i="10" a="1"/>
  <c r="I373" i="10" a="1"/>
  <c r="I359" i="10" a="1"/>
  <c r="I247" i="10" a="1"/>
  <c r="K200" i="10" a="1"/>
  <c r="K143" i="10" a="1"/>
  <c r="K376" i="10" a="1"/>
  <c r="I77" i="10" a="1"/>
  <c r="U176" i="6" a="1"/>
  <c r="K337" i="10" a="1"/>
  <c r="I72" i="10" a="1"/>
  <c r="K12" i="10" a="1"/>
  <c r="K40" i="10" a="1"/>
  <c r="L255" i="9" a="1"/>
  <c r="J94" i="9" a="1"/>
  <c r="U18" i="6" a="1"/>
  <c r="J314" i="9" a="1"/>
  <c r="K94" i="10" a="1"/>
  <c r="H87" i="8" a="1"/>
  <c r="K385" i="10" a="1"/>
  <c r="I248" i="10" a="1"/>
  <c r="L80" i="9" a="1"/>
  <c r="J71" i="9" a="1"/>
  <c r="I349" i="10" a="1"/>
  <c r="L49" i="9" a="1"/>
  <c r="J256" i="9" a="1"/>
  <c r="I517" i="10" a="1"/>
  <c r="K470" i="10" a="1"/>
  <c r="I97" i="10" a="1"/>
  <c r="H124" i="8" a="1"/>
  <c r="K399" i="10" a="1"/>
  <c r="L159" i="9" a="1"/>
  <c r="J86" i="9" a="1"/>
  <c r="I533" i="10" a="1"/>
  <c r="H22" i="8" a="1"/>
  <c r="I145" i="10" a="1"/>
  <c r="U8" i="6" a="1"/>
  <c r="J174" i="9" a="1"/>
  <c r="L102" i="9" a="1"/>
  <c r="K75" i="10" a="1"/>
  <c r="K8" i="10" a="1"/>
  <c r="I516" i="10" a="1"/>
  <c r="K132" i="10" a="1"/>
  <c r="U101" i="6" a="1"/>
  <c r="L325" i="9" a="1"/>
  <c r="I140" i="10" a="1"/>
  <c r="K386" i="10" a="1"/>
  <c r="I167" i="10" a="1"/>
  <c r="U24" i="6" a="1"/>
  <c r="L149" i="9" a="1"/>
  <c r="I304" i="10" a="1"/>
  <c r="U13" i="6" a="1"/>
  <c r="I127" i="10" a="1"/>
  <c r="H68" i="8" a="1"/>
  <c r="I4" i="10" a="1"/>
  <c r="K110" i="10" a="1"/>
  <c r="H93" i="8" a="1"/>
  <c r="H40" i="8" a="1"/>
  <c r="I116" i="10" a="1"/>
  <c r="L89" i="9" a="1"/>
  <c r="L182" i="9" a="1"/>
  <c r="L265" i="9" a="1"/>
  <c r="U52" i="6" a="1"/>
  <c r="I524" i="10" a="1"/>
  <c r="L113" i="9" a="1"/>
  <c r="U199" i="6" a="1"/>
  <c r="I295" i="10" a="1"/>
  <c r="I54" i="10" a="1"/>
  <c r="L246" i="9" a="1"/>
  <c r="H37" i="8" a="1"/>
  <c r="J22" i="9" a="1"/>
  <c r="J107" i="9" a="1"/>
  <c r="I437" i="10" a="1"/>
  <c r="U237" i="6" a="1"/>
  <c r="J35" i="9" a="1"/>
  <c r="H89" i="8" a="1"/>
  <c r="L174" i="9" a="1"/>
  <c r="I47" i="10" a="1"/>
  <c r="J139" i="9" a="1"/>
  <c r="K340" i="10" a="1"/>
  <c r="L176" i="9" a="1"/>
  <c r="L142" i="9" a="1"/>
  <c r="I544" i="10" a="1"/>
  <c r="U56" i="6" a="1"/>
  <c r="L107" i="9" a="1"/>
  <c r="I196" i="10" a="1"/>
  <c r="L67" i="9" a="1"/>
  <c r="I129" i="10" a="1"/>
  <c r="K166" i="10" a="1"/>
  <c r="U41" i="6" a="1"/>
  <c r="I272" i="10" a="1"/>
  <c r="I408" i="10" a="1"/>
  <c r="I194" i="10" a="1"/>
  <c r="I216" i="10" a="1"/>
  <c r="J205" i="9" a="1"/>
  <c r="L33" i="9" a="1"/>
  <c r="K108" i="10" a="1"/>
  <c r="L7" i="9" a="1"/>
  <c r="J308" i="9" a="1"/>
  <c r="I441" i="10" a="1"/>
  <c r="I419" i="10" a="1"/>
  <c r="K220" i="10" a="1"/>
  <c r="I527" i="10" a="1"/>
  <c r="I288" i="10" a="1"/>
  <c r="J257" i="9" a="1"/>
  <c r="I300" i="10" a="1"/>
  <c r="J226" i="9" a="1"/>
  <c r="I103" i="10" a="1"/>
  <c r="L77" i="9" a="1"/>
  <c r="K58" i="10" a="1"/>
  <c r="K509" i="10" a="1"/>
  <c r="L215" i="9" a="1"/>
  <c r="I531" i="10" a="1"/>
  <c r="J53" i="9" a="1"/>
  <c r="L39" i="9" a="1"/>
  <c r="I325" i="10" a="1"/>
  <c r="L82" i="9" a="1"/>
  <c r="K382" i="10" a="1"/>
  <c r="U251" i="6" a="1"/>
  <c r="U149" i="6" a="1"/>
  <c r="I190" i="10" a="1"/>
  <c r="K225" i="10" a="1"/>
  <c r="J184" i="9" a="1"/>
  <c r="J15" i="9" a="1"/>
  <c r="I543" i="10" a="1"/>
  <c r="I208" i="10" a="1"/>
  <c r="I374" i="10" a="1"/>
  <c r="I142" i="10" a="1"/>
  <c r="J121" i="9" a="1"/>
  <c r="J128" i="9" a="1"/>
  <c r="J156" i="9" a="1"/>
  <c r="K11" i="10" a="1"/>
  <c r="J227" i="9" a="1"/>
  <c r="L56" i="9" a="1"/>
  <c r="K318" i="10" a="1"/>
  <c r="L6" i="9" a="1"/>
  <c r="I400" i="10" a="1"/>
  <c r="U124" i="6" a="1"/>
  <c r="I206" i="10" a="1"/>
  <c r="I368" i="10" a="1"/>
  <c r="L260" i="9" a="1"/>
  <c r="L180" i="9" a="1"/>
  <c r="H135" i="8" a="1"/>
  <c r="K82" i="10" a="1"/>
  <c r="I261" i="10" a="1"/>
  <c r="H28" i="8" a="1"/>
  <c r="K427" i="10" a="1"/>
  <c r="J80" i="9" a="1"/>
  <c r="J260" i="9" a="1"/>
  <c r="U62" i="6" a="1"/>
  <c r="K215" i="10" a="1"/>
  <c r="I287" i="10" a="1"/>
  <c r="I52" i="10" a="1"/>
  <c r="U119" i="6" a="1"/>
  <c r="L254" i="9" a="1"/>
  <c r="I224" i="10" a="1"/>
  <c r="K466" i="10" a="1"/>
  <c r="U83" i="6" a="1"/>
  <c r="H154" i="8" a="1"/>
  <c r="L268" i="9" a="1"/>
  <c r="L238" i="9" a="1"/>
  <c r="L93" i="9" a="1"/>
  <c r="I113" i="10" a="1"/>
  <c r="J195" i="9" a="1"/>
  <c r="K417" i="10" a="1"/>
  <c r="J146" i="9" a="1"/>
  <c r="H50" i="8" a="1"/>
  <c r="K184" i="10" a="1"/>
  <c r="K355" i="10" a="1"/>
  <c r="L273" i="9" a="1"/>
  <c r="I112" i="10" a="1"/>
  <c r="U295" i="6" a="1"/>
  <c r="U180" i="6" a="1"/>
  <c r="U150" i="6" a="1"/>
  <c r="L241" i="9" a="1"/>
  <c r="J131" i="9" a="1"/>
  <c r="K431" i="10" a="1"/>
  <c r="I401" i="10" a="1"/>
  <c r="I320" i="10" a="1"/>
  <c r="I40" i="10" a="1"/>
  <c r="H128" i="8" a="1"/>
  <c r="J167" i="9" a="1"/>
  <c r="I538" i="10" a="1"/>
  <c r="L116" i="9" a="1"/>
  <c r="L303" i="9" a="1"/>
  <c r="I240" i="10" a="1"/>
  <c r="K534" i="10" a="1"/>
  <c r="I155" i="10" a="1"/>
  <c r="K361" i="10" a="1"/>
  <c r="H35" i="8" a="1"/>
  <c r="I243" i="10" a="1"/>
  <c r="I307" i="10" a="1"/>
  <c r="J261" i="9" a="1"/>
  <c r="J213" i="9" a="1"/>
  <c r="I489" i="10" a="1"/>
  <c r="J56" i="9" a="1"/>
  <c r="K117" i="10" a="1"/>
  <c r="J152" i="9" a="1"/>
  <c r="K206" i="10" a="1"/>
  <c r="U288" i="6" a="1"/>
  <c r="K141" i="10" a="1"/>
  <c r="I256" i="10" a="1"/>
  <c r="K116" i="10" a="1"/>
  <c r="K15" i="10" a="1"/>
  <c r="I124" i="10" a="1"/>
  <c r="K125" i="10" a="1"/>
  <c r="I128" i="10" a="1"/>
  <c r="I284" i="10" a="1"/>
  <c r="I121" i="10" a="1"/>
  <c r="J126" i="9" a="1"/>
  <c r="I258" i="10" a="1"/>
  <c r="U188" i="6" a="1"/>
  <c r="J190" i="9" a="1"/>
  <c r="J65" i="9" a="1"/>
  <c r="I185" i="10" a="1"/>
  <c r="J60" i="9" a="1"/>
  <c r="L304" i="9" a="1"/>
  <c r="U262" i="6" a="1"/>
  <c r="L258" i="9" a="1"/>
  <c r="J316" i="9" a="1"/>
  <c r="U61" i="6" a="1"/>
  <c r="J203" i="9" a="1"/>
  <c r="I107" i="10" a="1"/>
  <c r="J140" i="9" a="1"/>
  <c r="J66" i="9" a="1"/>
  <c r="K486" i="10" a="1"/>
  <c r="L194" i="9" a="1"/>
  <c r="K46" i="10" a="1"/>
  <c r="K178" i="10" a="1"/>
  <c r="U307" i="6" a="1"/>
  <c r="J198" i="9" a="1"/>
  <c r="U117" i="6" a="1"/>
  <c r="L79" i="9" a="1"/>
  <c r="H67" i="8" a="1"/>
  <c r="J247" i="9" a="1"/>
  <c r="H90" i="8" a="1"/>
  <c r="I331" i="10" a="1"/>
  <c r="I38" i="10" a="1"/>
  <c r="H127" i="8" a="1"/>
  <c r="L309" i="9" a="1"/>
  <c r="U191" i="6" a="1"/>
  <c r="K334" i="10" a="1"/>
  <c r="I39" i="10" a="1"/>
  <c r="U44" i="6" a="1"/>
  <c r="K371" i="10" a="1"/>
  <c r="I301" i="10" a="1"/>
  <c r="L115" i="9" a="1"/>
  <c r="I420" i="10" a="1"/>
  <c r="J81" i="9" a="1"/>
  <c r="I521" i="10" a="1"/>
  <c r="U273" i="6" a="1"/>
  <c r="U46" i="6" a="1"/>
  <c r="U158" i="6" a="1"/>
  <c r="H119" i="8" a="1"/>
  <c r="I279" i="10" a="1"/>
  <c r="I110" i="10" a="1"/>
  <c r="K504" i="10" a="1"/>
  <c r="L86" i="9" a="1"/>
  <c r="U184" i="6" a="1"/>
  <c r="J326" i="9" a="1"/>
  <c r="L162" i="9" a="1"/>
  <c r="K269" i="10" a="1"/>
  <c r="I254" i="10" a="1"/>
  <c r="U192" i="6" a="1"/>
  <c r="L26" i="9" a="1"/>
  <c r="I225" i="10" a="1"/>
  <c r="I229" i="10" a="1"/>
  <c r="H105" i="8" a="1"/>
  <c r="K209" i="10" a="1"/>
  <c r="I416" i="10" a="1"/>
  <c r="U3" i="6" a="1"/>
  <c r="L243" i="9" a="1"/>
  <c r="I465" i="10" a="1"/>
  <c r="U264" i="6" a="1"/>
  <c r="U74" i="6" a="1"/>
  <c r="U153" i="6" a="1"/>
  <c r="I144" i="10" a="1"/>
  <c r="H21" i="8" a="1"/>
  <c r="H109" i="8" a="1"/>
  <c r="U217" i="6" a="1"/>
  <c r="J97" i="9" a="1"/>
  <c r="L216" i="9" a="1"/>
  <c r="K195" i="10" a="1"/>
  <c r="I199" i="10" a="1"/>
  <c r="J122" i="9" a="1"/>
  <c r="L240" i="9" a="1"/>
  <c r="L279" i="9" a="1"/>
  <c r="I513" i="10" a="1"/>
  <c r="K124" i="10" a="1"/>
  <c r="K333" i="10" a="1"/>
  <c r="I315" i="10" a="1"/>
  <c r="K270" i="10" a="1"/>
  <c r="U114" i="6" a="1"/>
  <c r="K107" i="10" a="1"/>
  <c r="H175" i="8" a="1"/>
  <c r="I65" i="10" a="1"/>
  <c r="L153" i="9" a="1"/>
  <c r="J13" i="9" a="1"/>
  <c r="K425" i="10" a="1"/>
  <c r="L117" i="9" a="1"/>
  <c r="I519" i="10" a="1"/>
  <c r="U231" i="6" a="1"/>
  <c r="U154" i="6" a="1"/>
  <c r="L295" i="9" a="1"/>
  <c r="J300" i="9" a="1"/>
  <c r="L319" i="9" a="1"/>
  <c r="K434" i="10" a="1"/>
  <c r="L299" i="9" a="1"/>
  <c r="I388" i="10" a="1"/>
  <c r="I347" i="10" a="1"/>
  <c r="J63" i="9" a="1"/>
  <c r="K392" i="10" a="1"/>
  <c r="J7" i="9" a="1"/>
  <c r="H57" i="8" a="1"/>
  <c r="I342" i="10" a="1"/>
  <c r="L229" i="9" a="1"/>
  <c r="K207" i="10" a="1"/>
  <c r="U38" i="6" a="1"/>
  <c r="K205" i="10" a="1"/>
  <c r="K72" i="10" a="1"/>
  <c r="K545" i="10" a="1"/>
  <c r="H31" i="8" a="1"/>
  <c r="H42" i="8" a="1"/>
  <c r="J250" i="9" a="1"/>
  <c r="L27" i="9" a="1"/>
  <c r="H118" i="8" a="1"/>
  <c r="I424" i="10" a="1"/>
  <c r="U239" i="6" a="1"/>
  <c r="H130" i="8" a="1"/>
  <c r="L332" i="9" a="1"/>
  <c r="H14" i="8" a="1"/>
  <c r="I58" i="10" a="1"/>
  <c r="K261" i="10" a="1"/>
  <c r="K350" i="10" a="1"/>
  <c r="I338" i="10" a="1"/>
  <c r="J116" i="9" a="1"/>
  <c r="I119" i="10" a="1"/>
  <c r="K279" i="10" a="1"/>
  <c r="U216" i="6" a="1"/>
  <c r="K241" i="10" a="1"/>
  <c r="I324" i="10" a="1"/>
  <c r="K390" i="10" a="1"/>
  <c r="I415" i="10" a="1"/>
  <c r="L196" i="9" a="1"/>
  <c r="J278" i="9" a="1"/>
  <c r="L329" i="9" a="1"/>
  <c r="H23" i="8" a="1"/>
  <c r="L220" i="9" a="1"/>
  <c r="I223" i="10" a="1"/>
  <c r="J216" i="9" a="1"/>
  <c r="J48" i="9" a="1"/>
  <c r="L187" i="9" a="1"/>
  <c r="U104" i="6" a="1"/>
  <c r="H162" i="8" a="1"/>
  <c r="U207" i="6" a="1"/>
  <c r="I292" i="10" a="1"/>
  <c r="L256" i="9" a="1"/>
  <c r="H88" i="8" a="1"/>
  <c r="U212" i="6" a="1"/>
  <c r="K170" i="10" a="1"/>
  <c r="H121" i="8" a="1"/>
  <c r="I159" i="10" a="1"/>
  <c r="L190" i="9" a="1"/>
  <c r="J111" i="9" a="1"/>
  <c r="J159" i="9" a="1"/>
  <c r="K212" i="10" a="1"/>
  <c r="U276" i="6" a="1"/>
  <c r="J145" i="9" a="1"/>
  <c r="K391" i="10" a="1"/>
  <c r="I109" i="10" a="1"/>
  <c r="U143" i="6" a="1"/>
  <c r="H15" i="8" a="1"/>
  <c r="L145" i="9" a="1"/>
  <c r="I363" i="10" a="1"/>
  <c r="K468" i="10" a="1"/>
  <c r="I148" i="10" a="1"/>
  <c r="L122" i="9" a="1"/>
  <c r="J217" i="9" a="1"/>
  <c r="K294" i="10" a="1"/>
  <c r="I118" i="10" a="1"/>
  <c r="L74" i="9" a="1"/>
  <c r="J130" i="9" a="1"/>
  <c r="K188" i="10" a="1"/>
  <c r="J201" i="9" a="1"/>
  <c r="U23" i="6" a="1"/>
  <c r="L271" i="9" a="1"/>
  <c r="J334" i="9" a="1"/>
  <c r="K37" i="10" a="1"/>
  <c r="J157" i="9" a="1"/>
  <c r="I157" i="10" a="1"/>
  <c r="L59" i="9" a="1"/>
  <c r="I177" i="10" a="1"/>
  <c r="K423" i="10" a="1"/>
  <c r="I508" i="10" a="1"/>
  <c r="J218" i="9" a="1"/>
  <c r="U20" i="6" a="1"/>
  <c r="L21" i="9" a="1"/>
  <c r="I480" i="10" a="1"/>
  <c r="I427" i="10" a="1"/>
  <c r="H169" i="8" a="1"/>
  <c r="K317" i="10" a="1"/>
  <c r="L130" i="9" a="1"/>
  <c r="J132" i="9" a="1"/>
  <c r="J279" i="9" a="1"/>
  <c r="L170" i="9" a="1"/>
  <c r="H140" i="8" a="1"/>
  <c r="K83" i="10" a="1"/>
  <c r="J34" i="9" a="1"/>
  <c r="U108" i="6" a="1"/>
  <c r="H63" i="8" a="1"/>
  <c r="J133" i="9" a="1"/>
  <c r="H8" i="8" a="1"/>
  <c r="J24" i="9" a="1"/>
  <c r="K59" i="10" a="1"/>
  <c r="H126" i="8" a="1"/>
  <c r="K138" i="10" a="1"/>
  <c r="K194" i="10" a="1"/>
  <c r="U168" i="6" a="1"/>
  <c r="H108" i="8" a="1"/>
  <c r="U33" i="6" a="1"/>
  <c r="H30" i="8" a="1"/>
  <c r="H148" i="8" a="1"/>
  <c r="L167" i="9" a="1"/>
  <c r="K532" i="10" a="1"/>
  <c r="U139" i="6" a="1"/>
  <c r="U172" i="6" a="1"/>
  <c r="J275" i="9" a="1"/>
  <c r="L210" i="9" a="1"/>
  <c r="J118" i="9" a="1"/>
  <c r="J59" i="9" a="1"/>
  <c r="J321" i="9" a="1"/>
  <c r="J245" i="9" a="1"/>
  <c r="I201" i="10" a="1"/>
  <c r="U209" i="6" a="1"/>
  <c r="J296" i="9" a="1"/>
  <c r="K498" i="10" a="1"/>
  <c r="L114" i="9" a="1"/>
  <c r="K208" i="10" a="1"/>
  <c r="L290" i="9" a="1"/>
  <c r="I264" i="10" a="1"/>
  <c r="I5" i="10" a="1"/>
  <c r="J91" i="9" a="1"/>
  <c r="J258" i="9" a="1"/>
  <c r="U182" i="6" a="1"/>
  <c r="L13" i="9" a="1"/>
  <c r="K196" i="10" a="1"/>
  <c r="I498" i="10" a="1"/>
  <c r="J103" i="9" a="1"/>
  <c r="J162" i="9" a="1"/>
  <c r="U165" i="6" a="1"/>
  <c r="H146" i="8" a="1"/>
  <c r="J248" i="9" a="1"/>
  <c r="I534" i="10" a="1"/>
  <c r="I152" i="10" a="1"/>
  <c r="K484" i="10" a="1"/>
  <c r="H52" i="8" a="1"/>
  <c r="I51" i="10" a="1"/>
  <c r="U120" i="6" a="1"/>
  <c r="K462" i="10" a="1"/>
  <c r="I172" i="10" a="1"/>
  <c r="J306" i="9" a="1"/>
  <c r="K120" i="10" a="1"/>
  <c r="H101" i="8" a="1"/>
  <c r="L272" i="9" a="1"/>
  <c r="U148" i="6" a="1"/>
  <c r="K453" i="10" a="1"/>
  <c r="I251" i="10" a="1"/>
  <c r="H83" i="8" a="1"/>
  <c r="K56" i="10" a="1"/>
  <c r="I484" i="10" a="1"/>
  <c r="I528" i="10" a="1"/>
  <c r="U265" i="6" a="1"/>
  <c r="U249" i="6" a="1"/>
  <c r="K89" i="10" a="1"/>
  <c r="J211" i="9" a="1"/>
  <c r="K239" i="10" a="1"/>
  <c r="J88" i="9" a="1"/>
  <c r="J283" i="9" a="1"/>
  <c r="K467" i="10" a="1"/>
  <c r="K493" i="10" a="1"/>
  <c r="K99" i="10" a="1"/>
  <c r="H95" i="8" a="1"/>
  <c r="H103" i="8" a="1"/>
  <c r="J181" i="9" a="1"/>
  <c r="U170" i="6" a="1"/>
  <c r="L104" i="9" a="1"/>
  <c r="U283" i="6" a="1"/>
  <c r="J292" i="9" a="1"/>
  <c r="I364" i="10" a="1"/>
  <c r="K247" i="10" a="1"/>
  <c r="I389" i="10" a="1"/>
  <c r="L318" i="9" a="1"/>
  <c r="I412" i="10" a="1"/>
  <c r="I7" i="10" a="1"/>
  <c r="H180" i="8" a="1"/>
  <c r="I75" i="10" a="1"/>
  <c r="K465" i="10" a="1"/>
  <c r="U194" i="6" a="1"/>
  <c r="U179" i="6" a="1"/>
  <c r="K17" i="10" a="1"/>
  <c r="K413" i="10" a="1"/>
  <c r="I149" i="10" a="1"/>
  <c r="J272" i="9" a="1"/>
  <c r="L228" i="9" a="1"/>
  <c r="L43" i="9" a="1"/>
  <c r="K257" i="10" a="1"/>
  <c r="K22" i="10" a="1"/>
  <c r="K179" i="10" a="1"/>
  <c r="K264" i="10" a="1"/>
  <c r="H167" i="8" a="1"/>
  <c r="L294" i="9" a="1"/>
  <c r="L68" i="9" a="1"/>
  <c r="J172" i="9" a="1"/>
  <c r="K237" i="10" a="1"/>
  <c r="J73" i="9" a="1"/>
  <c r="J268" i="9" a="1"/>
  <c r="I501" i="10" a="1"/>
  <c r="I76" i="10" a="1"/>
  <c r="U255" i="6" a="1"/>
  <c r="L61" i="9" a="1"/>
  <c r="I376" i="10" a="1"/>
  <c r="L285" i="9" a="1"/>
  <c r="H144" i="8" a="1"/>
  <c r="J315" i="9" a="1"/>
  <c r="K251" i="10" a="1"/>
  <c r="K428" i="10" a="1"/>
  <c r="H106" i="8" a="1"/>
  <c r="K65" i="10" a="1"/>
  <c r="I539" i="10" a="1"/>
  <c r="I381" i="10" a="1"/>
  <c r="L310" i="9" a="1"/>
  <c r="L280" i="9" a="1"/>
  <c r="J52" i="9" a="1"/>
  <c r="K260" i="10" a="1"/>
  <c r="I174" i="10" a="1"/>
  <c r="K326" i="10" a="1"/>
  <c r="K414" i="10" a="1"/>
  <c r="I244" i="10" a="1"/>
  <c r="L251" i="9" a="1"/>
  <c r="U5" i="6" a="1"/>
  <c r="J243" i="9" a="1"/>
  <c r="L64" i="9" a="1"/>
  <c r="J323" i="9" a="1"/>
  <c r="I470" i="10" a="1"/>
  <c r="K499" i="10" a="1"/>
  <c r="I483" i="10" a="1"/>
  <c r="I316" i="10" a="1"/>
  <c r="K450" i="10" a="1"/>
  <c r="K29" i="10" a="1"/>
  <c r="K404" i="10" a="1"/>
  <c r="K131" i="10" a="1"/>
  <c r="I61" i="10" a="1"/>
  <c r="I361" i="10" a="1"/>
  <c r="I74" i="10" a="1"/>
  <c r="K402" i="10" a="1"/>
  <c r="I299" i="10" a="1"/>
  <c r="K183" i="10" a="1"/>
  <c r="U110" i="6" a="1"/>
  <c r="I156" i="10" a="1"/>
  <c r="H12" i="8" a="1"/>
  <c r="U229" i="6" a="1"/>
  <c r="K418" i="10" a="1"/>
  <c r="K338" i="10" a="1"/>
  <c r="I78" i="10" a="1"/>
  <c r="K424" i="10" a="1"/>
  <c r="J215" i="9" a="1"/>
  <c r="K286" i="10" a="1"/>
  <c r="U40" i="6" a="1"/>
  <c r="H36" i="8" a="1"/>
  <c r="K64" i="10" a="1"/>
  <c r="L239" i="9" a="1"/>
  <c r="L205" i="9" a="1"/>
  <c r="I387" i="10" a="1"/>
  <c r="U163" i="6" a="1"/>
  <c r="U226" i="6" a="1"/>
  <c r="I434" i="10" a="1"/>
  <c r="H110" i="8" a="1"/>
  <c r="K463" i="10" a="1"/>
  <c r="U185" i="6" a="1"/>
  <c r="H158" i="8" a="1"/>
  <c r="L297" i="9" a="1"/>
  <c r="L301" i="9" a="1"/>
  <c r="L222" i="9" a="1"/>
  <c r="L261" i="9" a="1"/>
  <c r="L151" i="9" a="1"/>
  <c r="K153" i="10" a="1"/>
  <c r="I73" i="10" a="1"/>
  <c r="H51" i="8" a="1"/>
  <c r="J64" i="9" a="1"/>
  <c r="K23" i="10" a="1"/>
  <c r="J20" i="9" a="1"/>
  <c r="K476" i="10" a="1"/>
  <c r="I220" i="10" a="1"/>
  <c r="K480" i="10" a="1"/>
  <c r="H45" i="8" a="1"/>
  <c r="H157" i="8" a="1"/>
  <c r="J235" i="9" a="1"/>
  <c r="U71" i="6" a="1"/>
  <c r="K14" i="10" a="1"/>
  <c r="U136" i="6" a="1"/>
  <c r="K311" i="10" a="1"/>
  <c r="I35" i="10" a="1"/>
  <c r="K31" i="10" a="1"/>
  <c r="U138" i="6" a="1"/>
  <c r="J267" i="9" a="1"/>
  <c r="K454" i="10" a="1"/>
  <c r="K238" i="10" a="1"/>
  <c r="I329" i="10" a="1"/>
  <c r="J171" i="9" a="1"/>
  <c r="U93" i="6" a="1"/>
  <c r="I105" i="10" a="1"/>
  <c r="K246" i="10" a="1"/>
  <c r="J238" i="9" a="1"/>
  <c r="J151" i="9" a="1"/>
  <c r="J299" i="9" a="1"/>
  <c r="K243" i="10" a="1"/>
  <c r="K511" i="10" a="1"/>
  <c r="K469" i="10" a="1"/>
  <c r="I218" i="10" a="1"/>
  <c r="K19" i="10" a="1"/>
  <c r="H27" i="8" a="1"/>
  <c r="L78" i="9" a="1"/>
  <c r="K531" i="10" a="1"/>
  <c r="J249" i="9" a="1"/>
  <c r="K354" i="10" a="1"/>
  <c r="U21" i="6" a="1"/>
  <c r="U177" i="6" a="1"/>
  <c r="K189" i="10" a="1"/>
  <c r="K362" i="10" a="1"/>
  <c r="J43" i="9" a="1"/>
  <c r="L58" i="9" a="1"/>
  <c r="I289" i="10" a="1"/>
  <c r="U125" i="6" a="1"/>
  <c r="L31" i="9" a="1"/>
  <c r="L32" i="9" a="1"/>
  <c r="I490" i="10" a="1"/>
  <c r="K266" i="10" a="1"/>
  <c r="K39" i="10" a="1"/>
  <c r="U310" i="6" a="1"/>
  <c r="U102" i="6" a="1"/>
  <c r="I530" i="10" a="1"/>
  <c r="U64" i="6" a="1"/>
  <c r="K137" i="10" a="1"/>
  <c r="J55" i="9" a="1"/>
  <c r="J209" i="9" a="1"/>
  <c r="I506" i="10" a="1"/>
  <c r="I36" i="10" a="1"/>
  <c r="U241" i="6" a="1"/>
  <c r="I428" i="10" a="1"/>
  <c r="I14" i="10" a="1"/>
  <c r="J185" i="9" a="1"/>
  <c r="H32" i="8" a="1"/>
  <c r="K102" i="10" a="1"/>
  <c r="K127" i="10" a="1"/>
  <c r="K160" i="10" a="1"/>
  <c r="J286" i="9" a="1"/>
  <c r="J10" i="9" a="1"/>
  <c r="J212" i="9" a="1"/>
  <c r="U86" i="6" a="1"/>
  <c r="K38" i="10" a="1"/>
  <c r="I266" i="10" a="1"/>
  <c r="J39" i="9" a="1"/>
  <c r="K203" i="10" a="1"/>
  <c r="I365" i="10" a="1"/>
  <c r="L137" i="9" a="1"/>
  <c r="I290" i="10" a="1"/>
  <c r="K307" i="10" a="1"/>
  <c r="L211" i="9" a="1"/>
  <c r="K130" i="10" a="1"/>
  <c r="I163" i="10" a="1"/>
  <c r="U45" i="6" a="1"/>
  <c r="U250" i="6" a="1"/>
  <c r="H114" i="8" a="1"/>
  <c r="L109" i="9" a="1"/>
  <c r="U26" i="6" a="1"/>
  <c r="K201" i="10" a="1"/>
  <c r="U89" i="6" a="1"/>
  <c r="K33" i="10" a="1"/>
  <c r="I425" i="10" a="1"/>
  <c r="J310" i="9" a="1"/>
  <c r="H74" i="8" a="1"/>
  <c r="I170" i="10" a="1"/>
  <c r="I369" i="10" a="1"/>
  <c r="K219" i="10" a="1"/>
  <c r="I234" i="10" a="1"/>
  <c r="L245" i="9" a="1"/>
  <c r="K494" i="10" a="1"/>
  <c r="J220" i="9" a="1"/>
  <c r="I384" i="10" a="1"/>
  <c r="K487" i="10" a="1"/>
  <c r="K435" i="10" a="1"/>
  <c r="J282" i="9" a="1"/>
  <c r="K512" i="10" a="1"/>
  <c r="L333" i="9" a="1"/>
  <c r="I95" i="10" a="1"/>
  <c r="L209" i="9" a="1"/>
  <c r="K492" i="10" a="1"/>
  <c r="I141" i="10" a="1"/>
  <c r="U274" i="6" a="1"/>
  <c r="I32" i="10" a="1"/>
  <c r="U242" i="6" a="1"/>
  <c r="K367" i="10" a="1"/>
  <c r="J199" i="9" a="1"/>
  <c r="L81" i="9" a="1"/>
  <c r="L186" i="9" a="1"/>
  <c r="U4" i="6" a="1"/>
  <c r="K210" i="10" a="1"/>
  <c r="J144" i="9" a="1"/>
  <c r="K325" i="10" a="1"/>
  <c r="I356" i="10" a="1"/>
  <c r="K352" i="10" a="1"/>
  <c r="U278" i="6" a="1"/>
  <c r="K155" i="10" a="1"/>
  <c r="J302" i="9" a="1"/>
  <c r="I310" i="10" a="1"/>
  <c r="U236" i="6" a="1"/>
  <c r="K539" i="10" a="1"/>
  <c r="U187" i="6" a="1"/>
  <c r="L161" i="9" a="1"/>
  <c r="K90" i="10" a="1"/>
  <c r="H138" i="8" a="1"/>
  <c r="J219" i="9" a="1"/>
  <c r="I257" i="10" a="1"/>
  <c r="K73" i="10" a="1"/>
  <c r="L54" i="9" a="1"/>
  <c r="I263" i="10" a="1"/>
  <c r="L156" i="9" a="1"/>
  <c r="J114" i="9" a="1"/>
  <c r="U79" i="6" a="1"/>
  <c r="K503" i="10" a="1"/>
  <c r="L288" i="9" a="1"/>
  <c r="I205" i="10" a="1"/>
  <c r="H26" i="8" a="1"/>
  <c r="J240" i="9" a="1"/>
  <c r="K63" i="10" a="1"/>
  <c r="H13" i="8" a="1"/>
  <c r="L168" i="9" a="1"/>
  <c r="I259" i="10" a="1"/>
  <c r="H147" i="8" a="1"/>
  <c r="I246" i="10" a="1"/>
  <c r="K296" i="10" a="1"/>
  <c r="I250" i="10" a="1"/>
  <c r="L12" i="9" a="1"/>
  <c r="L264" i="9" a="1"/>
  <c r="L201" i="9" a="1"/>
  <c r="U42" i="6" a="1"/>
  <c r="K162" i="10" a="1"/>
  <c r="K165" i="10" a="1"/>
  <c r="I212" i="10" a="1"/>
  <c r="U256" i="6" a="1"/>
  <c r="K359" i="10" a="1"/>
  <c r="K324" i="10" a="1"/>
  <c r="J36" i="9" a="1"/>
  <c r="I335" i="10" a="1"/>
  <c r="H53" i="8" a="1"/>
  <c r="I317" i="10" a="1"/>
  <c r="K523" i="10" a="1"/>
  <c r="K92" i="10" a="1"/>
  <c r="I488" i="10" a="1"/>
  <c r="I504" i="10" a="1"/>
  <c r="K198" i="10" a="1"/>
  <c r="K182" i="10" a="1"/>
  <c r="J175" i="9" a="1"/>
  <c r="I328" i="10" a="1"/>
  <c r="H131" i="8" a="1"/>
  <c r="K430" i="10" a="1"/>
  <c r="L262" i="9" a="1"/>
  <c r="K530" i="10" a="1"/>
  <c r="K464" i="10" a="1"/>
  <c r="K432" i="10" a="1"/>
  <c r="I362" i="10" a="1"/>
  <c r="K314" i="10" a="1"/>
  <c r="U118" i="6" a="1"/>
  <c r="J119" i="9" a="1"/>
  <c r="K133" i="10" a="1"/>
  <c r="H71" i="8" a="1"/>
  <c r="I193" i="10" a="1"/>
  <c r="U162" i="6" a="1"/>
  <c r="I334" i="10" a="1"/>
  <c r="L66" i="9" a="1"/>
  <c r="I168" i="10" a="1"/>
  <c r="K214" i="10" a="1"/>
  <c r="I182" i="10" a="1"/>
  <c r="U290" i="6" a="1"/>
  <c r="U25" i="6" a="1"/>
  <c r="L233" i="9" a="1"/>
  <c r="K471" i="10" a="1"/>
  <c r="J134" i="9" a="1"/>
  <c r="U160" i="6" a="1"/>
  <c r="L286" i="9" a="1"/>
  <c r="I522" i="10" a="1"/>
  <c r="K135" i="10" a="1"/>
  <c r="L50" i="9" a="1"/>
  <c r="J75" i="9" a="1"/>
  <c r="U235" i="6" a="1"/>
  <c r="U232" i="6" a="1"/>
  <c r="L87" i="9" a="1"/>
  <c r="K53" i="10" a="1"/>
  <c r="K236" i="10" a="1"/>
  <c r="H76" i="8" a="1"/>
  <c r="L291" i="9" a="1"/>
  <c r="J228" i="9" a="1"/>
  <c r="K514" i="10" a="1"/>
  <c r="K438" i="10" a="1"/>
  <c r="I64" i="10" a="1"/>
  <c r="H80" i="8" a="1"/>
  <c r="L178" i="9" a="1"/>
  <c r="J259" i="9" a="1"/>
  <c r="U292" i="6" a="1"/>
  <c r="U9" i="6" a="1"/>
  <c r="H96" i="8" a="1"/>
  <c r="U116" i="6" a="1"/>
  <c r="I532" i="10" a="1"/>
  <c r="I496" i="10" a="1"/>
  <c r="U87" i="6" a="1"/>
  <c r="I409" i="10" a="1"/>
  <c r="K142" i="10" a="1"/>
  <c r="K6" i="10" a="1"/>
  <c r="K20" i="10" a="1"/>
  <c r="K224" i="10" a="1"/>
  <c r="L223" i="9" a="1"/>
  <c r="U129" i="6" a="1"/>
  <c r="K308" i="10" a="1"/>
  <c r="U69" i="6" a="1"/>
  <c r="U206" i="6" a="1"/>
  <c r="U169" i="6" a="1"/>
  <c r="K256" i="10" a="1"/>
  <c r="L71" i="9" a="1"/>
  <c r="H39" i="8" a="1"/>
  <c r="I164" i="10" a="1"/>
  <c r="U112" i="6" a="1"/>
  <c r="I253" i="10" a="1"/>
  <c r="H97" i="8" a="1"/>
  <c r="I31" i="10" a="1"/>
  <c r="U75" i="6" a="1"/>
  <c r="K156" i="10" a="1"/>
  <c r="K118" i="10" a="1"/>
  <c r="H182" i="8" a="1"/>
  <c r="K375" i="10" a="1"/>
  <c r="I215" i="10" a="1"/>
  <c r="J31" i="9" a="1"/>
  <c r="J62" i="9" a="1"/>
  <c r="K71" i="10" a="1"/>
  <c r="L192" i="9" a="1"/>
  <c r="K459" i="10" a="1"/>
  <c r="L92" i="9" a="1"/>
  <c r="H66" i="8" a="1"/>
  <c r="K421" i="10" a="1"/>
  <c r="L270" i="9" a="1"/>
  <c r="U282" i="6" a="1"/>
  <c r="I454" i="10" a="1"/>
  <c r="K473" i="10" a="1"/>
  <c r="L247" i="9" a="1"/>
  <c r="I463" i="10" a="1"/>
  <c r="H164" i="8" a="1"/>
  <c r="H19" i="8" a="1"/>
  <c r="K197" i="10" a="1"/>
  <c r="J325" i="9" a="1"/>
  <c r="I382" i="10" a="1"/>
  <c r="K389" i="10" a="1"/>
  <c r="K518" i="10" a="1"/>
  <c r="K288" i="10" a="1"/>
  <c r="L316" i="9" a="1"/>
  <c r="I450" i="10" a="1"/>
  <c r="U271" i="6" a="1"/>
  <c r="K25" i="10" a="1"/>
  <c r="U126" i="6" a="1"/>
  <c r="J264" i="9" a="1"/>
  <c r="L305" i="9" a="1"/>
  <c r="J143" i="9" a="1"/>
  <c r="U204" i="6" a="1"/>
  <c r="J313" i="9" a="1"/>
  <c r="H161" i="8" a="1"/>
  <c r="I53" i="10" a="1"/>
  <c r="L275" i="9" a="1"/>
  <c r="U286" i="6" a="1"/>
  <c r="I451" i="10" a="1"/>
  <c r="H85" i="8" a="1"/>
  <c r="U67" i="6" a="1"/>
  <c r="U311" i="6" a="1"/>
  <c r="J51" i="9" a="1"/>
  <c r="J61" i="9" a="1"/>
  <c r="K111" i="10" a="1"/>
  <c r="K144" i="10" a="1"/>
  <c r="I297" i="10" a="1"/>
  <c r="U12" i="6" a="1"/>
  <c r="J191" i="9" a="1"/>
  <c r="K301" i="10" a="1"/>
  <c r="K456" i="10" a="1"/>
  <c r="J45" i="9" a="1"/>
  <c r="I211" i="10" a="1"/>
  <c r="I466" i="10" a="1"/>
  <c r="U220" i="6" a="1"/>
  <c r="K481" i="10" a="1"/>
  <c r="L308" i="9" a="1"/>
  <c r="I422" i="10" a="1"/>
  <c r="U287" i="6" a="1"/>
  <c r="I367" i="10" a="1"/>
  <c r="K489" i="10" a="1"/>
  <c r="H65" i="8" a="1"/>
  <c r="U166" i="6" a="1"/>
  <c r="J84" i="9" a="1"/>
  <c r="I158" i="10" a="1"/>
  <c r="I30" i="10" a="1"/>
  <c r="U281" i="6" a="1"/>
  <c r="I183" i="10" a="1"/>
  <c r="L17" i="9" a="1"/>
  <c r="I117" i="10" a="1"/>
  <c r="L16" i="9" a="1"/>
  <c r="L146" i="9" a="1"/>
  <c r="U309" i="6" a="1"/>
  <c r="H81" i="8" a="1"/>
  <c r="I63" i="10" a="1"/>
  <c r="L95" i="9" a="1"/>
  <c r="L101" i="9" a="1"/>
  <c r="L214" i="9" a="1"/>
  <c r="K536" i="10" a="1"/>
  <c r="U105" i="6" a="1"/>
  <c r="H155" i="8" a="1"/>
  <c r="I457" i="10" a="1"/>
  <c r="K226" i="10" a="1"/>
  <c r="L134" i="9" a="1"/>
  <c r="I147" i="10" a="1"/>
  <c r="L227" i="9" a="1"/>
  <c r="L46" i="9" a="1"/>
  <c r="I405" i="10" a="1"/>
  <c r="I398" i="10" a="1"/>
  <c r="L111" i="9" a="1"/>
  <c r="I11" i="10" a="1"/>
  <c r="I323" i="10" a="1"/>
  <c r="K374" i="10" a="1"/>
  <c r="I21" i="10" a="1"/>
  <c r="I452" i="10" a="1"/>
  <c r="J105" i="9" a="1"/>
  <c r="L63" i="9" a="1"/>
  <c r="I380" i="10" a="1"/>
  <c r="U313" i="6" a="1"/>
  <c r="U227" i="6" a="1"/>
  <c r="I88" i="10" a="1"/>
  <c r="I166" i="10" a="1"/>
  <c r="K115" i="10" a="1"/>
  <c r="J182" i="9" a="1"/>
  <c r="K21" i="10" a="1"/>
  <c r="U190" i="6" a="1"/>
  <c r="K342" i="10" a="1"/>
  <c r="U151" i="6" a="1"/>
  <c r="L48" i="9" a="1"/>
  <c r="J312" i="9" a="1"/>
  <c r="J104" i="9" a="1"/>
  <c r="I198" i="10" a="1"/>
  <c r="I423" i="10" a="1"/>
  <c r="K13" i="10" a="1"/>
  <c r="H166" i="8" a="1"/>
  <c r="J79" i="9" a="1"/>
  <c r="U76" i="6" a="1"/>
  <c r="I339" i="10" a="1"/>
  <c r="U268" i="6" a="1"/>
  <c r="J41" i="9" a="1"/>
  <c r="K79" i="10" a="1"/>
  <c r="L330" i="9" a="1"/>
  <c r="I271" i="10" a="1"/>
  <c r="I410" i="10" a="1"/>
  <c r="K68" i="10" a="1"/>
  <c r="K409" i="10" a="1"/>
  <c r="U201" i="6" a="1"/>
  <c r="K519" i="10" a="1"/>
  <c r="K204" i="10" a="1"/>
  <c r="K378" i="10" a="1"/>
  <c r="J319" i="9" a="1"/>
  <c r="U78" i="6" a="1"/>
  <c r="K321" i="10" a="1"/>
  <c r="K388" i="10" a="1"/>
  <c r="J85" i="9" a="1"/>
  <c r="I130" i="10" a="1"/>
  <c r="K187" i="10" a="1"/>
  <c r="I536" i="10" a="1"/>
  <c r="K339" i="10" a="1"/>
  <c r="I318" i="10" a="1"/>
  <c r="J301" i="9" a="1"/>
  <c r="J112" i="9" a="1"/>
  <c r="K449" i="10" a="1"/>
  <c r="K24" i="10" a="1"/>
  <c r="U127" i="6" a="1"/>
  <c r="U296" i="6" a="1"/>
  <c r="I445" i="10" a="1"/>
  <c r="J9" i="9" a="1"/>
  <c r="I515" i="10" a="1"/>
  <c r="J99" i="9" a="1"/>
  <c r="U303" i="6" a="1"/>
  <c r="J204" i="9" a="1"/>
  <c r="U285" i="6" a="1"/>
  <c r="L158" i="9" a="1"/>
  <c r="H171" i="8" a="1"/>
  <c r="K233" i="10" a="1"/>
  <c r="K501" i="10" a="1"/>
  <c r="I520" i="10" a="1"/>
  <c r="K240" i="10" a="1"/>
  <c r="I540" i="10" a="1"/>
  <c r="H20" i="8" a="1"/>
  <c r="J96" i="9" a="1"/>
  <c r="U272" i="6" a="1"/>
  <c r="L221" i="9" a="1"/>
  <c r="I188" i="10" a="1"/>
  <c r="U230" i="6" a="1"/>
  <c r="L118" i="9" a="1"/>
  <c r="I227" i="10" a="1"/>
  <c r="I45" i="10" a="1"/>
  <c r="K360" i="10" a="1"/>
  <c r="I375" i="10" a="1"/>
  <c r="L20" i="9" a="1"/>
  <c r="L57" i="9" a="1"/>
  <c r="H172" i="8" a="1"/>
  <c r="I309" i="10" a="1"/>
  <c r="U121" i="6" a="1"/>
  <c r="I23" i="10" a="1"/>
  <c r="H43" i="8" a="1"/>
  <c r="K387" i="10" a="1"/>
  <c r="L218" i="9" a="1"/>
  <c r="U84" i="6" a="1"/>
  <c r="U53" i="6" a="1"/>
  <c r="J12" i="9" a="1"/>
  <c r="U92" i="6" a="1"/>
  <c r="I337" i="10" a="1"/>
  <c r="K42" i="10" a="1"/>
  <c r="I226" i="10" a="1"/>
  <c r="L138" i="9" a="1"/>
  <c r="K529" i="10" a="1"/>
  <c r="I80" i="10" a="1"/>
  <c r="K55" i="10" a="1"/>
  <c r="L282" i="9" a="1"/>
  <c r="K44" i="10" a="1"/>
  <c r="I507" i="10" a="1"/>
  <c r="J170" i="9" a="1"/>
  <c r="I114" i="10" a="1"/>
  <c r="H120" i="8" a="1"/>
  <c r="U302" i="6" a="1"/>
  <c r="U106" i="6" a="1"/>
  <c r="U211" i="6" a="1"/>
  <c r="J58" i="9" a="1"/>
  <c r="J89" i="9" a="1"/>
  <c r="U306" i="6" a="1"/>
  <c r="I269" i="10" a="1"/>
  <c r="I529" i="10" a="1"/>
  <c r="I267" i="10" a="1"/>
  <c r="I15" i="10" a="1"/>
  <c r="L100" i="9" a="1"/>
  <c r="K380" i="10" a="1"/>
  <c r="U178" i="6" a="1"/>
  <c r="K122" i="10" a="1"/>
  <c r="J335" i="9" a="1"/>
  <c r="U19" i="6" a="1"/>
  <c r="L314" i="9" a="1"/>
  <c r="K252" i="10" a="1"/>
  <c r="K9" i="10" a="1"/>
  <c r="H84" i="8" a="1"/>
  <c r="L320" i="9" a="1"/>
  <c r="I270" i="10" a="1"/>
  <c r="I151" i="10" a="1"/>
  <c r="K128" i="10" a="1"/>
  <c r="K272" i="10" a="1"/>
  <c r="L121" i="9" a="1"/>
  <c r="J285" i="9" a="1"/>
  <c r="U205" i="6" a="1"/>
  <c r="L45" i="9" a="1"/>
  <c r="J101" i="9" a="1"/>
  <c r="I230" i="10" a="1"/>
  <c r="I222" i="10" a="1"/>
  <c r="J108" i="9" a="1"/>
  <c r="I217" i="10" a="1"/>
  <c r="K525" i="10" a="1"/>
  <c r="K313" i="10" a="1"/>
  <c r="I326" i="10" a="1"/>
  <c r="J284" i="9" a="1"/>
  <c r="H125" i="8" a="1"/>
  <c r="H137" i="8" a="1"/>
  <c r="U113" i="6" a="1"/>
  <c r="K407" i="10" a="1"/>
  <c r="U300" i="6" a="1"/>
  <c r="K180" i="10" a="1"/>
  <c r="U248" i="6" a="1"/>
  <c r="U36" i="6" a="1"/>
  <c r="U14" i="6" a="1"/>
  <c r="U173" i="6" a="1"/>
  <c r="I195" i="10" a="1"/>
  <c r="I322" i="10" a="1"/>
  <c r="I366" i="10" a="1"/>
  <c r="I481" i="10" a="1"/>
  <c r="L335" i="9" a="1"/>
  <c r="K186" i="10" a="1"/>
  <c r="U315" i="6" a="1"/>
  <c r="U11" i="6" a="1"/>
  <c r="U58" i="6" a="1"/>
  <c r="U132" i="6" a="1"/>
  <c r="K34" i="10" a="1"/>
  <c r="U245" i="6" a="1"/>
  <c r="U189" i="6" a="1"/>
  <c r="I378" i="10" a="1"/>
  <c r="I475" i="10" a="1"/>
  <c r="L234" i="9" a="1"/>
  <c r="I330" i="10" a="1"/>
  <c r="J295" i="9" a="1"/>
  <c r="L224" i="9" a="1"/>
  <c r="K330" i="10" a="1"/>
  <c r="L105" i="9" a="1"/>
  <c r="K172" i="10" a="1"/>
  <c r="I115" i="10" a="1"/>
  <c r="J49" i="9" a="1"/>
  <c r="U270" i="6" a="1"/>
  <c r="H117" i="8" a="1"/>
  <c r="K426" i="10" a="1"/>
  <c r="U100" i="6" a="1"/>
  <c r="J188" i="9" a="1"/>
  <c r="I126" i="10" a="1"/>
  <c r="L203" i="9" a="1"/>
  <c r="L185" i="9" a="1"/>
  <c r="K528" i="10" a="1"/>
  <c r="H70" i="8" a="1"/>
  <c r="I280" i="10" a="1"/>
  <c r="L148" i="9" a="1"/>
  <c r="K398" i="10" a="1"/>
  <c r="I161" i="10" a="1"/>
  <c r="U133" i="6" a="1"/>
  <c r="J246" i="9" a="1"/>
  <c r="I83" i="10" a="1"/>
  <c r="L98" i="9" a="1"/>
  <c r="I184" i="10" a="1"/>
  <c r="K439" i="10" a="1"/>
  <c r="U140" i="6" a="1"/>
  <c r="J8" i="9" a="1"/>
  <c r="J231" i="9" a="1"/>
  <c r="K136" i="10" a="1"/>
  <c r="U243" i="6" a="1"/>
  <c r="I518" i="10" a="1"/>
  <c r="K235" i="10" a="1"/>
  <c r="K248" i="10" a="1"/>
  <c r="L317" i="9" a="1"/>
  <c r="I108" i="10" a="1"/>
  <c r="J236" i="9" a="1"/>
  <c r="K341" i="10" a="1"/>
  <c r="U198" i="6" a="1"/>
  <c r="J318" i="9" a="1"/>
  <c r="K28" i="10" a="1"/>
  <c r="I435" i="10" a="1"/>
  <c r="L22" i="9" a="1"/>
  <c r="H99" i="8" a="1"/>
  <c r="L147" i="9" a="1"/>
  <c r="I308" i="10" a="1"/>
  <c r="H123" i="8" a="1"/>
  <c r="I181" i="10" a="1"/>
  <c r="I71" i="10" a="1"/>
  <c r="L24" i="9" a="1"/>
  <c r="I537" i="10" a="1"/>
  <c r="L230" i="9" a="1"/>
  <c r="L112" i="9" a="1"/>
  <c r="J266" i="9" a="1"/>
  <c r="I469" i="10" a="1"/>
  <c r="K213" i="10" a="1"/>
  <c r="J225" i="9" a="1"/>
  <c r="U314" i="6" a="1"/>
  <c r="K440" i="10" a="1"/>
  <c r="U27" i="6" a="1"/>
  <c r="U224" i="6" a="1"/>
  <c r="K312" i="10" a="1"/>
  <c r="I93" i="10" a="1"/>
  <c r="U259" i="6" a="1"/>
  <c r="K502" i="10" a="1"/>
  <c r="I101" i="10" a="1"/>
  <c r="H91" i="8" a="1"/>
  <c r="I276" i="10" a="1"/>
  <c r="K287" i="10" a="1"/>
  <c r="U66" i="6" a="1"/>
  <c r="L231" i="9" a="1"/>
  <c r="K323" i="10" a="1"/>
  <c r="K327" i="10" a="1"/>
  <c r="J158" i="9" a="1"/>
  <c r="U246" i="6" a="1"/>
  <c r="I471" i="10" a="1"/>
  <c r="U253" i="6" a="1"/>
  <c r="I468" i="10" a="1"/>
  <c r="L166" i="9" a="1"/>
  <c r="L23" i="9" a="1"/>
  <c r="L323" i="9" a="1"/>
  <c r="I122" i="10" a="1"/>
  <c r="L321" i="9" a="1"/>
  <c r="I414" i="10" a="1"/>
  <c r="K507" i="10" a="1"/>
  <c r="I33" i="10" a="1"/>
  <c r="I17" i="10" a="1"/>
  <c r="U55" i="6" a="1"/>
  <c r="J221" i="9" a="1"/>
  <c r="J200" i="9" a="1"/>
  <c r="I312" i="10" a="1"/>
  <c r="K268" i="10" a="1"/>
  <c r="U37" i="6" a="1"/>
  <c r="K372" i="10" a="1"/>
  <c r="J50" i="9" a="1"/>
  <c r="L157" i="9" a="1"/>
  <c r="L132" i="9" a="1"/>
  <c r="L266" i="9" a="1"/>
  <c r="U39" i="6" a="1"/>
  <c r="J328" i="9" a="1"/>
  <c r="K358" i="10" a="1"/>
  <c r="U222" i="6" a="1"/>
  <c r="I277" i="10" a="1"/>
  <c r="I81" i="10" a="1"/>
  <c r="I448" i="10" a="1"/>
  <c r="U196" i="6" a="1"/>
  <c r="I341" i="10" a="1"/>
  <c r="U301" i="6" a="1"/>
  <c r="U263" i="6" a="1"/>
  <c r="J27" i="9" a="1"/>
  <c r="U213" i="6" a="1"/>
  <c r="K103" i="10" a="1"/>
  <c r="K168" i="10" a="1"/>
  <c r="I237" i="10" a="1"/>
  <c r="K328" i="10" a="1"/>
  <c r="I350" i="10" a="1"/>
  <c r="J281" i="9" a="1"/>
  <c r="I28" i="10" a="1"/>
  <c r="L274" i="9" a="1"/>
  <c r="I84" i="10" a="1"/>
  <c r="K87" i="10" a="1"/>
  <c r="I306" i="10" a="1"/>
  <c r="U77" i="6" a="1"/>
  <c r="I346" i="10" a="1"/>
  <c r="H163" i="8" a="1"/>
  <c r="L188" i="9" a="1"/>
  <c r="L183" i="9" a="1"/>
  <c r="H111" i="8" a="1"/>
  <c r="L160" i="9" a="1"/>
  <c r="I439" i="10" a="1"/>
  <c r="L123" i="9" a="1"/>
  <c r="K159" i="10" a="1"/>
  <c r="H122" i="8" a="1"/>
  <c r="I165" i="10" a="1"/>
  <c r="I26" i="10" a="1"/>
  <c r="L204" i="9" a="1"/>
  <c r="U155" i="6" a="1"/>
  <c r="J287" i="9" a="1"/>
  <c r="H56" i="8" a="1"/>
  <c r="K47" i="10" a="1"/>
  <c r="I50" i="10" a="1"/>
  <c r="K540" i="10" a="1"/>
  <c r="L11" i="9" a="1"/>
  <c r="U183" i="6" a="1"/>
  <c r="I340" i="10" a="1"/>
  <c r="I509" i="10" a="1"/>
  <c r="K356" i="10" a="1"/>
  <c r="J137" i="9" a="1"/>
  <c r="I99" i="10" a="1"/>
  <c r="J297" i="9" a="1"/>
  <c r="I16" i="10" a="1"/>
  <c r="K472" i="10" a="1"/>
  <c r="K495" i="10" a="1"/>
  <c r="L9" i="9" a="1"/>
  <c r="H60" i="8" a="1"/>
  <c r="K113" i="10" a="1"/>
  <c r="I242" i="10" a="1"/>
  <c r="U297" i="6" a="1"/>
  <c r="U146" i="6" a="1"/>
  <c r="K190" i="10" a="1"/>
  <c r="K61" i="10" a="1"/>
  <c r="K293" i="10" a="1"/>
  <c r="L128" i="9" a="1"/>
  <c r="I79" i="10" a="1"/>
  <c r="H72" i="8" a="1"/>
  <c r="H9" i="8" a="1"/>
  <c r="K281" i="10" a="1"/>
  <c r="J77" i="9" a="1"/>
  <c r="I245" i="10" a="1"/>
  <c r="K150" i="10" a="1"/>
  <c r="K482" i="10" a="1"/>
  <c r="H58" i="8" a="1"/>
  <c r="U258" i="6" a="1"/>
  <c r="L296" i="9" a="1"/>
  <c r="U299" i="6" a="1"/>
  <c r="J153" i="9" a="1"/>
  <c r="J262" i="9" a="1"/>
  <c r="H44" i="8" a="1"/>
  <c r="J241" i="9" a="1"/>
  <c r="K230" i="10" a="1"/>
  <c r="H49" i="8" a="1"/>
  <c r="L259" i="9" a="1"/>
  <c r="H134" i="8" a="1"/>
  <c r="K88" i="10" a="1"/>
  <c r="L236" i="9" a="1"/>
  <c r="I41" i="10" a="1"/>
  <c r="I467" i="10" a="1"/>
  <c r="J160" i="9" a="1"/>
  <c r="U218" i="6" a="1"/>
  <c r="U291" i="6" a="1"/>
  <c r="I180" i="10" a="1"/>
  <c r="J82" i="9" a="1"/>
  <c r="I394" i="10" a="1"/>
  <c r="L200" i="9" a="1"/>
  <c r="J125" i="9" a="1"/>
  <c r="I85" i="10" a="1"/>
  <c r="L143" i="9" a="1"/>
  <c r="K177" i="10" a="1"/>
  <c r="K106" i="10" a="1"/>
  <c r="K461" i="10" a="1"/>
  <c r="L91" i="9" a="1"/>
  <c r="K292" i="10" a="1"/>
  <c r="L181" i="9" a="1"/>
  <c r="L289" i="9" a="1"/>
  <c r="J21" i="9" a="1"/>
  <c r="I314" i="10" a="1"/>
  <c r="K30" i="10" a="1"/>
  <c r="H116" i="8" a="1"/>
  <c r="I298" i="10" a="1"/>
  <c r="L322" i="9" a="1"/>
  <c r="J202" i="9" a="1"/>
  <c r="K477" i="10" a="1"/>
  <c r="J149" i="9" a="1"/>
  <c r="I96" i="10" a="1"/>
  <c r="I135" i="10" a="1"/>
  <c r="K343" i="10" a="1"/>
  <c r="I281" i="10" a="1"/>
  <c r="I233" i="10" a="1"/>
  <c r="U269" i="6" a="1"/>
  <c r="J291" i="9" a="1"/>
  <c r="J329" i="9" a="1"/>
  <c r="I59" i="10" a="1"/>
  <c r="H77" i="8" a="1"/>
  <c r="I545" i="10" a="1"/>
  <c r="K475" i="10" a="1"/>
  <c r="J127" i="9" a="1"/>
  <c r="U59" i="6" a="1"/>
  <c r="K443" i="10" a="1"/>
  <c r="K10" i="10" a="1"/>
  <c r="U181" i="6" a="1"/>
  <c r="I395" i="10" a="1"/>
  <c r="K80" i="10" a="1"/>
  <c r="H104" i="8" a="1"/>
  <c r="I191" i="10" a="1"/>
  <c r="I348" i="10" a="1"/>
  <c r="I22" i="10" a="1"/>
  <c r="J148" i="9" a="1"/>
  <c r="I98" i="10" a="1"/>
  <c r="J14" i="9" a="1"/>
  <c r="I146" i="10" a="1"/>
  <c r="L40" i="9" a="1"/>
  <c r="I9" i="10" a="1"/>
  <c r="I479" i="10" a="1"/>
  <c r="J32" i="9" a="1"/>
  <c r="H86" i="8" a="1"/>
  <c r="I24" i="10" a="1"/>
  <c r="J98" i="9" a="1"/>
  <c r="I497" i="10" a="1"/>
  <c r="K49" i="10" a="1"/>
  <c r="H112" i="8" a="1"/>
  <c r="I283" i="10" a="1"/>
  <c r="K280" i="10" a="1"/>
  <c r="K401" i="10" a="1"/>
  <c r="K344" i="10" a="1"/>
  <c r="I386" i="10" a="1"/>
  <c r="I512" i="10" a="1"/>
  <c r="L75" i="9" a="1"/>
  <c r="U221" i="6" a="1"/>
  <c r="H141" i="8" a="1"/>
  <c r="K234" i="10" a="1"/>
  <c r="J270" i="9" a="1"/>
  <c r="K412" i="10" a="1"/>
  <c r="L154" i="9" a="1"/>
  <c r="L18" i="9" a="1"/>
  <c r="H33" i="8" a="1"/>
  <c r="L135" i="9" a="1"/>
  <c r="J290" i="9" a="1"/>
  <c r="K140" i="10" a="1"/>
  <c r="U260" i="6" a="1"/>
  <c r="L292" i="9" a="1"/>
  <c r="I274" i="10" a="1"/>
  <c r="K158" i="10" a="1"/>
  <c r="I462" i="10" a="1"/>
  <c r="I343" i="10" a="1"/>
  <c r="L244" i="9" a="1"/>
  <c r="K146" i="10" a="1"/>
  <c r="U60" i="6" a="1"/>
  <c r="J28" i="9" a="1"/>
  <c r="I492" i="10" a="1"/>
  <c r="K70" i="10" a="1"/>
  <c r="J186" i="9" a="1"/>
  <c r="I333" i="10" a="1"/>
  <c r="I136" i="10" a="1"/>
  <c r="I446" i="10" a="1"/>
  <c r="H184" i="8" a="1"/>
  <c r="I43" i="10" a="1"/>
  <c r="U94" i="6" a="1"/>
  <c r="K400" i="10" a="1"/>
  <c r="I55" i="10" a="1"/>
  <c r="K282" i="10" a="1"/>
  <c r="K7" i="10" a="1"/>
  <c r="H46" i="8" a="1"/>
  <c r="I25" i="10" a="1"/>
  <c r="U73" i="6" a="1"/>
  <c r="I478" i="10" a="1"/>
  <c r="K43" i="10" a="1"/>
  <c r="I499" i="10" a="1"/>
  <c r="L307" i="9" a="1"/>
  <c r="U277" i="6" a="1"/>
  <c r="L306" i="9" a="1"/>
  <c r="I436" i="10" a="1"/>
  <c r="K121" i="10" a="1"/>
  <c r="K411" i="10" a="1"/>
  <c r="K506" i="10" a="1"/>
  <c r="K445" i="10" a="1"/>
  <c r="K152" i="10" a="1"/>
  <c r="U96" i="6" a="1"/>
  <c r="I379" i="10" a="1"/>
  <c r="I456" i="10" a="1"/>
  <c r="J324" i="9" a="1"/>
  <c r="I178" i="10" a="1"/>
  <c r="L69" i="9" a="1"/>
  <c r="J163" i="9" a="1"/>
  <c r="K231" i="10" a="1"/>
  <c r="U147" i="6" a="1"/>
  <c r="K544" i="10" a="1"/>
  <c r="U164" i="6" a="1"/>
  <c r="I390" i="10" a="1"/>
  <c r="J11" i="9" a="1"/>
  <c r="J193" i="9" a="1"/>
  <c r="L250" i="9" a="1"/>
  <c r="K50" i="10" a="1"/>
  <c r="L139" i="9" a="1"/>
  <c r="K267" i="10" a="1"/>
  <c r="U65" i="6" a="1"/>
  <c r="I134" i="10" a="1"/>
  <c r="I268" i="10" a="1"/>
  <c r="K533" i="10" a="1"/>
  <c r="H69" i="8" a="1"/>
  <c r="I357" i="10" a="1"/>
  <c r="L173" i="9" a="1"/>
  <c r="J288" i="9" a="1"/>
  <c r="J253" i="9" a="1"/>
  <c r="K527" i="10" a="1"/>
  <c r="J206" i="9" a="1"/>
  <c r="I397" i="10" a="1"/>
  <c r="I66" i="10" a="1"/>
  <c r="H159" i="8" a="1"/>
  <c r="J123" i="9" a="1"/>
  <c r="J214" i="9" a="1"/>
  <c r="J222" i="9" a="1"/>
  <c r="I8" i="10" a="1"/>
  <c r="J320" i="9" a="1"/>
  <c r="H160" i="8" a="1"/>
  <c r="K134" i="10" a="1"/>
  <c r="J263" i="9" a="1"/>
  <c r="K16" i="10" a="1"/>
  <c r="L99" i="9" a="1"/>
  <c r="K357" i="10" a="1"/>
  <c r="K101" i="10" a="1"/>
  <c r="K173" i="10" a="1"/>
  <c r="L152" i="9" a="1"/>
  <c r="K478" i="10" a="1"/>
  <c r="H170" i="8" a="1"/>
  <c r="I392" i="10" a="1"/>
  <c r="J179" i="9" a="1"/>
  <c r="K309" i="10" a="1"/>
  <c r="L53" i="9" a="1"/>
  <c r="J223" i="9" a="1"/>
  <c r="J136" i="9" a="1"/>
  <c r="I241" i="10" a="1"/>
  <c r="U279" i="6" a="1"/>
  <c r="L298" i="9" a="1"/>
  <c r="K300" i="10" a="1"/>
  <c r="J224" i="9" a="1"/>
  <c r="K485" i="10" a="1"/>
  <c r="J289" i="9" a="1"/>
  <c r="U99" i="6" a="1"/>
  <c r="I91" i="10" a="1"/>
  <c r="U142" i="6" a="1"/>
  <c r="L44" i="9" a="1"/>
  <c r="I239" i="10" a="1"/>
  <c r="J19" i="9" a="1"/>
  <c r="L327" i="9" a="1"/>
  <c r="I125" i="10" a="1"/>
  <c r="K345" i="10" a="1"/>
  <c r="I500" i="10" a="1"/>
  <c r="U208" i="6" a="1"/>
  <c r="J187" i="9" a="1"/>
  <c r="L199" i="9" a="1"/>
  <c r="I104" i="10" a="1"/>
  <c r="K52" i="10" a="1"/>
  <c r="U91" i="6" a="1"/>
  <c r="I443" i="10" a="1"/>
  <c r="I523" i="10" a="1"/>
  <c r="U111" i="6" a="1"/>
  <c r="K276" i="10" a="1"/>
  <c r="H73" i="8" a="1"/>
  <c r="J255" i="9" a="1"/>
  <c r="J37" i="9" a="1"/>
  <c r="K479" i="10" a="1"/>
  <c r="I228" i="10" a="1"/>
  <c r="I440" i="10" a="1"/>
  <c r="K319" i="10" a="1"/>
  <c r="K319" i="10" l="1"/>
  <c r="I440" i="10"/>
  <c r="I228" i="10"/>
  <c r="K479" i="10"/>
  <c r="J37" i="9"/>
  <c r="K37" i="9" s="1"/>
  <c r="J255" i="9"/>
  <c r="K255" i="9" s="1"/>
  <c r="H73" i="8"/>
  <c r="K276" i="10"/>
  <c r="U111" i="6"/>
  <c r="I523" i="10"/>
  <c r="I443" i="10"/>
  <c r="U91" i="6"/>
  <c r="K52" i="10"/>
  <c r="I104" i="10"/>
  <c r="L199" i="9"/>
  <c r="J187" i="9"/>
  <c r="K187" i="9" s="1"/>
  <c r="U208" i="6"/>
  <c r="I500" i="10"/>
  <c r="K345" i="10"/>
  <c r="I125" i="10"/>
  <c r="L327" i="9"/>
  <c r="J19" i="9"/>
  <c r="K19" i="9" s="1"/>
  <c r="I239" i="10"/>
  <c r="L44" i="9"/>
  <c r="U142" i="6"/>
  <c r="I91" i="10"/>
  <c r="U99" i="6"/>
  <c r="J289" i="9"/>
  <c r="K289" i="9" s="1"/>
  <c r="K485" i="10"/>
  <c r="J224" i="9"/>
  <c r="K224" i="9" s="1"/>
  <c r="K300" i="10"/>
  <c r="L298" i="9"/>
  <c r="U279" i="6"/>
  <c r="I241" i="10"/>
  <c r="J136" i="9"/>
  <c r="K136" i="9" s="1"/>
  <c r="J223" i="9"/>
  <c r="K223" i="9" s="1"/>
  <c r="L53" i="9"/>
  <c r="K309" i="10"/>
  <c r="J179" i="9"/>
  <c r="K179" i="9" s="1"/>
  <c r="I392" i="10"/>
  <c r="H170" i="8"/>
  <c r="K478" i="10"/>
  <c r="L152" i="9"/>
  <c r="K173" i="10"/>
  <c r="K101" i="10"/>
  <c r="K357" i="10"/>
  <c r="L99" i="9"/>
  <c r="K16" i="10"/>
  <c r="J263" i="9"/>
  <c r="K263" i="9" s="1"/>
  <c r="K134" i="10"/>
  <c r="H160" i="8"/>
  <c r="J320" i="9"/>
  <c r="K320" i="9" s="1"/>
  <c r="I8" i="10"/>
  <c r="J222" i="9"/>
  <c r="K222" i="9" s="1"/>
  <c r="J214" i="9"/>
  <c r="K214" i="9" s="1"/>
  <c r="J123" i="9"/>
  <c r="K123" i="9" s="1"/>
  <c r="H159" i="8"/>
  <c r="I66" i="10"/>
  <c r="I397" i="10"/>
  <c r="J206" i="9"/>
  <c r="K206" i="9" s="1"/>
  <c r="K527" i="10"/>
  <c r="J253" i="9"/>
  <c r="K253" i="9" s="1"/>
  <c r="J288" i="9"/>
  <c r="K288" i="9" s="1"/>
  <c r="L173" i="9"/>
  <c r="I357" i="10"/>
  <c r="H69" i="8"/>
  <c r="K533" i="10"/>
  <c r="I268" i="10"/>
  <c r="I134" i="10"/>
  <c r="U65" i="6"/>
  <c r="K267" i="10"/>
  <c r="L139" i="9"/>
  <c r="K50" i="10"/>
  <c r="L250" i="9"/>
  <c r="J193" i="9"/>
  <c r="K193" i="9" s="1"/>
  <c r="J11" i="9"/>
  <c r="K11" i="9" s="1"/>
  <c r="I390" i="10"/>
  <c r="U164" i="6"/>
  <c r="K544" i="10"/>
  <c r="U147" i="6"/>
  <c r="K231" i="10"/>
  <c r="J163" i="9"/>
  <c r="K163" i="9" s="1"/>
  <c r="L69" i="9"/>
  <c r="I178" i="10"/>
  <c r="J324" i="9"/>
  <c r="K324" i="9" s="1"/>
  <c r="I456" i="10"/>
  <c r="I379" i="10"/>
  <c r="U96" i="6"/>
  <c r="K152" i="10"/>
  <c r="K445" i="10"/>
  <c r="K506" i="10"/>
  <c r="K411" i="10"/>
  <c r="K121" i="10"/>
  <c r="I436" i="10"/>
  <c r="L306" i="9"/>
  <c r="U277" i="6"/>
  <c r="L307" i="9"/>
  <c r="I499" i="10"/>
  <c r="K43" i="10"/>
  <c r="I478" i="10"/>
  <c r="U73" i="6"/>
  <c r="I25" i="10"/>
  <c r="H46" i="8"/>
  <c r="K7" i="10"/>
  <c r="K282" i="10"/>
  <c r="I55" i="10"/>
  <c r="K400" i="10"/>
  <c r="U94" i="6"/>
  <c r="I43" i="10"/>
  <c r="H184" i="8"/>
  <c r="I446" i="10"/>
  <c r="I136" i="10"/>
  <c r="I333" i="10"/>
  <c r="J186" i="9"/>
  <c r="K186" i="9" s="1"/>
  <c r="K70" i="10"/>
  <c r="I492" i="10"/>
  <c r="J28" i="9"/>
  <c r="K28" i="9" s="1"/>
  <c r="U60" i="6"/>
  <c r="K146" i="10"/>
  <c r="L244" i="9"/>
  <c r="I343" i="10"/>
  <c r="I462" i="10"/>
  <c r="K158" i="10"/>
  <c r="I274" i="10"/>
  <c r="L292" i="9"/>
  <c r="U260" i="6"/>
  <c r="K140" i="10"/>
  <c r="J290" i="9"/>
  <c r="K290" i="9" s="1"/>
  <c r="L135" i="9"/>
  <c r="H33" i="8"/>
  <c r="L18" i="9"/>
  <c r="L154" i="9"/>
  <c r="K412" i="10"/>
  <c r="J270" i="9"/>
  <c r="K270" i="9" s="1"/>
  <c r="K234" i="10"/>
  <c r="H141" i="8"/>
  <c r="U221" i="6"/>
  <c r="L75" i="9"/>
  <c r="I512" i="10"/>
  <c r="I386" i="10"/>
  <c r="K344" i="10"/>
  <c r="K401" i="10"/>
  <c r="K280" i="10"/>
  <c r="I283" i="10"/>
  <c r="H112" i="8"/>
  <c r="K49" i="10"/>
  <c r="I497" i="10"/>
  <c r="J98" i="9"/>
  <c r="K98" i="9" s="1"/>
  <c r="I24" i="10"/>
  <c r="H86" i="8"/>
  <c r="J32" i="9"/>
  <c r="K32" i="9" s="1"/>
  <c r="I479" i="10"/>
  <c r="I9" i="10"/>
  <c r="L40" i="9"/>
  <c r="I146" i="10"/>
  <c r="J14" i="9"/>
  <c r="K14" i="9" s="1"/>
  <c r="I98" i="10"/>
  <c r="J148" i="9"/>
  <c r="K148" i="9" s="1"/>
  <c r="I22" i="10"/>
  <c r="I348" i="10"/>
  <c r="I191" i="10"/>
  <c r="H104" i="8"/>
  <c r="K80" i="10"/>
  <c r="I395" i="10"/>
  <c r="U181" i="6"/>
  <c r="K10" i="10"/>
  <c r="K443" i="10"/>
  <c r="U59" i="6"/>
  <c r="J127" i="9"/>
  <c r="K127" i="9" s="1"/>
  <c r="K475" i="10"/>
  <c r="I545" i="10"/>
  <c r="H77" i="8"/>
  <c r="I59" i="10"/>
  <c r="J329" i="9"/>
  <c r="K329" i="9" s="1"/>
  <c r="J291" i="9"/>
  <c r="K291" i="9" s="1"/>
  <c r="U269" i="6"/>
  <c r="I233" i="10"/>
  <c r="I281" i="10"/>
  <c r="K343" i="10"/>
  <c r="I135" i="10"/>
  <c r="I96" i="10"/>
  <c r="J149" i="9"/>
  <c r="K149" i="9" s="1"/>
  <c r="K477" i="10"/>
  <c r="J202" i="9"/>
  <c r="K202" i="9" s="1"/>
  <c r="L322" i="9"/>
  <c r="I298" i="10"/>
  <c r="H116" i="8"/>
  <c r="K30" i="10"/>
  <c r="I314" i="10"/>
  <c r="J21" i="9"/>
  <c r="K21" i="9" s="1"/>
  <c r="L289" i="9"/>
  <c r="L181" i="9"/>
  <c r="K292" i="10"/>
  <c r="L91" i="9"/>
  <c r="K461" i="10"/>
  <c r="K106" i="10"/>
  <c r="K177" i="10"/>
  <c r="L143" i="9"/>
  <c r="I85" i="10"/>
  <c r="J125" i="9"/>
  <c r="K125" i="9" s="1"/>
  <c r="L200" i="9"/>
  <c r="I394" i="10"/>
  <c r="J82" i="9"/>
  <c r="K82" i="9" s="1"/>
  <c r="I180" i="10"/>
  <c r="U291" i="6"/>
  <c r="U218" i="6"/>
  <c r="J160" i="9"/>
  <c r="K160" i="9" s="1"/>
  <c r="I467" i="10"/>
  <c r="I41" i="10"/>
  <c r="L236" i="9"/>
  <c r="K88" i="10"/>
  <c r="H134" i="8"/>
  <c r="L259" i="9"/>
  <c r="H49" i="8"/>
  <c r="K230" i="10"/>
  <c r="J241" i="9"/>
  <c r="K241" i="9" s="1"/>
  <c r="H44" i="8"/>
  <c r="J262" i="9"/>
  <c r="K262" i="9" s="1"/>
  <c r="J153" i="9"/>
  <c r="K153" i="9" s="1"/>
  <c r="U299" i="6"/>
  <c r="L296" i="9"/>
  <c r="U258" i="6"/>
  <c r="H58" i="8"/>
  <c r="K482" i="10"/>
  <c r="K150" i="10"/>
  <c r="I245" i="10"/>
  <c r="J77" i="9"/>
  <c r="K77" i="9" s="1"/>
  <c r="K281" i="10"/>
  <c r="H9" i="8"/>
  <c r="H72" i="8"/>
  <c r="I79" i="10"/>
  <c r="L128" i="9"/>
  <c r="K293" i="10"/>
  <c r="K61" i="10"/>
  <c r="K190" i="10"/>
  <c r="U146" i="6"/>
  <c r="U297" i="6"/>
  <c r="I242" i="10"/>
  <c r="K113" i="10"/>
  <c r="H60" i="8"/>
  <c r="L9" i="9"/>
  <c r="K495" i="10"/>
  <c r="K472" i="10"/>
  <c r="I16" i="10"/>
  <c r="J297" i="9"/>
  <c r="K297" i="9" s="1"/>
  <c r="I99" i="10"/>
  <c r="J137" i="9"/>
  <c r="K137" i="9" s="1"/>
  <c r="K356" i="10"/>
  <c r="I509" i="10"/>
  <c r="I340" i="10"/>
  <c r="U183" i="6"/>
  <c r="L11" i="9"/>
  <c r="K540" i="10"/>
  <c r="I50" i="10"/>
  <c r="K47" i="10"/>
  <c r="H56" i="8"/>
  <c r="J287" i="9"/>
  <c r="K287" i="9" s="1"/>
  <c r="U155" i="6"/>
  <c r="L204" i="9"/>
  <c r="I26" i="10"/>
  <c r="I165" i="10"/>
  <c r="H122" i="8"/>
  <c r="K159" i="10"/>
  <c r="L123" i="9"/>
  <c r="I439" i="10"/>
  <c r="L160" i="9"/>
  <c r="H111" i="8"/>
  <c r="L183" i="9"/>
  <c r="L188" i="9"/>
  <c r="H163" i="8"/>
  <c r="I346" i="10"/>
  <c r="U77" i="6"/>
  <c r="I306" i="10"/>
  <c r="K87" i="10"/>
  <c r="I84" i="10"/>
  <c r="L274" i="9"/>
  <c r="I28" i="10"/>
  <c r="J281" i="9"/>
  <c r="K281" i="9" s="1"/>
  <c r="I350" i="10"/>
  <c r="K328" i="10"/>
  <c r="I237" i="10"/>
  <c r="K168" i="10"/>
  <c r="K103" i="10"/>
  <c r="U213" i="6"/>
  <c r="J27" i="9"/>
  <c r="K27" i="9" s="1"/>
  <c r="U263" i="6"/>
  <c r="U301" i="6"/>
  <c r="I341" i="10"/>
  <c r="U196" i="6"/>
  <c r="I448" i="10"/>
  <c r="I81" i="10"/>
  <c r="I277" i="10"/>
  <c r="U222" i="6"/>
  <c r="K358" i="10"/>
  <c r="J328" i="9"/>
  <c r="K328" i="9" s="1"/>
  <c r="U39" i="6"/>
  <c r="L266" i="9"/>
  <c r="L132" i="9"/>
  <c r="L157" i="9"/>
  <c r="J50" i="9"/>
  <c r="K50" i="9" s="1"/>
  <c r="K372" i="10"/>
  <c r="U37" i="6"/>
  <c r="K268" i="10"/>
  <c r="I312" i="10"/>
  <c r="J200" i="9"/>
  <c r="K200" i="9" s="1"/>
  <c r="J221" i="9"/>
  <c r="K221" i="9" s="1"/>
  <c r="U55" i="6"/>
  <c r="I17" i="10"/>
  <c r="I33" i="10"/>
  <c r="K507" i="10"/>
  <c r="I414" i="10"/>
  <c r="L321" i="9"/>
  <c r="I122" i="10"/>
  <c r="L323" i="9"/>
  <c r="L23" i="9"/>
  <c r="L166" i="9"/>
  <c r="I468" i="10"/>
  <c r="U253" i="6"/>
  <c r="I471" i="10"/>
  <c r="U246" i="6"/>
  <c r="J158" i="9"/>
  <c r="K158" i="9" s="1"/>
  <c r="K327" i="10"/>
  <c r="K323" i="10"/>
  <c r="L231" i="9"/>
  <c r="U66" i="6"/>
  <c r="K287" i="10"/>
  <c r="I276" i="10"/>
  <c r="H91" i="8"/>
  <c r="I101" i="10"/>
  <c r="K502" i="10"/>
  <c r="U259" i="6"/>
  <c r="I93" i="10"/>
  <c r="K312" i="10"/>
  <c r="U224" i="6"/>
  <c r="U27" i="6"/>
  <c r="K440" i="10"/>
  <c r="U314" i="6"/>
  <c r="J225" i="9"/>
  <c r="K225" i="9" s="1"/>
  <c r="K213" i="10"/>
  <c r="I469" i="10"/>
  <c r="J266" i="9"/>
  <c r="K266" i="9" s="1"/>
  <c r="L112" i="9"/>
  <c r="L230" i="9"/>
  <c r="I537" i="10"/>
  <c r="L24" i="9"/>
  <c r="I71" i="10"/>
  <c r="I181" i="10"/>
  <c r="H123" i="8"/>
  <c r="I308" i="10"/>
  <c r="L147" i="9"/>
  <c r="H99" i="8"/>
  <c r="L22" i="9"/>
  <c r="I435" i="10"/>
  <c r="K28" i="10"/>
  <c r="J318" i="9"/>
  <c r="K318" i="9" s="1"/>
  <c r="U198" i="6"/>
  <c r="K341" i="10"/>
  <c r="J236" i="9"/>
  <c r="K236" i="9" s="1"/>
  <c r="I108" i="10"/>
  <c r="L317" i="9"/>
  <c r="K248" i="10"/>
  <c r="K235" i="10"/>
  <c r="I518" i="10"/>
  <c r="U243" i="6"/>
  <c r="K136" i="10"/>
  <c r="J231" i="9"/>
  <c r="K231" i="9" s="1"/>
  <c r="J8" i="9"/>
  <c r="K8" i="9" s="1"/>
  <c r="U140" i="6"/>
  <c r="K439" i="10"/>
  <c r="I184" i="10"/>
  <c r="L98" i="9"/>
  <c r="I83" i="10"/>
  <c r="J246" i="9"/>
  <c r="K246" i="9" s="1"/>
  <c r="U133" i="6"/>
  <c r="I161" i="10"/>
  <c r="K398" i="10"/>
  <c r="L148" i="9"/>
  <c r="I280" i="10"/>
  <c r="H70" i="8"/>
  <c r="K528" i="10"/>
  <c r="L185" i="9"/>
  <c r="L203" i="9"/>
  <c r="I126" i="10"/>
  <c r="J188" i="9"/>
  <c r="K188" i="9" s="1"/>
  <c r="U100" i="6"/>
  <c r="K426" i="10"/>
  <c r="H117" i="8"/>
  <c r="U270" i="6"/>
  <c r="J49" i="9"/>
  <c r="K49" i="9" s="1"/>
  <c r="I115" i="10"/>
  <c r="K172" i="10"/>
  <c r="L105" i="9"/>
  <c r="K330" i="10"/>
  <c r="L224" i="9"/>
  <c r="J295" i="9"/>
  <c r="K295" i="9" s="1"/>
  <c r="I330" i="10"/>
  <c r="L234" i="9"/>
  <c r="I475" i="10"/>
  <c r="I378" i="10"/>
  <c r="U189" i="6"/>
  <c r="U245" i="6"/>
  <c r="K34" i="10"/>
  <c r="U132" i="6"/>
  <c r="U58" i="6"/>
  <c r="U11" i="6"/>
  <c r="U315" i="6"/>
  <c r="K186" i="10"/>
  <c r="L335" i="9"/>
  <c r="I481" i="10"/>
  <c r="I366" i="10"/>
  <c r="I322" i="10"/>
  <c r="I195" i="10"/>
  <c r="U173" i="6"/>
  <c r="U14" i="6"/>
  <c r="U36" i="6"/>
  <c r="U248" i="6"/>
  <c r="K180" i="10"/>
  <c r="U300" i="6"/>
  <c r="K407" i="10"/>
  <c r="U113" i="6"/>
  <c r="H137" i="8"/>
  <c r="H125" i="8"/>
  <c r="J284" i="9"/>
  <c r="K284" i="9" s="1"/>
  <c r="I326" i="10"/>
  <c r="K313" i="10"/>
  <c r="K525" i="10"/>
  <c r="I217" i="10"/>
  <c r="J108" i="9"/>
  <c r="K108" i="9" s="1"/>
  <c r="I222" i="10"/>
  <c r="I230" i="10"/>
  <c r="J101" i="9"/>
  <c r="K101" i="9" s="1"/>
  <c r="L45" i="9"/>
  <c r="U205" i="6"/>
  <c r="J285" i="9"/>
  <c r="K285" i="9" s="1"/>
  <c r="L121" i="9"/>
  <c r="K272" i="10"/>
  <c r="K128" i="10"/>
  <c r="I151" i="10"/>
  <c r="I270" i="10"/>
  <c r="L320" i="9"/>
  <c r="H84" i="8"/>
  <c r="K9" i="10"/>
  <c r="K252" i="10"/>
  <c r="L314" i="9"/>
  <c r="U19" i="6"/>
  <c r="J335" i="9"/>
  <c r="K335" i="9" s="1"/>
  <c r="K122" i="10"/>
  <c r="U178" i="6"/>
  <c r="K380" i="10"/>
  <c r="L100" i="9"/>
  <c r="I15" i="10"/>
  <c r="I267" i="10"/>
  <c r="I529" i="10"/>
  <c r="I269" i="10"/>
  <c r="U306" i="6"/>
  <c r="J89" i="9"/>
  <c r="K89" i="9" s="1"/>
  <c r="J58" i="9"/>
  <c r="K58" i="9" s="1"/>
  <c r="U211" i="6"/>
  <c r="U106" i="6"/>
  <c r="U302" i="6"/>
  <c r="H120" i="8"/>
  <c r="I114" i="10"/>
  <c r="J170" i="9"/>
  <c r="K170" i="9" s="1"/>
  <c r="I507" i="10"/>
  <c r="K44" i="10"/>
  <c r="L282" i="9"/>
  <c r="K55" i="10"/>
  <c r="I80" i="10"/>
  <c r="K529" i="10"/>
  <c r="L138" i="9"/>
  <c r="I226" i="10"/>
  <c r="K42" i="10"/>
  <c r="I337" i="10"/>
  <c r="U92" i="6"/>
  <c r="J12" i="9"/>
  <c r="K12" i="9" s="1"/>
  <c r="U53" i="6"/>
  <c r="U84" i="6"/>
  <c r="L218" i="9"/>
  <c r="K387" i="10"/>
  <c r="H43" i="8"/>
  <c r="I23" i="10"/>
  <c r="U121" i="6"/>
  <c r="I309" i="10"/>
  <c r="H172" i="8"/>
  <c r="L57" i="9"/>
  <c r="L20" i="9"/>
  <c r="I375" i="10"/>
  <c r="K360" i="10"/>
  <c r="I45" i="10"/>
  <c r="I227" i="10"/>
  <c r="L118" i="9"/>
  <c r="U230" i="6"/>
  <c r="I188" i="10"/>
  <c r="L221" i="9"/>
  <c r="U272" i="6"/>
  <c r="J96" i="9"/>
  <c r="K96" i="9" s="1"/>
  <c r="H20" i="8"/>
  <c r="I540" i="10"/>
  <c r="K240" i="10"/>
  <c r="I520" i="10"/>
  <c r="K501" i="10"/>
  <c r="K233" i="10"/>
  <c r="H171" i="8"/>
  <c r="L158" i="9"/>
  <c r="U285" i="6"/>
  <c r="J204" i="9"/>
  <c r="K204" i="9" s="1"/>
  <c r="U303" i="6"/>
  <c r="J99" i="9"/>
  <c r="K99" i="9" s="1"/>
  <c r="I515" i="10"/>
  <c r="J9" i="9"/>
  <c r="K9" i="9" s="1"/>
  <c r="I445" i="10"/>
  <c r="U296" i="6"/>
  <c r="U127" i="6"/>
  <c r="K24" i="10"/>
  <c r="K449" i="10"/>
  <c r="J112" i="9"/>
  <c r="K112" i="9" s="1"/>
  <c r="J301" i="9"/>
  <c r="K301" i="9" s="1"/>
  <c r="I318" i="10"/>
  <c r="K339" i="10"/>
  <c r="I536" i="10"/>
  <c r="K187" i="10"/>
  <c r="I130" i="10"/>
  <c r="J85" i="9"/>
  <c r="K85" i="9" s="1"/>
  <c r="K388" i="10"/>
  <c r="K321" i="10"/>
  <c r="U78" i="6"/>
  <c r="J319" i="9"/>
  <c r="K319" i="9" s="1"/>
  <c r="K378" i="10"/>
  <c r="K204" i="10"/>
  <c r="K519" i="10"/>
  <c r="U201" i="6"/>
  <c r="K409" i="10"/>
  <c r="K68" i="10"/>
  <c r="I410" i="10"/>
  <c r="I271" i="10"/>
  <c r="L330" i="9"/>
  <c r="K79" i="10"/>
  <c r="J41" i="9"/>
  <c r="K41" i="9" s="1"/>
  <c r="U268" i="6"/>
  <c r="I339" i="10"/>
  <c r="U76" i="6"/>
  <c r="J79" i="9"/>
  <c r="K79" i="9" s="1"/>
  <c r="H166" i="8"/>
  <c r="K13" i="10"/>
  <c r="I423" i="10"/>
  <c r="I198" i="10"/>
  <c r="J104" i="9"/>
  <c r="K104" i="9" s="1"/>
  <c r="J312" i="9"/>
  <c r="K312" i="9" s="1"/>
  <c r="L48" i="9"/>
  <c r="U151" i="6"/>
  <c r="K342" i="10"/>
  <c r="U190" i="6"/>
  <c r="K21" i="10"/>
  <c r="J182" i="9"/>
  <c r="K182" i="9" s="1"/>
  <c r="K115" i="10"/>
  <c r="I166" i="10"/>
  <c r="I88" i="10"/>
  <c r="U227" i="6"/>
  <c r="U313" i="6"/>
  <c r="I380" i="10"/>
  <c r="L63" i="9"/>
  <c r="J105" i="9"/>
  <c r="K105" i="9" s="1"/>
  <c r="I452" i="10"/>
  <c r="I21" i="10"/>
  <c r="K374" i="10"/>
  <c r="I323" i="10"/>
  <c r="I11" i="10"/>
  <c r="L111" i="9"/>
  <c r="I398" i="10"/>
  <c r="I405" i="10"/>
  <c r="L46" i="9"/>
  <c r="L227" i="9"/>
  <c r="I147" i="10"/>
  <c r="L134" i="9"/>
  <c r="K226" i="10"/>
  <c r="I457" i="10"/>
  <c r="H155" i="8"/>
  <c r="U105" i="6"/>
  <c r="K536" i="10"/>
  <c r="L214" i="9"/>
  <c r="L101" i="9"/>
  <c r="L95" i="9"/>
  <c r="I63" i="10"/>
  <c r="H81" i="8"/>
  <c r="U309" i="6"/>
  <c r="L146" i="9"/>
  <c r="L16" i="9"/>
  <c r="I117" i="10"/>
  <c r="L17" i="9"/>
  <c r="I183" i="10"/>
  <c r="U281" i="6"/>
  <c r="I30" i="10"/>
  <c r="I158" i="10"/>
  <c r="J84" i="9"/>
  <c r="K84" i="9" s="1"/>
  <c r="U166" i="6"/>
  <c r="H65" i="8"/>
  <c r="K489" i="10"/>
  <c r="I367" i="10"/>
  <c r="U287" i="6"/>
  <c r="I422" i="10"/>
  <c r="L308" i="9"/>
  <c r="K481" i="10"/>
  <c r="U220" i="6"/>
  <c r="I466" i="10"/>
  <c r="I211" i="10"/>
  <c r="J45" i="9"/>
  <c r="K45" i="9" s="1"/>
  <c r="K456" i="10"/>
  <c r="K301" i="10"/>
  <c r="J191" i="9"/>
  <c r="K191" i="9" s="1"/>
  <c r="U12" i="6"/>
  <c r="I297" i="10"/>
  <c r="K144" i="10"/>
  <c r="K111" i="10"/>
  <c r="J61" i="9"/>
  <c r="K61" i="9" s="1"/>
  <c r="J51" i="9"/>
  <c r="K51" i="9" s="1"/>
  <c r="U311" i="6"/>
  <c r="U67" i="6"/>
  <c r="H85" i="8"/>
  <c r="I451" i="10"/>
  <c r="U286" i="6"/>
  <c r="L275" i="9"/>
  <c r="I53" i="10"/>
  <c r="H161" i="8"/>
  <c r="J313" i="9"/>
  <c r="K313" i="9" s="1"/>
  <c r="U204" i="6"/>
  <c r="J143" i="9"/>
  <c r="K143" i="9" s="1"/>
  <c r="L305" i="9"/>
  <c r="J264" i="9"/>
  <c r="K264" i="9" s="1"/>
  <c r="U126" i="6"/>
  <c r="K25" i="10"/>
  <c r="U271" i="6"/>
  <c r="I450" i="10"/>
  <c r="L316" i="9"/>
  <c r="K288" i="10"/>
  <c r="K518" i="10"/>
  <c r="K389" i="10"/>
  <c r="I382" i="10"/>
  <c r="J325" i="9"/>
  <c r="K325" i="9" s="1"/>
  <c r="K197" i="10"/>
  <c r="H19" i="8"/>
  <c r="H164" i="8"/>
  <c r="I463" i="10"/>
  <c r="L247" i="9"/>
  <c r="K473" i="10"/>
  <c r="I454" i="10"/>
  <c r="U282" i="6"/>
  <c r="L270" i="9"/>
  <c r="K421" i="10"/>
  <c r="H66" i="8"/>
  <c r="L92" i="9"/>
  <c r="K459" i="10"/>
  <c r="L192" i="9"/>
  <c r="K71" i="10"/>
  <c r="J62" i="9"/>
  <c r="K62" i="9" s="1"/>
  <c r="J31" i="9"/>
  <c r="K31" i="9" s="1"/>
  <c r="I215" i="10"/>
  <c r="K375" i="10"/>
  <c r="H182" i="8"/>
  <c r="K118" i="10"/>
  <c r="K156" i="10"/>
  <c r="U75" i="6"/>
  <c r="I31" i="10"/>
  <c r="H97" i="8"/>
  <c r="I253" i="10"/>
  <c r="U112" i="6"/>
  <c r="I164" i="10"/>
  <c r="H39" i="8"/>
  <c r="L71" i="9"/>
  <c r="K256" i="10"/>
  <c r="U169" i="6"/>
  <c r="U206" i="6"/>
  <c r="U69" i="6"/>
  <c r="K308" i="10"/>
  <c r="U129" i="6"/>
  <c r="L223" i="9"/>
  <c r="K224" i="10"/>
  <c r="K20" i="10"/>
  <c r="K6" i="10"/>
  <c r="K142" i="10"/>
  <c r="I409" i="10"/>
  <c r="U87" i="6"/>
  <c r="I496" i="10"/>
  <c r="I532" i="10"/>
  <c r="U116" i="6"/>
  <c r="H96" i="8"/>
  <c r="U9" i="6"/>
  <c r="U292" i="6"/>
  <c r="J259" i="9"/>
  <c r="K259" i="9" s="1"/>
  <c r="L178" i="9"/>
  <c r="H80" i="8"/>
  <c r="I64" i="10"/>
  <c r="K438" i="10"/>
  <c r="K514" i="10"/>
  <c r="J228" i="9"/>
  <c r="K228" i="9" s="1"/>
  <c r="L291" i="9"/>
  <c r="H76" i="8"/>
  <c r="K236" i="10"/>
  <c r="K53" i="10"/>
  <c r="L87" i="9"/>
  <c r="U232" i="6"/>
  <c r="U235" i="6"/>
  <c r="J75" i="9"/>
  <c r="K75" i="9" s="1"/>
  <c r="L50" i="9"/>
  <c r="K135" i="10"/>
  <c r="I522" i="10"/>
  <c r="L286" i="9"/>
  <c r="U160" i="6"/>
  <c r="J134" i="9"/>
  <c r="K134" i="9" s="1"/>
  <c r="K471" i="10"/>
  <c r="L233" i="9"/>
  <c r="U25" i="6"/>
  <c r="U290" i="6"/>
  <c r="I182" i="10"/>
  <c r="K214" i="10"/>
  <c r="I168" i="10"/>
  <c r="L66" i="9"/>
  <c r="I334" i="10"/>
  <c r="U162" i="6"/>
  <c r="I193" i="10"/>
  <c r="H71" i="8"/>
  <c r="K133" i="10"/>
  <c r="J119" i="9"/>
  <c r="K119" i="9" s="1"/>
  <c r="U118" i="6"/>
  <c r="K314" i="10"/>
  <c r="I362" i="10"/>
  <c r="K432" i="10"/>
  <c r="K464" i="10"/>
  <c r="K530" i="10"/>
  <c r="L262" i="9"/>
  <c r="K430" i="10"/>
  <c r="H131" i="8"/>
  <c r="I328" i="10"/>
  <c r="J175" i="9"/>
  <c r="K175" i="9" s="1"/>
  <c r="K182" i="10"/>
  <c r="K198" i="10"/>
  <c r="I504" i="10"/>
  <c r="I488" i="10"/>
  <c r="K92" i="10"/>
  <c r="K523" i="10"/>
  <c r="I317" i="10"/>
  <c r="H53" i="8"/>
  <c r="I335" i="10"/>
  <c r="J36" i="9"/>
  <c r="K36" i="9" s="1"/>
  <c r="K324" i="10"/>
  <c r="K359" i="10"/>
  <c r="U256" i="6"/>
  <c r="I212" i="10"/>
  <c r="K165" i="10"/>
  <c r="K162" i="10"/>
  <c r="U42" i="6"/>
  <c r="L201" i="9"/>
  <c r="L264" i="9"/>
  <c r="L12" i="9"/>
  <c r="I250" i="10"/>
  <c r="K296" i="10"/>
  <c r="I246" i="10"/>
  <c r="H147" i="8"/>
  <c r="I259" i="10"/>
  <c r="L168" i="9"/>
  <c r="H13" i="8"/>
  <c r="K63" i="10"/>
  <c r="J240" i="9"/>
  <c r="K240" i="9" s="1"/>
  <c r="H26" i="8"/>
  <c r="I205" i="10"/>
  <c r="L288" i="9"/>
  <c r="K503" i="10"/>
  <c r="U79" i="6"/>
  <c r="J114" i="9"/>
  <c r="K114" i="9" s="1"/>
  <c r="L156" i="9"/>
  <c r="I263" i="10"/>
  <c r="L54" i="9"/>
  <c r="K73" i="10"/>
  <c r="I257" i="10"/>
  <c r="J219" i="9"/>
  <c r="K219" i="9" s="1"/>
  <c r="H138" i="8"/>
  <c r="K90" i="10"/>
  <c r="L161" i="9"/>
  <c r="U187" i="6"/>
  <c r="K539" i="10"/>
  <c r="U236" i="6"/>
  <c r="I310" i="10"/>
  <c r="J302" i="9"/>
  <c r="K302" i="9" s="1"/>
  <c r="K155" i="10"/>
  <c r="U278" i="6"/>
  <c r="K352" i="10"/>
  <c r="I356" i="10"/>
  <c r="K325" i="10"/>
  <c r="J144" i="9"/>
  <c r="K144" i="9" s="1"/>
  <c r="K210" i="10"/>
  <c r="U4" i="6"/>
  <c r="L186" i="9"/>
  <c r="L81" i="9"/>
  <c r="J199" i="9"/>
  <c r="K199" i="9" s="1"/>
  <c r="K367" i="10"/>
  <c r="U242" i="6"/>
  <c r="I32" i="10"/>
  <c r="U274" i="6"/>
  <c r="I141" i="10"/>
  <c r="K492" i="10"/>
  <c r="L209" i="9"/>
  <c r="I95" i="10"/>
  <c r="L333" i="9"/>
  <c r="K512" i="10"/>
  <c r="J282" i="9"/>
  <c r="K282" i="9" s="1"/>
  <c r="K435" i="10"/>
  <c r="K487" i="10"/>
  <c r="I384" i="10"/>
  <c r="J220" i="9"/>
  <c r="K220" i="9" s="1"/>
  <c r="K494" i="10"/>
  <c r="L245" i="9"/>
  <c r="I234" i="10"/>
  <c r="K219" i="10"/>
  <c r="I369" i="10"/>
  <c r="I170" i="10"/>
  <c r="H74" i="8"/>
  <c r="J310" i="9"/>
  <c r="K310" i="9" s="1"/>
  <c r="I425" i="10"/>
  <c r="K33" i="10"/>
  <c r="U89" i="6"/>
  <c r="K201" i="10"/>
  <c r="U26" i="6"/>
  <c r="L109" i="9"/>
  <c r="H114" i="8"/>
  <c r="U250" i="6"/>
  <c r="U45" i="6"/>
  <c r="I163" i="10"/>
  <c r="K130" i="10"/>
  <c r="L211" i="9"/>
  <c r="K307" i="10"/>
  <c r="I290" i="10"/>
  <c r="L137" i="9"/>
  <c r="I365" i="10"/>
  <c r="K203" i="10"/>
  <c r="J39" i="9"/>
  <c r="K39" i="9" s="1"/>
  <c r="I266" i="10"/>
  <c r="K38" i="10"/>
  <c r="U86" i="6"/>
  <c r="J212" i="9"/>
  <c r="K212" i="9" s="1"/>
  <c r="J10" i="9"/>
  <c r="K10" i="9" s="1"/>
  <c r="J286" i="9"/>
  <c r="K286" i="9" s="1"/>
  <c r="K160" i="10"/>
  <c r="K127" i="10"/>
  <c r="K102" i="10"/>
  <c r="H32" i="8"/>
  <c r="J185" i="9"/>
  <c r="K185" i="9" s="1"/>
  <c r="I14" i="10"/>
  <c r="I428" i="10"/>
  <c r="U241" i="6"/>
  <c r="I36" i="10"/>
  <c r="I506" i="10"/>
  <c r="J209" i="9"/>
  <c r="K209" i="9" s="1"/>
  <c r="J55" i="9"/>
  <c r="K55" i="9" s="1"/>
  <c r="K137" i="10"/>
  <c r="U64" i="6"/>
  <c r="I530" i="10"/>
  <c r="U102" i="6"/>
  <c r="U310" i="6"/>
  <c r="K39" i="10"/>
  <c r="K266" i="10"/>
  <c r="I490" i="10"/>
  <c r="L32" i="9"/>
  <c r="L31" i="9"/>
  <c r="U125" i="6"/>
  <c r="I289" i="10"/>
  <c r="L58" i="9"/>
  <c r="J43" i="9"/>
  <c r="K43" i="9" s="1"/>
  <c r="K362" i="10"/>
  <c r="K189" i="10"/>
  <c r="U177" i="6"/>
  <c r="U21" i="6"/>
  <c r="K354" i="10"/>
  <c r="J249" i="9"/>
  <c r="K249" i="9" s="1"/>
  <c r="K531" i="10"/>
  <c r="L78" i="9"/>
  <c r="H27" i="8"/>
  <c r="K19" i="10"/>
  <c r="I218" i="10"/>
  <c r="K469" i="10"/>
  <c r="K511" i="10"/>
  <c r="K243" i="10"/>
  <c r="J299" i="9"/>
  <c r="K299" i="9" s="1"/>
  <c r="J151" i="9"/>
  <c r="K151" i="9" s="1"/>
  <c r="J238" i="9"/>
  <c r="K238" i="9" s="1"/>
  <c r="K246" i="10"/>
  <c r="I105" i="10"/>
  <c r="U93" i="6"/>
  <c r="J171" i="9"/>
  <c r="K171" i="9" s="1"/>
  <c r="I329" i="10"/>
  <c r="K238" i="10"/>
  <c r="K454" i="10"/>
  <c r="J267" i="9"/>
  <c r="K267" i="9" s="1"/>
  <c r="U138" i="6"/>
  <c r="K31" i="10"/>
  <c r="I35" i="10"/>
  <c r="K311" i="10"/>
  <c r="U136" i="6"/>
  <c r="K14" i="10"/>
  <c r="U71" i="6"/>
  <c r="J235" i="9"/>
  <c r="K235" i="9" s="1"/>
  <c r="H157" i="8"/>
  <c r="H45" i="8"/>
  <c r="K480" i="10"/>
  <c r="I220" i="10"/>
  <c r="K476" i="10"/>
  <c r="J20" i="9"/>
  <c r="K20" i="9" s="1"/>
  <c r="K23" i="10"/>
  <c r="J64" i="9"/>
  <c r="K64" i="9" s="1"/>
  <c r="H51" i="8"/>
  <c r="I73" i="10"/>
  <c r="K153" i="10"/>
  <c r="L151" i="9"/>
  <c r="L261" i="9"/>
  <c r="L222" i="9"/>
  <c r="L301" i="9"/>
  <c r="L297" i="9"/>
  <c r="H158" i="8"/>
  <c r="U185" i="6"/>
  <c r="K463" i="10"/>
  <c r="H110" i="8"/>
  <c r="I434" i="10"/>
  <c r="U226" i="6"/>
  <c r="U163" i="6"/>
  <c r="I387" i="10"/>
  <c r="L205" i="9"/>
  <c r="L239" i="9"/>
  <c r="K64" i="10"/>
  <c r="H36" i="8"/>
  <c r="U40" i="6"/>
  <c r="K286" i="10"/>
  <c r="J215" i="9"/>
  <c r="K215" i="9" s="1"/>
  <c r="K424" i="10"/>
  <c r="I78" i="10"/>
  <c r="K338" i="10"/>
  <c r="K418" i="10"/>
  <c r="U229" i="6"/>
  <c r="H12" i="8"/>
  <c r="I156" i="10"/>
  <c r="U110" i="6"/>
  <c r="K183" i="10"/>
  <c r="I299" i="10"/>
  <c r="K402" i="10"/>
  <c r="I74" i="10"/>
  <c r="I361" i="10"/>
  <c r="I61" i="10"/>
  <c r="K131" i="10"/>
  <c r="K404" i="10"/>
  <c r="K29" i="10"/>
  <c r="K450" i="10"/>
  <c r="I316" i="10"/>
  <c r="I483" i="10"/>
  <c r="K499" i="10"/>
  <c r="I470" i="10"/>
  <c r="J323" i="9"/>
  <c r="K323" i="9" s="1"/>
  <c r="L64" i="9"/>
  <c r="J243" i="9"/>
  <c r="K243" i="9" s="1"/>
  <c r="U5" i="6"/>
  <c r="L251" i="9"/>
  <c r="I244" i="10"/>
  <c r="K414" i="10"/>
  <c r="K326" i="10"/>
  <c r="I174" i="10"/>
  <c r="K260" i="10"/>
  <c r="J52" i="9"/>
  <c r="K52" i="9" s="1"/>
  <c r="L280" i="9"/>
  <c r="L310" i="9"/>
  <c r="I381" i="10"/>
  <c r="I539" i="10"/>
  <c r="K65" i="10"/>
  <c r="H106" i="8"/>
  <c r="K428" i="10"/>
  <c r="K251" i="10"/>
  <c r="J315" i="9"/>
  <c r="K315" i="9" s="1"/>
  <c r="H144" i="8"/>
  <c r="L285" i="9"/>
  <c r="I376" i="10"/>
  <c r="L61" i="9"/>
  <c r="U255" i="6"/>
  <c r="I76" i="10"/>
  <c r="I501" i="10"/>
  <c r="J268" i="9"/>
  <c r="K268" i="9" s="1"/>
  <c r="J73" i="9"/>
  <c r="K73" i="9" s="1"/>
  <c r="K237" i="10"/>
  <c r="J172" i="9"/>
  <c r="K172" i="9" s="1"/>
  <c r="L68" i="9"/>
  <c r="L294" i="9"/>
  <c r="H167" i="8"/>
  <c r="K264" i="10"/>
  <c r="K179" i="10"/>
  <c r="K22" i="10"/>
  <c r="K257" i="10"/>
  <c r="L43" i="9"/>
  <c r="L228" i="9"/>
  <c r="J272" i="9"/>
  <c r="K272" i="9" s="1"/>
  <c r="I149" i="10"/>
  <c r="K413" i="10"/>
  <c r="K17" i="10"/>
  <c r="U179" i="6"/>
  <c r="U194" i="6"/>
  <c r="K465" i="10"/>
  <c r="I75" i="10"/>
  <c r="H180" i="8"/>
  <c r="I7" i="10"/>
  <c r="I412" i="10"/>
  <c r="L318" i="9"/>
  <c r="I389" i="10"/>
  <c r="K247" i="10"/>
  <c r="I364" i="10"/>
  <c r="J292" i="9"/>
  <c r="K292" i="9" s="1"/>
  <c r="U283" i="6"/>
  <c r="L104" i="9"/>
  <c r="U170" i="6"/>
  <c r="J181" i="9"/>
  <c r="K181" i="9" s="1"/>
  <c r="H103" i="8"/>
  <c r="H95" i="8"/>
  <c r="K99" i="10"/>
  <c r="K493" i="10"/>
  <c r="K467" i="10"/>
  <c r="J283" i="9"/>
  <c r="K283" i="9" s="1"/>
  <c r="J88" i="9"/>
  <c r="K88" i="9" s="1"/>
  <c r="K239" i="10"/>
  <c r="J211" i="9"/>
  <c r="K211" i="9" s="1"/>
  <c r="K89" i="10"/>
  <c r="U249" i="6"/>
  <c r="U265" i="6"/>
  <c r="I528" i="10"/>
  <c r="I484" i="10"/>
  <c r="K56" i="10"/>
  <c r="H83" i="8"/>
  <c r="I251" i="10"/>
  <c r="K453" i="10"/>
  <c r="U148" i="6"/>
  <c r="L272" i="9"/>
  <c r="H101" i="8"/>
  <c r="K120" i="10"/>
  <c r="J306" i="9"/>
  <c r="K306" i="9" s="1"/>
  <c r="I172" i="10"/>
  <c r="K462" i="10"/>
  <c r="U120" i="6"/>
  <c r="I51" i="10"/>
  <c r="H52" i="8"/>
  <c r="K484" i="10"/>
  <c r="I152" i="10"/>
  <c r="I534" i="10"/>
  <c r="J248" i="9"/>
  <c r="K248" i="9" s="1"/>
  <c r="H146" i="8"/>
  <c r="U165" i="6"/>
  <c r="J162" i="9"/>
  <c r="K162" i="9" s="1"/>
  <c r="J103" i="9"/>
  <c r="K103" i="9" s="1"/>
  <c r="I498" i="10"/>
  <c r="K196" i="10"/>
  <c r="L13" i="9"/>
  <c r="U182" i="6"/>
  <c r="J258" i="9"/>
  <c r="K258" i="9" s="1"/>
  <c r="J91" i="9"/>
  <c r="K91" i="9" s="1"/>
  <c r="I5" i="10"/>
  <c r="I264" i="10"/>
  <c r="L290" i="9"/>
  <c r="K208" i="10"/>
  <c r="L114" i="9"/>
  <c r="K498" i="10"/>
  <c r="J296" i="9"/>
  <c r="K296" i="9" s="1"/>
  <c r="U209" i="6"/>
  <c r="I201" i="10"/>
  <c r="J245" i="9"/>
  <c r="K245" i="9" s="1"/>
  <c r="J321" i="9"/>
  <c r="K321" i="9" s="1"/>
  <c r="J59" i="9"/>
  <c r="K59" i="9" s="1"/>
  <c r="J118" i="9"/>
  <c r="K118" i="9" s="1"/>
  <c r="L210" i="9"/>
  <c r="J275" i="9"/>
  <c r="K275" i="9" s="1"/>
  <c r="U172" i="6"/>
  <c r="U139" i="6"/>
  <c r="K532" i="10"/>
  <c r="L167" i="9"/>
  <c r="H148" i="8"/>
  <c r="H30" i="8"/>
  <c r="U33" i="6"/>
  <c r="H108" i="8"/>
  <c r="U168" i="6"/>
  <c r="K194" i="10"/>
  <c r="K138" i="10"/>
  <c r="H126" i="8"/>
  <c r="K59" i="10"/>
  <c r="J24" i="9"/>
  <c r="K24" i="9" s="1"/>
  <c r="H8" i="8"/>
  <c r="J133" i="9"/>
  <c r="K133" i="9" s="1"/>
  <c r="H63" i="8"/>
  <c r="U108" i="6"/>
  <c r="J34" i="9"/>
  <c r="K34" i="9" s="1"/>
  <c r="K83" i="10"/>
  <c r="H140" i="8"/>
  <c r="L170" i="9"/>
  <c r="J279" i="9"/>
  <c r="K279" i="9" s="1"/>
  <c r="J132" i="9"/>
  <c r="K132" i="9" s="1"/>
  <c r="L130" i="9"/>
  <c r="K317" i="10"/>
  <c r="H169" i="8"/>
  <c r="I427" i="10"/>
  <c r="I480" i="10"/>
  <c r="L21" i="9"/>
  <c r="U20" i="6"/>
  <c r="J218" i="9"/>
  <c r="K218" i="9" s="1"/>
  <c r="I508" i="10"/>
  <c r="K423" i="10"/>
  <c r="I177" i="10"/>
  <c r="L59" i="9"/>
  <c r="I157" i="10"/>
  <c r="J157" i="9"/>
  <c r="K157" i="9" s="1"/>
  <c r="K37" i="10"/>
  <c r="J334" i="9"/>
  <c r="K334" i="9" s="1"/>
  <c r="L271" i="9"/>
  <c r="U23" i="6"/>
  <c r="J201" i="9"/>
  <c r="K201" i="9" s="1"/>
  <c r="K188" i="10"/>
  <c r="J130" i="9"/>
  <c r="K130" i="9" s="1"/>
  <c r="L74" i="9"/>
  <c r="I118" i="10"/>
  <c r="K294" i="10"/>
  <c r="J217" i="9"/>
  <c r="K217" i="9" s="1"/>
  <c r="L122" i="9"/>
  <c r="I148" i="10"/>
  <c r="K468" i="10"/>
  <c r="I363" i="10"/>
  <c r="L145" i="9"/>
  <c r="H15" i="8"/>
  <c r="U143" i="6"/>
  <c r="I109" i="10"/>
  <c r="K391" i="10"/>
  <c r="J145" i="9"/>
  <c r="K145" i="9" s="1"/>
  <c r="U276" i="6"/>
  <c r="K212" i="10"/>
  <c r="J159" i="9"/>
  <c r="K159" i="9" s="1"/>
  <c r="J111" i="9"/>
  <c r="K111" i="9" s="1"/>
  <c r="L190" i="9"/>
  <c r="I159" i="10"/>
  <c r="H121" i="8"/>
  <c r="K170" i="10"/>
  <c r="U212" i="6"/>
  <c r="H88" i="8"/>
  <c r="L256" i="9"/>
  <c r="I292" i="10"/>
  <c r="U207" i="6"/>
  <c r="H162" i="8"/>
  <c r="U104" i="6"/>
  <c r="L187" i="9"/>
  <c r="J48" i="9"/>
  <c r="K48" i="9" s="1"/>
  <c r="J216" i="9"/>
  <c r="K216" i="9" s="1"/>
  <c r="I223" i="10"/>
  <c r="L220" i="9"/>
  <c r="H23" i="8"/>
  <c r="L329" i="9"/>
  <c r="J278" i="9"/>
  <c r="K278" i="9" s="1"/>
  <c r="L196" i="9"/>
  <c r="I415" i="10"/>
  <c r="K390" i="10"/>
  <c r="I324" i="10"/>
  <c r="K241" i="10"/>
  <c r="U216" i="6"/>
  <c r="K279" i="10"/>
  <c r="I119" i="10"/>
  <c r="J116" i="9"/>
  <c r="K116" i="9" s="1"/>
  <c r="I338" i="10"/>
  <c r="K350" i="10"/>
  <c r="K261" i="10"/>
  <c r="I58" i="10"/>
  <c r="H14" i="8"/>
  <c r="L332" i="9"/>
  <c r="H130" i="8"/>
  <c r="U239" i="6"/>
  <c r="I424" i="10"/>
  <c r="H118" i="8"/>
  <c r="L27" i="9"/>
  <c r="J250" i="9"/>
  <c r="K250" i="9" s="1"/>
  <c r="H42" i="8"/>
  <c r="H31" i="8"/>
  <c r="K545" i="10"/>
  <c r="K72" i="10"/>
  <c r="K205" i="10"/>
  <c r="U38" i="6"/>
  <c r="K207" i="10"/>
  <c r="L229" i="9"/>
  <c r="I342" i="10"/>
  <c r="H57" i="8"/>
  <c r="J7" i="9"/>
  <c r="K7" i="9" s="1"/>
  <c r="K392" i="10"/>
  <c r="J63" i="9"/>
  <c r="K63" i="9" s="1"/>
  <c r="I347" i="10"/>
  <c r="I388" i="10"/>
  <c r="L299" i="9"/>
  <c r="K434" i="10"/>
  <c r="L319" i="9"/>
  <c r="J300" i="9"/>
  <c r="K300" i="9" s="1"/>
  <c r="L295" i="9"/>
  <c r="U154" i="6"/>
  <c r="U231" i="6"/>
  <c r="I519" i="10"/>
  <c r="L117" i="9"/>
  <c r="K425" i="10"/>
  <c r="J13" i="9"/>
  <c r="K13" i="9" s="1"/>
  <c r="L153" i="9"/>
  <c r="I65" i="10"/>
  <c r="H175" i="8"/>
  <c r="K107" i="10"/>
  <c r="U114" i="6"/>
  <c r="K270" i="10"/>
  <c r="I315" i="10"/>
  <c r="K333" i="10"/>
  <c r="K124" i="10"/>
  <c r="I513" i="10"/>
  <c r="L279" i="9"/>
  <c r="L240" i="9"/>
  <c r="J122" i="9"/>
  <c r="K122" i="9" s="1"/>
  <c r="I199" i="10"/>
  <c r="K195" i="10"/>
  <c r="L216" i="9"/>
  <c r="J97" i="9"/>
  <c r="K97" i="9" s="1"/>
  <c r="U217" i="6"/>
  <c r="H109" i="8"/>
  <c r="H21" i="8"/>
  <c r="I144" i="10"/>
  <c r="U153" i="6"/>
  <c r="U74" i="6"/>
  <c r="U264" i="6"/>
  <c r="I465" i="10"/>
  <c r="L243" i="9"/>
  <c r="U3" i="6"/>
  <c r="I416" i="10"/>
  <c r="K209" i="10"/>
  <c r="H105" i="8"/>
  <c r="I229" i="10"/>
  <c r="I225" i="10"/>
  <c r="L26" i="9"/>
  <c r="U192" i="6"/>
  <c r="I254" i="10"/>
  <c r="K269" i="10"/>
  <c r="L162" i="9"/>
  <c r="J326" i="9"/>
  <c r="K326" i="9" s="1"/>
  <c r="U184" i="6"/>
  <c r="L86" i="9"/>
  <c r="K504" i="10"/>
  <c r="I110" i="10"/>
  <c r="I279" i="10"/>
  <c r="H119" i="8"/>
  <c r="U158" i="6"/>
  <c r="U46" i="6"/>
  <c r="U273" i="6"/>
  <c r="I521" i="10"/>
  <c r="J81" i="9"/>
  <c r="K81" i="9" s="1"/>
  <c r="I420" i="10"/>
  <c r="L115" i="9"/>
  <c r="I301" i="10"/>
  <c r="K371" i="10"/>
  <c r="U44" i="6"/>
  <c r="I39" i="10"/>
  <c r="K334" i="10"/>
  <c r="U191" i="6"/>
  <c r="L309" i="9"/>
  <c r="H127" i="8"/>
  <c r="I38" i="10"/>
  <c r="I331" i="10"/>
  <c r="H90" i="8"/>
  <c r="J247" i="9"/>
  <c r="K247" i="9" s="1"/>
  <c r="H67" i="8"/>
  <c r="L79" i="9"/>
  <c r="U117" i="6"/>
  <c r="J198" i="9"/>
  <c r="K198" i="9" s="1"/>
  <c r="U307" i="6"/>
  <c r="K178" i="10"/>
  <c r="K46" i="10"/>
  <c r="L194" i="9"/>
  <c r="K486" i="10"/>
  <c r="J66" i="9"/>
  <c r="K66" i="9" s="1"/>
  <c r="J140" i="9"/>
  <c r="K140" i="9" s="1"/>
  <c r="I107" i="10"/>
  <c r="J203" i="9"/>
  <c r="K203" i="9" s="1"/>
  <c r="U61" i="6"/>
  <c r="J316" i="9"/>
  <c r="K316" i="9" s="1"/>
  <c r="L258" i="9"/>
  <c r="U262" i="6"/>
  <c r="L304" i="9"/>
  <c r="J60" i="9"/>
  <c r="K60" i="9" s="1"/>
  <c r="I185" i="10"/>
  <c r="J65" i="9"/>
  <c r="K65" i="9" s="1"/>
  <c r="J190" i="9"/>
  <c r="K190" i="9" s="1"/>
  <c r="U188" i="6"/>
  <c r="I258" i="10"/>
  <c r="J126" i="9"/>
  <c r="K126" i="9" s="1"/>
  <c r="I121" i="10"/>
  <c r="I284" i="10"/>
  <c r="I128" i="10"/>
  <c r="K125" i="10"/>
  <c r="I124" i="10"/>
  <c r="K15" i="10"/>
  <c r="K116" i="10"/>
  <c r="I256" i="10"/>
  <c r="K141" i="10"/>
  <c r="U288" i="6"/>
  <c r="K206" i="10"/>
  <c r="J152" i="9"/>
  <c r="K152" i="9" s="1"/>
  <c r="K117" i="10"/>
  <c r="J56" i="9"/>
  <c r="K56" i="9" s="1"/>
  <c r="I489" i="10"/>
  <c r="J213" i="9"/>
  <c r="K213" i="9" s="1"/>
  <c r="J261" i="9"/>
  <c r="K261" i="9" s="1"/>
  <c r="I307" i="10"/>
  <c r="I243" i="10"/>
  <c r="H35" i="8"/>
  <c r="K361" i="10"/>
  <c r="I155" i="10"/>
  <c r="K534" i="10"/>
  <c r="I240" i="10"/>
  <c r="L303" i="9"/>
  <c r="L116" i="9"/>
  <c r="I538" i="10"/>
  <c r="J167" i="9"/>
  <c r="K167" i="9" s="1"/>
  <c r="H128" i="8"/>
  <c r="I40" i="10"/>
  <c r="I320" i="10"/>
  <c r="I401" i="10"/>
  <c r="K431" i="10"/>
  <c r="J131" i="9"/>
  <c r="K131" i="9" s="1"/>
  <c r="L241" i="9"/>
  <c r="U150" i="6"/>
  <c r="U180" i="6"/>
  <c r="U295" i="6"/>
  <c r="I112" i="10"/>
  <c r="L273" i="9"/>
  <c r="K355" i="10"/>
  <c r="K184" i="10"/>
  <c r="H50" i="8"/>
  <c r="J146" i="9"/>
  <c r="K146" i="9" s="1"/>
  <c r="K417" i="10"/>
  <c r="J195" i="9"/>
  <c r="K195" i="9" s="1"/>
  <c r="I113" i="10"/>
  <c r="L93" i="9"/>
  <c r="L238" i="9"/>
  <c r="L268" i="9"/>
  <c r="H154" i="8"/>
  <c r="U83" i="6"/>
  <c r="K466" i="10"/>
  <c r="I224" i="10"/>
  <c r="L254" i="9"/>
  <c r="U119" i="6"/>
  <c r="I52" i="10"/>
  <c r="I287" i="10"/>
  <c r="K215" i="10"/>
  <c r="U62" i="6"/>
  <c r="J260" i="9"/>
  <c r="K260" i="9" s="1"/>
  <c r="J80" i="9"/>
  <c r="K80" i="9" s="1"/>
  <c r="K427" i="10"/>
  <c r="H28" i="8"/>
  <c r="I261" i="10"/>
  <c r="K82" i="10"/>
  <c r="H135" i="8"/>
  <c r="L180" i="9"/>
  <c r="L260" i="9"/>
  <c r="I368" i="10"/>
  <c r="I206" i="10"/>
  <c r="U124" i="6"/>
  <c r="I400" i="10"/>
  <c r="L6" i="9"/>
  <c r="K318" i="10"/>
  <c r="L56" i="9"/>
  <c r="J227" i="9"/>
  <c r="K227" i="9" s="1"/>
  <c r="K11" i="10"/>
  <c r="J156" i="9"/>
  <c r="K156" i="9" s="1"/>
  <c r="J128" i="9"/>
  <c r="K128" i="9" s="1"/>
  <c r="J121" i="9"/>
  <c r="K121" i="9" s="1"/>
  <c r="I142" i="10"/>
  <c r="I374" i="10"/>
  <c r="I208" i="10"/>
  <c r="I543" i="10"/>
  <c r="J15" i="9"/>
  <c r="K15" i="9" s="1"/>
  <c r="J184" i="9"/>
  <c r="K184" i="9" s="1"/>
  <c r="K225" i="10"/>
  <c r="I190" i="10"/>
  <c r="U149" i="6"/>
  <c r="U251" i="6"/>
  <c r="K382" i="10"/>
  <c r="L82" i="9"/>
  <c r="I325" i="10"/>
  <c r="L39" i="9"/>
  <c r="J53" i="9"/>
  <c r="K53" i="9" s="1"/>
  <c r="I531" i="10"/>
  <c r="L215" i="9"/>
  <c r="K509" i="10"/>
  <c r="K58" i="10"/>
  <c r="L77" i="9"/>
  <c r="I103" i="10"/>
  <c r="J226" i="9"/>
  <c r="K226" i="9" s="1"/>
  <c r="I300" i="10"/>
  <c r="J257" i="9"/>
  <c r="K257" i="9" s="1"/>
  <c r="I288" i="10"/>
  <c r="I527" i="10"/>
  <c r="K220" i="10"/>
  <c r="I419" i="10"/>
  <c r="I441" i="10"/>
  <c r="J308" i="9"/>
  <c r="K308" i="9" s="1"/>
  <c r="L7" i="9"/>
  <c r="K108" i="10"/>
  <c r="L33" i="9"/>
  <c r="J205" i="9"/>
  <c r="K205" i="9" s="1"/>
  <c r="I216" i="10"/>
  <c r="I194" i="10"/>
  <c r="I408" i="10"/>
  <c r="I272" i="10"/>
  <c r="U41" i="6"/>
  <c r="K166" i="10"/>
  <c r="I129" i="10"/>
  <c r="L67" i="9"/>
  <c r="I196" i="10"/>
  <c r="L107" i="9"/>
  <c r="U56" i="6"/>
  <c r="I544" i="10"/>
  <c r="L142" i="9"/>
  <c r="L176" i="9"/>
  <c r="K340" i="10"/>
  <c r="J139" i="9"/>
  <c r="K139" i="9" s="1"/>
  <c r="I47" i="10"/>
  <c r="L174" i="9"/>
  <c r="H89" i="8"/>
  <c r="J35" i="9"/>
  <c r="K35" i="9" s="1"/>
  <c r="U237" i="6"/>
  <c r="I437" i="10"/>
  <c r="J107" i="9"/>
  <c r="K107" i="9" s="1"/>
  <c r="J22" i="9"/>
  <c r="K22" i="9" s="1"/>
  <c r="H37" i="8"/>
  <c r="L246" i="9"/>
  <c r="I54" i="10"/>
  <c r="I295" i="10"/>
  <c r="U199" i="6"/>
  <c r="L113" i="9"/>
  <c r="I524" i="10"/>
  <c r="U52" i="6"/>
  <c r="L265" i="9"/>
  <c r="L182" i="9"/>
  <c r="L89" i="9"/>
  <c r="I116" i="10"/>
  <c r="H40" i="8"/>
  <c r="H93" i="8"/>
  <c r="K110" i="10"/>
  <c r="I4" i="10"/>
  <c r="H68" i="8"/>
  <c r="I127" i="10"/>
  <c r="U13" i="6"/>
  <c r="I304" i="10"/>
  <c r="L149" i="9"/>
  <c r="U24" i="6"/>
  <c r="I167" i="10"/>
  <c r="K386" i="10"/>
  <c r="I140" i="10"/>
  <c r="L325" i="9"/>
  <c r="U101" i="6"/>
  <c r="K132" i="10"/>
  <c r="I516" i="10"/>
  <c r="K8" i="10"/>
  <c r="K75" i="10"/>
  <c r="L102" i="9"/>
  <c r="J174" i="9"/>
  <c r="K174" i="9" s="1"/>
  <c r="U8" i="6"/>
  <c r="I145" i="10"/>
  <c r="H22" i="8"/>
  <c r="I533" i="10"/>
  <c r="J86" i="9"/>
  <c r="K86" i="9" s="1"/>
  <c r="L159" i="9"/>
  <c r="K399" i="10"/>
  <c r="H124" i="8"/>
  <c r="I97" i="10"/>
  <c r="K470" i="10"/>
  <c r="I517" i="10"/>
  <c r="J256" i="9"/>
  <c r="K256" i="9" s="1"/>
  <c r="L49" i="9"/>
  <c r="I349" i="10"/>
  <c r="J71" i="9"/>
  <c r="K71" i="9" s="1"/>
  <c r="L80" i="9"/>
  <c r="I248" i="10"/>
  <c r="K385" i="10"/>
  <c r="H87" i="8"/>
  <c r="K94" i="10"/>
  <c r="J314" i="9"/>
  <c r="K314" i="9" s="1"/>
  <c r="U18" i="6"/>
  <c r="J94" i="9"/>
  <c r="K94" i="9" s="1"/>
  <c r="L255" i="9"/>
  <c r="K40" i="10"/>
  <c r="K12" i="10"/>
  <c r="I72" i="10"/>
  <c r="K337" i="10"/>
  <c r="U176" i="6"/>
  <c r="I77" i="10"/>
  <c r="K376" i="10"/>
  <c r="K143" i="10"/>
  <c r="K200" i="10"/>
  <c r="I247" i="10"/>
  <c r="I359" i="10"/>
  <c r="I373" i="10"/>
  <c r="I459" i="10"/>
  <c r="K363" i="10"/>
  <c r="I67" i="10"/>
  <c r="L235" i="9"/>
  <c r="K278" i="10"/>
  <c r="J120" i="9"/>
  <c r="K120" i="9" s="1"/>
  <c r="I460" i="10"/>
  <c r="U252" i="6"/>
  <c r="U225" i="6"/>
  <c r="H178" i="8"/>
  <c r="L106" i="9"/>
  <c r="J6" i="9"/>
  <c r="L34" i="9"/>
  <c r="H181" i="8"/>
  <c r="I473" i="10"/>
  <c r="J229" i="9"/>
  <c r="K229" i="9" s="1"/>
  <c r="J230" i="9"/>
  <c r="K230" i="9" s="1"/>
  <c r="H132" i="8"/>
  <c r="H54" i="8"/>
  <c r="U54" i="6"/>
  <c r="L206" i="9"/>
  <c r="U35" i="6"/>
  <c r="I153" i="10"/>
  <c r="J164" i="9"/>
  <c r="K164" i="9" s="1"/>
  <c r="H59" i="8"/>
  <c r="J87" i="9"/>
  <c r="K87" i="9" s="1"/>
  <c r="J274" i="9"/>
  <c r="K274" i="9" s="1"/>
  <c r="J17" i="9"/>
  <c r="K17" i="9" s="1"/>
  <c r="H149" i="8"/>
  <c r="I404" i="10"/>
  <c r="H143" i="8"/>
  <c r="I200" i="10"/>
  <c r="K191" i="10"/>
  <c r="K516" i="10"/>
  <c r="H64" i="8"/>
  <c r="I542" i="10"/>
  <c r="I360" i="10"/>
  <c r="I100" i="10"/>
  <c r="I138" i="10"/>
  <c r="I34" i="10"/>
  <c r="H94" i="8"/>
  <c r="J303" i="9"/>
  <c r="K303" i="9" s="1"/>
  <c r="J304" i="9"/>
  <c r="K304" i="9" s="1"/>
  <c r="I391" i="10"/>
  <c r="L103" i="9"/>
  <c r="K48" i="10"/>
  <c r="I372" i="10"/>
  <c r="I210" i="10"/>
  <c r="I176" i="10"/>
  <c r="J69" i="9"/>
  <c r="K69" i="9" s="1"/>
  <c r="I393" i="10"/>
  <c r="L90" i="9"/>
  <c r="L189" i="9"/>
  <c r="K322" i="10"/>
  <c r="L198" i="9"/>
  <c r="U159" i="6"/>
  <c r="L70" i="9"/>
  <c r="U304" i="6"/>
  <c r="J298" i="9"/>
  <c r="K298" i="9" s="1"/>
  <c r="I273" i="10"/>
  <c r="U7" i="6"/>
  <c r="I44" i="10"/>
  <c r="J168" i="9"/>
  <c r="K168" i="9" s="1"/>
  <c r="K202" i="10"/>
  <c r="J239" i="9"/>
  <c r="K239" i="9" s="1"/>
  <c r="U22" i="6"/>
  <c r="I503" i="10"/>
  <c r="I236" i="10"/>
  <c r="I293" i="10"/>
  <c r="U157" i="6"/>
  <c r="K364" i="10"/>
  <c r="L65" i="9"/>
  <c r="K93" i="10"/>
  <c r="I70" i="10"/>
  <c r="I505" i="10"/>
  <c r="U167" i="6"/>
  <c r="L83" i="9"/>
  <c r="J26" i="9"/>
  <c r="K26" i="9" s="1"/>
  <c r="U31" i="6"/>
  <c r="K217" i="10"/>
  <c r="J23" i="9"/>
  <c r="K23" i="9" s="1"/>
  <c r="L155" i="9"/>
  <c r="J330" i="9"/>
  <c r="K330" i="9" s="1"/>
  <c r="L140" i="9"/>
  <c r="J237" i="9"/>
  <c r="K237" i="9" s="1"/>
  <c r="H24" i="8"/>
  <c r="L278" i="9"/>
  <c r="I535" i="10"/>
  <c r="H152" i="8"/>
  <c r="L165" i="9"/>
  <c r="I92" i="10"/>
  <c r="U289" i="6"/>
  <c r="U95" i="6"/>
  <c r="K244" i="10"/>
  <c r="I102" i="10"/>
  <c r="K351" i="10"/>
  <c r="J25" i="9"/>
  <c r="K25" i="9" s="1"/>
  <c r="K67" i="10"/>
  <c r="K139" i="10"/>
  <c r="L94" i="9"/>
  <c r="U294" i="6"/>
  <c r="U10" i="6"/>
  <c r="K303" i="10"/>
  <c r="J280" i="9"/>
  <c r="K280" i="9" s="1"/>
  <c r="I62" i="10"/>
  <c r="J40" i="9"/>
  <c r="K40" i="9" s="1"/>
  <c r="J117" i="9"/>
  <c r="K117" i="9" s="1"/>
  <c r="I189" i="10"/>
  <c r="L175" i="9"/>
  <c r="J234" i="9"/>
  <c r="K234" i="9" s="1"/>
  <c r="J78" i="9"/>
  <c r="K78" i="9" s="1"/>
  <c r="I137" i="10"/>
  <c r="K171" i="10"/>
  <c r="U316" i="6"/>
  <c r="J176" i="9"/>
  <c r="K176" i="9" s="1"/>
  <c r="K298" i="10"/>
  <c r="K222" i="10"/>
  <c r="L171" i="9"/>
  <c r="J208" i="9"/>
  <c r="K208" i="9" s="1"/>
  <c r="H142" i="8"/>
  <c r="I426" i="10"/>
  <c r="I154" i="10"/>
  <c r="K175" i="10"/>
  <c r="I262" i="10"/>
  <c r="J115" i="9"/>
  <c r="K115" i="9" s="1"/>
  <c r="K227" i="10"/>
  <c r="K255" i="10"/>
  <c r="L197" i="9"/>
  <c r="L334" i="9"/>
  <c r="L35" i="9"/>
  <c r="L85" i="9"/>
  <c r="J178" i="9"/>
  <c r="K178" i="9" s="1"/>
  <c r="I321" i="10"/>
  <c r="K242" i="10"/>
  <c r="I265" i="10"/>
  <c r="L249" i="9"/>
  <c r="L217" i="9"/>
  <c r="K329" i="10"/>
  <c r="I399" i="10"/>
  <c r="L25" i="9"/>
  <c r="K105" i="10"/>
  <c r="U103" i="6"/>
  <c r="K336" i="10"/>
  <c r="I474" i="10"/>
  <c r="K447" i="10"/>
  <c r="I123" i="10"/>
  <c r="U193" i="6"/>
  <c r="U128" i="6"/>
  <c r="J29" i="9"/>
  <c r="K29" i="9" s="1"/>
  <c r="J177" i="9"/>
  <c r="K177" i="9" s="1"/>
  <c r="L212" i="9"/>
  <c r="U6" i="6"/>
  <c r="U267" i="6"/>
  <c r="L55" i="9"/>
  <c r="H5" i="8"/>
  <c r="J305" i="9"/>
  <c r="K305" i="9" s="1"/>
  <c r="H173" i="8"/>
  <c r="L119" i="9"/>
  <c r="L213" i="9"/>
  <c r="I370" i="10"/>
  <c r="K97" i="10"/>
  <c r="L19" i="9"/>
  <c r="K66" i="10"/>
  <c r="K397" i="10"/>
  <c r="J110" i="9"/>
  <c r="K110" i="9" s="1"/>
  <c r="I179" i="10"/>
  <c r="U131" i="6"/>
  <c r="H107" i="8"/>
  <c r="U135" i="6"/>
  <c r="K258" i="10"/>
  <c r="H98" i="8"/>
  <c r="L276" i="9"/>
  <c r="J173" i="9"/>
  <c r="K173" i="9" s="1"/>
  <c r="K78" i="10"/>
  <c r="I525" i="10"/>
  <c r="L47" i="9"/>
  <c r="K223" i="10"/>
  <c r="K18" i="10"/>
  <c r="K410" i="10"/>
  <c r="H129" i="8"/>
  <c r="U156" i="6"/>
  <c r="J183" i="9"/>
  <c r="K183" i="9" s="1"/>
  <c r="K4" i="10"/>
  <c r="I12" i="10"/>
  <c r="L129" i="9"/>
  <c r="K41" i="10"/>
  <c r="J165" i="9"/>
  <c r="K165" i="9" s="1"/>
  <c r="K488" i="10"/>
  <c r="L133" i="9"/>
  <c r="U240" i="6"/>
  <c r="J251" i="9"/>
  <c r="K251" i="9" s="1"/>
  <c r="K508" i="10"/>
  <c r="U214" i="6"/>
  <c r="H145" i="8"/>
  <c r="J333" i="9"/>
  <c r="K333" i="9" s="1"/>
  <c r="I171" i="10"/>
  <c r="K95" i="10"/>
  <c r="K290" i="10"/>
  <c r="L88" i="9"/>
  <c r="I111" i="10"/>
  <c r="K331" i="10"/>
  <c r="H48" i="8"/>
  <c r="K490" i="10"/>
  <c r="I87" i="10"/>
  <c r="K315" i="10"/>
  <c r="J92" i="9"/>
  <c r="K92" i="9" s="1"/>
  <c r="K119" i="10"/>
  <c r="I94" i="10"/>
  <c r="I235" i="10"/>
  <c r="I514" i="10"/>
  <c r="I344" i="10"/>
  <c r="U144" i="6"/>
  <c r="J46" i="9"/>
  <c r="K46" i="9" s="1"/>
  <c r="K299" i="10"/>
  <c r="I42" i="10"/>
  <c r="L73" i="9"/>
  <c r="I485" i="10"/>
  <c r="K254" i="10"/>
  <c r="K176" i="10"/>
  <c r="L131" i="9"/>
  <c r="L163" i="9"/>
  <c r="I69" i="10"/>
  <c r="J210" i="9"/>
  <c r="K210" i="9" s="1"/>
  <c r="K232" i="10"/>
  <c r="K353" i="10"/>
  <c r="U134" i="6"/>
  <c r="I56" i="10"/>
  <c r="K415" i="10"/>
  <c r="K174" i="10"/>
  <c r="I432" i="10"/>
  <c r="U72" i="6"/>
  <c r="U186" i="6"/>
  <c r="L179" i="9"/>
  <c r="I27" i="10"/>
  <c r="U244" i="6"/>
  <c r="L150" i="9"/>
  <c r="H75" i="8"/>
  <c r="K405" i="10"/>
  <c r="U219" i="6"/>
  <c r="K86" i="10"/>
  <c r="K474" i="10"/>
  <c r="J16" i="9"/>
  <c r="K16" i="9" s="1"/>
  <c r="J294" i="9"/>
  <c r="K294" i="9" s="1"/>
  <c r="K145" i="10"/>
  <c r="I19" i="10"/>
  <c r="K211" i="10"/>
  <c r="L263" i="9"/>
  <c r="K446" i="10"/>
  <c r="I494" i="10"/>
  <c r="I131" i="10"/>
  <c r="K302" i="10"/>
  <c r="I447" i="10"/>
  <c r="U223" i="6"/>
  <c r="I526" i="10"/>
  <c r="I238" i="10"/>
  <c r="H165" i="8"/>
  <c r="K36" i="10"/>
  <c r="I311" i="10"/>
  <c r="K181" i="10"/>
  <c r="K429" i="10"/>
  <c r="L313" i="9"/>
  <c r="I421" i="10"/>
  <c r="L195" i="9"/>
  <c r="J44" i="9"/>
  <c r="K44" i="9" s="1"/>
  <c r="J196" i="9"/>
  <c r="K196" i="9" s="1"/>
  <c r="L312" i="9"/>
  <c r="U85" i="6"/>
  <c r="I86" i="10"/>
  <c r="K85" i="10"/>
  <c r="J30" i="9"/>
  <c r="K30" i="9" s="1"/>
  <c r="L126" i="9"/>
  <c r="U312" i="6"/>
  <c r="K521" i="10"/>
  <c r="I444" i="10"/>
  <c r="I139" i="10"/>
  <c r="L311" i="9"/>
  <c r="K249" i="10"/>
  <c r="J72" i="9"/>
  <c r="K72" i="9" s="1"/>
  <c r="I294" i="10"/>
  <c r="H16" i="8"/>
  <c r="L41" i="9"/>
  <c r="L169" i="9"/>
  <c r="K433" i="10"/>
  <c r="U34" i="6"/>
  <c r="J332" i="9"/>
  <c r="K332" i="9" s="1"/>
  <c r="I282" i="10"/>
  <c r="U50" i="6"/>
  <c r="K185" i="10"/>
  <c r="U137" i="6"/>
  <c r="J129" i="9"/>
  <c r="K129" i="9" s="1"/>
  <c r="I173" i="10"/>
  <c r="K104" i="10"/>
  <c r="J67" i="9"/>
  <c r="K67" i="9" s="1"/>
  <c r="L52" i="9"/>
  <c r="I442" i="10"/>
  <c r="L302" i="9"/>
  <c r="K263" i="10"/>
  <c r="L207" i="9"/>
  <c r="H4" i="8"/>
  <c r="I291" i="10"/>
  <c r="L191" i="9"/>
  <c r="J293" i="9"/>
  <c r="K293" i="9" s="1"/>
  <c r="I354" i="10"/>
  <c r="I29" i="10"/>
  <c r="J192" i="9"/>
  <c r="K192" i="9" s="1"/>
  <c r="U257" i="6"/>
  <c r="H6" i="8"/>
  <c r="I89" i="10"/>
  <c r="K126" i="10"/>
  <c r="L184" i="9"/>
  <c r="L300" i="9"/>
  <c r="K5" i="10"/>
  <c r="L293" i="9"/>
  <c r="I411" i="10"/>
  <c r="K535" i="10"/>
  <c r="U88" i="6"/>
  <c r="L14" i="9"/>
  <c r="K76" i="10"/>
  <c r="U197" i="6"/>
  <c r="I20" i="10"/>
  <c r="I407" i="10"/>
  <c r="K394" i="10"/>
  <c r="H10" i="8"/>
  <c r="H82" i="8"/>
  <c r="I332" i="10"/>
  <c r="K60" i="10"/>
  <c r="L28" i="9"/>
  <c r="K455" i="10"/>
  <c r="U57" i="6"/>
  <c r="U82" i="6"/>
  <c r="I204" i="10"/>
  <c r="H151" i="8"/>
  <c r="U130" i="6"/>
  <c r="I377" i="10"/>
  <c r="I433" i="10"/>
  <c r="I351" i="10"/>
  <c r="H115" i="8"/>
  <c r="K403" i="10"/>
  <c r="J135" i="9"/>
  <c r="K135" i="9" s="1"/>
  <c r="K305" i="10"/>
  <c r="U48" i="6"/>
  <c r="K84" i="10"/>
  <c r="H79" i="8"/>
  <c r="I472" i="10"/>
  <c r="U81" i="6"/>
  <c r="K221" i="10"/>
  <c r="I327" i="10"/>
  <c r="H185" i="8"/>
  <c r="K74" i="10"/>
  <c r="K379" i="10"/>
  <c r="J252" i="9"/>
  <c r="K252" i="9" s="1"/>
  <c r="K368" i="10"/>
  <c r="L331" i="9"/>
  <c r="I511" i="10"/>
  <c r="L328" i="9"/>
  <c r="U174" i="6"/>
  <c r="I353" i="10"/>
  <c r="I10" i="10"/>
  <c r="U175" i="6"/>
  <c r="I209" i="10"/>
  <c r="J54" i="9"/>
  <c r="K54" i="9" s="1"/>
  <c r="I57" i="10"/>
  <c r="I46" i="10"/>
  <c r="K69" i="10"/>
  <c r="I355" i="10"/>
  <c r="H179" i="8"/>
  <c r="K271" i="10"/>
  <c r="K542" i="10"/>
  <c r="K262" i="10"/>
  <c r="J141" i="9"/>
  <c r="K141" i="9" s="1"/>
  <c r="L237" i="9"/>
  <c r="J38" i="9"/>
  <c r="K38" i="9" s="1"/>
  <c r="K538" i="10"/>
  <c r="H34" i="8"/>
  <c r="H78" i="8"/>
  <c r="L96" i="9"/>
  <c r="L284" i="9"/>
  <c r="L60" i="9"/>
  <c r="K373" i="10"/>
  <c r="K442" i="10"/>
  <c r="K520" i="10"/>
  <c r="K250" i="10"/>
  <c r="J161" i="9"/>
  <c r="K161" i="9" s="1"/>
  <c r="K510" i="10"/>
  <c r="U98" i="6"/>
  <c r="L177" i="9"/>
  <c r="I487" i="10"/>
  <c r="K216" i="10"/>
  <c r="H177" i="8"/>
  <c r="I18" i="10"/>
  <c r="L110" i="9"/>
  <c r="J273" i="9"/>
  <c r="K273" i="9" s="1"/>
  <c r="L38" i="9"/>
  <c r="K526" i="10"/>
  <c r="H62" i="8"/>
  <c r="J169" i="9"/>
  <c r="K169" i="9" s="1"/>
  <c r="J142" i="9"/>
  <c r="K142" i="9" s="1"/>
  <c r="K273" i="10"/>
  <c r="L108" i="9"/>
  <c r="K335" i="10"/>
  <c r="J307" i="9"/>
  <c r="K307" i="9" s="1"/>
  <c r="I285" i="10"/>
  <c r="U68" i="6"/>
  <c r="K96" i="10"/>
  <c r="I352" i="10"/>
  <c r="U254" i="6"/>
  <c r="U228" i="6"/>
  <c r="I313" i="10"/>
  <c r="L120" i="9"/>
  <c r="J113" i="9"/>
  <c r="K113" i="9" s="1"/>
  <c r="U308" i="6"/>
  <c r="L125" i="9"/>
  <c r="K163" i="10"/>
  <c r="I358" i="10"/>
  <c r="L51" i="9"/>
  <c r="J327" i="9"/>
  <c r="K327" i="9" s="1"/>
  <c r="L37" i="9"/>
  <c r="I482" i="10"/>
  <c r="K437" i="10"/>
  <c r="L277" i="9"/>
  <c r="J74" i="9"/>
  <c r="K74" i="9" s="1"/>
  <c r="K517" i="10"/>
  <c r="H183" i="8"/>
  <c r="K98" i="10"/>
  <c r="U107" i="6"/>
  <c r="J138" i="9"/>
  <c r="K138" i="9" s="1"/>
  <c r="H168" i="8"/>
  <c r="K26" i="10"/>
  <c r="U90" i="6"/>
  <c r="L252" i="9"/>
  <c r="H139" i="8"/>
  <c r="I175" i="10"/>
  <c r="K109" i="10"/>
  <c r="L269" i="9"/>
  <c r="U152" i="6"/>
  <c r="U238" i="6"/>
  <c r="L97" i="9"/>
  <c r="L257" i="9"/>
  <c r="K408" i="10"/>
  <c r="K148" i="10"/>
  <c r="I429" i="10"/>
  <c r="U109" i="6"/>
  <c r="K396" i="10"/>
  <c r="J76" i="9"/>
  <c r="K76" i="9" s="1"/>
  <c r="H47" i="8"/>
  <c r="U203" i="6"/>
  <c r="K458" i="10"/>
  <c r="J90" i="9"/>
  <c r="K90" i="9" s="1"/>
  <c r="I371" i="10"/>
  <c r="L208" i="9"/>
  <c r="J18" i="9"/>
  <c r="K18" i="9" s="1"/>
  <c r="I502" i="10"/>
  <c r="K524" i="10"/>
  <c r="K496" i="10"/>
  <c r="I13" i="10"/>
  <c r="U298" i="6"/>
  <c r="J233" i="9"/>
  <c r="K233" i="9" s="1"/>
  <c r="K505" i="10"/>
  <c r="K285" i="10"/>
  <c r="K369" i="10"/>
  <c r="I458" i="10"/>
  <c r="I510" i="10"/>
  <c r="I461" i="10"/>
  <c r="I486" i="10"/>
  <c r="U32" i="6"/>
  <c r="K500" i="10"/>
  <c r="U233" i="6"/>
  <c r="I260" i="10"/>
  <c r="U43" i="6"/>
  <c r="L326" i="9"/>
  <c r="J311" i="9"/>
  <c r="K311" i="9" s="1"/>
  <c r="K35" i="10"/>
  <c r="I213" i="10"/>
  <c r="J180" i="9"/>
  <c r="K180" i="9" s="1"/>
  <c r="K515" i="10"/>
  <c r="K199" i="10"/>
  <c r="J70" i="9"/>
  <c r="K70" i="9" s="1"/>
  <c r="I413" i="10"/>
  <c r="K81" i="10"/>
  <c r="U215" i="6"/>
  <c r="I418" i="10"/>
  <c r="K457" i="10"/>
  <c r="L62" i="9"/>
  <c r="J317" i="9"/>
  <c r="K317" i="9" s="1"/>
  <c r="K441" i="10"/>
  <c r="K310" i="10"/>
  <c r="K265" i="10"/>
  <c r="K491" i="10"/>
  <c r="I106" i="10"/>
  <c r="K419" i="10"/>
  <c r="U30" i="6"/>
  <c r="I476" i="10"/>
  <c r="K460" i="10"/>
  <c r="K218" i="10"/>
  <c r="I438" i="10"/>
  <c r="I453" i="10"/>
  <c r="H25" i="8"/>
  <c r="K100" i="10"/>
  <c r="I417" i="10"/>
  <c r="K169" i="10"/>
  <c r="J277" i="9"/>
  <c r="K277" i="9" s="1"/>
  <c r="J232" i="9"/>
  <c r="K232" i="9" s="1"/>
  <c r="I449" i="10"/>
  <c r="K151" i="10"/>
  <c r="I493" i="10"/>
  <c r="I150" i="10"/>
  <c r="K448" i="10"/>
  <c r="H133" i="8"/>
  <c r="L202" i="9"/>
  <c r="H153" i="8"/>
  <c r="K416" i="10"/>
  <c r="H18" i="8"/>
  <c r="J106" i="9"/>
  <c r="K106" i="9" s="1"/>
  <c r="I455" i="10"/>
  <c r="J189" i="9"/>
  <c r="K189" i="9" s="1"/>
  <c r="I305" i="10"/>
  <c r="K452" i="10"/>
  <c r="K383" i="10"/>
  <c r="J254" i="9"/>
  <c r="K254" i="9" s="1"/>
  <c r="I214" i="10"/>
  <c r="K366" i="10"/>
  <c r="I49" i="10"/>
  <c r="L15" i="9"/>
  <c r="L29" i="9"/>
  <c r="J124" i="9"/>
  <c r="K124" i="9" s="1"/>
  <c r="K537" i="10"/>
  <c r="H102" i="8"/>
  <c r="L324" i="9"/>
  <c r="K259" i="10"/>
  <c r="I431" i="10"/>
  <c r="I203" i="10"/>
  <c r="K161" i="10"/>
  <c r="U115" i="6"/>
  <c r="K436" i="10"/>
  <c r="K289" i="10"/>
  <c r="U195" i="6"/>
  <c r="J207" i="9"/>
  <c r="K207" i="9" s="1"/>
  <c r="H17" i="8"/>
  <c r="K167" i="10"/>
  <c r="K522" i="10"/>
  <c r="J147" i="9"/>
  <c r="K147" i="9" s="1"/>
  <c r="J265" i="9"/>
  <c r="K265" i="9" s="1"/>
  <c r="U293" i="6"/>
  <c r="K32" i="10"/>
  <c r="I48" i="10"/>
  <c r="I82" i="10"/>
  <c r="K275" i="10"/>
  <c r="U200" i="6"/>
  <c r="L42" i="9"/>
  <c r="K45" i="10"/>
  <c r="I286" i="10"/>
  <c r="J100" i="9"/>
  <c r="K100" i="9" s="1"/>
  <c r="K229" i="10"/>
  <c r="I231" i="10"/>
  <c r="H92" i="8"/>
  <c r="H113" i="8"/>
  <c r="U141" i="6"/>
  <c r="U280" i="6"/>
  <c r="I60" i="10"/>
  <c r="K422" i="10"/>
  <c r="L287" i="9"/>
  <c r="J102" i="9"/>
  <c r="K102" i="9" s="1"/>
  <c r="H7" i="8"/>
  <c r="I406" i="10"/>
  <c r="I249" i="10"/>
  <c r="I192" i="10"/>
  <c r="U261" i="6"/>
  <c r="K346" i="10"/>
  <c r="K51" i="10"/>
  <c r="K123" i="10"/>
  <c r="H61" i="8"/>
  <c r="J57" i="9"/>
  <c r="K57" i="9" s="1"/>
  <c r="K57" i="10"/>
  <c r="K277" i="10"/>
  <c r="I303" i="10"/>
  <c r="K112" i="10"/>
  <c r="L30" i="9"/>
  <c r="U122" i="6"/>
  <c r="L8" i="9"/>
  <c r="I187" i="10"/>
  <c r="I302" i="10"/>
  <c r="K320" i="10"/>
  <c r="U17" i="6"/>
  <c r="I385" i="10"/>
  <c r="I495" i="10"/>
  <c r="K253" i="10"/>
  <c r="J244" i="9"/>
  <c r="K244" i="9" s="1"/>
  <c r="I120" i="10"/>
  <c r="K297" i="10"/>
  <c r="H136" i="8"/>
  <c r="U16" i="6"/>
  <c r="K395" i="10"/>
  <c r="I383" i="10"/>
  <c r="J242" i="9"/>
  <c r="K242" i="9" s="1"/>
  <c r="L242" i="9"/>
  <c r="I37" i="10"/>
  <c r="K384" i="10"/>
  <c r="K164" i="10"/>
  <c r="L164" i="9"/>
  <c r="K245" i="10"/>
  <c r="K284" i="10"/>
  <c r="J47" i="9"/>
  <c r="K47" i="9" s="1"/>
  <c r="U15" i="6"/>
  <c r="U305" i="6"/>
  <c r="L76" i="9"/>
  <c r="J309" i="9"/>
  <c r="K309" i="9" s="1"/>
  <c r="I477" i="10"/>
  <c r="L36" i="9"/>
  <c r="I169" i="10"/>
  <c r="J33" i="9"/>
  <c r="K33" i="9" s="1"/>
  <c r="U51" i="6"/>
  <c r="U29" i="6"/>
  <c r="K513" i="10"/>
  <c r="U47" i="6"/>
  <c r="I202" i="10"/>
  <c r="J68" i="9"/>
  <c r="K68" i="9" s="1"/>
  <c r="K365" i="10"/>
  <c r="K304" i="10"/>
  <c r="L281" i="9"/>
  <c r="I207" i="10"/>
  <c r="J93" i="9"/>
  <c r="K93" i="9" s="1"/>
  <c r="J42" i="9"/>
  <c r="K42" i="9" s="1"/>
  <c r="L219" i="9"/>
  <c r="J95" i="9"/>
  <c r="K95" i="9" s="1"/>
  <c r="I491" i="10"/>
  <c r="K154" i="10"/>
  <c r="L193" i="9"/>
  <c r="U123" i="6"/>
  <c r="L225" i="9"/>
  <c r="H29" i="8"/>
  <c r="H55" i="8"/>
  <c r="U234" i="6"/>
  <c r="H174" i="8"/>
  <c r="I541" i="10"/>
  <c r="I6" i="10"/>
  <c r="I430" i="10"/>
  <c r="K444" i="10"/>
  <c r="L232" i="9"/>
  <c r="K295" i="10"/>
  <c r="K193" i="10"/>
  <c r="H176" i="8"/>
  <c r="K114" i="10"/>
  <c r="J155" i="9"/>
  <c r="K155" i="9" s="1"/>
  <c r="L72" i="9"/>
  <c r="K27" i="10"/>
  <c r="K192" i="10"/>
  <c r="I90" i="10"/>
  <c r="K332" i="10"/>
  <c r="U247" i="6"/>
  <c r="L172" i="9"/>
  <c r="K370" i="10"/>
  <c r="J150" i="9"/>
  <c r="K150" i="9" s="1"/>
  <c r="L124" i="9"/>
  <c r="I219" i="10"/>
  <c r="J276" i="9"/>
  <c r="K276" i="9" s="1"/>
  <c r="J109" i="9"/>
  <c r="K149" i="10"/>
  <c r="J271" i="9"/>
  <c r="K271" i="9" s="1"/>
  <c r="K543" i="10"/>
  <c r="J194" i="9"/>
  <c r="K194" i="9" s="1"/>
  <c r="U275" i="6"/>
  <c r="K349" i="10"/>
  <c r="K420" i="10"/>
  <c r="L315" i="9"/>
  <c r="I186" i="10"/>
  <c r="L10" i="9"/>
  <c r="K228" i="10"/>
  <c r="K348" i="10"/>
  <c r="L267" i="9"/>
  <c r="J197" i="9"/>
  <c r="K197" i="9" s="1"/>
  <c r="U63" i="6"/>
  <c r="U266" i="6"/>
  <c r="I252" i="10"/>
  <c r="I464" i="10"/>
  <c r="U49" i="6"/>
  <c r="K147" i="10"/>
  <c r="J322" i="9"/>
  <c r="K322" i="9" s="1"/>
  <c r="L226" i="9"/>
  <c r="H150" i="8"/>
  <c r="U97" i="6"/>
  <c r="L127" i="9"/>
  <c r="U28" i="6"/>
  <c r="J154" i="9"/>
  <c r="K154" i="9" s="1"/>
  <c r="I275" i="10"/>
  <c r="J269" i="9"/>
  <c r="K269" i="9" s="1"/>
  <c r="L136" i="9"/>
  <c r="I221" i="10"/>
  <c r="I143" i="10"/>
  <c r="K497" i="10"/>
  <c r="L144" i="9"/>
  <c r="L84" i="9"/>
  <c r="K54" i="10"/>
  <c r="H156" i="8"/>
  <c r="I296" i="10"/>
  <c r="J166" i="9"/>
  <c r="K166" i="9" s="1"/>
  <c r="H11" i="8"/>
  <c r="K316" i="10"/>
  <c r="I232" i="10"/>
  <c r="J331" i="9"/>
  <c r="K331" i="9" s="1"/>
  <c r="U284" i="6"/>
  <c r="I132" i="10"/>
  <c r="I197" i="10"/>
  <c r="K377" i="10"/>
  <c r="I133" i="10"/>
  <c r="K451" i="10"/>
  <c r="I255" i="10"/>
  <c r="U161" i="6"/>
  <c r="U80" i="6"/>
  <c r="K129" i="10"/>
  <c r="U70" i="6"/>
  <c r="L253" i="9"/>
  <c r="L283" i="9"/>
  <c r="K541" i="10"/>
  <c r="I68" i="10"/>
  <c r="L248" i="9"/>
  <c r="K483" i="10"/>
  <c r="I160" i="10"/>
  <c r="K77" i="10"/>
  <c r="U145" i="6"/>
  <c r="K406" i="10"/>
  <c r="I403" i="10"/>
  <c r="K157" i="10"/>
  <c r="U210" i="6"/>
  <c r="I402" i="10"/>
  <c r="K381" i="10"/>
  <c r="K393" i="10"/>
  <c r="I162" i="10"/>
  <c r="U202" i="6"/>
  <c r="K91" i="10"/>
  <c r="U171" i="6"/>
  <c r="J83" i="9"/>
  <c r="K83" i="9" s="1"/>
  <c r="K62" i="10"/>
  <c r="I336" i="10"/>
  <c r="K274" i="10"/>
  <c r="K306" i="10"/>
  <c r="I319" i="10"/>
  <c r="K347" i="10"/>
  <c r="I396" i="10"/>
  <c r="H41" i="8"/>
  <c r="L141" i="9"/>
  <c r="K283" i="10"/>
  <c r="I278" i="10"/>
  <c r="H38" i="8"/>
  <c r="I345" i="10"/>
  <c r="H100" i="8"/>
  <c r="K291" i="10"/>
  <c r="L1" i="9" l="1"/>
  <c r="E9" i="5" s="1"/>
  <c r="L4" i="9"/>
  <c r="K2" i="10"/>
  <c r="E10" i="5" s="1"/>
  <c r="L2" i="9"/>
  <c r="J4" i="9"/>
  <c r="K6" i="9"/>
  <c r="J1" i="9"/>
  <c r="K109" i="9"/>
  <c r="K2" i="9" s="1"/>
  <c r="E8" i="5" s="1"/>
  <c r="E11" i="5" s="1"/>
  <c r="E14" i="5" s="1"/>
  <c r="J2" i="9"/>
  <c r="H2" i="8"/>
  <c r="I2" i="10"/>
  <c r="K4" i="9" l="1"/>
  <c r="K1"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<sst xmlns="http://schemas.openxmlformats.org/spreadsheetml/2006/main" count="24656" uniqueCount="2376">
  <si>
    <t>EM REVISÃO</t>
  </si>
  <si>
    <t>Origem</t>
  </si>
  <si>
    <t>Matrícula</t>
  </si>
  <si>
    <t>Carta Adjudicação</t>
  </si>
  <si>
    <t>Procuradoria</t>
  </si>
  <si>
    <t>Classe Imóvel</t>
  </si>
  <si>
    <t>Tipologia</t>
  </si>
  <si>
    <t>Cartório</t>
  </si>
  <si>
    <t>Cidade</t>
  </si>
  <si>
    <t>Dt. Avaliação</t>
  </si>
  <si>
    <t>Nível</t>
  </si>
  <si>
    <t>Valor FCC</t>
  </si>
  <si>
    <t>VF</t>
  </si>
  <si>
    <t xml:space="preserve">% Propriedade </t>
  </si>
  <si>
    <t>VF Líq.</t>
  </si>
  <si>
    <t>DECISÃO 26/06/2025</t>
  </si>
  <si>
    <t>FCC</t>
  </si>
  <si>
    <t>Imóvel Urbano</t>
  </si>
  <si>
    <t>Comercial</t>
  </si>
  <si>
    <t>2º CRI</t>
  </si>
  <si>
    <t>Ribeirão Preto/SP</t>
  </si>
  <si>
    <t>Nível 2</t>
  </si>
  <si>
    <t>Residencial</t>
  </si>
  <si>
    <t>Nível 3</t>
  </si>
  <si>
    <t>33/41</t>
  </si>
  <si>
    <t>-</t>
  </si>
  <si>
    <t>ENF SPE COMERCIAL LTDA</t>
  </si>
  <si>
    <t>1º CRI</t>
  </si>
  <si>
    <t>Total</t>
  </si>
  <si>
    <t>Liberado</t>
  </si>
  <si>
    <t>%</t>
  </si>
  <si>
    <t>ENF SPE
RESIDENCIAL LTDA</t>
  </si>
  <si>
    <t>PROCURADORIA</t>
  </si>
  <si>
    <t>CONDOMÍNIO</t>
  </si>
  <si>
    <t>Condomínio</t>
  </si>
  <si>
    <t>Posterior</t>
  </si>
  <si>
    <t>n/a</t>
  </si>
  <si>
    <t>Outros</t>
  </si>
  <si>
    <t>Ilha Comprida/SP</t>
  </si>
  <si>
    <t>Obs</t>
  </si>
  <si>
    <t>Arrematado por terceiros</t>
  </si>
  <si>
    <t>VM</t>
  </si>
  <si>
    <t>Área Terreno</t>
  </si>
  <si>
    <t>Área Const.</t>
  </si>
  <si>
    <t>Vl. Laudo</t>
  </si>
  <si>
    <t>Vl. Terreno</t>
  </si>
  <si>
    <t>Vl. Construção</t>
  </si>
  <si>
    <t>Opc. 1</t>
  </si>
  <si>
    <t>Opc. 3</t>
  </si>
  <si>
    <t>Vl. Individualizado</t>
  </si>
  <si>
    <t>Cartas Pendentes</t>
  </si>
  <si>
    <t>Imóvel 96.153</t>
  </si>
  <si>
    <t>Cartas Expedidas</t>
  </si>
  <si>
    <t>Total Imóveis COZAC</t>
  </si>
  <si>
    <t>#Mat.</t>
  </si>
  <si>
    <t>VF (R$ )</t>
  </si>
  <si>
    <t>Registrado</t>
  </si>
  <si>
    <t>Previsão 05/09</t>
  </si>
  <si>
    <t>Previsão 29/09</t>
  </si>
  <si>
    <t>Sem Previsão</t>
  </si>
  <si>
    <t>COZAC: Registros</t>
  </si>
  <si>
    <t>Sem Carta</t>
  </si>
  <si>
    <t>#</t>
  </si>
  <si>
    <t>Status</t>
  </si>
  <si>
    <t>Previsão 08/10</t>
  </si>
  <si>
    <t>Previsão 03/10</t>
  </si>
  <si>
    <t>Previsão 26/09</t>
  </si>
  <si>
    <t>vendido</t>
  </si>
  <si>
    <t>Ativos</t>
  </si>
  <si>
    <t>Mat.</t>
  </si>
  <si>
    <t>Tipo</t>
  </si>
  <si>
    <t>Tem proposta?</t>
  </si>
  <si>
    <t>Melhor Proposta (ativa)</t>
  </si>
  <si>
    <t>Comprador</t>
  </si>
  <si>
    <t>Urbano</t>
  </si>
  <si>
    <t>Avaliação</t>
  </si>
  <si>
    <t>Regulatório</t>
  </si>
  <si>
    <t>Registrado?</t>
  </si>
  <si>
    <t>Vendido</t>
  </si>
  <si>
    <t>Vendido (em conjunto 62872 e 72157)</t>
  </si>
  <si>
    <t>Ok</t>
  </si>
  <si>
    <t>Tipo de baixa</t>
  </si>
  <si>
    <t>Pagamento</t>
  </si>
  <si>
    <t>Emissão</t>
  </si>
  <si>
    <t>Total Título</t>
  </si>
  <si>
    <t>Bruto</t>
  </si>
  <si>
    <t>Líquido</t>
  </si>
  <si>
    <t>Título</t>
  </si>
  <si>
    <t>Credor</t>
  </si>
  <si>
    <t>Cod. P.F.</t>
  </si>
  <si>
    <t>Descrição P.F</t>
  </si>
  <si>
    <t>Cod. C.C.</t>
  </si>
  <si>
    <t>Descrição C.C.</t>
  </si>
  <si>
    <t>Cod. A.N.</t>
  </si>
  <si>
    <t>Descrição A.N.</t>
  </si>
  <si>
    <t>Observação</t>
  </si>
  <si>
    <t>Cod. Banco</t>
  </si>
  <si>
    <t>Nome Banco</t>
  </si>
  <si>
    <t>Descrição Doc.</t>
  </si>
  <si>
    <t>Número Doc.</t>
  </si>
  <si>
    <t>HOJE</t>
  </si>
  <si>
    <t>VALOR ATT</t>
  </si>
  <si>
    <t>*** Pagamento ***</t>
  </si>
  <si>
    <t>MINISTERIO DA ECONOMIA</t>
  </si>
  <si>
    <t>2.20.03.10</t>
  </si>
  <si>
    <t>OUTRAS DESPESAS COM ATIVOS</t>
  </si>
  <si>
    <t>0015292_COZAC_FALENCIA</t>
  </si>
  <si>
    <t>FALENCIA E RJ_TOMBADO</t>
  </si>
  <si>
    <t>GUIA DE RECOLHIMENTO DE DEBITOS TRIBUTARIOS COZAC ENGENHARIA-  PAGAMENTO PELO ADIANTAMENTO REALIZADO PELO FIDC</t>
  </si>
  <si>
    <t>13013697-3</t>
  </si>
  <si>
    <t>SANTANDER - ENFORCE</t>
  </si>
  <si>
    <t>GUIA PARA RECOLHIMENTO DE IMPOSTOS</t>
  </si>
  <si>
    <t>07.17.193570975753-0</t>
  </si>
  <si>
    <t>1 TABELIAO DE PROTESTO DE LETRAS E TITULOS DA COMARCA DE RIBEIRÃO PRETO</t>
  </si>
  <si>
    <t>2.20.03.15</t>
  </si>
  <si>
    <t>IPTU - CUSTO REGULARIZACAO</t>
  </si>
  <si>
    <t>BOLETO REFERENTE AO PROTESTO DE IPTU REFERENTE AO CASO COZAC - 541108715 PIPEFY</t>
  </si>
  <si>
    <t>BOLETO</t>
  </si>
  <si>
    <t>321</t>
  </si>
  <si>
    <t>2.20.03.02</t>
  </si>
  <si>
    <t>IPTU E TAXA DE LIXO</t>
  </si>
  <si>
    <t>Pagamento protesto IPTU caso Cozac.  http://app.pipefy.com/pipes/301656781#cards/600221268</t>
  </si>
  <si>
    <t>160</t>
  </si>
  <si>
    <t>Boleto protesto IPTU Cozac - 599771525 - Pipefy</t>
  </si>
  <si>
    <t>658</t>
  </si>
  <si>
    <t>DANIEL CARNIO ADVOGADOS</t>
  </si>
  <si>
    <t>2.20.04.01</t>
  </si>
  <si>
    <t>HONORÁRIOS</t>
  </si>
  <si>
    <t>HONORARIOS ADVOCATICIOS REFERENTE A ELABORACAO DE PARECER JURIDICO E DESPACHO NO CASO COZAC. CONTRATO ASSINADO POR TODAS AS PARTES. (MARLENE TOCANDO O PGTO)APROVACAO DO CAMARA ANEXA AO CARD.</t>
  </si>
  <si>
    <t>DIRETAS</t>
  </si>
  <si>
    <t>NOTA FISCAL DE SERVIÇOS</t>
  </si>
  <si>
    <t>38</t>
  </si>
  <si>
    <t>BOLETO REFERENTE AO PROTESTO DE IPTU REFERENTE AO CASO COZAC - 541108594 PIPEFY</t>
  </si>
  <si>
    <t>343</t>
  </si>
  <si>
    <t>Pagamento protestos Cozac - 553542051 PIPEFY</t>
  </si>
  <si>
    <t>25</t>
  </si>
  <si>
    <t>GUIA DE RECOLHIMENTO DE DEBITOS TRIBUTARIOS  COZAC IMOVEIS -PAGAMENTO PELO ADIANTAMENTO REALIZADO PELO FIDC</t>
  </si>
  <si>
    <t>32183-4</t>
  </si>
  <si>
    <t>BRADESCO - ENFORCE</t>
  </si>
  <si>
    <t>07.17.19357.0972899-</t>
  </si>
  <si>
    <t>Pagamento protestos Cozac - 553543837 PIPEFY</t>
  </si>
  <si>
    <t>26</t>
  </si>
  <si>
    <t>GUIA DE RECOLHIMENTO DE DEBITOS TRIBUTARIOS  COZAC ENGENHARIA -PAGAMENTO PELO ADIANTAMENTO REALIZADO PELO FIDC</t>
  </si>
  <si>
    <t>07.17.19357.0982752-</t>
  </si>
  <si>
    <t>Pagamento protestos Cozac - 553538611 PIPEFY</t>
  </si>
  <si>
    <t>23</t>
  </si>
  <si>
    <t>Pagamento protestos Cozac - 553541810 PIPEFY</t>
  </si>
  <si>
    <t>24</t>
  </si>
  <si>
    <t>1. OFICIAL DE REGISTRO DE IMOVEIS DE RIBEIRAO PRETO</t>
  </si>
  <si>
    <t>2.20.02.03</t>
  </si>
  <si>
    <t>REGISTROS E AVERBAÇÕES</t>
  </si>
  <si>
    <t>REEMBOLSAVEIS - CARD ABERTO 23926 JESTOR - *BOLETO VENCE 26/10 (28/10)**Trata-se da averbacao da cessao das garantias contratuais do 1 RGI de Ribeirao Preto (SP) do BB para o Travessia VIII referente ao caso COZAC.</t>
  </si>
  <si>
    <t>41226</t>
  </si>
  <si>
    <t>CALLEGARI ENGENHARIA DE AVALIACOES E CONSTRUCOES LTDA</t>
  </si>
  <si>
    <t>2.20.06.02</t>
  </si>
  <si>
    <t>PERICIAS E AVALIAÇÕES</t>
  </si>
  <si>
    <t>Prestacao de servico de avaliacao dos imoveis do caso Cozac.</t>
  </si>
  <si>
    <t>BTG-35</t>
  </si>
  <si>
    <t>BAIXA BTG</t>
  </si>
  <si>
    <t>DESPESA INDIVIDUAL</t>
  </si>
  <si>
    <t>28</t>
  </si>
  <si>
    <t>NOGARA, NOGARA E RONDINONI ADVOGADOS ASSOCIADOS</t>
  </si>
  <si>
    <t>DESPESAS COM HONORARIOS ADVOCATICIOS - JUNHO/20 -  RETENCAO OK</t>
  </si>
  <si>
    <t>59</t>
  </si>
  <si>
    <t>CAIXA ECONOMICA FEDERAL</t>
  </si>
  <si>
    <t>GUIA DE RECOLHIMENTO DE DEBITOS TRIBUTARIOS DE FGTS  COZAC ENGENHARIA -PAGAMENTO PELO ADIANTAMENTO REALIZADO PELO FIDC</t>
  </si>
  <si>
    <t>MINISTERIO DA PREVIDENCIA SOCIAL</t>
  </si>
  <si>
    <t>2.20.04.06</t>
  </si>
  <si>
    <t>OUTRAS DESPESAS LEGAIS</t>
  </si>
  <si>
    <t>SALDO REMANESCENTE DOS DEBITOS JUNTO A PROCURADORIA FEDERAL - MP CONTRIBUINTE LEGAL</t>
  </si>
  <si>
    <t>0717201257898624-7</t>
  </si>
  <si>
    <t>2 OFICIAL DE REGISTRO DE IMOVEIS DE RIBEIRAO PRETO</t>
  </si>
  <si>
    <t>REEMBOLSAVEIS - #24663 JESTORTrata-se da averbacao da cessao de credito no 2 RGI de Ribeirao Preto - SP, referente ao caso Cozac.</t>
  </si>
  <si>
    <t>ADIANTAMENTO</t>
  </si>
  <si>
    <t>261101</t>
  </si>
  <si>
    <t>2 TABELIAO DE PROTESTO DE LETRAS E TITULOS DE RIBEIRAO PRETO</t>
  </si>
  <si>
    <t>**PIX** Pagamento protesto IPTU caso Cozac. Dados para PIX:Banco Itau (341)Ag.: 8975-3Cc.: 11.204-9CNPJ: 07.441.656/0001-992. Tabeliao de Protesto de Letras e Titulos de Ribeirao Preto  http://app.pipefy.com/pipes/301656781#cards/600221428</t>
  </si>
  <si>
    <t>PIX</t>
  </si>
  <si>
    <t>PAGAMENTO DOS PROTESTOS DE IPTU DOS IMOVEIS QUE ESTAO DENTRO DAS NOSSAS NEGOCIACAO QUE A PREFEITURA DE RIBEIRAO PRETO COMECOU A FAZER DO ANO DE 2020 - 541108206 PIPEFY</t>
  </si>
  <si>
    <t>3240114</t>
  </si>
  <si>
    <t>PAGAMENTO PROTESTO COZAC -  552559245 PIPEFY</t>
  </si>
  <si>
    <t>3257911</t>
  </si>
  <si>
    <t>BOLETOS REFERENTE AO PAGAMENTO DE PROTESTO DE IPTU DO CASO COZAC  - 541108318 PIPEFY</t>
  </si>
  <si>
    <t>3234771</t>
  </si>
  <si>
    <t>PAGAMENTO PROTESTO COZAC -  552555954 PIPEFY</t>
  </si>
  <si>
    <t>3260183</t>
  </si>
  <si>
    <t>PAGAMENTO PROTESTO COZAC -  552559090 PIPEFY</t>
  </si>
  <si>
    <t>3260185</t>
  </si>
  <si>
    <t>T.C. IMOVEIS S/S LTDA</t>
  </si>
  <si>
    <t>2.20.05.03</t>
  </si>
  <si>
    <t>DESPACHANTES E DILIGENTES</t>
  </si>
  <si>
    <t>PAGAMENTO DE DILIGENCIAS</t>
  </si>
  <si>
    <t>896</t>
  </si>
  <si>
    <t>AHEAD ARQUITETURA E ENGENHARIA DE AVALIACOES LTDA</t>
  </si>
  <si>
    <t>Referente as avaliacoes N2/N3 contratadas entre 21/06 e 20/07 - 767846522 - Pipefy</t>
  </si>
  <si>
    <t>280</t>
  </si>
  <si>
    <t>PAGAMENTO PROTESTO COZAC -  552559157 PIPEFY</t>
  </si>
  <si>
    <t>3260187</t>
  </si>
  <si>
    <t>BOLETO REFERENTE AO PROTESTO  DE IPTU REFERENTE AO CASO COZAC -  541108414 PIPEFY</t>
  </si>
  <si>
    <t>3241205</t>
  </si>
  <si>
    <t>PREFEITURA MUNICIPAL DE RIBEIRÃO PRETO</t>
  </si>
  <si>
    <t>QUITACAO DE DEBITOS DE IPTU - IMOVEL: 147127 - CASO: COZAC - PAGAMENTO PELO ADIANTAMENTO REALIZADO PELO FIDC</t>
  </si>
  <si>
    <t>147127</t>
  </si>
  <si>
    <t>QUITACAO DE DEBITOS DE IPTU - IMOVEL: 147125 - CASO: COZAC - PAGAMENTO PELO ADIANTAMENTO REALIZADO PELO FIDC</t>
  </si>
  <si>
    <t>147125</t>
  </si>
  <si>
    <t>QUITACAO DE DEBITOS DE IPTU - DAM: 201900222326 - IMOVEL: 82001 - CASO: COZAC - PAGAMENTO PELO ADIANTAMENTO REALIZADO PELO FIDC</t>
  </si>
  <si>
    <t>201900222326</t>
  </si>
  <si>
    <t>HONORARIOS REFERENTE A PRESTACAO DE SERVICO ADVOCATICIOS NO PROJETO COZAC PARA RETIRAR DAS MULTAS NO PROCESO DE FALENCIA - BUFFER - PAGAMENTO SERA REALIZADO VIA CHEQUE</t>
  </si>
  <si>
    <t>51</t>
  </si>
  <si>
    <t>VALIDAR ENGENHARIA DE AVALIACOES LTDA</t>
  </si>
  <si>
    <t>Referente as avaliacoes N2/N3 contratadas entre 21/06 e 20/07 - 767846342 - Pipefy</t>
  </si>
  <si>
    <t>2286</t>
  </si>
  <si>
    <t>AGROFFICIO ENGENHARIA LTDA ME</t>
  </si>
  <si>
    <t>Tentativa de localizacao in loco do caso COZAC, matriculas 6660, 11054 e 11055.Cidade: Ribeirao Preto-SP.Aprovacoes do Guilherme Marques, Acacio e Otavio em anexo.  http://app.pipefy.com/pipes/301656781#cards/767847760</t>
  </si>
  <si>
    <t>637</t>
  </si>
  <si>
    <t>QUITACAO DE DEBITOS DE IPTU - DAM: 201900222340 - IMOVEL: 119265 - CASO: COZAC - PAGAMENTO PELO ADIANTAMENTO REALIZADO PELO FIDC</t>
  </si>
  <si>
    <t>201900222340</t>
  </si>
  <si>
    <t>SEXTO TABELIAO DE NOTAS DA COMARCA DE CAMPINAS-SP</t>
  </si>
  <si>
    <t>2.20.05.02</t>
  </si>
  <si>
    <t>PROCURAÇÕES E ESCRITURAS</t>
  </si>
  <si>
    <t>Lavratura Escritura da Cessao de Credito do caso COZAC - 571693725 PIPEFY</t>
  </si>
  <si>
    <t>RECIBO</t>
  </si>
  <si>
    <t>23558</t>
  </si>
  <si>
    <t>Lavratura de Escritura de Cessao de Creditos de aquisicao do NPL da Cozac - Lavratura prevista para sexta (12) ou segunda (15), o recibo sera encaminhado apos lavratura - 564831490 PIPEFY</t>
  </si>
  <si>
    <t>110820224</t>
  </si>
  <si>
    <t>REAVIVARE - SOLUÇÕES EM MEIO AMBIENTE LTDA EPP</t>
  </si>
  <si>
    <t>2.20.02.16</t>
  </si>
  <si>
    <t>ANALISE URBANISTICA E AMBIENTAL (REGULATORIO)</t>
  </si>
  <si>
    <t>Referente a analises socioambientais, realizadas no mes de Setembro, vide os casos em anexo -RETENCAO OK - 586468468 - Pipefy</t>
  </si>
  <si>
    <t>195</t>
  </si>
  <si>
    <t>ANALISE SOCIOAMBIENTAL DOS CASOS DESCRITOS EM PLANILHA ANEXA - 624641877 - Pipefy</t>
  </si>
  <si>
    <t>215</t>
  </si>
  <si>
    <t>2.20.02.12</t>
  </si>
  <si>
    <t>DESPACHANTES E DILIGENTE (REGULATORIO)</t>
  </si>
  <si>
    <t>ANALISE SOCIOAMBIENTAIS, FUNDIARIAS E URBANAS DOS CASOS DESCRITOS EM ANEXO (CC ALOCADO DENTRO DA SPE V - 4990) - 554135774 - Pipefy   - RETENCAO OK</t>
  </si>
  <si>
    <t>183</t>
  </si>
  <si>
    <t>FELSBERG E PEDRETTI ADVOGADOS E CONSULTORES LEGAIS</t>
  </si>
  <si>
    <t>2.20.04.02</t>
  </si>
  <si>
    <t>REEMBOLSOS DE ADVOGADOS</t>
  </si>
  <si>
    <t>REEMBOLSAVEIS - 27002 JESTORDespacho presencial em Ribeirao Preto - Caso 0015292_COZAC_FALENCIA</t>
  </si>
  <si>
    <t>NOTA DE DEBITO</t>
  </si>
  <si>
    <t>180777</t>
  </si>
  <si>
    <t>LEME INTELIGENCIA FORENSE E CONS. EMPRESARIAL LTDA</t>
  </si>
  <si>
    <t>2.20.05.01</t>
  </si>
  <si>
    <t>MATRÍCULAS E CERTIDÕES</t>
  </si>
  <si>
    <t>REEMBOLSO DE DESPESAS REFERENTES A CUSTAS CARTORARIAS_EMOLUMENTOS (CERTIDOES) PARA LEME INTELIGENCIA FORENSE E CONSULTORIA EMPRESARIAL LTDA (01 A 15/09). - 813075325 PIPEFY * COMPROVANTES VALIDADO X CTT VIGENTE **</t>
  </si>
  <si>
    <t>13201</t>
  </si>
  <si>
    <t>QUITACAO DE DEBITOS DE IPTU - DAM: 201900230427- IMOVEL:  CASO: COZAC - PAGAMENTO PELO ADIANTAMENTO REALIZADO PELO FIDC</t>
  </si>
  <si>
    <t>201900230427</t>
  </si>
  <si>
    <t>QUITACAO DE DEBITOS DE IPTU - IMOVEL: 147124 - CASO: COZAC - PAGAMENTO PELO ADIANTAMENTO REALIZADO PELO FIDC</t>
  </si>
  <si>
    <t>147124</t>
  </si>
  <si>
    <t>QUITACAO DE DEBITOS DE IPTU - DAM: 201900222347 - IMOVEL: 175408 - CASO: COZAC - PAGAMENTO PELO ADIANTAMENTO REALIZADO PELO FIDC</t>
  </si>
  <si>
    <t>201900222347</t>
  </si>
  <si>
    <t>QUITACAO DE DEBITOS DE IPTU - DAM: 201900222338 - IMOVEL: 109077 - CASO: COZAC - PAGAMENTO PELO ADIANTAMENTO REALIZADO PELO FIDC</t>
  </si>
  <si>
    <t>201900222338</t>
  </si>
  <si>
    <t>FATURA REFERENTE AO ADIANTAMENTO DE R$ 3.951,70 PARA CONTRATACAO DE PROFISSIONAIS EXTERNOS - PIPEFY 580300714</t>
  </si>
  <si>
    <t>167894</t>
  </si>
  <si>
    <t>*** Abatimento de Adiantamento ***</t>
  </si>
  <si>
    <t>OPERADOR NACIONAL DO SISTEMA DE REGISTRO ELETRONICO DE IMOVEIS ( ONR )</t>
  </si>
  <si>
    <t>PRESTACAO DE CONTAS ARISP - TIME REGULATORIO</t>
  </si>
  <si>
    <t>REA</t>
  </si>
  <si>
    <t>Reapropriação Financeira</t>
  </si>
  <si>
    <t>PRESTAÇÃO DE CONTAS</t>
  </si>
  <si>
    <t>ARISP - 90.474,95</t>
  </si>
  <si>
    <t>REEMBOLSO DE DESPESAS APROVADAS NO JESTOR CARD 8499 REF. AO CASO: COZAC_FALENCIA</t>
  </si>
  <si>
    <t>180022</t>
  </si>
  <si>
    <t>REEMBOLSAVEIS - PRESTACAO DE CONTAS ARISP - RJ E FALENCIA</t>
  </si>
  <si>
    <t>31012025 RJ E FALENC</t>
  </si>
  <si>
    <t>Prestacao de servicos para despacho com magistrado, referente ao processo de falencia do Grupo COZAC. - Em anexo, OK do Marlon. - 606262699 - Pipefy</t>
  </si>
  <si>
    <t>25112022</t>
  </si>
  <si>
    <t>SIG LOCAL PROJETOS LTDA EPP</t>
  </si>
  <si>
    <t>2.20.06.07</t>
  </si>
  <si>
    <t>LOCALIZAÇÃO DE IMOVEIS</t>
  </si>
  <si>
    <t>PREPARACAO DE MATERIAL REFERENTE A LOCALIZACAO DE IMOVEIS; REF.: AGOSTO DE 2022 - 570140809 - Pipefy RETENCAO OK</t>
  </si>
  <si>
    <t>76</t>
  </si>
  <si>
    <t>Referente a avaliacoes N2/N3 contratadas entre 21/09 a 20/10 - 825145987 - Pipefy - NF CORRETA ANEXADA</t>
  </si>
  <si>
    <t>285</t>
  </si>
  <si>
    <t>REEMBOLSO DE DESPESAS APROVADAS NO PIPEFY 2631 REF AO CASO: COZAC_FALENCIA.</t>
  </si>
  <si>
    <t>1667112</t>
  </si>
  <si>
    <t>Analise ambiental realizadas outubro dos casos descritos em anexo - 596363793 - Pipefy</t>
  </si>
  <si>
    <t>200</t>
  </si>
  <si>
    <t>Tribunal de Justiça Fundo Especial de Despesa (F.E.D.T.J)</t>
  </si>
  <si>
    <t>2.20.04.04</t>
  </si>
  <si>
    <t>CUSTAS JUDICIAIS</t>
  </si>
  <si>
    <t>REEMBOLSAVEIS - 27181 JESTORExpedicao das cartas de adjudicacao referente aos imoveis de COZAC.Caso Cozac (0007791-94.1999.8.26)</t>
  </si>
  <si>
    <t>98434-5</t>
  </si>
  <si>
    <t>BANCO DO BRASIL - ENFORCE</t>
  </si>
  <si>
    <t>2025032112163908</t>
  </si>
  <si>
    <t>PRESTACAO DE CONTAS ARISP</t>
  </si>
  <si>
    <t>ARISP - 05.2024</t>
  </si>
  <si>
    <t>2.20.02.11</t>
  </si>
  <si>
    <t>MATRÍCULAS E CERTIDÕES REGULATORIAS</t>
  </si>
  <si>
    <t>ARISP MAIO 2023 - 727499012 - Pipefy</t>
  </si>
  <si>
    <t>81341482</t>
  </si>
  <si>
    <t>2.20.01.04</t>
  </si>
  <si>
    <t>OUTRAS DESPESAS COM VIAGENS</t>
  </si>
  <si>
    <t>REEMBOLSAVEIS - #21922 JESTORCustos para locomocao do escritorio SP  Ribeirao Preto, para participacao na audiencia de gestao democratica - A fatura em anexo se trata de ANTECIPACAO DE CUSTOS via fatura de antecipacao para que seja possivel a contratacao do prestador de servico - CASO 15292: COZAC</t>
  </si>
  <si>
    <t>18020</t>
  </si>
  <si>
    <t>PAMELA GUEDES DE LIMA</t>
  </si>
  <si>
    <t>REEMBOLSAVEIS - 27515 JESTORTrata-se de 118 analises registrais dos casos descritos na planilha em anexo.REF. 03/2025RETENCAO OK</t>
  </si>
  <si>
    <t>17</t>
  </si>
  <si>
    <t>PRESTACAO DE CONTAS DE ARISP (REGULATORIO) - VALIDADO JULIANA RAMOS</t>
  </si>
  <si>
    <t>26082024</t>
  </si>
  <si>
    <t>PAGAMENTO REFERENTE A PRESTACAO DE SERVICO DE CAPTACAO DE DOCUMENTOS (CERTIDOES) PARA LEME INTELIGENCIA FORENSE E CONSULTORIA EMPRESARIAL LTDA (01 A 15/09). TOTAL A APROVAR: R$ 15.505,00 - 813073198 - Pipefy ** CTT VIGENTE**</t>
  </si>
  <si>
    <t>1584</t>
  </si>
  <si>
    <t>REEMBOLSO DE DESPESAS APROVADAS NO JESTOR CARD 6953 REF. AO CASO:  COZAC_FALENCIA</t>
  </si>
  <si>
    <t>177304</t>
  </si>
  <si>
    <t>KARINA REIS DA SILVEIRA 35961827860</t>
  </si>
  <si>
    <t>Diligencia referente a levantamento de debitos - PIPEFY 720840174</t>
  </si>
  <si>
    <t>3</t>
  </si>
  <si>
    <t>HERPICH E GOMES SERVICOS DE ENGENHARIA LTDA.</t>
  </si>
  <si>
    <t>Localizacoes referentes ao mes de Junho/2022. - 561484690 PIPEFY RETENCAO OK</t>
  </si>
  <si>
    <t>29</t>
  </si>
  <si>
    <t>QUITACAO DE DEBITOS DE IPTU - DAM: 201900222320- IMOVEL: 10628 - CASO: COZAC - PAGAMENTO PELO ADIANTAMENTO REALIZADO PELO FIDC</t>
  </si>
  <si>
    <t>201900222320</t>
  </si>
  <si>
    <t>DOSSO TOLEDO SOCIEDADE DE ADVOGADOS</t>
  </si>
  <si>
    <t>2.20.01.06</t>
  </si>
  <si>
    <t>QUILOMETRAGEM</t>
  </si>
  <si>
    <t>DESPESAS DIVERSAS COM: REEMBOLSO DE PAGAMENTOS DE GUIAS; CUSTAS CARTORARIAS COM RECONHECIMENTO DE FIRMA E CERTIDOES; SEDEX PARA ENVIO DE DOCUMENTOS; E DESPESAS COM VIAGEM</t>
  </si>
  <si>
    <t>20082019</t>
  </si>
  <si>
    <t>Localizacao remota de imoveis urbanos e rurais no periodo de marco 2023. E-mail com ciencia das areas solicitantes e planilha geral em anexo. - 692620282 - Pipefy</t>
  </si>
  <si>
    <t>594</t>
  </si>
  <si>
    <t>Pagamento IPTU imovel Cozac - imovel cadastro 10628 - Rua Olavo Bilac, 1380 (IPTU 2021) - 606701428 - Pipefy</t>
  </si>
  <si>
    <t>202190009093</t>
  </si>
  <si>
    <t>REEMBOLSO DE DESPESAS COM PASSAGENS AEREAS, CUSTAS JUDICIAIS  E CODUCAO</t>
  </si>
  <si>
    <t>146556</t>
  </si>
  <si>
    <t>INATIVADO_MARIA CAROLINA PEDROSO ZANETTI 21589874803</t>
  </si>
  <si>
    <t>SERVICOS DE AVALIACAO - 552970836 PIPEFY RETENCAO OK</t>
  </si>
  <si>
    <t>30</t>
  </si>
  <si>
    <t>ARISP 08 -2022 -</t>
  </si>
  <si>
    <t>CPAGT940521</t>
  </si>
  <si>
    <t>MARCELLO BORGES NAPOLIS SILVA</t>
  </si>
  <si>
    <t>REEMBOLSAVEIS - 26976 JESTORREEMBOLSO DE DESPESA COM PEDAGIO, ESTACIONAMENTO, QUILOMETRAGEM - COZAC</t>
  </si>
  <si>
    <t>RELATÓRIO DE DESPESAS VIAGENS</t>
  </si>
  <si>
    <t>6212193</t>
  </si>
  <si>
    <t>GOVERNO DO ESTADO DE SÃO PAULO - SECRETARIA DA FAZENDA</t>
  </si>
  <si>
    <t>CUSTAS DE PREPARO DE APELACAO QUE SERA INTERPOSTA CONTRA A SENTENCA PROFERIDA NOS AUTOS DO INCIDENTE DE HABILIDACAO DE CREDITO ENVOLVENDO O SINDICO E A MASSA FALIDA DA COZAC N. 0006293-25.2020.8.26.0506 - 548663201 PIPEFY</t>
  </si>
  <si>
    <t>220590074051094</t>
  </si>
  <si>
    <t>HIGOR HAMILTON LUIS LIMA 44432643889</t>
  </si>
  <si>
    <t>REEMBOLSAVEIS - #22686 JESTORTrata-se das diligencias referente a levantamento de debitos dos casos descritos em planilha anexa no mes de agosto.COMPETENCIA: 08/2024RETENCAO OK</t>
  </si>
  <si>
    <t>40</t>
  </si>
  <si>
    <t>OTAIR GUIMARÃES</t>
  </si>
  <si>
    <t>2.20.01.09</t>
  </si>
  <si>
    <t>TAXI / UBER</t>
  </si>
  <si>
    <t>despesas reembolsaveis Junho 2022 - 555913670 PIPEFY</t>
  </si>
  <si>
    <t>2144470</t>
  </si>
  <si>
    <t>RM ARQUITETURA E ENGENHARIA DE AVALIACOES LTDA</t>
  </si>
  <si>
    <t>Avaliacao remota de imoveis urbanos no periodo de marco/abril 2023. E-mail com ciencia das areas solicitantes e planilha geral em anexo. - 691900292 - Pipefy</t>
  </si>
  <si>
    <t>7807</t>
  </si>
  <si>
    <t>REEMBOLSAVEIS - Diligencia referente a levantamento de debitos dos casos descritos em planilha anexa - #19436 JESTOR</t>
  </si>
  <si>
    <t>27</t>
  </si>
  <si>
    <t>JULIA ORIANI DE JORGE 44212908824</t>
  </si>
  <si>
    <t>SERVICOS DE AVALIACAO - 551253809 - Pipefy  RETENCAO OK</t>
  </si>
  <si>
    <t>20</t>
  </si>
  <si>
    <t>Localizacao remota de imoveis urbanos e rurais no periodo de abril 2023. E-mail com ciencia das areas solicitantes e planilha geral com resumo dos prestadores, tarefas por nivel e complexidade em anexo. - 724505736 - Pipefy</t>
  </si>
  <si>
    <t>608</t>
  </si>
  <si>
    <t>Pagamento IPTU imovel Cozac - imovel cadastro 10628 - Rua Olavo Bilac, 1380 - 606698193 - Pipefy</t>
  </si>
  <si>
    <t>202090009061</t>
  </si>
  <si>
    <t>NATHALIA VICENTINI AGUIAR 44639096860</t>
  </si>
  <si>
    <t>Analise de debitos dos casos descritos em planilha anexa - 626280457 - PIPEFY - RETENCAO OK</t>
  </si>
  <si>
    <t>47</t>
  </si>
  <si>
    <t>Analise Registral dos casos descritos em planilha anexa - 737846689 - Pipefy</t>
  </si>
  <si>
    <t>RECIBO PROVISÓRIO AUTONOMO</t>
  </si>
  <si>
    <t>030720234</t>
  </si>
  <si>
    <t>MK AVALIACOES IMOBILIARIAS LTDA</t>
  </si>
  <si>
    <t>Referente as avaliacoes N2/N3 contratadas entre 21/06 e 20/07 - 767473778 - Pipefy</t>
  </si>
  <si>
    <t>16165</t>
  </si>
  <si>
    <t>Localizacao remota de imoveis urbanos e rurais no periodo de marco/abril 2023. E-mail com ciencia das areas solicitantes e planilha geral em anexo. - 692621866 - Pipefy</t>
  </si>
  <si>
    <t>93</t>
  </si>
  <si>
    <t>PREFEITURA MUNICIPAL DE CAMPINAS</t>
  </si>
  <si>
    <t>2.08.02</t>
  </si>
  <si>
    <t>ISS RETIDO - GUIA DE PAGAMENTO</t>
  </si>
  <si>
    <t>Retencao de ISS do credor NOGARA, NOGARA E RONDINONI ADVOGADOS ASS referente ao(s) doc(s) NF/59.</t>
  </si>
  <si>
    <t>DAIANA FERREIRA VASCONCELOS 35966287848</t>
  </si>
  <si>
    <t>AVALIACOES DO MES DE SETEMBRO - 2019 - BUFFER</t>
  </si>
  <si>
    <t>01</t>
  </si>
  <si>
    <t>QUITACAO DE DEBITOS DE IPTU - DAM: 201900222315 - IMOVEL:6992 - CASO: COZAC - PAGAMENTO PELO ADIANTAMENTO REALIZADO PELO FIDC</t>
  </si>
  <si>
    <t>201900222315</t>
  </si>
  <si>
    <t>QUITACAO DE DEBITOS DE IPTU - DAM: 201900222329 - IMOVEL: 89369 - CASO: COZAC - PAGAMENTO PELO ADIANTAMENTO REALIZADO PELO FIDC</t>
  </si>
  <si>
    <t>201900222329</t>
  </si>
  <si>
    <t>QUITACAO DE DEBITOS DE IPTU - DAM: 201900222313 - IMOVEL: 3991 - CASO: COZAC - PAGAMENTO PELO ADIANTAMENTO REALIZADO PELO FIDC</t>
  </si>
  <si>
    <t>201900222313</t>
  </si>
  <si>
    <t>SAO PAULO TRIBUNAL DE JUSTIÇA</t>
  </si>
  <si>
    <t>Pagamento da 3. parcela dos honorarios periciais do caso COZAC.Segue em anexo o OK do Plinio. - 671929877 - Pipefy</t>
  </si>
  <si>
    <t>81020000137809472</t>
  </si>
  <si>
    <t>Pagamento da 2. parcela dos honorarios periciais do caso COZAC.Segue em anexo o OK do Plinio. - 672733805 - Pipefy</t>
  </si>
  <si>
    <t>81020000137809405</t>
  </si>
  <si>
    <t>2.20.04.05</t>
  </si>
  <si>
    <t>PERICIA / LAUDO JUDICIAL / ASSISTÊNCIA TECNICA</t>
  </si>
  <si>
    <t>Pagamento referente aos honorarios periciais. Segue em anexo OK do Leopoldo   http://app.pipefy.com/pipes/301656781#cards/631730354</t>
  </si>
  <si>
    <t>81020000134402835</t>
  </si>
  <si>
    <t>Pagamento da 4. parcela dos honorarios periciais do caso COZAC.Segue em anexo o OK do Plinio.  http://app.pipefy.com/pipes/301656781#cards/683101376</t>
  </si>
  <si>
    <t>81020000138222734</t>
  </si>
  <si>
    <t>DUAS DILIGENCIAS DE CORRESPONDENTE EXTERNO NA CIDADE DE RIBEIRAO PRETO, REFERENTE SERVICOS PRESTADOS NO ACOMPANHAMENTO EM CARTORIO E OBTENCAO DE COPIAS DO PROCESSO DE FALENCIA DA COZAC - PROCESSO FISICO, NO PERIODO DE NOVEMBRO/2021 - PIPEFY #468541678</t>
  </si>
  <si>
    <t>160522</t>
  </si>
  <si>
    <t>MULTICIDADES VIAG E TUR LTDA</t>
  </si>
  <si>
    <t>2.20.01.10</t>
  </si>
  <si>
    <t>ALUGUEL DE CARRO</t>
  </si>
  <si>
    <t>Depto: NPL, pagamento referente a passagem aerea e hospedagem. - 802897900 - Pipefy ** CTT VIGENTE**</t>
  </si>
  <si>
    <t>FATURA</t>
  </si>
  <si>
    <t>FT00574733</t>
  </si>
  <si>
    <t>REEMBOLSAVEIS - VALIDADO GUILHERME MARQUESPRESTACAO DE CONTAS ARISP (RJ FALENCIA)</t>
  </si>
  <si>
    <t>ARISP - 1.851,98</t>
  </si>
  <si>
    <t>QUITACAO DE DEBITOS DE IPTU - DAM: 201900223751 - IMOVEL: 6263562889 - CASO: COZAC - PAGAMENTO PELO ADIANTAMENTO REALIZADO PELO FIDC</t>
  </si>
  <si>
    <t>201900223751</t>
  </si>
  <si>
    <t>QUITACAO DE DEBITOS DE IPTU - DAM: 201900222334 - IMOVEL: 102843 - CASO: COZAC - PAGAMENTO PELO ADIANTAMENTO REALIZADO PELO FIDC</t>
  </si>
  <si>
    <t>201900222334</t>
  </si>
  <si>
    <t>QUITACAO DE DEBITOS DE IPTU - DAM: 201900222311 - IMOVEL:4195 - CASO: COZAC - PAGAMENTO PELO ADIANTAMENTO REALIZADO PELO FIDC</t>
  </si>
  <si>
    <t>201900222311</t>
  </si>
  <si>
    <t>QUITACAO DE DEBITOS DE IPTU - DAM: 201900223744 - IMOVEL: 55993711000104 - CASO: COZAC - PAGAMENTO PELO ADIANTAMENTO REALIZADO PELO FIDC</t>
  </si>
  <si>
    <t>201900223744</t>
  </si>
  <si>
    <t>CLAUDIO JESUS</t>
  </si>
  <si>
    <t>REEMBOLSAVEIS - 23105 JESTORviagem ribeirao preto</t>
  </si>
  <si>
    <t>5854396</t>
  </si>
  <si>
    <t>QUITACAO DE DEBITOS DE IPTU - DAM: 201900222306 - IMOVEL: 3692 - CASO: COZAC - PAGAMENTO PELO ADIANTAMENTO REALIZADO PELO FIDC</t>
  </si>
  <si>
    <t>201900222306</t>
  </si>
  <si>
    <t>QUITACAO DE DEBITOS DE IPTU - DAM: 201900223761 - IMOVEL: 1540890872 - CASO: COZAC - PAGAMENTO PELO ADIANTAMENTO REALIZADO PELO FIDC</t>
  </si>
  <si>
    <t>201900223761</t>
  </si>
  <si>
    <t>PRESTACAO DE CONTAS ARISP - TIME DE REGULATORIO</t>
  </si>
  <si>
    <t>ARISP - 46.431,23</t>
  </si>
  <si>
    <t>QUITACAO DE DEBITOS DE IPTU - DAM: 201900222322 - IMOVEL: 64340 - CASO: COZAC - PAGAMENTO PELO ADIANTAMENTO REALIZADO PELO FIDC</t>
  </si>
  <si>
    <t>201900222322</t>
  </si>
  <si>
    <t>DMS ADMINISTRAÇÃO E DILIGENCIAS LTDA</t>
  </si>
  <si>
    <t>ADIANTAMENTO REFERENTE A CUSTAS COM CAPTACAO DE DOCUMENTOS - 538837231 PIPEFY</t>
  </si>
  <si>
    <t>02062022</t>
  </si>
  <si>
    <t>REEMBOLSO DE DESPESA APROVADAS NO PIPEFY CARD 4185 REF. AO CASO: COZAC_FALENCIA</t>
  </si>
  <si>
    <t>169312</t>
  </si>
  <si>
    <t>QUITACAO DE DEBITOS DE IPTU - DAM: 201900222323 - IMOVEL: 64341 - CASO: COZAC - PAGAMENTO PELO ADIANTAMENTO REALIZADO PELO FIDC</t>
  </si>
  <si>
    <t>201900222323</t>
  </si>
  <si>
    <t>Pagamento IPTU Cozac - imovel cadastro n. 102.843 - 601866391 - Pipefy</t>
  </si>
  <si>
    <t>02200092926</t>
  </si>
  <si>
    <t>QUITACAO DE DEBITOS DE IPTU - DAM: 201900222349 - IMOVEL: 176875 - CASO: COZAC - PAGAMENTO PELO ADIANTAMENTO REALIZADO PELO FIDC</t>
  </si>
  <si>
    <t>201900222349</t>
  </si>
  <si>
    <t>QUITACAO DE DEBITOS DE IPTU - DAM: 201900222317 - IMOVEL: 8179 - CASO: COZAC - PAGAMENTO PELO ADIANTAMENTO REALIZADO PELO FIDC</t>
  </si>
  <si>
    <t>201900222317</t>
  </si>
  <si>
    <t>QUITACAO DE DEBITOS DE IPTU - DAM: 201900222350 - IMOVEL: 176878 - CASO: COZAC - PAGAMENTO PELO ADIANTAMENTO REALIZADO PELO FIDC</t>
  </si>
  <si>
    <t>201900222350</t>
  </si>
  <si>
    <t>Pagamento IPTU Cozac - 557581822 - Pipefy</t>
  </si>
  <si>
    <t>02200069169</t>
  </si>
  <si>
    <t>GUIA DE ISS - REF. 10/2019 - GESTAO NA POSSE - FALTA RATEIO</t>
  </si>
  <si>
    <t>ISS - 10/2019</t>
  </si>
  <si>
    <t>DIGESTO PESQUISA E BANCO DE DADOS LTDA</t>
  </si>
  <si>
    <t>2.20.05.04</t>
  </si>
  <si>
    <t>SISTEMAS DE BUSCA (SERASA, UPMINER, API, DIGESTO)</t>
  </si>
  <si>
    <t>DIGESTO PESQUISA E BANCO DE DADOS S.A. - Busca de processos via Digesto - 645856388 - PIPEFY</t>
  </si>
  <si>
    <t>20150</t>
  </si>
  <si>
    <t>QUITACAO DE DEBITOS DE IPTU - DAM: 201900222354 - IMOVEL: 176881 - CASO: COZAC - PAGAMENTO PELO ADIANTAMENTO REALIZADO PELO FIDC</t>
  </si>
  <si>
    <t>201900222354</t>
  </si>
  <si>
    <t>REEMBOLSAVEIS - #25484 JESTORPASSAGENS AEREAS E LOCACAO DE VEICULOS - COMERCIAL NPLREF. 12/2024</t>
  </si>
  <si>
    <t>FT01010421</t>
  </si>
  <si>
    <t>RENATO DOS SANTOS GOMES</t>
  </si>
  <si>
    <t>REEMBOLSAVEIS - 27217 JESTORREEMBOLSO DE DESPESAS COM VIAGEM A RIBEIRAO PRETOPERIODO: 19/03/2025</t>
  </si>
  <si>
    <t>7013059</t>
  </si>
  <si>
    <t>2.20.05.08</t>
  </si>
  <si>
    <t>OBTENÇÃO DE CÓPIAS DE PROCESSOS</t>
  </si>
  <si>
    <t>Contratacao de profissional externo na cidade de Ribeirao Preto/SP, referente servicos prestados na obtencao de copias e acompanhamento presencial dos autos da falencia da Cozac (autos fisicos) nos periodos de marco e abril de 2022 - 542756235 - Pipefy</t>
  </si>
  <si>
    <t>165268</t>
  </si>
  <si>
    <t>BRUNO ICARO DE AGUIAR COSTA 11136066659</t>
  </si>
  <si>
    <t>Avaliacao de imoveis urbanos. - 572136323 Pipefy RETENCAO OK</t>
  </si>
  <si>
    <t>18</t>
  </si>
  <si>
    <t>2.08.01</t>
  </si>
  <si>
    <t>CSRF - GUIA DE PAGAMENTO</t>
  </si>
  <si>
    <t>Retencao de CSRF do credor T.C. IMOVEIS S/S LTDA referente ao(s) doc(s) NF/896.</t>
  </si>
  <si>
    <t>QUITACAO DE DEBITOS DE IPTU - DAM: 201900222331 - IMOVEL: 96154 - CASO: COZAC - PAGAMENTO PELO ADIANTAMENTO REALIZADO PELO FIDC</t>
  </si>
  <si>
    <t>201900222331</t>
  </si>
  <si>
    <t>QUITACAO DE DEBITOS DE IPTU - DAM: 201900222356 - IMOVEL: 185552 - CASO: COZAC - PAGAMENTO PELO ADIANTAMENTO REALIZADO PELO FIDC</t>
  </si>
  <si>
    <t>201900222356</t>
  </si>
  <si>
    <t>QUITACAO DE DEBITOS DE IPTU - DAM: 201900222361 - IMOVEL: 185555 - CASO: COZAC - PAGAMENTO PELO ADIANTAMENTO REALIZADO PELO FIDC</t>
  </si>
  <si>
    <t>201900222361</t>
  </si>
  <si>
    <t>QUITACAO DE DEBITOS DE IPTU - DAM: 201900222360 - IMOVEL: 185554 - CASO: COZAC - PAGAMENTO PELO ADIANTAMENTO REALIZADO PELO FIDC</t>
  </si>
  <si>
    <t>201900222360</t>
  </si>
  <si>
    <t>QUITACAO DE DEBITOS DE IPTU - DAM: 201900222359 - IMOVEL: 185553 - CASO: COZAC - PAGAMENTO PELO ADIANTAMENTO REALIZADO PELO FIDC</t>
  </si>
  <si>
    <t>201900222359</t>
  </si>
  <si>
    <t>QUITACAO DE DEBITOS DE IPTU - DAM: 201900222355 - IMOVEL: 185551 - CASO: COZAC - PAGAMENTO PELO ADIANTAMENTO REALIZADO PELO FIDC</t>
  </si>
  <si>
    <t>201900222355</t>
  </si>
  <si>
    <t>QUITACAO DE DEBITOS DE IPTU - DAM: 2019002223612- IMOVEL: 185556 - CASO: COZAC - PAGAMENTO PELO ADIANTAMENTO REALIZADO PELO FIDC</t>
  </si>
  <si>
    <t>201900222362</t>
  </si>
  <si>
    <t>QUITACAO DE DEBITOS DE IPTU - DAM: 201900222364 - IMOVEL: 185557 - CASO: COZAC - PAGAMENTO PELO ADIANTAMENTO REALIZADO PELO FIDC</t>
  </si>
  <si>
    <t>201900222364</t>
  </si>
  <si>
    <t>REEMBOLSAVEIS - 26975 JESTORREEMBOLSO DE DESPESA COM PEDAGIO, ESTACIONAMENTO, QUILOMETRAGEM - COZAC AUDIENCIA</t>
  </si>
  <si>
    <t>#6212281</t>
  </si>
  <si>
    <t>ARISP -  24.067,09</t>
  </si>
  <si>
    <t>Retencao de CSRF do credor AHEAD ARQUITETURA E ENGENHARIA DE AVALIA referente ao(s) doc(s) NF/280.</t>
  </si>
  <si>
    <t>NATHALIA RAMBELLI - ME</t>
  </si>
  <si>
    <t>Pagamento referente a prestacao de servico de abertura de investigacao para Nathalia Rambelli - ME. Periodo: 1. quinzena de junho. Casos: 41 Total: R$ 30.765,00 - 737013902 - Pipefy</t>
  </si>
  <si>
    <t>162</t>
  </si>
  <si>
    <t>Brunna Gomes Martins</t>
  </si>
  <si>
    <t>Analises socioambiental dos casos descritos em planilha anexa - 772139668 - Pipefy</t>
  </si>
  <si>
    <t>09082023</t>
  </si>
  <si>
    <t>REEMBOLSO DE DESPESA APROVADAS NO PIPEFY CARD 4186 REF. AO CASO: COZAC_FALENCIA</t>
  </si>
  <si>
    <t>168105</t>
  </si>
  <si>
    <t>Diligencia referente a levantamento de debitos dos casos descritos em planilha anexa - 792872137 PIPEFY - RETENCAO OK</t>
  </si>
  <si>
    <t>22</t>
  </si>
  <si>
    <t>SERASA S.A</t>
  </si>
  <si>
    <t>SERASA REF A MAIO 2023 - 728521279 - PIPEFYSENHA PARA ABRIR A FATURA 2537097115</t>
  </si>
  <si>
    <t>2027523</t>
  </si>
  <si>
    <t>REEMBOLSO DE DESPESAS - FALENCIA DA COZAC</t>
  </si>
  <si>
    <t>155360</t>
  </si>
  <si>
    <t>LUIZ FERNANDO COZAC</t>
  </si>
  <si>
    <t>Reembolso, via PIX, dos gastos arcados com o pagamento do PROTESTO de IPTU dos imoveis que estao em negociacao. - 541805685 - Pipefy</t>
  </si>
  <si>
    <t>22062022</t>
  </si>
  <si>
    <t>Analises Urbanas/fundiarias dos casos descritos em planilha anexa723570494 - PIPEFY</t>
  </si>
  <si>
    <t>05062023</t>
  </si>
  <si>
    <t>REEMBOLSO DE DESPESAS APROVADAS NO PEPIFY CARD 4115 REF. AO CASO: COZAC_FALENCIA</t>
  </si>
  <si>
    <t>171487</t>
  </si>
  <si>
    <t>PAGAMENTO DE HONORARIOS</t>
  </si>
  <si>
    <t>157063</t>
  </si>
  <si>
    <t>REEMBOLSO DE DESPESA COM RECONHECIMENTO DE FIRMA, CUSTAS JUDICIAIS, UBER, SEDEX E CARTORIO</t>
  </si>
  <si>
    <t>17022020</t>
  </si>
  <si>
    <t>Pagamento IPTU Cozac imovel cadastro n. 64.341 - 601864091 - Pipefy</t>
  </si>
  <si>
    <t>02200092927</t>
  </si>
  <si>
    <t>Retencao de CSRF do credor VALIDAR ENGENHARIA DE AVALIACOES LTDA referente ao(s) doc(s) NF/2286.</t>
  </si>
  <si>
    <t>REEMBOLSO DE DESPESAS APROVADAS NO PIPEFY CARD 4062 REF. AO CASO: COZAC_FALENCIA</t>
  </si>
  <si>
    <t>170105</t>
  </si>
  <si>
    <t>Retencao de CSRF do credor AGROFFICIO ENGENHARIA LTDA ME referente ao(s) doc(s) NF/637.</t>
  </si>
  <si>
    <t>REEMBOLSAVEIS - Viagens Comercial e negociacao fev 2024 - #18595 JESTOR</t>
  </si>
  <si>
    <t>FT01001065</t>
  </si>
  <si>
    <t>SERVICOS DE LOCALIZACOES - 548379316 - Pipefy RETENCAO OK</t>
  </si>
  <si>
    <t>REEMBOLSAVEIS - 23401 JESTORNF referente a servicos de dossies da 2. quinzena de setembro/2024COMPETENCIA: 09/2024RETENCAO OK</t>
  </si>
  <si>
    <t>6464</t>
  </si>
  <si>
    <t>Pagamento IPTU Cozac - 557589461 - Pipefy</t>
  </si>
  <si>
    <t>02200069170</t>
  </si>
  <si>
    <t>HONORARIOS FELSBERG CASO COZAC - PIPEFY 459368335</t>
  </si>
  <si>
    <t>159504</t>
  </si>
  <si>
    <t>REEMBOLSO DE DESPESAS APROVADAS NO PIPEFY CARD 4061 REF. AO CASO: COZAC_FALENCIA</t>
  </si>
  <si>
    <t>170023</t>
  </si>
  <si>
    <t>HONORARIOS ADVOCATICIOS</t>
  </si>
  <si>
    <t>158027</t>
  </si>
  <si>
    <t>2.08.03</t>
  </si>
  <si>
    <t>INSS - GUIA DE PAGAMENTO</t>
  </si>
  <si>
    <t>GUIA DE INSS FUNCIONARIO/ RPA/ FORNECEDOR - IRRF FUNCIONARIO/RPA - REF. 07/2023 - PIPEFY 776487074</t>
  </si>
  <si>
    <t>INSS/IRRF - 07/2023</t>
  </si>
  <si>
    <t>CPX - ADMINISTRACAO E GESTAO LTDA</t>
  </si>
  <si>
    <t>2.20.05.11</t>
  </si>
  <si>
    <t>ANALISE DE DOCUMENTOS (ELIOT)</t>
  </si>
  <si>
    <t>HONORARIOS REFERENTES A PRESTACAO DE SERVICO COM ANALISE DE DOCUMENTOS NO ELIOT NO MES DE AGOSTO. - 809413681 - Pipefy</t>
  </si>
  <si>
    <t>98</t>
  </si>
  <si>
    <t>REEMBOLSAVEIS - 23105 JESTORviagem sorocaba</t>
  </si>
  <si>
    <t>5804654</t>
  </si>
  <si>
    <t>SERVIR IMOVEIS LTDA</t>
  </si>
  <si>
    <t>REEMBOLSAVEIS - #25623 JESTORTrata-se da averbacao de cessao dos diversos casos na planilha em anexo, no mes de dezembro.REF. 12/2024RETENCAO OK</t>
  </si>
  <si>
    <t>68</t>
  </si>
  <si>
    <t>153382</t>
  </si>
  <si>
    <t>GUIA DE INSS SOBRE SALARIO- FORNECEDOR E RPA -REF. 06/2023 - 744893158 - Pipefy</t>
  </si>
  <si>
    <t>INSS/ RPA - 06.2023</t>
  </si>
  <si>
    <t>BRUNO LUIS GOMES DE MORAIS 27744757831</t>
  </si>
  <si>
    <t>HONORARIOS REFENTES A PRESTACAO DE SERVICO COM ANALISE DOCUMENTOS - 538836228 PIPEFY RETENCAO OK</t>
  </si>
  <si>
    <t>F. RUIZ ASSETS CONSULTANT LTDA</t>
  </si>
  <si>
    <t>HONORARIOS REFENTES A PRESTACAO DE SERVICO COM ANALISE DOCUMENTOS - 562277189 - Pipefy RETENCAO OK</t>
  </si>
  <si>
    <t>89</t>
  </si>
  <si>
    <t>Servicos de avaliacoes imobiliarias prestados do periodo entre 21/09 e 20/10 - avaliacoes N2/N3, - 825525261 - Pipefy</t>
  </si>
  <si>
    <t>2370</t>
  </si>
  <si>
    <t>2.20.06.01</t>
  </si>
  <si>
    <t>REEMBOLSAVEIS - 23811 JESTORTRATA-SE DAS ANALISES SOCIOAMBIENTAIS DA 2 QUINZENA DE SETEMBRO, CASOS DESCRITOS EM PLANILHA ANEXA.RETENCAO OK</t>
  </si>
  <si>
    <t>307</t>
  </si>
  <si>
    <t>CARTORIOS E REGISTROS PERIODO 20/02/2022 A 19/03/2022 - 550964565 - Pipefy</t>
  </si>
  <si>
    <t>04.2022</t>
  </si>
  <si>
    <t>2.20.05.06</t>
  </si>
  <si>
    <t>OUTRAS DESPESAS COM PESQUISA DE BENS</t>
  </si>
  <si>
    <t>RICARDO GUIMARAES ZAMBRONE</t>
  </si>
  <si>
    <t>2.20.01.03</t>
  </si>
  <si>
    <t>HOSPEDAGEM</t>
  </si>
  <si>
    <t>REEMBOLSAVEIS - 23078 JESTORVisita a ativos Cozac</t>
  </si>
  <si>
    <t>5874133</t>
  </si>
  <si>
    <t>ADRIANO S BORGES</t>
  </si>
  <si>
    <t>Avaliacao - 550480225 - Pipefy</t>
  </si>
  <si>
    <t>7</t>
  </si>
  <si>
    <t>BANCO SANTANDER (BRASIL) S.A</t>
  </si>
  <si>
    <t>2.03.01</t>
  </si>
  <si>
    <t>DESPESAS E TARIFAS BANCÁRIAS</t>
  </si>
  <si>
    <t>Rateio tarifas bancarias 12/2019.</t>
  </si>
  <si>
    <t>GERENCIAL</t>
  </si>
  <si>
    <t>DESPESAS BANCARIAS (REEMBOLSAVEIS)</t>
  </si>
  <si>
    <t>AVISO DE LANÇAMENTO</t>
  </si>
  <si>
    <t>Tarifas 12/2019</t>
  </si>
  <si>
    <t>QUITACAO DE DEBITOS DE IPTU - DAM: 201900222316 - IMOVEL:9178 - CASO: COZAC - PAGAMENTO PELO ADIANTAMENTO REALIZADO PELO FIDC</t>
  </si>
  <si>
    <t>201900222316</t>
  </si>
  <si>
    <t>Diligencia referente a levantamento de debitos dos casos descritos em planilha anexa - 575970542 Pipefy  - RETENCAO OK</t>
  </si>
  <si>
    <t>1</t>
  </si>
  <si>
    <t>DEBORAH MARTINS REIS IWAI</t>
  </si>
  <si>
    <t>Analises Urbanas/fundiarias do caso GSP Loteadora mat 16899  http://app.pipefy.com/pipes/301656781#cards/723570752</t>
  </si>
  <si>
    <t>020620231</t>
  </si>
  <si>
    <t>SERVICOS DE AVALIACAO - 550811779 - Pipefy RETENCAO OK</t>
  </si>
  <si>
    <t>16</t>
  </si>
  <si>
    <t>Retencao de ISS do credor NOGARA, NOGARA E RONDINONI ADVOGADOS ASS referente ao(s) doc(s) NF/51.</t>
  </si>
  <si>
    <t>GUIA DE INSS FUNCIONARIO/ IRRF FUNCIONARIOS - INSS SERVICOS TOMADOS/ INSS E IR SOBRE RPA - CARD 794096875</t>
  </si>
  <si>
    <t>INSS/IR - REF. 08/23</t>
  </si>
  <si>
    <t>2.08.04</t>
  </si>
  <si>
    <t>IR FONTE - GUIA DE PAGAMENTO</t>
  </si>
  <si>
    <t>Retencao de IR do credor T.C. IMOVEIS S/S LTDA referente ao(s) doc(s) NF/896.</t>
  </si>
  <si>
    <t>REEMBOLSO DE DESPESAS APROVADAS NO PIPEFY CARD 4670 REF. AO CASO: COZAC_FALENCIA</t>
  </si>
  <si>
    <t>172442</t>
  </si>
  <si>
    <t>Retencao de IR do credor AHEAD ARQUITETURA E ENGENHARIA DE AVALIA referente ao(s) doc(s) NF/280.</t>
  </si>
  <si>
    <t>CONTRATACAO DE CORRESPONDENTE PARA COPIAS E DILIGENCIAS SEMANAIS, DENTRO DO MES DE JANEIRO DE 2021, PARA O ACOMPANHAMENTO DO PROCESSO FISICO DA FALENCIA DA COZAC</t>
  </si>
  <si>
    <t>152844</t>
  </si>
  <si>
    <t>Reembolso ao escritorio sobre contratacao de correspondente em Ribeirao Preto, referente servicos prestados no acompanhamento in loco dos autos da falencia da Cozac (autos fisicos) no periodo de fevereiro de 2022 - 549683547 - Pipefy</t>
  </si>
  <si>
    <t>163629</t>
  </si>
  <si>
    <t>CORRESPONDENTE: PROFISSIONAL EXTERNO NA CIDADE DE RIBEIRAO PRETO/SP REFERENTE SERVICOS PRESTADOS DE ACOMPANHAMENTO PROCESSUAL DOS AUTOS FISICOS DA FALENCIA DA COZAC NO PERIODO DE DEZEMBRO/2021 E JANEIRO/2022 - 504799572 PIPEFY</t>
  </si>
  <si>
    <t>162572</t>
  </si>
  <si>
    <t>156352</t>
  </si>
  <si>
    <t>REEMBOLSO DE DESPESAS APROVADAS NO PIPEFY CARD 5151 REF AO CASO: COZAC_FALENCIA</t>
  </si>
  <si>
    <t>173526</t>
  </si>
  <si>
    <t>NELSON HENRIQUE SANTANA ALEXANDRE 40012558800</t>
  </si>
  <si>
    <t>2.20.02.10</t>
  </si>
  <si>
    <t>OUTRAS DESPESAS REGULATORIAS</t>
  </si>
  <si>
    <t>REFERENTE SERVICO DE MOTO BOY  - REF: A JAN / FEV -2020</t>
  </si>
  <si>
    <t>57</t>
  </si>
  <si>
    <t>DILIGENCIA DE CORRESPONDENTE AO FORUM DE RIBEIRAO PRETO PARA OBTENCAO DE COPIA PROCESSUAL (MOVIMENTACAO NO PROCESSO DE FALENCIA DE COZAC, CUJOS AUTOS SAO FISICOS)</t>
  </si>
  <si>
    <t>150804</t>
  </si>
  <si>
    <t>CLAUDIO HIDEKI OKADA</t>
  </si>
  <si>
    <t>2.20.01.11</t>
  </si>
  <si>
    <t>COMBUSTIVEL</t>
  </si>
  <si>
    <t>Reembolso de viagem - 793309164 Pipefy</t>
  </si>
  <si>
    <t>3857511</t>
  </si>
  <si>
    <t>QUITACAO DE DEBITOS DE IPTU - DAM: 201900222366 - IMOVEL: 67832 - CASO: COZAC - PAGAMENTO PELO ADIANTAMENTO REALIZADO PELO FIDC</t>
  </si>
  <si>
    <t>201900222366</t>
  </si>
  <si>
    <t>REEMBOLSO DE DESPESAS APROVADAS NO JESTOR CARD 7728 REF. AO CASO:  COZAC_FALENCIA</t>
  </si>
  <si>
    <t>178493</t>
  </si>
  <si>
    <t>Retencao de CSRF do credor AHEAD ARQUITETURA E ENGENHARIA DE AVALIA referente ao(s) doc(s) NF/284.</t>
  </si>
  <si>
    <t>284</t>
  </si>
  <si>
    <t>Retencao de IR do credor VALIDAR ENGENHARIA DE AVALIACOES LTDA referente ao(s) doc(s) NF/2286.</t>
  </si>
  <si>
    <t>BIANCA NOGUEIRA DE SOUSA</t>
  </si>
  <si>
    <t>Analises Urbanas/fundiarias dos casos descritos em planilha anexa728066845 PIPEFY</t>
  </si>
  <si>
    <t>140620232</t>
  </si>
  <si>
    <t>[Tipo de tarefa] [nivel] de imoveis [tipos de imovel] no periodo de [data de inicio]/[data de fim]. E-mail com ciencia das areas solicitantes e planilha geral com resumo dos prestadores, tarefas por nivel e complexidade em anexo. - 788228872 - Pipefy</t>
  </si>
  <si>
    <t>2</t>
  </si>
  <si>
    <t>REEMBOLSAVEIS - ANALISES SOCIOAMBIENTAIS DE MAIO, CASOS DESCRITOS EM PLANILHA ANEXA - #20508 JESTOR - RETENCAO OKCONTRATO ANEXO</t>
  </si>
  <si>
    <t>286</t>
  </si>
  <si>
    <t>Retencao de IR do credor AGROFFICIO ENGENHARIA LTDA ME referente ao(s) doc(s) NF/637.</t>
  </si>
  <si>
    <t>4MTI SOLUÇÕES LTDA ME</t>
  </si>
  <si>
    <t>Maio/23 - 63.000,00 (mensalidade) + 23.989,25 (48.865 consultas) = 86.989,25 - 730600837 PIPEFY - RETENCAO OK</t>
  </si>
  <si>
    <t>2023/122</t>
  </si>
  <si>
    <t>ARISP - 2. PARTE - MES 07 - RATEIO OK - OK HEADS EM ANEXO - 752846955 - Pipefy</t>
  </si>
  <si>
    <t>81378787</t>
  </si>
  <si>
    <t>Retencao de CSRF do credor LEME INTELIGENCIA FORENSE E CONS. EMPRES referente ao(s) doc(s) NF/1584.</t>
  </si>
  <si>
    <t>2.20.01.07</t>
  </si>
  <si>
    <t>PEDAGIO</t>
  </si>
  <si>
    <t>REEMBOLSO DE DESPESAS DILIGENCIAS DA CORRESPONDENCIA PARA ATUALIZACAO DE COPIAS DO PROCESSO DE FALENCIA DA COZAC</t>
  </si>
  <si>
    <t>149797</t>
  </si>
  <si>
    <t>REEMBOLSO DE DESPESAS COM CORRESPONDENTE AO FORUM DE RIBEIRAO PRETO - 10027 - COZAC_FALENCIA</t>
  </si>
  <si>
    <t>149042</t>
  </si>
  <si>
    <t>HONORARIOS REFENTES A PRESTACAO DE SERVICO COM CAPTACAO DE DOCUMENTOS - 538836563 PIPEFY RETENCAO OK</t>
  </si>
  <si>
    <t>6</t>
  </si>
  <si>
    <t>Tarifas bancarias 01/2020</t>
  </si>
  <si>
    <t>Tarifas 01/2020</t>
  </si>
  <si>
    <t>2.20.01.05</t>
  </si>
  <si>
    <t>ALIMENTAÇÃO</t>
  </si>
  <si>
    <t>REEMBOLSAVEIS - PRESTACAO DE CONTAS DE ARISP REGULATORIOVALIDADO JULIANA RAMOS</t>
  </si>
  <si>
    <t>ARISP - 50.451,85</t>
  </si>
  <si>
    <t>APOIO JUS ADMINISTRATIVOS DE LIMEIRA LTDA</t>
  </si>
  <si>
    <t>TRABALHOS REALIZADOS NO MES FEVEREIRO DOS CASOS DESCRITOS EM PLANILHA ANEXA - 666850698 - Pipefy - RETENCAO OK</t>
  </si>
  <si>
    <t>02580</t>
  </si>
  <si>
    <t>REEMBOLSO DE DESPESAS APROVADAS NO PIPEFY CARD 4060 REF. AO CASO COZAC_FALENCIA</t>
  </si>
  <si>
    <t>170497</t>
  </si>
  <si>
    <t>REEMBOLSO DE DESPESAS APROVADAS NO JESTOR CARD 8621 REFERENTE AO CASO 15292 COZAC</t>
  </si>
  <si>
    <t>179575</t>
  </si>
  <si>
    <t>REEMBOLSO DE DESPESAS APROVADAS NO PIPEFY CARD 4057 REF. AO CASO: COZAC_FALENCIA</t>
  </si>
  <si>
    <t>170494</t>
  </si>
  <si>
    <t>REEMBOLSO DE DESPESAS APROVADAS NO PIPEFY CARD 4059 REF. AO CASO: COZAC_FALENCIA</t>
  </si>
  <si>
    <t>170496</t>
  </si>
  <si>
    <t>REEMBOLSO DE DESPESAS APROVADAS NO PIPEFY CARD 4058 REF. AO CASO: COZAC_FALENCIA</t>
  </si>
  <si>
    <t>170495</t>
  </si>
  <si>
    <t>REEMBOLSO DE DESPESAS APROVADAS NO PIPEFY CARD 5152 REF AO CASO: COZAC_FALENCIA</t>
  </si>
  <si>
    <t>172674</t>
  </si>
  <si>
    <t>REEMBOLSAVEIS - 22613 JESTORTRATA-SE DAS ANALISES REGISTRAIS DOS CASOS DESCRITOS EM PLANILHA ANEXA.COMPETENCIA: 08/2024RETENCAO OK</t>
  </si>
  <si>
    <t>12</t>
  </si>
  <si>
    <t>REEMBOLSO DE DESPESAS APROVADAS NO PIPEFY CARD 3665 REF AO CASO: COZAC_FALENCIA.</t>
  </si>
  <si>
    <t>170498</t>
  </si>
  <si>
    <t>R. DIAS TEIXEIRA FILHO</t>
  </si>
  <si>
    <t>2.20.03.20</t>
  </si>
  <si>
    <t>PRESTAÇÃO DE SERVIÇOS CONTRATOS</t>
  </si>
  <si>
    <t>R DIAS - AGOSTO 2023 - 791683120 pipefy</t>
  </si>
  <si>
    <t>82</t>
  </si>
  <si>
    <t>Retencao de CSRF do credor AGROFFICIO ENGENHARIA LTDA ME referente ao(s) doc(s) NF/594.</t>
  </si>
  <si>
    <t>GUIA DE ISS - SERVICOS PRESTADOS  - REF. 07/2022</t>
  </si>
  <si>
    <t>ISS 07/2022</t>
  </si>
  <si>
    <t>CONSULTA DATASELF SERASA - REF. 01/2023</t>
  </si>
  <si>
    <t>3034407</t>
  </si>
  <si>
    <t>REEMBOLSO DOS CUSTOS DE ADVOGADOS</t>
  </si>
  <si>
    <t>156388</t>
  </si>
  <si>
    <t>PRESTACAO DE SERVICO - DESPESAS DE CARTORIO 08/2019 - BUFFER</t>
  </si>
  <si>
    <t>08/2019</t>
  </si>
  <si>
    <t>HONORARIOS REFERENTES A PRESTACAO DE SERVICO COM ANALISE DE DOCUMENTOS NO ELIOT NO MES DE AGOSTO.- 809413613 - Pipefy - RETENCAO OK</t>
  </si>
  <si>
    <t>272</t>
  </si>
  <si>
    <t>UNISAFE TREIN E CONSULT EM SILVICULTURA MEIO-AMBIENTE E AGRO LTDA</t>
  </si>
  <si>
    <t>REEMBOLSAVEIS -#27460Localizacao remota de imoveis urbanos e rurais no periodo de 21/02/2025 a 20/03/2025. E-mail com ciencia das areas solicitantes e planilha geral com resumo dos prestadores, tarefas por nivel e complexidade em anexo.REF. 03.2025RETENCAO OK</t>
  </si>
  <si>
    <t>2359</t>
  </si>
  <si>
    <t>Localizacao remota de imoveis urbanos e rurais no periodo de abril/maio 2023. E-mail com ciencia das areas solicitantes e planilha geral com resumo dos prestadores, tarefas por nivel e complexidade em anexo.723772256 - PIPEFY</t>
  </si>
  <si>
    <t>94</t>
  </si>
  <si>
    <t>REEMBOLSAVEIS - #24823 JESTORTrata-se do reembolso das prenotacoes solicitadas pelo prestador, referente ao mes de novembro.</t>
  </si>
  <si>
    <t>4121</t>
  </si>
  <si>
    <t>REEMBOLSO DE DESPESAS REF. CARTEIRA COZAC_FALENCIA</t>
  </si>
  <si>
    <t>0207</t>
  </si>
  <si>
    <t>Averbacao da cessao de credito do BB para Travessia VIII do caso Cozac - Mat 72157 - 571667779 - Pipefy</t>
  </si>
  <si>
    <t>61351049</t>
  </si>
  <si>
    <t>Averbacao da cessao de credito do BB para Travessia VIII do caso Cozac - Mat 5103 - 572358901 PIPEFY</t>
  </si>
  <si>
    <t>61351053</t>
  </si>
  <si>
    <t>ARISP - 550963746 - Pipefy</t>
  </si>
  <si>
    <t>CPAGT832831</t>
  </si>
  <si>
    <t>GUIA DE ISS SOBRE RPA - REF. 07.2023 - 768705905 - Pipefy</t>
  </si>
  <si>
    <t>ISS RPA - 07.2023</t>
  </si>
  <si>
    <t>REEMBOLSAVEIS/ ADM  - Mensalidade de R$ 63.000,00 contratuais para manutencao e evolucao do projeto. Foram realizadas 40.469 consultas, que totalizam o montante de R$ 20.211,05 - Desenvolvimento de sistema de coleta de dados online referente ao mes de Janeiro/24 - 17603 JESTOR - RETENCAO OK</t>
  </si>
  <si>
    <t>2024/36</t>
  </si>
  <si>
    <t>REEMBOLSAVEIS -PRESTACAO DE CONTAS DE ARISP - TIME REGULATORIO</t>
  </si>
  <si>
    <t>ARISP - 49871,14</t>
  </si>
  <si>
    <t>ARTHUR JAYME LIMA DA SILVA 39471256828</t>
  </si>
  <si>
    <t>2.20.06.03</t>
  </si>
  <si>
    <t>LAUDOS DE AVALIAÇÃO</t>
  </si>
  <si>
    <t>REEMBOLSAVEIS - 27466 jestorAvaliacao remota de imoveis urbanos no periodo de 21/02/2025 a 21/03/2025. E-mail com ciencia das areas solicitantes e planilha geral com resumo dos prestadores, tarefas por nivel e complexidade em anexo.RETENCAO OK</t>
  </si>
  <si>
    <t>139</t>
  </si>
  <si>
    <t>TRANSPORTE DE DOCUMENTOS REF A OUTUBRO - APROVACOES POR E-MAIL EM ANEXO - 631134784 - Pipefy - RETENCAO OK</t>
  </si>
  <si>
    <t>154</t>
  </si>
  <si>
    <t>Avaliacao remota de imoveis urbanos no periodo de abril/maio 2023. E-mail com ciencia das areas solicitantes e planilha geral com resumo dos prestadores, tarefas por nivel e complexidade em anexo. - 723772532 - Pipefy</t>
  </si>
  <si>
    <t>Retencao de CSRF do credor AGROFFICIO ENGENHARIA LTDA ME referente ao(s) doc(s) NF/608.</t>
  </si>
  <si>
    <t>TRANSPORTE DE DOCUMENTOS 12.2022 - RETENCAO OK</t>
  </si>
  <si>
    <t>152</t>
  </si>
  <si>
    <t>GUIA DE ISS DE RPA- REF. 06/2023 - 738269743 - Pipefy</t>
  </si>
  <si>
    <t>ISS RPA - 06/2023</t>
  </si>
  <si>
    <t>Retencao de IR do credor AHEAD ARQUITETURA E ENGENHARIA DE AVALIA referente ao(s) doc(s) NF/284.</t>
  </si>
  <si>
    <t>Retencao de CSRF do credor MK AVALIACOES IMOBILIARIAS LTDA referente ao(s) doc(s) NF/16165.</t>
  </si>
  <si>
    <t>Levantamento de debitos/emissao de certidoes dos casos descritos em planilha anexa - 667319122 - Pipefy - RETENCAO OK</t>
  </si>
  <si>
    <t>R DIAS - OUTUBRO 2023 - 821317229 - Pipefy</t>
  </si>
  <si>
    <t>85</t>
  </si>
  <si>
    <t>PRESTACAO DE SERVICO - DESPESAS DE CARTORIO 08/2019</t>
  </si>
  <si>
    <t>ARISP - MARCO 2023 - 671372344 Pipefy</t>
  </si>
  <si>
    <t>81296145</t>
  </si>
  <si>
    <t>Retencao de IR do credor LEME INTELIGENCIA FORENSE E CONS. EMPRES referente ao(s) doc(s) NF/1584.</t>
  </si>
  <si>
    <t>ASSOCIACAO DOS REGISTRADORES IMOBILIARIOS DE SAO PAULO</t>
  </si>
  <si>
    <t>BOLETO REFERENTE A SOLICITACAO DE CERTIDOES - CASOS:44 - DESPESAS REEMBOLSAVEIS - (BUFFER).</t>
  </si>
  <si>
    <t>06032020</t>
  </si>
  <si>
    <t>R DIAS - SETEMBRO 2023 - 812280482 PIPEFY</t>
  </si>
  <si>
    <t>83</t>
  </si>
  <si>
    <t>R DIAS - JULHO 2023 - 775857610 - Pipefy</t>
  </si>
  <si>
    <t>80</t>
  </si>
  <si>
    <t>GUIA DE ISS SOBRE RPA - REF. 08.2023  - 788756003 - Pipefy</t>
  </si>
  <si>
    <t>ISS RPA - 08.2023</t>
  </si>
  <si>
    <t>R DIAS - JUNHO/JULHO 2023 - OK HEADS EM ANEXO</t>
  </si>
  <si>
    <t>79</t>
  </si>
  <si>
    <t>REEMBOLSAVEIS - VALIDACAO ISADORA EM ANEXO PRESTACAO DE CONTAS ARISP - INTELIGENCIA</t>
  </si>
  <si>
    <t>ARISP - 2.385,71</t>
  </si>
  <si>
    <t>RATEIO SERASA - PESQUISAS DATASELF - REF. 01/06/2023 A 31/06/2023 - RATEIO OK - RETENCAO OK - 746903386 - Pipefy</t>
  </si>
  <si>
    <t>2165624</t>
  </si>
  <si>
    <t>2.20.01.08</t>
  </si>
  <si>
    <t>ESTACIONAMENTO</t>
  </si>
  <si>
    <t>REEMBOLSO DE DESPESAS APROVADAS NO PIPEFY CARD 4285 REF. AO CASO: COZAC_FALENCIA</t>
  </si>
  <si>
    <t>171863</t>
  </si>
  <si>
    <t>Analises registrais dos casos descritos em planilha anexa - 563061807 - Pipefy</t>
  </si>
  <si>
    <t>050820223</t>
  </si>
  <si>
    <t>GUIA DE RECOLHIMENTO DE DEBITOS RESCISORIOS  COZAC IMOVEIS -PAGAMENTO PELO ADIANTAMENTO REALIZADO PELO FIDC</t>
  </si>
  <si>
    <t>Retencao de CSRF do credor SERASA S.A referente ao(s) doc(s) NF/2027523.</t>
  </si>
  <si>
    <t>Retencao de IR do credor AGROFFICIO ENGENHARIA LTDA ME referente ao(s) doc(s) NF/594.</t>
  </si>
  <si>
    <t>REEMBOLSAVEISGUIA DCTF - FUNCIONARIO - RPA - FORNECEDOR - REF 10/2024</t>
  </si>
  <si>
    <t>DCTF - 010.2024</t>
  </si>
  <si>
    <t>ARISP ABRIL/MAIO - 2023 - 716073740 - PIPEFYCUSTO DE R$ 29,59 APROPRIADO NO CC 6142 (INATIVO - CLARION) COM AUTORIZACAO DO RENAN. TRATA-SE DE PROTOCOLO DE REGISTRO DE COMPRA DE ATIVO CLARION JA REEMBOLSADO PELO DEVODOR AO BTG - EVIDENCIA ANEXADA (E-MAIL FERNANDA OLIVEIRA REGULATORIO)</t>
  </si>
  <si>
    <t>81328000</t>
  </si>
  <si>
    <t>EMPRESA BRASILEIRA DE CORREIOS E TELEGRAFOS</t>
  </si>
  <si>
    <t>CONTRATO DE PRESTACAO DE SERVICOS DE CORREIOS E TELEGRAFOS - REF. 07/2019</t>
  </si>
  <si>
    <t>07/2019</t>
  </si>
  <si>
    <t>BUSCA DE BENS ARISP - REF. 09/2019</t>
  </si>
  <si>
    <t>09/2019</t>
  </si>
  <si>
    <t>Retencao de IR do credor AGROFFICIO ENGENHARIA LTDA ME referente ao(s) doc(s) NF/608.</t>
  </si>
  <si>
    <t>BOLETO REFERENTE A PESQUISA DE BENS E MATRICULAS NO SITE ARISP.</t>
  </si>
  <si>
    <t>17121591</t>
  </si>
  <si>
    <t>Retencao de IR do credor MK AVALIACOES IMOBILIARIAS LTDA referente ao(s) doc(s) NF/16165.</t>
  </si>
  <si>
    <t>BOLETO REFERENTE A PESQUISA DE BENS E MATRICULAS NO SITE ARISP</t>
  </si>
  <si>
    <t>17118650</t>
  </si>
  <si>
    <t>Retencao de CSRF do credor VALIDAR ENGENHARIA DE AVALIACOES LTDA referente ao(s) doc(s) NF/2370.</t>
  </si>
  <si>
    <t>Tarifas reembolsaveis 06/2020</t>
  </si>
  <si>
    <t>Tarifas 06/2020</t>
  </si>
  <si>
    <t>GUIA DE INSS - PRESTACAO DE SERVICO + RPA + FOLHA - REF. 08.2022 - 578604457 PIPEFY</t>
  </si>
  <si>
    <t>INSS 08.2022</t>
  </si>
  <si>
    <t>Retencao de IR do credor SERASA S.A referente ao(s) doc(s) NF/2027523.</t>
  </si>
  <si>
    <t>Desenvolvimento de sistema de coleta de dados online referente ao mes de Junho/23. - Com a quantia de 520 horas gastas nos projetos DataSelf, Ingestao de Dados e Robos.  - 784557913 - Pipefy</t>
  </si>
  <si>
    <t>2023/131</t>
  </si>
  <si>
    <t>BRAIN SOLUCOES DE TECNOLOGIA DIGITAL LTDA.</t>
  </si>
  <si>
    <t>REEMBOLSAVEIS - Flat Full Service - Agro-  #18815 JESTOR - RETENCAO OK - Competencia: JANEIRO/24</t>
  </si>
  <si>
    <t>3573</t>
  </si>
  <si>
    <t>Retencao de IR do credor VALIDAR ENGENHARIA DE AVALIACOES LTDA referente ao(s) doc(s) NF/2370.</t>
  </si>
  <si>
    <t>GUIA DE ISS SOBRE RPA - REF. 07/2022</t>
  </si>
  <si>
    <t>RPA 07/2022</t>
  </si>
  <si>
    <t>Retencao de CSRF do credor SERASA S.A referente ao(s) doc(s) NF/2165624.</t>
  </si>
  <si>
    <t>Mensalidade - 4MTI - Robos de Internet - 647131318 - Pipefy - RETENCAO OK</t>
  </si>
  <si>
    <t>2023/22</t>
  </si>
  <si>
    <t>Retencao de IR do credor SERASA S.A referente ao(s) doc(s) NF/2165624.</t>
  </si>
  <si>
    <t>Retencao de CSRF do credor 4MTI SOLUCOES LTDA ME referente ao(s) doc(s) NF/2023/22.</t>
  </si>
  <si>
    <t>Retencao de IR do credor 4MTI SOLUCOES LTDA ME referente ao(s) doc(s) NF/2023/22.</t>
  </si>
  <si>
    <t>*** Estorno ***</t>
  </si>
  <si>
    <t>DINIZ E FRAIHA SOCIEDADE DE ADVOGADOS</t>
  </si>
  <si>
    <t>REMBOLSAVEIS - 28638 JESTORNF referente a servicos de analise registral.REF. 04/2025RETENCAO OK</t>
  </si>
  <si>
    <t>1015</t>
  </si>
  <si>
    <t>UBER DO BRASIL TECNOLOGIA LTDA.</t>
  </si>
  <si>
    <t>ADM | REEMBOLSAVEIS - 28432 JESTORFatura mensal da Uber - Abril25</t>
  </si>
  <si>
    <t>D32522</t>
  </si>
  <si>
    <t>REEMBOLSAVEIS - 28873 JESTORDiligencias incorridas no mes de abril dos casos descritos na planilha anexa.REF. 04/2025RETENCAO OK</t>
  </si>
  <si>
    <t>4161</t>
  </si>
  <si>
    <t>REEMBOLSO DE DESPESAS APROVADAS NO JESTOR CARD 9161 - REFERENTE AO CASO 15292 COZAC</t>
  </si>
  <si>
    <t>1810181</t>
  </si>
  <si>
    <t>LIBARINO ENGENHARIA LTDA</t>
  </si>
  <si>
    <t>REEMBOLSAVEIS - 28959 JESTORAvaliacoes N2/N3, contratadas entre 21/04 e 20/05RETENCAO OK</t>
  </si>
  <si>
    <t>36</t>
  </si>
  <si>
    <t>REEMBOLSAVEIS - 28212 JESTORLocalizacao remota de imoveis urbanos e rurais.Periodo de 21/03/2025 a 20/04/2025RETENCAO OK</t>
  </si>
  <si>
    <t>95</t>
  </si>
  <si>
    <t>REEMBOLSAVEIS - 28337 JESTORReembolso de despesas de viagemPeriodo: 0705/2025 a 12/05/2025</t>
  </si>
  <si>
    <t>7401067</t>
  </si>
  <si>
    <t>REEMBOLSAVEIS - 28446 JESTORTrata-se das analises socioambientais da primeira quinzena de abril, casos descritos em planilha anexa. Total de 131 analises, anexo rateio e planilha de medicao.REF. 04/2025RETENCAO OK</t>
  </si>
  <si>
    <t>334</t>
  </si>
  <si>
    <t>REEMBOLSAVEIS - 28512 JESTORTrata-se de 22 analises registrais dos casos descritos na planilha em anexo, referente ao mes de abril.REF. 04/2025RETENCAO OK</t>
  </si>
  <si>
    <t>ARISP -  58.157,74</t>
  </si>
  <si>
    <t>R.P.D. - DOCUMENTOS, APOIO EMPRESARIAL E NEGOCIOS LTDA</t>
  </si>
  <si>
    <t>REEMBOLSAVEIS - 28461 JESTORTrata-se do pagamento referente a licenca da plataforma docket do mes de abril, utilizada para analise e gestao de documento, referente aos casos em anexo.REF. 04/2025RETENCAO OK</t>
  </si>
  <si>
    <t>32141</t>
  </si>
  <si>
    <t>REEMBOLSAVEIS - 28460 JESTORTrata-se do pagamento referente a licenca da plataforma docket do mes de abril, utilizada para analise e gestao de documento, referente aos casos em anexo.REF. 04/2025RETENCAO OK</t>
  </si>
  <si>
    <t>32137</t>
  </si>
  <si>
    <t>EWERTON FERREIRA DE SOUSA SOCIEDADE INDIVIDUAL DE ADVOCACIA</t>
  </si>
  <si>
    <t>REEMBOLSAVEIS - 28504 JESTORNF referente a analise registral de abr/25RETENCAO OK</t>
  </si>
  <si>
    <t>56</t>
  </si>
  <si>
    <t>REEMBOLSAVEIS - 28626 JESTORTrata-se do reembolso das custas cartorarias e de diligencias incorridas no mes de abril dos casos descritos na planilha anexa.</t>
  </si>
  <si>
    <t>185</t>
  </si>
  <si>
    <t>ADM | REEMBOLSAVEIS - 28800 JESTORDesenvolvimento de sistema de coleta de dados online.Mensalidade de R$ 66.735,60 contratuais para manutencao e evolucao do projeto.Foram realizadas 199.642 consultas, que totalizam o montante de R$ 65.410,20.REF. 04/2025RETENCAO OK</t>
  </si>
  <si>
    <t>73</t>
  </si>
  <si>
    <t>CREDOR</t>
  </si>
  <si>
    <t>VALOR CESSÃO</t>
  </si>
  <si>
    <t>DATA PAGAMENTO</t>
  </si>
  <si>
    <t>VALOR ATT 30%</t>
  </si>
  <si>
    <t>AGAMENNON BRUNETTI JÚNIOR</t>
  </si>
  <si>
    <t>DIONE DE SOUZA DA SILVA</t>
  </si>
  <si>
    <t>JOSE WILSON RODRIGUES NUNES</t>
  </si>
  <si>
    <t>JUAREZ DELCIDES DOURADO</t>
  </si>
  <si>
    <t>MARIANGELA CAIXETA GUIMARAES</t>
  </si>
  <si>
    <t>RODRIGO SANTIAGO SANTO DE CARVALHO</t>
  </si>
  <si>
    <t>ROMES LEMES</t>
  </si>
  <si>
    <t>ARNALDO NOGUEIRA DOS SANTOS</t>
  </si>
  <si>
    <t>CLEMENTE NUNES DA COSTA</t>
  </si>
  <si>
    <t>GRIGORIO MANOEL DE SOUZA</t>
  </si>
  <si>
    <t>JOAQUIM MAURÍCIO DE CARVALHO</t>
  </si>
  <si>
    <t>JOSÉ CARLOS POLLONI</t>
  </si>
  <si>
    <t>JOSÉ CÍCERO DE LIMA</t>
  </si>
  <si>
    <t>DÊNIS BERTAMINI BRITO (1/3 DO CRÉDITO)</t>
  </si>
  <si>
    <t>DOUGLAS F. BERTAMINI (1/3 DO CRÉDITO)</t>
  </si>
  <si>
    <t>LUZIA DEF. BERTAMINI (1/3 DO CRÉDITO)</t>
  </si>
  <si>
    <t>MAURO DE SOUZA SERRANA - ME</t>
  </si>
  <si>
    <t>BANCO MERCANTIL DO BRASIL</t>
  </si>
  <si>
    <t>BANCO SANTANDER S/A</t>
  </si>
  <si>
    <t>BANCO RIBEIRÃO PRETO S/A</t>
  </si>
  <si>
    <t>SUCUMBÊNCIA (AJ Antigo)</t>
  </si>
  <si>
    <t>WILIAN DE ARAÚJO HERNANDEZ</t>
  </si>
  <si>
    <t>Compra de creditos</t>
  </si>
  <si>
    <t>DESPESAS</t>
  </si>
  <si>
    <t>DESEMBOLSOS</t>
  </si>
  <si>
    <t>Vl. Desembolso</t>
  </si>
  <si>
    <t>Compras de Crédito</t>
  </si>
  <si>
    <t>Filtros aplicados:
Caso é COZAC
dt_pagamento é igual a ou está depois de 02/12/2016 e está antes de 21/10/2025</t>
  </si>
  <si>
    <t>Micro-Grupo</t>
  </si>
  <si>
    <t>Despesas</t>
  </si>
  <si>
    <t>Date - Ano</t>
  </si>
  <si>
    <t>Date - Mês</t>
  </si>
  <si>
    <t>dezembro</t>
  </si>
  <si>
    <t>HONORÁRIOS (OUTROS TIPOS)</t>
  </si>
  <si>
    <t>setembro</t>
  </si>
  <si>
    <t>janeiro</t>
  </si>
  <si>
    <t>agosto</t>
  </si>
  <si>
    <t>novembro</t>
  </si>
  <si>
    <t>junho</t>
  </si>
  <si>
    <t>maio</t>
  </si>
  <si>
    <t>julho</t>
  </si>
  <si>
    <t>abril</t>
  </si>
  <si>
    <t>outubro</t>
  </si>
  <si>
    <t>março</t>
  </si>
  <si>
    <t>fevereiro</t>
  </si>
  <si>
    <t>Coluna2</t>
  </si>
  <si>
    <t>VALOR ATT inpc</t>
  </si>
  <si>
    <t>Vl. Atualizado</t>
  </si>
  <si>
    <t>Coluna3</t>
  </si>
  <si>
    <t>vl at inpc</t>
  </si>
  <si>
    <t>vl at 30</t>
  </si>
  <si>
    <t>vl</t>
  </si>
  <si>
    <t>Data Base</t>
  </si>
  <si>
    <t>Data</t>
  </si>
  <si>
    <t>Saldo Total</t>
  </si>
  <si>
    <t>REEMBOLSAVEIS: 30877 JESTOR Trata-se do pagamento referente a licenca da plataforma docket do mes de julho, utilizada para analise e gestao de documento, referente aos casos em anexo.RETENCAO OK</t>
  </si>
  <si>
    <t>33435</t>
  </si>
  <si>
    <t>REEMBOLSAVEIS: 30876 JESTORTrata-se do pagamento referente a licenca da plataforma docket do mes de julho, utilizada para analise e gestao de documento, referente aos casos em anexo.RETENCAO OK</t>
  </si>
  <si>
    <t>33432</t>
  </si>
  <si>
    <t>ARTHUR EDUARDO BUAVA RIBEIRO SOCIEDADE INDIVIDUAL DE ADVOCACIA</t>
  </si>
  <si>
    <t>REEMBOLSAVEIS: 31199 JESTOR Trata-se de pagamento referente a 40 analises urbanas e Fundiarias, Suporte de Localizacao e servicos de dominial realizadas pelo ARTHUR EDUARDO BUAVA RIBEIRO SOCIEDADE INDIVIDUAL DE ADVOCACIA, referente a julho casos no rateio anexo.RETENCAO OK</t>
  </si>
  <si>
    <t>318</t>
  </si>
  <si>
    <t>REEMBOLSAVEIS - 30351 JESTORNF referente ao BONUS TRIMESTRAL do novo contrato punitivo. O valor representa 10% da soma do valor das notas do trimestre. Aqui, este valor foi rateado por todos os casos que ele trabalhou neste tri - Ja alinhado com financeiro e diretoria.</t>
  </si>
  <si>
    <t>61</t>
  </si>
  <si>
    <t>REEMBOLSAVEIS - 30399 JESTORTrata-se de pagamento referente a analises urbanas e Fundiarias, Suporte de Localizacao e servicos de dominial realizadas pelo ARTHUR EDUARDO BUAVA RIBEIRO SOCIEDADE INDIVIDUAL DE ADVOCACIA, referente a maio casos no rateio anexo.RETENCAO OK</t>
  </si>
  <si>
    <t>302</t>
  </si>
  <si>
    <t>REEMBOLSAVEIS - 31394 JESTORLocalizacao remota de imoveis urbanos e rurais no periodo de 21/07/2025 a 20/08/2025.E-mail com ciencia das areas solicitantes e planilha geral com resumo dos prestadores, tarefas por nivel e complexidade em anexo.RETENCAO OK</t>
  </si>
  <si>
    <t>103</t>
  </si>
  <si>
    <t>REEMBOLSAVEIS: 30717 JESTOR Viagem a Ribeirao Preto</t>
  </si>
  <si>
    <t>8021498</t>
  </si>
  <si>
    <t>2.02.02.31</t>
  </si>
  <si>
    <t>REEMBOLSO DE ADVOGADOS</t>
  </si>
  <si>
    <t>JESTOR - 29225Despesa com Passagens Aereas - Passagens Aereas - SP/Ribeirao Preto/ SP para visita ao cartorio do Forum de Ribeirao Preto para assinaturas de cartas de adjudicacao. | Voo ida - Latam - Localizador: HWMJEF | Voo volta - GOL - Localizador: UJDNWNCaso:  000001 - Falencia CozacBanco: Banco Itau S/AAgencia: 0367Conta N.: 16546-1Favorecido: FELSBERG ADVOGADOSCNPJ N.: 52.566.122/0001-43 (Chave PIX)</t>
  </si>
  <si>
    <t>181862</t>
  </si>
  <si>
    <t>REEMBOLSO DE DESPESAS APROVADAS NO JESTOR CARD 9845  - REFERENTE AO CASO 0015292_COZAC_FALENCIA</t>
  </si>
  <si>
    <t>182394</t>
  </si>
  <si>
    <t>ADM | REEMBOLSAVEIS - 29467 JESTORVIAGENS DEPTO. GESTAO IMOBILIARIAREF. 05/2025</t>
  </si>
  <si>
    <t>FT01015408</t>
  </si>
  <si>
    <t>REEMBOLSAVEIS: 31125 JESTOR Visita apto Campinas</t>
  </si>
  <si>
    <t>8107530</t>
  </si>
  <si>
    <t>REEMBOLSO DE DESPESAS APROVADAS NO JESTOR CARD 10360 - REFERENTE AO CASO 15292 - COZAC</t>
  </si>
  <si>
    <t>183118</t>
  </si>
  <si>
    <t>PRESTACAO DE CONTAS REGULATORIO</t>
  </si>
  <si>
    <t>ARISP - 70.852,40</t>
  </si>
  <si>
    <t>ADM - PRESTACAO DE CONTAS DO ARISP - TIME REGULATORIO</t>
  </si>
  <si>
    <t>ARISP - 80.274,6</t>
  </si>
  <si>
    <t>2.20.04.14</t>
  </si>
  <si>
    <t>Pagamento devido a titulo de honorarios de Exito para o Escritorio FELSBERG conforme aprovado em comite com OC (ATA anexo), com base nos 17MM da avaliacao interna (Enforce) dos imoveis, descontando eventuais debitos (contrato anexo).Pagamento Submetido. Numero de Solicitacao CAPG_299913</t>
  </si>
  <si>
    <t>47231</t>
  </si>
  <si>
    <t>818247_COZAC_MAT_23299 - Ribeirão Preto, SP</t>
  </si>
  <si>
    <t>COZAC - SPE COMERCIAL</t>
  </si>
  <si>
    <t>PRESTACAO DE CONTAS ARISP - TIME REGULATORIOBAIXAR SOMENTE COM DATA DE SETEMBROTITULO REPLICADO PAGO PELO TITULO 268183</t>
  </si>
  <si>
    <t>CAIXA</t>
  </si>
  <si>
    <t>ARISP - SPE.02</t>
  </si>
  <si>
    <t>790175_COZAC_MAT_76858 - Ribeirão Preto, SP</t>
  </si>
  <si>
    <t>CONTACTUS SERVIÇOS CONTABEIS LTDA</t>
  </si>
  <si>
    <t>2.20.03.19</t>
  </si>
  <si>
    <t>HONORARIOS CONTABILIDADE</t>
  </si>
  <si>
    <t>GENÉRICO_COZAC</t>
  </si>
  <si>
    <t>HONORARIO REFERENTE 08/2025 - BASE DE CALCULO ESTOQUE 31/07/2025 - 428 UNIDADES</t>
  </si>
  <si>
    <t>13016842-2</t>
  </si>
  <si>
    <t>SANTANDER - SPE COMERCIAL</t>
  </si>
  <si>
    <t>10230</t>
  </si>
  <si>
    <t>CONTACTUS ACESSORIA CONTÁBIL LTDA</t>
  </si>
  <si>
    <t>HONORARIO MENSAL 08/2025</t>
  </si>
  <si>
    <t>11463</t>
  </si>
  <si>
    <t>HONORARIO REFERENTE 09/2025 - BASE DE CALCULO ESTOQUE 31/08/2025 - 414 UNIDADES</t>
  </si>
  <si>
    <t>10328</t>
  </si>
  <si>
    <t>HONORARIO MENSAL 09/2025</t>
  </si>
  <si>
    <t>11516</t>
  </si>
  <si>
    <t>HONORARIO MENSAL 10/2025</t>
  </si>
  <si>
    <t>11645</t>
  </si>
  <si>
    <t>790201_COZAC_MAT_96158 - Ribeirão Preto, SP</t>
  </si>
  <si>
    <t>IPTU 2025 - 790201_COZAC_MAT_96158 - Ribeirao Preto, SP</t>
  </si>
  <si>
    <t>79839_2025</t>
  </si>
  <si>
    <t>HONORARIO REFERENTE 10/2025 - BASE DE CALCULO ESTOQUE 30/09/2025 - 411 UNIDADES</t>
  </si>
  <si>
    <t>10579</t>
  </si>
  <si>
    <t>IPTU 2025 - 818247_COZAC_MAT_23299 - Ribeirao Preto, SP</t>
  </si>
  <si>
    <t>109077_2025</t>
  </si>
  <si>
    <t>818257_COZAC_MAT_83398 - Ribeirão Preto, SP</t>
  </si>
  <si>
    <t>PAGAMENTO REF. A CUSTAS PARA REGISTRO DA CARTE DE ADJUDICACAO - 818257_COZAC_MAT_83398 - Ribeirao Preto, SP - CARTEIRA COZAC - JESTOR 33083</t>
  </si>
  <si>
    <t>Mat. 83398</t>
  </si>
  <si>
    <t>790204_COZAC_MAT_5104 - Ribeirão Preto, SP</t>
  </si>
  <si>
    <t>PAGAMENTO REF. A CUSTAS PARA REGISTRO DA CARTE DE ADJUDICACAO - 790204_COZAC_MAT_5104 - Ribeirao Preto, SP - CARTEIRA COZAC - JESTOR 33175</t>
  </si>
  <si>
    <t>mat. 5104</t>
  </si>
  <si>
    <t>818232_COZAC_MAT_72157 - Ribeirão Preto, SP</t>
  </si>
  <si>
    <t>PAGAMENTO REF. A CUSTAS PARA REGISTRO DA CARTE DE ADJUDICACAO - 818232_COZAC_MAT_72157 - Ribeirao Preto, SP - CARTEIRA COZAC - JESTOR 33075</t>
  </si>
  <si>
    <t>mat. 72157</t>
  </si>
  <si>
    <t>PAGAMENTO REF. A CUSTAS PARA REGISTRO DA CARTE DE ADJUDICACAO - 818232_COZAC_MAT_72157 - Ribeirao Preto, SP - CARTEIRA COZAC - JESTOR 33076</t>
  </si>
  <si>
    <t>Mat. 62872</t>
  </si>
  <si>
    <t>REEMBOLSAVEIS - 30445 JESTORAvaliacoes N2/N3, contratadas entre 21/06 e 20/07RETENCAO OKTITULO REPLICADO PAGO ATRAVES DO TITULO 264616</t>
  </si>
  <si>
    <t>39.02</t>
  </si>
  <si>
    <t>REEMBOLSAVEIS: 31515 JESTOR Trata-se das custos de registro da Carta de Adjudicacao da Mat. 96.158 do 1. RI de Ribeirao Preto/SP, de Cozac.TITULO REPLICADO PAGO PELO TITULO 269721</t>
  </si>
  <si>
    <t>05092.02</t>
  </si>
  <si>
    <t>IPTU 2025 - 790175_COZAC_MAT_76858 - Ribeirao Preto, SP</t>
  </si>
  <si>
    <t>67832_2025</t>
  </si>
  <si>
    <t>818255_COZAC_MAT_62872 - Ribeirão Preto, SP</t>
  </si>
  <si>
    <t>REEMBOLSAVEIS - 31391 JESTORAvaliacao remota de imoveis urbanos no periodo de 10/06/2025 a 20/08/2025.E-mail com ciencia das areas solicitantes e planilha geral com resumo dos prestadores, tarefas por nivel e complexidade em anexo.RETENCAO OKTITULO REPLICADO PAGO PELO TITULO 269861</t>
  </si>
  <si>
    <t>43.02</t>
  </si>
  <si>
    <t>REEMBOLSAVEIS: 31655 JESTORTrata-se dos custos de registro da Carta de Adjudicacao das 76.858 e 96.158 do 1. RI de Ribeirao Preto/SP, referente ao caso Cozac, matricula 15292.TITULO REPLICADO PAGO PELO TITULO 270284</t>
  </si>
  <si>
    <t>1109.02</t>
  </si>
  <si>
    <t>2.20.02.01</t>
  </si>
  <si>
    <t>ITBI</t>
  </si>
  <si>
    <t>818258_COZAC_MAT_6660 - Ribeirão Preto, SP</t>
  </si>
  <si>
    <t>PAGAMENTO DE ITBI - 818258_COZAC_MAT_6660 - Ribeirao Preto, SP - JESTOR 33425</t>
  </si>
  <si>
    <t>22732/2025</t>
  </si>
  <si>
    <t>790169_COZAC_MAT_11054 - Ribeirão Preto, SP</t>
  </si>
  <si>
    <t>PAGAMENTO DE ITBI - 790169_COZAC_MAT_11054 - Ribeirao Preto, SP</t>
  </si>
  <si>
    <t>22734/2025</t>
  </si>
  <si>
    <t>818252_COZAC_MAT_11055 - Ribeirão Preto, SP</t>
  </si>
  <si>
    <t>PAGAMENTO REF. A ITBI - 818252_COZAC_MAT_11055 - Ribeirao Preto, SP - JESTOR 33427</t>
  </si>
  <si>
    <t>22735/2025</t>
  </si>
  <si>
    <t>790238_COZAC_MAT_5103 - Ribeirão Preto, SP</t>
  </si>
  <si>
    <t>PAGAMENTO REF. A ITBI - 790238_COZAC_MAT_5103 - Ribeirao Preto, SP - JESTOR 33423</t>
  </si>
  <si>
    <t>22733/2025</t>
  </si>
  <si>
    <t>SOFTPLAN PLANEJAMENTO E SISTEMAS LTDA.</t>
  </si>
  <si>
    <t>2.07.17</t>
  </si>
  <si>
    <t>DESPESAS DE SOFTWARE _ LICENÇA</t>
  </si>
  <si>
    <t>REEMBOLSAVEL- 31995 JESTOR SUPORTE TECNICO, MANUTENCAO E OUTROS SERVICOS EM TECNOLOGIAREF 09/2025RETENCAO OK - TITULO REPLICADO - PAGO PELO TITULO 272217</t>
  </si>
  <si>
    <t>880712.2</t>
  </si>
  <si>
    <t>REEMBOLSAVEIS - 31685 JESTORREEMBOLSO DE DESPESAS COM VIAGEM A RIBEIRAO PRETO - IMOVEIS COZACTITULO REPLICADO PAGO PELO TITULO 270603</t>
  </si>
  <si>
    <t>8276452.02</t>
  </si>
  <si>
    <t>818227_COZAC_MAT_36052 - Ribeirão Preto, SP</t>
  </si>
  <si>
    <t>822567_COZAC_MAT_36053 - Ribeirão Preto, SP</t>
  </si>
  <si>
    <t>ADM - 31175 jestor 14 licencas compradas + manutencao da base + data center + skyline (conector do Nexxera)REF. 07/225RETENCAO OKTITULO REPLICADO PAGO PELO TITULO 267692</t>
  </si>
  <si>
    <t>867371.02</t>
  </si>
  <si>
    <t>REEMBOLSAVEIS - 30924 JESTOR - APROVACOES EM ANEXOReferente ao caso Cozac, trata-se de um pagamento de Guia no valor de R$ 1.554,84, para fins de expedicao dos mandados de imissao na posse dos ativos ocupados irregularmente.TITULO REPLICADO PAGO ATRAVES DO TITULO 266029</t>
  </si>
  <si>
    <t>28442810000182567.02</t>
  </si>
  <si>
    <t>ADM - 30926 jestor14 licencas compradas + manutencao da base + data center + skyline (conector do Nexxera)REF. 06/225RETENCAO OKTITULO REPLICADO PAGO ATRAVES DO TITULO 263534</t>
  </si>
  <si>
    <t>853779.02</t>
  </si>
  <si>
    <t>REEMBOLSAVEIS - ABRIR CARDDCTF FORNECEDORESREF. 09/2025 - TITULO REPLICADO - PAGO PELO TITULO 276054</t>
  </si>
  <si>
    <t>DCTF FORN 09/2025.2</t>
  </si>
  <si>
    <t>PAGAMENTO REF. A GUIA DE ITBI - 790201_COZAC_MAT_96158 - Ribeirao Preto, SP - JESTOR 30076</t>
  </si>
  <si>
    <t>13339</t>
  </si>
  <si>
    <t>PAGAMENTO REF. A GUIA DE ITBI - 790204_COZAC_MAT_5104 - Ribeirao Preto, SP - JESTOR 30051</t>
  </si>
  <si>
    <t>13478</t>
  </si>
  <si>
    <t>MENEGUIT &amp; SANTOS ADVOGADOS ASSOCIADOS</t>
  </si>
  <si>
    <t>REEMBOLSAVEL- 31529 JESTOR Analise PRC de processos relacionados a carteira Cozac.REF 09/2025RETENCAO OKTITULO REPLICADO PAGO PELO TITULO 271265</t>
  </si>
  <si>
    <t>625.02</t>
  </si>
  <si>
    <t>NALINI E VILLELA SOCIEDADE DE ADVOGADOS</t>
  </si>
  <si>
    <t>REEMBOLSAVEIS - 31754 JESTORTrata-se da segunda parcela referente a diligencia junto a prefeitura de Ribeirao Preto ao caso de Cozac. (COMERCIAL COZAC)RETENCAO OKTITULO REPLICADO PAGO PELO TITULO 270735</t>
  </si>
  <si>
    <t>927.02</t>
  </si>
  <si>
    <t>SECRETARIA DE AGUA E ESGOTO DE RIBEIRAO PRETO</t>
  </si>
  <si>
    <t>2.20.03.05</t>
  </si>
  <si>
    <t>CONTAS CONSUMO (ÁGUA, ENERGIA, GAS, TEL, INTERNET)</t>
  </si>
  <si>
    <t>REEMBOLSAVEIS - 32803 JESTORPAGAMENTO DE PENDENCIA DE IMOVEL QUE ESTA COM PROCESSO JUDICIAL EM CURSO.</t>
  </si>
  <si>
    <t>09/2025</t>
  </si>
  <si>
    <t>REEMBOLSAVEIS - 31875 JESTORTrata-se do custos de registro da carta de adjudicacao das M. 23.299, 6660, 11055, 11054 e 83398 do 2. CRI Ribeirao Preto SP, referente ao caso de cozac.TITULO REPLICADO PAGO PELO TITULO 272039</t>
  </si>
  <si>
    <t>AC011528263.02</t>
  </si>
  <si>
    <t>PAGAMENTO DE DEBITOS IPTU COZAC_ PAGINAS 1 A 4 - 818255_COZAC_MAT_62872 - Ribeirao Preto, SP - JESTOR 32665</t>
  </si>
  <si>
    <t>DEB_IPTU COZAC_62872</t>
  </si>
  <si>
    <t>PAGAMENTO DE DEBITOS IPTU COZAC_ PAGINAS 1 A 4 - 790204_COZAC_MAT_5104 - Ribeirao Preto, SP - JESTOR 32663</t>
  </si>
  <si>
    <t>DEB_IPTU COZAC_5104</t>
  </si>
  <si>
    <t>DCTF COMPLEMENTAR - REF. 08/2025 - TITULO REPLICADO - PAGO PELO TITULO 275892</t>
  </si>
  <si>
    <t>DCFT COMP -08.25.2</t>
  </si>
  <si>
    <t>PAGAMENTO DE DEBITOS IPTU COZAC_ PAGINAS 1 A 4 - 818258_COZAC_MAT_6660 - Ribeirao Preto, SP - JESTOR 32674</t>
  </si>
  <si>
    <t>DEB_IPTU COZAC_6660</t>
  </si>
  <si>
    <t>PAGAMENTO DE DEBITOS IPTU COZAC_ PAGINAS 1 A 4 - 818252_COZAC_MAT_11055 - Ribeirao Preto, SP - JESTOR 32661</t>
  </si>
  <si>
    <t>DEB_IPTU COZAC 11055</t>
  </si>
  <si>
    <t>PAGAMENTO DE DEBITOS IPTU COZAC_ PAGINAS 1 A 4 - 790169_COZAC_MAT_11054 - Ribeirao Preto, SP - JESTOR 32668</t>
  </si>
  <si>
    <t>DEB_IPTU COZAC_11054</t>
  </si>
  <si>
    <t>REEMBOLSAVEIS - 32794 JESTORITBI M83398 - INSCRICAO 243832 - Adjudicacao</t>
  </si>
  <si>
    <t>202509021209</t>
  </si>
  <si>
    <t>PAGAMENTO DE DEBITOS IPTU COZAC_ PAGINAS 1 A 4 - 818247_COZAC_MAT_23299 - Ribeirao Preto, SP</t>
  </si>
  <si>
    <t>DEB_IPTU COZAC_23299</t>
  </si>
  <si>
    <t>PAGAMENTO REF. A DEBITOS COZAC - 790238_COZAC_MAT_5103 - Ribeirao Preto, SP - JESTOR 32669</t>
  </si>
  <si>
    <t>DÉB. COZAC_5103</t>
  </si>
  <si>
    <t>PAGAMENTO DE ITBI -  818247_COZAC_MAT_23299 - Ribeirao Preto, SP - JESTOR 30990</t>
  </si>
  <si>
    <t>15952</t>
  </si>
  <si>
    <t>PAGAMENTO DE ITBI - 790175_COZAC_MAT_76858 - Ribeirao Preto, SP - JESTOR 30994</t>
  </si>
  <si>
    <t>15951</t>
  </si>
  <si>
    <t>PAGAMENTO DE ITBI - 818232_COZAC_MAT_72157 - Ribeirao Preto, SP - JESTOR 30993</t>
  </si>
  <si>
    <t>15950</t>
  </si>
  <si>
    <t>PAGAMENTO DE ITBI - 818255_COZAC_MAT_62872 - Ribeirao Preto, SP - JESTOR 30992</t>
  </si>
  <si>
    <t>15956</t>
  </si>
  <si>
    <t>REEMBOLSAVEIS - 31160 JESTORTrata-se da primeira parcela referente a diligencia junto a prefeitura de Ribeirao Preto ao caso de Cozac.RETENCAO OKTITULO REPLICADO PAGO ATRAVES DO TITULO 267707</t>
  </si>
  <si>
    <t>912.02</t>
  </si>
  <si>
    <t>PAGAMENTO REF. A REFIS IPTU - 790201_COZAC_MAT_96158 - Ribeirao Preto, SP - JESTOR 32861</t>
  </si>
  <si>
    <t>79839</t>
  </si>
  <si>
    <t>PAGAMENTO REF. A REFIS IPTU COZAC_MAT_72157 - JESTOR 32861</t>
  </si>
  <si>
    <t>202501096481</t>
  </si>
  <si>
    <t>PAGAMENTO REF. A REFIS IPTU COZAC_MAT 96159 - JESTOR 32861</t>
  </si>
  <si>
    <t>202501094952</t>
  </si>
  <si>
    <t>PAGAMENTO REF. REFIS IPTU - 818227_COZAC_MAT_36052 - Ribeirao Preto, SP - JESTOR 32861 - JESTOR 32861</t>
  </si>
  <si>
    <t>8178</t>
  </si>
  <si>
    <t>PAGAMENTO REF. A REFIS IPTU - 822567_COZAC_MAT_36053 - Ribeirao Preto, SP</t>
  </si>
  <si>
    <t>8179</t>
  </si>
  <si>
    <t>Carteira: COZAC CC: 27143 Caso: Debitos SAERP - 1046043-22.2017.8.26.0506 - M. 23299 Descricao: Carrego agua - conta relacionada a instalacao realizada Fatal: 30.10.2025 *** CARD JESTOR 32811 ***</t>
  </si>
  <si>
    <t>2353827</t>
  </si>
  <si>
    <t>HONORARIOS ADVOCATICIOS - Processo Administrativo SAERP - Pedido de migracao do debito para o antigo proprietario.Adequacao dados cadastrais SAERP - Imovel Mat. 23.299 2. CRI - outubro 2025 *** CARD JESTOR 32762 ***</t>
  </si>
  <si>
    <t>953</t>
  </si>
  <si>
    <t>ARIANE MARTINS SOCIEDADE INDIVIDUAL DE ADVOCACIA</t>
  </si>
  <si>
    <t>REEMBOLSAVEIS - 30303 JESTORTrata-se dos servicos prestados no mes de julho, como emissao de valor venal, emissao de certidao, mapeamento e escritura de venda e compra, descritos no rateio anexo. BANCO INTER - 077 ARIANE MARTINS SOCIEDADE INDIVIDUAL PIX CNPJ: 59.604.582/0001-68RETENCAO OK - TITULO REPLICADO - PAGO PELO TITULO 262725</t>
  </si>
  <si>
    <t>9.2</t>
  </si>
  <si>
    <t>REEMBOLSAVEIS - 32384 JESTORTrata-se da terceira parcela referente a diligencia junto a prefeitura de Ribeirao Preto ao caso de Cozac.RETENCAO OK - TITULO REPLICADO - PAGO PELO TITULO 277416</t>
  </si>
  <si>
    <t>947.2</t>
  </si>
  <si>
    <t>790191_COZAC_MAT_116945 - Ilha Comprida, SP</t>
  </si>
  <si>
    <t>COZAC</t>
  </si>
  <si>
    <t>REEMBOLSAVEIS - 31238 JESTORTrata-se dos custos de registro da Carta de Adjudicacao das Mats. 116945 e 116946 do CRI de Iguape/SP, referente ao caso de Cozac.TITULO REPLICADO PAGO PELO TITULO 268378</t>
  </si>
  <si>
    <t>77757.03</t>
  </si>
  <si>
    <t>818208_COZAC_MAT_48207 - Ribeirão Preto, SP</t>
  </si>
  <si>
    <t>ARISP - SPE.03</t>
  </si>
  <si>
    <t>790192_COZAC_MAT_116946 - Ilha Comprida, SP</t>
  </si>
  <si>
    <t>791307_COZAC_MAT_102754 - Ribeirão Preto, SP</t>
  </si>
  <si>
    <t>REEMBOLSAVEL- 31999 JESTOR Trata-se dos trabalhos realizados referente a diligencias no mes de agosto, casos descritos em planilha anexa.RETENCAO OK - TITULO REPLICADO - PAGO PELO TITULO 272827</t>
  </si>
  <si>
    <t>4385.3</t>
  </si>
  <si>
    <t>IPTU 2025 - 790192_COZAC_MAT_116946 - Ilha Comprida, SP</t>
  </si>
  <si>
    <t>13017348-8</t>
  </si>
  <si>
    <t>SANTANDER - ENF SPE RESIDENCIAL</t>
  </si>
  <si>
    <t>101.008.009.3_2025</t>
  </si>
  <si>
    <t>IPTU 2025 - 790191_COZAC_MAT_116945 - Ilha Comprida, SP</t>
  </si>
  <si>
    <t>101.008.008.3_2025</t>
  </si>
  <si>
    <t>HONORARIO REFERENTE 08/2025 - BASE DE CALCULO ESTOQUE 31/07/2025 - 44 UNIDADES</t>
  </si>
  <si>
    <t>10229</t>
  </si>
  <si>
    <t>11460</t>
  </si>
  <si>
    <t>HONORARIO REFERENTE 09/2025 - BASE DE CALCULO ESTOQUE 31/08/2025 - 43 UNIDADES</t>
  </si>
  <si>
    <t>10334</t>
  </si>
  <si>
    <t>HONORARIO MENSAL 09/2025.</t>
  </si>
  <si>
    <t>11529</t>
  </si>
  <si>
    <t>790217_COZAC_MAT_96156 - Ribeirão Preto, SP</t>
  </si>
  <si>
    <t>IPTU 2025 - 790217_COZAC_MAT_96156 - Ribeirao Preto, SP</t>
  </si>
  <si>
    <t>206870_2025</t>
  </si>
  <si>
    <t>818246_COZAC_MAT_78781 - Ribeirão Preto, SP</t>
  </si>
  <si>
    <t>IPTU 2025 - 818246_COZAC_MAT_78781 - Ribeirao Preto, SP</t>
  </si>
  <si>
    <t>185551_2025</t>
  </si>
  <si>
    <t>818238_COZAC_MAT_78783 - Ribeirão Preto, SP</t>
  </si>
  <si>
    <t>IPTU 2025 - 818238_COZAC_MAT_78783 - Ribeirao Preto, SP</t>
  </si>
  <si>
    <t>185553_2025</t>
  </si>
  <si>
    <t>818224_COZAC_MAT_59251 - Ribeirão Preto, SP</t>
  </si>
  <si>
    <t>IPTU 2025 - 818224_COZAC_MAT_59251 - Ribeirao Preto, SP</t>
  </si>
  <si>
    <t>176878_2025</t>
  </si>
  <si>
    <t>818243_COZAC_MAT_78787 - Ribeirão Preto, SP</t>
  </si>
  <si>
    <t>IPTU 2025 - 818243_COZAC_MAT_78787 - Ribeirao Preto, SP</t>
  </si>
  <si>
    <t>185557_2025</t>
  </si>
  <si>
    <t>818249_COZAC_MAT_53194 - Ribeirão Preto, SP</t>
  </si>
  <si>
    <t>IPTU 2025 - 818249_COZAC_MAT_53194 - Ribeirao Preto, SP</t>
  </si>
  <si>
    <t>89369_2025</t>
  </si>
  <si>
    <t>818235_COZAC_MAT_78786 - Ribeirão Preto, SP</t>
  </si>
  <si>
    <t>IPTU 2025 - 818235_COZAC_MAT_78786 - Ribeirao Preto, SP</t>
  </si>
  <si>
    <t>185556_2025</t>
  </si>
  <si>
    <t>790237_COZAC_MAT_96157 - Ribeirão Preto, SP</t>
  </si>
  <si>
    <t>IPTU 2025 - 790237_COZAC_MAT_96157 - Ribeirao Preto, SP</t>
  </si>
  <si>
    <t>206871_2025</t>
  </si>
  <si>
    <t>818241_COZAC_MAT_78785 - Ribeirão Preto, SP</t>
  </si>
  <si>
    <t>IPTU 2025 - 818241_COZAC_MAT_78785 - Ribeirao Preto, SP</t>
  </si>
  <si>
    <t>185555_2025</t>
  </si>
  <si>
    <t>818233_COZAC_MAT_78784 - Ribeirão Preto, SP</t>
  </si>
  <si>
    <t>IPTU 2025 - 818233_COZAC_MAT_78784 - Ribeirao Preto, SP</t>
  </si>
  <si>
    <t>185554_2025</t>
  </si>
  <si>
    <t>818237_COZAC_MAT_59252 - Ribeirão Preto, SP</t>
  </si>
  <si>
    <t>IPTU 2025 - 818237_COZAC_MAT_59252 - Ribeirao Preto, SP</t>
  </si>
  <si>
    <t>176881_2025</t>
  </si>
  <si>
    <t>HONORARIO REFERENTE 10/2025 - BASE DE CALCULO ESTOQUE 30/09/2025 - 43 UNIDADES.</t>
  </si>
  <si>
    <t>10583</t>
  </si>
  <si>
    <t>IPTU 2025 - 818208_COZAC_MAT_48207 - Ribeirao Preto, SP</t>
  </si>
  <si>
    <t>119265_2025</t>
  </si>
  <si>
    <t>818328_COZAC_MAT_78780 - Ribeirão Preto, SP</t>
  </si>
  <si>
    <t>IPTU 2025 - 818328_COZAC_MAT_78780 - Ribeirao Preto, SP</t>
  </si>
  <si>
    <t>96154_2025</t>
  </si>
  <si>
    <t>818253_COZAC_MAT_6529 - Ribeirão Preto, SP</t>
  </si>
  <si>
    <t>IPTU 2025 - 818253_COZAC_MAT_6529 - Ribeirao Preto, SP</t>
  </si>
  <si>
    <t>102843_2025</t>
  </si>
  <si>
    <t>790214_COZAC_MAT_96154 - Ribeirão Preto, SP</t>
  </si>
  <si>
    <t>IPTU 2025 - 790214_COZAC_MAT_96154 - Ribeirao Preto, SP</t>
  </si>
  <si>
    <t>206873_2025</t>
  </si>
  <si>
    <t>11658</t>
  </si>
  <si>
    <t>REEMBOLSAVEIS - 31996 JESTORTrata-se do reembolso das custas cartorarias e de diligencias incorridas no mes de agosto dos casos descritos na planilha anexa. - TITULO REPLICADO - PAGO PELO TITULO 273984</t>
  </si>
  <si>
    <t>191.3</t>
  </si>
  <si>
    <t>791309_COZAC_MAT_102753 - Ribeirão Preto, SP</t>
  </si>
  <si>
    <t>PAGAMENTO REF. A CUSTAS PARA REGISTRO DA CARTE DE ADJUDICACAO - 791309_COZAC_MAT_102753 - Ribeirao Preto, SP  - 791307_COZAC_MAT_102754 - Ribeirao Preto, SP - CARTEIRA COZAC - JESTOR 33174</t>
  </si>
  <si>
    <t>mats. 102753/102754</t>
  </si>
  <si>
    <t>822568_COZAC_MAT_59250 - Ribeirão Preto, SP</t>
  </si>
  <si>
    <t>PAGAMENTO REF. A CUSTAS PARA REGISTRO DA CARTE DE ADJUDICACAO - 822568_COZAC_MAT_59250 - Ribeirao Preto, SP - CARTEIRA COZAC - JESTOR 33176</t>
  </si>
  <si>
    <t>mat. 59250</t>
  </si>
  <si>
    <t>REEMBOLSAVEIS-  27956 JESTOR - APROVACAO EM ANEXOAnalises socioambientais da segunda quinzena de marco, casos descritos em planilha anexa.Total de 322 analises, anexo rateio e planilha de medicao.REF. 03/2025RETENCAO OK - TITULO REPLICADO - PAGO PELO TITULO 250628</t>
  </si>
  <si>
    <t>330.3</t>
  </si>
  <si>
    <t>39.03</t>
  </si>
  <si>
    <t>790176_COZAC_MAT_32744 - Ribeirão Preto, SP</t>
  </si>
  <si>
    <t>MUNICIPIO DE ILHA COMPRIDA</t>
  </si>
  <si>
    <t>REEMBOLSAVEIS:30571 JESTOR Trata-se da guia de ITBI da matricula 116946, referente ao casoCozac.</t>
  </si>
  <si>
    <t>44428651</t>
  </si>
  <si>
    <t>790218_COZAC_MAT_96153 - Ribeirão Preto, SP</t>
  </si>
  <si>
    <t>790210_COZAC_MAT_3417 - Ribeirão Preto, SP</t>
  </si>
  <si>
    <t>790216_COZAC_MAT_96155 - Ribeirão Preto, SP</t>
  </si>
  <si>
    <t>790240_COZAC_MAT_149 - Ribeirão Preto, SP</t>
  </si>
  <si>
    <t>790236_COZAC_MAT_6549 - Ribeirão Preto, SP</t>
  </si>
  <si>
    <t>REEMBOLSAVEIS:30570 JESTOR Trata-se da guia de ITBI da matricula 116945, referente ao casoCozac.</t>
  </si>
  <si>
    <t>44428650</t>
  </si>
  <si>
    <t>790174_COZAC_MAT_52218 - Ribeirão Preto, SP</t>
  </si>
  <si>
    <t>REEMBOLSAVEIS - 31514 JESTORTrata-se das custos de registro da Carta de Adjudicacao das Mats. 96.154, 96.155, 96.156, 96.157 do 1. RI de Ribeirao Preto/SP de cozac.TITULO REPLICADO PAGO PELO TITULO 269795</t>
  </si>
  <si>
    <t>05091.03</t>
  </si>
  <si>
    <t>REEBOLSAVEL- 31434 JESTOR Trata-se dos servicos prestados no mes de agosto, **LANCAMENTO CONFERIDO***RETENCAO OKTITULO REPLICADO PAGO PELO TITULO 269612</t>
  </si>
  <si>
    <t>11.03</t>
  </si>
  <si>
    <t>D&amp;E ENGENHARIA CONSULTIVA LTDA</t>
  </si>
  <si>
    <t>REEMBOLSAVEIS - 31384 JESTORAvaliacao remota de imoveis urbanos no periodo de 21/0672025 a 20/08/2025.E-mail com ciencia das areas solicitantes e planilha geral com resumo dos prestadores, tarefas por nivel e complexidade em anexo.RETENCAO OKTITULO REPLICADO PAGO PELO TITULO 269885</t>
  </si>
  <si>
    <t>13.03</t>
  </si>
  <si>
    <t>2.20.02.20</t>
  </si>
  <si>
    <t>REGISTROS E AVERBAÇÕES CUSTO INTERNALIZAÇÃO</t>
  </si>
  <si>
    <t>818244_COZAC_MAT_78782 - Ribeirão Preto, SP</t>
  </si>
  <si>
    <t>REEMBOLSAVEIS: 32444  JESTOR Trata-se dos custos de registro da carta de adjudicacao de Cozac na matricula 78782 do 2 CRI de Ribeirao Preto. Assim que aprovado emitimos o boleto para seguir com o pagamento. - TITULO REPLICADO - PAGO PELO TITULO 274839</t>
  </si>
  <si>
    <t>82417798.3</t>
  </si>
  <si>
    <t>REEMBOLSAVEIS - 30480 JESTORTrata-se dos valores referentes a 21 analises de debitos realizadas no mes de julho.RETENCAO OKTITULO REPLICADO PAGO ATRAVES DO TITULO 265039</t>
  </si>
  <si>
    <t>59.03</t>
  </si>
  <si>
    <t>REEMBOLSAVEIS: 31664 JESTOR Trata-se dos custos de cancelamento de R.18, 31, 34 e 36 da Matricula n. 48.207 do 2. CRI Ribeirao Preto SP, referente a Cozac.TITULO REPLICADO PAGO PELO TITULO 270286</t>
  </si>
  <si>
    <t>11091.03</t>
  </si>
  <si>
    <t>PEDRO HENRIQUE FERREIRA LIMA - MEI</t>
  </si>
  <si>
    <t>2.20.03.06</t>
  </si>
  <si>
    <t>MANUTENÇÕES, DEMOLIÇÕES E REFORMAS</t>
  </si>
  <si>
    <t>PAGAMENTO REF. A ROCADA E LIMPEZA - 818208_COZAC_MAT_48207 - Ribeirao Preto, SP - CARTEIRA COZAC</t>
  </si>
  <si>
    <t>11</t>
  </si>
  <si>
    <t>PAGAMENTO REF. A LIMPEZA DE TERRENO - 818208_COZAC_MAT_48207 - Ribeirao Preto, SP - CARTEIRA COZAC</t>
  </si>
  <si>
    <t>202500026307</t>
  </si>
  <si>
    <t>COMPANHIA PAULISTA DE FORCA E LUZ</t>
  </si>
  <si>
    <t>PAGAMENTO DE CONTA CONSUMO (ENERGIA) REF 10/2025 DOS APARTAMENTOS 11,22,32,41, E 42 - RUA MARINO PARTELINI</t>
  </si>
  <si>
    <t>NF de Energia Elétrica Eletrônica</t>
  </si>
  <si>
    <t>003695572</t>
  </si>
  <si>
    <t>PAGAMENTO DE CONTA CONSUMO (AGUA) REF 10/2025 DOS APARTAMENTOS 11,22,32,41, E 42 - RUA MARINO PARTELINI</t>
  </si>
  <si>
    <t>00032061.7_2025</t>
  </si>
  <si>
    <t>PAGAMENTO DE ITBI - 790210_COZAC_MAT_3417 - Ribeirao Preto, SP - JESTOR 33422</t>
  </si>
  <si>
    <t>22717/2025</t>
  </si>
  <si>
    <t>PAGAMENTO REF. A ITBI - 790236_COZAC_MAT_6549 - Ribeirao Preto, SP - JESTOR 33424</t>
  </si>
  <si>
    <t>22716/2025</t>
  </si>
  <si>
    <t>880712.3</t>
  </si>
  <si>
    <t>2.20.06.04</t>
  </si>
  <si>
    <t>ESTUDOS TÉCNICOS E RELATÓRIOS</t>
  </si>
  <si>
    <t>DARM REF. A DIRETRIZES DE CONSTRUCAO - CARTEIRA COZAC - 818208_COZAC_MAT_48207 - Ribeirao Preto, SP</t>
  </si>
  <si>
    <t>202509209815</t>
  </si>
  <si>
    <t>8276452.03</t>
  </si>
  <si>
    <t>867371.03</t>
  </si>
  <si>
    <t>28442810000182567.03</t>
  </si>
  <si>
    <t>ADM | REEMBOLSAVEIS - 30910 jestorGUIA DCTF - INSS | IR | CSRF FORNECEDORESREF. 07/2025TITULO REPLICADO PAGO ATRAVES DO TITULO 265957</t>
  </si>
  <si>
    <t>DCTF FORN 07.2025.03</t>
  </si>
  <si>
    <t>853779.03</t>
  </si>
  <si>
    <t>DCTF FORN 09/2025.3</t>
  </si>
  <si>
    <t>PAGAMENTO DE GUIA DE ITBI - 818224_COZAC_MAT_59251 - Ribeirao Preto, SP - JESTOR 30057</t>
  </si>
  <si>
    <t>13377</t>
  </si>
  <si>
    <t>PAGAMENTO DE GUIA DE ITBI - 818238_COZAC_MAT_78783 - Ribeirao Preto, SP - JESTOR 30067</t>
  </si>
  <si>
    <t>13351</t>
  </si>
  <si>
    <t>PAGAMENTO DE GUIA DE ITBI - 818328_COZAC_MAT_78780 - Ribeirao Preto, SP - JESTOR 30059</t>
  </si>
  <si>
    <t>13344</t>
  </si>
  <si>
    <t>PAGAMENTO DE GUIA DE ITBI - 818233_COZAC_MAT_78784 - Ribeirao Preto, SP - JESTOR 30068</t>
  </si>
  <si>
    <t>13353</t>
  </si>
  <si>
    <t>PAGAMENTO REF. A GUIA DE ITBI - 790214_COZAC_MAT_96154 - Ribeirao Preto, SP - JESTOR 30072</t>
  </si>
  <si>
    <t>13360</t>
  </si>
  <si>
    <t>PAGAMENTO DE GUIA DE ITBI - 818243_COZAC_MAT_78787 - Ribeirao Preto, SP - JESTOR 30071</t>
  </si>
  <si>
    <t>13358</t>
  </si>
  <si>
    <t>PAGAMENTO REF. A GUIA DE ITBI - 790216_COZAC_MAT_96155 - Ribeirao Preto, SP - JESTOR 30073</t>
  </si>
  <si>
    <t>13363</t>
  </si>
  <si>
    <t>PAGAMENTO REFERENTE A GUIA DE ITBI - 818241_COZAC_MAT_78785 - Ribeirao Preto, SP - JESTOR 30069</t>
  </si>
  <si>
    <t>13355</t>
  </si>
  <si>
    <t>PAGAMENTO REF. A GUIA DE ITBI - 818208_COZAC_MAT_48207 - Ribeirao Preto, SP - JESTOR 30053</t>
  </si>
  <si>
    <t>13480</t>
  </si>
  <si>
    <t>PAGAMENTO DA GUIA DE ITBI - 818249_COZAC_MAT_53194 - Ribeirao Preto, SP - JESTOR 30055</t>
  </si>
  <si>
    <t>13375</t>
  </si>
  <si>
    <t>PAGAMENTO DA GUIA DE ITBI - 790174_COZAC_MAT_52218 - Ribeirao Preto, SP - JESTOR 30054</t>
  </si>
  <si>
    <t>13481</t>
  </si>
  <si>
    <t>PAGAMENTO REF. A GUIA DE ITBI - 790237_COZAC_MAT_96157 - Ribeirao Preto, SP - JESTOR 30075</t>
  </si>
  <si>
    <t>13365</t>
  </si>
  <si>
    <t>PAGAMENTO REF. A GUIA DE ITBI - 791309_COZAC_MAT_102753 - Ribeirao Preto, SP</t>
  </si>
  <si>
    <t>13369</t>
  </si>
  <si>
    <t>PAGAMENTO REF. A GUIA DE ITBI - 791307_COZAC_MAT_102754 - Ribeirao Preto, SP - JESTOR 30078</t>
  </si>
  <si>
    <t>13374</t>
  </si>
  <si>
    <t>PAGAMENTO DA GUIA DE ITBI  - 818253_COZAC_MAT_6529 - Ribeirao Preto, SP - JESTOR 30052</t>
  </si>
  <si>
    <t>13334</t>
  </si>
  <si>
    <t>PAGAMENTO REF. A GUIA DE ITBI - 790217_COZAC_MAT_96156 - Ribeirao Preto, SP - JESTOR 30074</t>
  </si>
  <si>
    <t>13364</t>
  </si>
  <si>
    <t>PAGAMENTO DA GUIA DE ITBI - 818235_COZAC_MAT_78786 - Ribeirao Preto, SP - JESTOR 30070</t>
  </si>
  <si>
    <t>13356</t>
  </si>
  <si>
    <t>625.03</t>
  </si>
  <si>
    <t>REEMBOLSAVEL- 31749 JESTOR Trata-se das 299 analises da primeira quinzena de agostoref ao caso que esta na planilha em anexo RETENCAO OKTITULO REPLICADO PAGO PELO TITULO 271278</t>
  </si>
  <si>
    <t>350.03</t>
  </si>
  <si>
    <t>REEMBOLSAVEIS - 27750 JESTORAnalises socioambientais da primeira quinzena de marco, casos descritos em planilha anexa. Total de 270 analises, anexo rateio e planilha de medicao.REF. 03/2025RETENCAO OK - TITULO REPLICADO - PAGO PELO TITULO 249526</t>
  </si>
  <si>
    <t>329.3</t>
  </si>
  <si>
    <t>PAGAMENTO REF. A GUIA DE ITBI - 818246_COZAC_MAT_78781 - Ribeirao Preto, SP - JESTOR 30060</t>
  </si>
  <si>
    <t>13347</t>
  </si>
  <si>
    <t>PAGAMENTO REF. A GUIA DE ITBI - 818244_COZAC_MAT_78782 - Ribeirao Preto, SP - JESTOR 30061</t>
  </si>
  <si>
    <t>13348</t>
  </si>
  <si>
    <t>PAGAMENTO DE DEBITOS IPTU COZAC_ PAGINAS 1 A 4 - 790210_COZAC_MAT_3417 - Ribeirao Preto, SP - JESTOR 32676</t>
  </si>
  <si>
    <t>DEB_IPTU COZAC_3417</t>
  </si>
  <si>
    <t>PAGAMENTO DE DEBITOS IPTU COZAC_ PAGINAS 1 A 2 - MAT. 6549 E 32744 - JESTOR 32659</t>
  </si>
  <si>
    <t>DEB_COZAC 2022/2023</t>
  </si>
  <si>
    <t>DCFT COMP -08.25.3</t>
  </si>
  <si>
    <t>PAGAMENTO REF. A DEBITOS COZAC 2024 - MAT. 6549 E 32744 - JESTOR 32660</t>
  </si>
  <si>
    <t>DÉB. COZAC 2024</t>
  </si>
  <si>
    <t>PAGAMENTO DE DEBITOS IPTU COZAC_ PAGINAS 1 A 4 - 818208_COZAC_MAT_48207 - Ribeirao Preto, SP - JESTOR 32672</t>
  </si>
  <si>
    <t>DEB_IPTU COZAC_48207</t>
  </si>
  <si>
    <t>PAGAMENTO DE ITBI - 822568_COZAC_MAT_59250 - Ribeirao Preto, SP - JESTOR 30991</t>
  </si>
  <si>
    <t>15963</t>
  </si>
  <si>
    <t>PAGAMENTO DE ITBI - JESTOR 30996</t>
  </si>
  <si>
    <t>15955</t>
  </si>
  <si>
    <t>PAGAMENTO DE ITBI - 790240_COZAC_MAT_149 - Ribeirao Preto, SP - JESTOR 30995</t>
  </si>
  <si>
    <t>15954</t>
  </si>
  <si>
    <t>REEMBOLSAVEIS - 27652 JESTORReferente ao uso da plataforma Docket para analise e gestao de documento, rateio dos casos em anexo - REGULATORIOREF. 03/2025RETENCAO OK - TITULO REPLICADO - PAGO PELO TITULO 250159</t>
  </si>
  <si>
    <t>31755.3</t>
  </si>
  <si>
    <t>REEMBOLSAVEIS - 27651 JESTORLicenca da plataforma docket do mes de marco, utilizada para analise e gestao de documento, referente aos casos em anexo.REF. 03/2025RETENCAO OK - TITULO REPLICADO - PAGO PELO TITULO 250151</t>
  </si>
  <si>
    <t>31756.3</t>
  </si>
  <si>
    <t>REEMBOLSAVEIS: 31187 JESTOR  (RATEAR NA RESIDENCIAL CONFORME RATEIO EM ANEXO) Trata-se dos custos de registro da Carta de Adjudicacao das Mats. 48.207, 6.529, 53.194, 78.780, 78.781, 78.783, 78.784, 78.785, 78.786, 78.787, 59.252 e 59.251 do 2. CRI de Ribeirao Preto/SP, referente ao caso Cozac.TITULO REPLICADO PAGO ATRAVES DO TITULO 267816</t>
  </si>
  <si>
    <t>2708.03</t>
  </si>
  <si>
    <t>912.03</t>
  </si>
  <si>
    <t>PAGAMENTO REF. A REFIS IPTU COZAC_MAT_102753 - JESTOR 32861</t>
  </si>
  <si>
    <t>202501094549</t>
  </si>
  <si>
    <t>PAGAMENTO REF. A REFIS IPTU - 818244_COZAC_MAT_78782 - Ribeirao Preto, SP - JESTOR 32861</t>
  </si>
  <si>
    <t>185552</t>
  </si>
  <si>
    <t>PAGAMENTO REF. A REFIS IPTU COZAC_MAT_78784 - JESTOR 32861</t>
  </si>
  <si>
    <t>202501094537</t>
  </si>
  <si>
    <t>PAGAMENTO REF. A REFIS IPTU COZAC_MAT_52218 - JESTOR 32861</t>
  </si>
  <si>
    <t>202501094546</t>
  </si>
  <si>
    <t>PAGAMENTO REF. A REFIS IPTU COZAC_MAT_78786 - JESTOR 32861</t>
  </si>
  <si>
    <t>202501094542</t>
  </si>
  <si>
    <t>PAGAMENTO REF. A REFIS IPTU - 818246_COZAC_MAT_78781 - Ribeirao Preto, SP - JESTOR 32861</t>
  </si>
  <si>
    <t>185551</t>
  </si>
  <si>
    <t>PAGAMENTO REF. A REFIS IPTU COZAC_MAT_78785 - JESTOR 32861</t>
  </si>
  <si>
    <t>202501094539</t>
  </si>
  <si>
    <t>PAGAMENTO REF. A REFIS IPTU COZAC_MAT_96154 - JESTOR 32861</t>
  </si>
  <si>
    <t>202501094885</t>
  </si>
  <si>
    <t>PAGAMENTO REF. A REFIS IPTU COZAC_MAT_59251 - JESTOR 32861</t>
  </si>
  <si>
    <t>202501094517</t>
  </si>
  <si>
    <t>PAGAMENTO REF. A REFIS IPTU COZAC_MAT_78787 - JESTOR 32861</t>
  </si>
  <si>
    <t>202501094544</t>
  </si>
  <si>
    <t>PAGAMENTO REF. A REFIS IPTU - 790237_COZAC_MAT_96157 - Ribeirao Preto, SP - JESTOR 32861</t>
  </si>
  <si>
    <t>206871</t>
  </si>
  <si>
    <t>PAGAMENTO REF. A REFIS IPTU COZAC - JESTOR 32861</t>
  </si>
  <si>
    <t>202501094533</t>
  </si>
  <si>
    <t>PAGAMENTO REF. A REFIS IPTU COZAC_MAT_102754 - JESTOR 32861</t>
  </si>
  <si>
    <t>202501094550</t>
  </si>
  <si>
    <t>PAGAMENTO REF. A REFIS IPTU COZAC_MAT_53194 - JESTOR 32861</t>
  </si>
  <si>
    <t>202501094516</t>
  </si>
  <si>
    <t>PAGAMENTO REF. A REFIS IPTU COZAC_MAT_96156 - JESTOR 32861</t>
  </si>
  <si>
    <t>202501094945</t>
  </si>
  <si>
    <t>PAGAMENTO REF. A REFIS IPTU COZAC_MAT_59252 - JESTOR 32861</t>
  </si>
  <si>
    <t>202501094521</t>
  </si>
  <si>
    <t>PAGAMENTO REF. A REFIS IPTU COZAC_MAT_96153 - JESTOR 32861</t>
  </si>
  <si>
    <t>202501094883</t>
  </si>
  <si>
    <t>PAGAMENTO REF. A REFIS IPTU COZAC_MAT_78780 - JESTOR 32861</t>
  </si>
  <si>
    <t>202501094524</t>
  </si>
  <si>
    <t>PAGAMENTO REF. A REFIS IPTU COZAC_MAT_6529 - JESTOR 32861</t>
  </si>
  <si>
    <t>202501094507</t>
  </si>
  <si>
    <t>IPTU 2025 - 790216_COZAC_MAT_96155 - Ribeirao Preto, SP</t>
  </si>
  <si>
    <t>206878_2025</t>
  </si>
  <si>
    <t>9.3</t>
  </si>
  <si>
    <t>PAGAMENTO REF. A GUIA DE ITBI COZAC - JESTOR 30058 - 818237_COZAC_MAT_59252 - Ribeirao Preto, SP</t>
  </si>
  <si>
    <t>13378</t>
  </si>
  <si>
    <t>947.3</t>
  </si>
  <si>
    <t>PAGAMENTO REF. A REFIS IPTU - 822568_COZAC_MAT_59250 - Ribeirao Preto, SP - JESTOR 32990</t>
  </si>
  <si>
    <t>176875</t>
  </si>
  <si>
    <t>CodigoDaEmpresa</t>
  </si>
  <si>
    <t>NomeDaEmpresa</t>
  </si>
  <si>
    <t>CodigoDoCentroDeCusto</t>
  </si>
  <si>
    <t>NomeDoCentroDeCusto</t>
  </si>
  <si>
    <t>CodigoDoCliente</t>
  </si>
  <si>
    <t>NomeDoCliente</t>
  </si>
  <si>
    <t>CodigoDoDocumento</t>
  </si>
  <si>
    <t>NumeroDoDocumento</t>
  </si>
  <si>
    <t>NomeDoDocumento</t>
  </si>
  <si>
    <t>NumeroDoTitulo</t>
  </si>
  <si>
    <t>NumeroDaParcela</t>
  </si>
  <si>
    <t>CodigoDoTipoDeCondicao</t>
  </si>
  <si>
    <t>NomeDoTipoDeCondicao</t>
  </si>
  <si>
    <t>NumeroDaUnidade</t>
  </si>
  <si>
    <t>CodigoDoPortador</t>
  </si>
  <si>
    <t>NomeDoPortador</t>
  </si>
  <si>
    <t>CodigoDaOperacaoDeCobranca</t>
  </si>
  <si>
    <t>CodigoDoPlanoFinanceiroComMascara</t>
  </si>
  <si>
    <t>CodigoDoPlanoFinanceiro</t>
  </si>
  <si>
    <t>NomeDoPlanoFinanceiro</t>
  </si>
  <si>
    <t>NumeroDaContaCorrente</t>
  </si>
  <si>
    <t>NomeDaContaCorrente</t>
  </si>
  <si>
    <t>CodigoDaAreaDeNegocio</t>
  </si>
  <si>
    <t>NomeDaAreaDeNegocio</t>
  </si>
  <si>
    <t>CodigoDaObra</t>
  </si>
  <si>
    <t>NomeDaObra</t>
  </si>
  <si>
    <t>CodigoDoProjeto</t>
  </si>
  <si>
    <t>NomeDoProjeto</t>
  </si>
  <si>
    <t>CodigoDoTipoDeNegocio</t>
  </si>
  <si>
    <t>NomeDoTipoDeNegocio</t>
  </si>
  <si>
    <t>CodigoDoMunicipio</t>
  </si>
  <si>
    <t>NomeDoMunicipio</t>
  </si>
  <si>
    <t>CodigoDoIndexador</t>
  </si>
  <si>
    <t>NomeDoIndexador</t>
  </si>
  <si>
    <t>DataDaBaixa</t>
  </si>
  <si>
    <t>DataDeVencimento</t>
  </si>
  <si>
    <t>DataDeEmissao</t>
  </si>
  <si>
    <t>BaixaTotalOuParcial</t>
  </si>
  <si>
    <t>BaixaOuMovimentacao</t>
  </si>
  <si>
    <t>CodigoDoTipoDeBaixa</t>
  </si>
  <si>
    <t>NomeDoTipoDeBaixa</t>
  </si>
  <si>
    <t>ObservacaoDoTitulo</t>
  </si>
  <si>
    <t>ObservacaoDaBaixa</t>
  </si>
  <si>
    <t>ValorDaBaixa</t>
  </si>
  <si>
    <t>ALFREDO PINTO DE LIMA ME (8137)</t>
  </si>
  <si>
    <t>CT</t>
  </si>
  <si>
    <t>JNX_22341</t>
  </si>
  <si>
    <t>CONTRATO</t>
  </si>
  <si>
    <t>AT</t>
  </si>
  <si>
    <t>Ato</t>
  </si>
  <si>
    <t>COZAC MAT 72157 Ribeirao Preto SP</t>
  </si>
  <si>
    <t>CARTEIRA A</t>
  </si>
  <si>
    <t>RECEITA BRUTA - BNDU</t>
  </si>
  <si>
    <t>291607-5</t>
  </si>
  <si>
    <t>BTG 0030 BAAS - SPE COMERCIAL</t>
  </si>
  <si>
    <t xml:space="preserve">RIBEIRÃO PRETO </t>
  </si>
  <si>
    <t>REAL</t>
  </si>
  <si>
    <t>T</t>
  </si>
  <si>
    <t>B</t>
  </si>
  <si>
    <t>Recebimento</t>
  </si>
  <si>
    <t>JNX_22340</t>
  </si>
  <si>
    <t>COZAC MAT62872 Ribeirao Preto SP</t>
  </si>
  <si>
    <t>Data atual</t>
  </si>
  <si>
    <t>Vl At. INPC</t>
  </si>
  <si>
    <t>Vl At. 30%</t>
  </si>
  <si>
    <t>Despesas NPL</t>
  </si>
  <si>
    <t>Despesas SPE</t>
  </si>
  <si>
    <t>V. Forçada</t>
  </si>
  <si>
    <t>V. Mercado</t>
  </si>
  <si>
    <t>Saldo Atualiz.</t>
  </si>
  <si>
    <t>Investidor</t>
  </si>
  <si>
    <t>Controlador</t>
  </si>
  <si>
    <t>2x V. Forçada</t>
  </si>
  <si>
    <t>Sobejo - B</t>
  </si>
  <si>
    <t>Sobejo - A</t>
  </si>
  <si>
    <t>Cenário - A</t>
  </si>
  <si>
    <t>Cenário - B</t>
  </si>
  <si>
    <t>Cenário - C</t>
  </si>
  <si>
    <t>Sobejo - C</t>
  </si>
  <si>
    <t>Cobrar</t>
  </si>
  <si>
    <t>Atualização</t>
  </si>
  <si>
    <t>30%a.a.</t>
  </si>
  <si>
    <t>INPC</t>
  </si>
  <si>
    <t>Saldo para Repagamento</t>
  </si>
  <si>
    <t>Cenário A</t>
  </si>
  <si>
    <t>Cenário B</t>
  </si>
  <si>
    <t>R$MM</t>
  </si>
  <si>
    <t>Soma de Líquido</t>
  </si>
  <si>
    <t>Rótulos de Linha</t>
  </si>
  <si>
    <t>Total Geral</t>
  </si>
  <si>
    <t>NPL</t>
  </si>
  <si>
    <t>SPE</t>
  </si>
  <si>
    <t>Despesa</t>
  </si>
  <si>
    <t>Investimento</t>
  </si>
  <si>
    <t>Rótulos de Coluna</t>
  </si>
  <si>
    <t>Vl At. CDI%</t>
  </si>
  <si>
    <t>Compras de Crédito (Tribut.)</t>
  </si>
  <si>
    <t>CDI</t>
  </si>
  <si>
    <t>Vl At. CDI</t>
  </si>
  <si>
    <t>Mensagens</t>
  </si>
  <si>
    <t>ID Caso</t>
  </si>
  <si>
    <t>Nome do Caso</t>
  </si>
  <si>
    <t>Matrícula(s)</t>
  </si>
  <si>
    <t>Tipo do Imóvel</t>
  </si>
  <si>
    <t>UF</t>
  </si>
  <si>
    <t>Resultado de localização</t>
  </si>
  <si>
    <t>Tarefa Atual</t>
  </si>
  <si>
    <t>Solicitante</t>
  </si>
  <si>
    <t>Área Demandante</t>
  </si>
  <si>
    <t>Responsável (Tarefa Atual)</t>
  </si>
  <si>
    <t>Status (Tarefa Atual)</t>
  </si>
  <si>
    <t>Prazo - Tarefa atual</t>
  </si>
  <si>
    <t>Data/Hora de Criação (Solicitação)</t>
  </si>
  <si>
    <t>Data/Hora de Criação (Tarefa atual)</t>
  </si>
  <si>
    <t>Data/Hora de Atribuição (Tarefa atual)</t>
  </si>
  <si>
    <t>Data/Hora de Conclusão (Tarefa atual)</t>
  </si>
  <si>
    <t>Tags</t>
  </si>
  <si>
    <t>Finalidade da tarefa</t>
  </si>
  <si>
    <t>Nome da Carteira</t>
  </si>
  <si>
    <t>Logradouro</t>
  </si>
  <si>
    <t>Bairro</t>
  </si>
  <si>
    <t>Área Construída (m²)</t>
  </si>
  <si>
    <t>Área Privativa (m²)</t>
  </si>
  <si>
    <t>Unid. Área Terreno</t>
  </si>
  <si>
    <t>Tentativa de localização</t>
  </si>
  <si>
    <t>Tipo de localização</t>
  </si>
  <si>
    <t>Resultado da Tarefa de localização</t>
  </si>
  <si>
    <t>Complexidade da localização</t>
  </si>
  <si>
    <t>Prazo entrega - Localização</t>
  </si>
  <si>
    <t>Data/Hora de Criação de localização</t>
  </si>
  <si>
    <t>Data/Hora de atribuição - Localização</t>
  </si>
  <si>
    <t>Data/Hora de conclusão - Localização</t>
  </si>
  <si>
    <t>Responsável localização</t>
  </si>
  <si>
    <t>Resultado da avaliação</t>
  </si>
  <si>
    <t>Resultado da Tarefa de avaliação</t>
  </si>
  <si>
    <t>Complexidade da avaliação</t>
  </si>
  <si>
    <t>Prazo entrega - Avaliação</t>
  </si>
  <si>
    <t>Data/Hora de Criação de avaliação</t>
  </si>
  <si>
    <t>Data/Hora de atribuição - Avaliação</t>
  </si>
  <si>
    <t>Data/Hora de conclusão - Avaliação</t>
  </si>
  <si>
    <t>Responsável avaliação</t>
  </si>
  <si>
    <t>Resultado da validação</t>
  </si>
  <si>
    <t>Resultado da Tarefa de validação</t>
  </si>
  <si>
    <t>Complexidade da validação</t>
  </si>
  <si>
    <t>Prazo entrega - Validação</t>
  </si>
  <si>
    <t>Data/Hora de Criação de validação</t>
  </si>
  <si>
    <t>Data/Hora de atribuição - Validação</t>
  </si>
  <si>
    <t>Data/Hora de conclusão - Validação</t>
  </si>
  <si>
    <t>Responsável validação</t>
  </si>
  <si>
    <t>Correção diligente?</t>
  </si>
  <si>
    <t>Revalidação?</t>
  </si>
  <si>
    <t>Cancelado por:</t>
  </si>
  <si>
    <t>Justificativa do cancelamento:</t>
  </si>
  <si>
    <t>Somente localização?</t>
  </si>
  <si>
    <t>Comentário:</t>
  </si>
  <si>
    <t>Valor Avaliação</t>
  </si>
  <si>
    <t>Valor Venda Forçada</t>
  </si>
  <si>
    <t>Valor Venda Forçada VP</t>
  </si>
  <si>
    <t>Apartamento Padrão</t>
  </si>
  <si>
    <t>Ribeirão Preto</t>
  </si>
  <si>
    <t>SP</t>
  </si>
  <si>
    <t>Localizado</t>
  </si>
  <si>
    <t>Validação Avaliação Urbano</t>
  </si>
  <si>
    <t>FERNANDA GOMES</t>
  </si>
  <si>
    <t>Gestão BNDU</t>
  </si>
  <si>
    <t>ANDERSON SCARPINO</t>
  </si>
  <si>
    <t>Concluída</t>
  </si>
  <si>
    <t>13/01/2026</t>
  </si>
  <si>
    <t>19/12/2025 16:57</t>
  </si>
  <si>
    <t>11/01/2026 20:14</t>
  </si>
  <si>
    <t>13/01/2026 11:03</t>
  </si>
  <si>
    <t>13/01/2026 12:49</t>
  </si>
  <si>
    <t/>
  </si>
  <si>
    <t>Pesquisa de Bens</t>
  </si>
  <si>
    <t>BANCO DO BRASIL (SGL_NAME)</t>
  </si>
  <si>
    <t>Rua Visconde De Inhaúma</t>
  </si>
  <si>
    <t>Centro</t>
  </si>
  <si>
    <t>m2</t>
  </si>
  <si>
    <t>T1</t>
  </si>
  <si>
    <t>Remota</t>
  </si>
  <si>
    <t>Concluido</t>
  </si>
  <si>
    <t>05/04/2023</t>
  </si>
  <si>
    <t>28/03/2023 17:43</t>
  </si>
  <si>
    <t>29/03/2023 09:03</t>
  </si>
  <si>
    <t>30/03/2023 17:13</t>
  </si>
  <si>
    <t>AGROFFICIO ATENDIMENTO</t>
  </si>
  <si>
    <t>16/01/2026</t>
  </si>
  <si>
    <t>19/12/2025 17:33</t>
  </si>
  <si>
    <t>Victor Libarino - Financeiro (N2/N3)</t>
  </si>
  <si>
    <t>19/12/2025 16:55</t>
  </si>
  <si>
    <t>16/01/2026 18:11</t>
  </si>
  <si>
    <t>16/01/2026 18:13</t>
  </si>
  <si>
    <t>16/01/2026 18:15</t>
  </si>
  <si>
    <t>Rua Visconde de Inhaúma</t>
  </si>
  <si>
    <t>28/03/2023 17:44</t>
  </si>
  <si>
    <t>Casa Residencial</t>
  </si>
  <si>
    <t>19/12/2025 16:50</t>
  </si>
  <si>
    <t>11/01/2026 15:36</t>
  </si>
  <si>
    <t>13/01/2026 12:45</t>
  </si>
  <si>
    <t>Rua João Penteado</t>
  </si>
  <si>
    <t>Jardim Sumaré</t>
  </si>
  <si>
    <t>28/03/2023 17:56</t>
  </si>
  <si>
    <t>29/03/2023 09:02</t>
  </si>
  <si>
    <t>31/03/2023 10:48</t>
  </si>
  <si>
    <t>19/12/2025 16:47</t>
  </si>
  <si>
    <t>12/01/2026 10:45</t>
  </si>
  <si>
    <t>13/01/2026 12:47</t>
  </si>
  <si>
    <t>Rua Barão do Amazonas, 1167</t>
  </si>
  <si>
    <t>02/06/2022</t>
  </si>
  <si>
    <t>23/10/2022 12:34</t>
  </si>
  <si>
    <t>26/05/2022 21:00</t>
  </si>
  <si>
    <t>28/05/2022 21:00</t>
  </si>
  <si>
    <t>HERGOM</t>
  </si>
  <si>
    <t>Sala comercial</t>
  </si>
  <si>
    <t>MATHEUS TORRES</t>
  </si>
  <si>
    <t>Acordo</t>
  </si>
  <si>
    <t>Rua Cajurú</t>
  </si>
  <si>
    <t>Vila Brasil</t>
  </si>
  <si>
    <t>28/03/2023 18:14</t>
  </si>
  <si>
    <t>31/03/2023 15:20</t>
  </si>
  <si>
    <t>Prédio residencial</t>
  </si>
  <si>
    <t>19/12/2025</t>
  </si>
  <si>
    <t>25/11/2025 16:09</t>
  </si>
  <si>
    <t>15/12/2025 11:07</t>
  </si>
  <si>
    <t>19/12/2025 08:49</t>
  </si>
  <si>
    <t>19/12/2025 09:30</t>
  </si>
  <si>
    <t>Avenida Santa Luzia</t>
  </si>
  <si>
    <t>29/03/2023 17:31</t>
  </si>
  <si>
    <t>29/03/2023 17:36</t>
  </si>
  <si>
    <t>05/04/2023 15:17</t>
  </si>
  <si>
    <t>22/12/2025</t>
  </si>
  <si>
    <t>01/12/2025 14:30</t>
  </si>
  <si>
    <t>Victor Libarino (N2/N3)</t>
  </si>
  <si>
    <t>Rua Sacadura Cabral</t>
  </si>
  <si>
    <t>Campos Eliseos</t>
  </si>
  <si>
    <t>29/03/2023 11:01</t>
  </si>
  <si>
    <t>29/03/2023 11:22</t>
  </si>
  <si>
    <t>05/04/2023 14:39</t>
  </si>
  <si>
    <t>ANA CLARA</t>
  </si>
  <si>
    <t>19/11/2025</t>
  </si>
  <si>
    <t>12/11/2025 11:33</t>
  </si>
  <si>
    <t>19/11/2025 10:03</t>
  </si>
  <si>
    <t>19/11/2025 10:07</t>
  </si>
  <si>
    <t>19/11/2025 10:09</t>
  </si>
  <si>
    <t>21/11/2025</t>
  </si>
  <si>
    <t>12/11/2025 15:21</t>
  </si>
  <si>
    <t>Terreno urbano</t>
  </si>
  <si>
    <t>Ilha Comprida</t>
  </si>
  <si>
    <t>21/10/2025</t>
  </si>
  <si>
    <t>26/09/2025 11:27</t>
  </si>
  <si>
    <t>21/10/2025 09:17</t>
  </si>
  <si>
    <t>21/10/2025 09:48</t>
  </si>
  <si>
    <t>21/10/2025 09:54</t>
  </si>
  <si>
    <t>Rua A</t>
  </si>
  <si>
    <t>Balneário Guarapuava</t>
  </si>
  <si>
    <t>Normal</t>
  </si>
  <si>
    <t>31/07/2025</t>
  </si>
  <si>
    <t>23/07/2025 18:39</t>
  </si>
  <si>
    <t>31/07/2025 11:57</t>
  </si>
  <si>
    <t>31/07/2025 13:11</t>
  </si>
  <si>
    <t>RAMON GOMES</t>
  </si>
  <si>
    <t>17/10/2025</t>
  </si>
  <si>
    <t>29/09/2025 14:53</t>
  </si>
  <si>
    <t>Victor Libarino</t>
  </si>
  <si>
    <t>26/09/2025 11:26</t>
  </si>
  <si>
    <t>21/10/2025 09:15</t>
  </si>
  <si>
    <t>21/10/2025 09:53</t>
  </si>
  <si>
    <t>31/07/2025 13:09</t>
  </si>
  <si>
    <t>21/10/2025 09:14</t>
  </si>
  <si>
    <t>08/10/2025</t>
  </si>
  <si>
    <t>19/09/2025 10:52</t>
  </si>
  <si>
    <t>08/10/2025 09:58</t>
  </si>
  <si>
    <t>08/10/2025 10:14</t>
  </si>
  <si>
    <t>08/10/2025 10:16</t>
  </si>
  <si>
    <t>Rua Barão de Mauá</t>
  </si>
  <si>
    <t>Jardim Piratininga</t>
  </si>
  <si>
    <t>04/04/2023</t>
  </si>
  <si>
    <t>28/03/2023 17:51</t>
  </si>
  <si>
    <t>29/03/2023 09:08</t>
  </si>
  <si>
    <t>04/04/2023 11:24</t>
  </si>
  <si>
    <t>SIGLOCAL ACESSO</t>
  </si>
  <si>
    <t>07/10/2025</t>
  </si>
  <si>
    <t>07/10/2025 09:12</t>
  </si>
  <si>
    <t>19/09/2025 10:45</t>
  </si>
  <si>
    <t>08/10/2025 10:02</t>
  </si>
  <si>
    <t>08/10/2025 10:17</t>
  </si>
  <si>
    <t>28/03/2023 17:54</t>
  </si>
  <si>
    <t>04/04/2023 11:21</t>
  </si>
  <si>
    <t>19/09/2025 10:30</t>
  </si>
  <si>
    <t>06/10/2025 17:48</t>
  </si>
  <si>
    <t>07/10/2025 10:18</t>
  </si>
  <si>
    <t>Rua Marino Paterlini</t>
  </si>
  <si>
    <t>Presidente Médici</t>
  </si>
  <si>
    <t>28/03/2023 17:10</t>
  </si>
  <si>
    <t>29/03/2023 09:29</t>
  </si>
  <si>
    <t>04/04/2023 11:29</t>
  </si>
  <si>
    <t>24/09/2025 11:30</t>
  </si>
  <si>
    <t>19/09/2025 10:11</t>
  </si>
  <si>
    <t>06/10/2025 17:49</t>
  </si>
  <si>
    <t>07/10/2025 10:19</t>
  </si>
  <si>
    <t>04/04/2023 11:27</t>
  </si>
  <si>
    <t>Galpão em zona urbana</t>
  </si>
  <si>
    <t>19/08/2025</t>
  </si>
  <si>
    <t>12/08/2025 18:57</t>
  </si>
  <si>
    <t>19/08/2025 14:13</t>
  </si>
  <si>
    <t>19/08/2025 15:25</t>
  </si>
  <si>
    <t>Adjudicação</t>
  </si>
  <si>
    <t>Rua Américo Brasiliense</t>
  </si>
  <si>
    <t>28/03/2023 16:11</t>
  </si>
  <si>
    <t>31/03/2023 14:30</t>
  </si>
  <si>
    <t>25/08/2025</t>
  </si>
  <si>
    <t>14/08/2025 11:14</t>
  </si>
  <si>
    <t>Rua General Câmara</t>
  </si>
  <si>
    <t>Ipiranga</t>
  </si>
  <si>
    <t>16/10/2022 09:39</t>
  </si>
  <si>
    <t>01/06/2022 21:00</t>
  </si>
  <si>
    <t>IVO LAMAS</t>
  </si>
  <si>
    <t>GESTÃO PORTFÓLIO</t>
  </si>
  <si>
    <t>14/08/2025</t>
  </si>
  <si>
    <t>30/07/2025 12:13</t>
  </si>
  <si>
    <t>13/08/2025 20:31</t>
  </si>
  <si>
    <t>14/08/2025 09:20</t>
  </si>
  <si>
    <t>14/08/2025 10:07</t>
  </si>
  <si>
    <t>Análise de Processo</t>
  </si>
  <si>
    <t>Rua Abrahão Issa Halach, 1030</t>
  </si>
  <si>
    <t>Ribeirânia</t>
  </si>
  <si>
    <t>28/07/2022</t>
  </si>
  <si>
    <t>13/10/2022 20:50</t>
  </si>
  <si>
    <t>27/07/2022 21:00</t>
  </si>
  <si>
    <t>SIGLOCAL</t>
  </si>
  <si>
    <t>13/08/2025 09:39</t>
  </si>
  <si>
    <t>29/07/2025 11:49</t>
  </si>
  <si>
    <t>13/08/2025 20:20</t>
  </si>
  <si>
    <t>14/08/2025 10:11</t>
  </si>
  <si>
    <t>Rua Américo Sampaio</t>
  </si>
  <si>
    <t>Independência</t>
  </si>
  <si>
    <t>28/03/2023 17:05</t>
  </si>
  <si>
    <t>30/03/2023 19:44</t>
  </si>
  <si>
    <t>29/07/2025 11:47</t>
  </si>
  <si>
    <t>13/08/2025 20:22</t>
  </si>
  <si>
    <t>14/08/2025 10:16</t>
  </si>
  <si>
    <t>Avenida Cavalheiro Paschoal Innecchi</t>
  </si>
  <si>
    <t>28/03/2023 17:03</t>
  </si>
  <si>
    <t>29/03/2023 09:04</t>
  </si>
  <si>
    <t>04/04/2023 11:39</t>
  </si>
  <si>
    <t>Gleba urbana</t>
  </si>
  <si>
    <t>Rua Carlos Augusto Brasão</t>
  </si>
  <si>
    <t>Loteamento Santa Terezinha</t>
  </si>
  <si>
    <t>Complexa</t>
  </si>
  <si>
    <t>02/08/2023</t>
  </si>
  <si>
    <t>01/08/2023 12:14</t>
  </si>
  <si>
    <t>01/08/2023 12:18</t>
  </si>
  <si>
    <t>01/08/2023 18:21</t>
  </si>
  <si>
    <t>01/08/2023 12:17</t>
  </si>
  <si>
    <t>01/08/2023 18:26</t>
  </si>
  <si>
    <t>N/A</t>
  </si>
  <si>
    <t>Chácara Santa Terezinha</t>
  </si>
  <si>
    <t>01/08/2023 12:13</t>
  </si>
  <si>
    <t>01/08/2023 18:29</t>
  </si>
  <si>
    <t>Nível 1</t>
  </si>
  <si>
    <t>Impossível Avaliar</t>
  </si>
  <si>
    <t>10/07/2025</t>
  </si>
  <si>
    <t>08/07/2025 15:44</t>
  </si>
  <si>
    <t>10/07/2025 01:05</t>
  </si>
  <si>
    <t>10/07/2025 09:33</t>
  </si>
  <si>
    <t>10/07/2025 10:57</t>
  </si>
  <si>
    <t>28/03/2023 17:02</t>
  </si>
  <si>
    <t>05/04/2023 14:40</t>
  </si>
  <si>
    <t>09/07/2025</t>
  </si>
  <si>
    <t>08/07/2025 15:51</t>
  </si>
  <si>
    <t>08/07/2025 15:38</t>
  </si>
  <si>
    <t>10/07/2025 01:10</t>
  </si>
  <si>
    <t>10/07/2025 10:59</t>
  </si>
  <si>
    <t>Vila Santana</t>
  </si>
  <si>
    <t>28/03/2023 16:30</t>
  </si>
  <si>
    <t>05/04/2023 14:48</t>
  </si>
  <si>
    <t>Parcialmente Localizado</t>
  </si>
  <si>
    <t>Localizar Imóvel</t>
  </si>
  <si>
    <t>18/06/2025</t>
  </si>
  <si>
    <t>05/06/2025 18:02</t>
  </si>
  <si>
    <t>08/06/2025 20:11</t>
  </si>
  <si>
    <t>18/06/2025 07:24</t>
  </si>
  <si>
    <t>Rua “A”</t>
  </si>
  <si>
    <t>18/06/2025 07:26</t>
  </si>
  <si>
    <t>14/07/2025</t>
  </si>
  <si>
    <t>05/06/2025 17:58</t>
  </si>
  <si>
    <t>14/07/2025 17:49</t>
  </si>
  <si>
    <t>14/07/2025 22:03</t>
  </si>
  <si>
    <t>14/07/2025 22:16</t>
  </si>
  <si>
    <t>Santos</t>
  </si>
  <si>
    <t>28/03/2023 18:02</t>
  </si>
  <si>
    <t>10/04/2023 15:32</t>
  </si>
  <si>
    <t>10/07/2025 17:42</t>
  </si>
  <si>
    <t>05/06/2025 17:57</t>
  </si>
  <si>
    <t>10/07/2025 12:28</t>
  </si>
  <si>
    <t>10/07/2025 17:48</t>
  </si>
  <si>
    <t>Rua Itanhaém</t>
  </si>
  <si>
    <t>28/03/2023 17:48</t>
  </si>
  <si>
    <t>31/03/2023 15:07</t>
  </si>
  <si>
    <t>Casa Geminada</t>
  </si>
  <si>
    <t>05/06/2025 17:56</t>
  </si>
  <si>
    <t>09/07/2025 11:42</t>
  </si>
  <si>
    <t>10/07/2025 10:46</t>
  </si>
  <si>
    <t>28/03/2023 18:03</t>
  </si>
  <si>
    <t>31/03/2023 14:54</t>
  </si>
  <si>
    <t>01/07/2025 11:55</t>
  </si>
  <si>
    <t>05/06/2025 17:55</t>
  </si>
  <si>
    <t>09/07/2025 14:19</t>
  </si>
  <si>
    <t>10/07/2025 10:48</t>
  </si>
  <si>
    <t>28/03/2023 18:11</t>
  </si>
  <si>
    <t>31/03/2023 14:51</t>
  </si>
  <si>
    <t>05/06/2025 17:54</t>
  </si>
  <si>
    <t>09/07/2025 11:59</t>
  </si>
  <si>
    <t>10/07/2025 10:44</t>
  </si>
  <si>
    <t>28/03/2023 18:16</t>
  </si>
  <si>
    <t>31/03/2023 14:44</t>
  </si>
  <si>
    <t>05/06/2025 17:51</t>
  </si>
  <si>
    <t>10/07/2025 00:30</t>
  </si>
  <si>
    <t>10/07/2025 11:16</t>
  </si>
  <si>
    <t>01/07/2025 11:46</t>
  </si>
  <si>
    <t>08/07/2025</t>
  </si>
  <si>
    <t>05/06/2025 17:47</t>
  </si>
  <si>
    <t>08/07/2025 10:07</t>
  </si>
  <si>
    <t>08/07/2025 14:38</t>
  </si>
  <si>
    <t>08/07/2025 15:15</t>
  </si>
  <si>
    <t>Rua Piauí, 744</t>
  </si>
  <si>
    <t>25/10/2022 11:57</t>
  </si>
  <si>
    <t>07/07/2025</t>
  </si>
  <si>
    <t>05/06/2025 17:46</t>
  </si>
  <si>
    <t>07/07/2025 15:49</t>
  </si>
  <si>
    <t>07/07/2025 16:18</t>
  </si>
  <si>
    <t>08/07/2025 14:36</t>
  </si>
  <si>
    <t>28/03/2023 17:00</t>
  </si>
  <si>
    <t>05/04/2023 14:43</t>
  </si>
  <si>
    <t>01/07/2025 11:54</t>
  </si>
  <si>
    <t>05/06/2025 17:45</t>
  </si>
  <si>
    <t>07/07/2025 14:35</t>
  </si>
  <si>
    <t>08/07/2025 14:18</t>
  </si>
  <si>
    <t>Marino Paterlini</t>
  </si>
  <si>
    <t>Pres. Medici</t>
  </si>
  <si>
    <t>28/03/2023 16:20</t>
  </si>
  <si>
    <t>04/04/2023 23:32</t>
  </si>
  <si>
    <t>05/06/2025 17:44</t>
  </si>
  <si>
    <t>07/07/2025 14:31</t>
  </si>
  <si>
    <t>08/07/2025 13:51</t>
  </si>
  <si>
    <t>28/03/2023 16:23</t>
  </si>
  <si>
    <t>04/04/2023 23:36</t>
  </si>
  <si>
    <t>05/06/2025 17:43</t>
  </si>
  <si>
    <t>07/07/2025 14:33</t>
  </si>
  <si>
    <t>08/07/2025 14:26</t>
  </si>
  <si>
    <t>28/03/2023 16:33</t>
  </si>
  <si>
    <t>04/04/2023 23:40</t>
  </si>
  <si>
    <t>05/06/2025 17:42</t>
  </si>
  <si>
    <t>07/07/2025 14:21</t>
  </si>
  <si>
    <t>08/07/2025 14:24</t>
  </si>
  <si>
    <t>28/03/2023 16:29</t>
  </si>
  <si>
    <t>04/04/2023 23:46</t>
  </si>
  <si>
    <t>05/06/2025 17:40</t>
  </si>
  <si>
    <t>07/07/2025 14:25</t>
  </si>
  <si>
    <t>08/07/2025 14:21</t>
  </si>
  <si>
    <t>28/03/2023 16:22</t>
  </si>
  <si>
    <t>05/04/2023 14:51</t>
  </si>
  <si>
    <t>05/06/2025 17:39</t>
  </si>
  <si>
    <t>08/07/2025 12:39</t>
  </si>
  <si>
    <t>08/07/2025 14:50</t>
  </si>
  <si>
    <t>Rua Luiz Antônio de Oliveira, 376</t>
  </si>
  <si>
    <t>Parque Ribeirão Preto</t>
  </si>
  <si>
    <t>15/10/2022 10:52</t>
  </si>
  <si>
    <t>Marília</t>
  </si>
  <si>
    <t>05/06/2025 17:36</t>
  </si>
  <si>
    <t>08/07/2025 13:58</t>
  </si>
  <si>
    <t>08/07/2025 14:00</t>
  </si>
  <si>
    <t>29/03/2023 10:59</t>
  </si>
  <si>
    <t>30/03/2023 18:56</t>
  </si>
  <si>
    <t>07/07/2025 14:17</t>
  </si>
  <si>
    <t>Loja de rua</t>
  </si>
  <si>
    <t>18/07/2025</t>
  </si>
  <si>
    <t>05/06/2025 17:20</t>
  </si>
  <si>
    <t>18/07/2025 09:16</t>
  </si>
  <si>
    <t>18/07/2025 09:25</t>
  </si>
  <si>
    <t>18/07/2025 09:51</t>
  </si>
  <si>
    <t>Rua Comandante Marcondes Salgado</t>
  </si>
  <si>
    <t>04/04/2025</t>
  </si>
  <si>
    <t>02/04/2025 16:10</t>
  </si>
  <si>
    <t>02/04/2025 16:11</t>
  </si>
  <si>
    <t>02/04/2025 19:11</t>
  </si>
  <si>
    <t>Casa Comercial</t>
  </si>
  <si>
    <t>17/07/2025</t>
  </si>
  <si>
    <t>05/06/2025 17:18</t>
  </si>
  <si>
    <t>17/07/2025 16:46</t>
  </si>
  <si>
    <t>17/07/2025 17:04</t>
  </si>
  <si>
    <t>17/07/2025 17:27</t>
  </si>
  <si>
    <t>Rua Altino Arantes</t>
  </si>
  <si>
    <t>28/03/2023 18:13</t>
  </si>
  <si>
    <t>31/03/2023 15:44</t>
  </si>
  <si>
    <t>17/07/2025 15:15</t>
  </si>
  <si>
    <t>05/06/2025 17:16</t>
  </si>
  <si>
    <t>10/07/2025 02:21</t>
  </si>
  <si>
    <t>10/07/2025 11:07</t>
  </si>
  <si>
    <t>Rua Conde Afonso Celso</t>
  </si>
  <si>
    <t>28/03/2023 17:58</t>
  </si>
  <si>
    <t>31/03/2023 10:14</t>
  </si>
  <si>
    <t>05/06/2025 17:15</t>
  </si>
  <si>
    <t>08/07/2025 10:56</t>
  </si>
  <si>
    <t>08/07/2025 15:09</t>
  </si>
  <si>
    <t>Rua Júlio de Mesquita</t>
  </si>
  <si>
    <t>Vila Virginia</t>
  </si>
  <si>
    <t>28/03/2023 18:09</t>
  </si>
  <si>
    <t>30/03/2023 20:29</t>
  </si>
  <si>
    <t>05/06/2025 17:14</t>
  </si>
  <si>
    <t>10/07/2025 01:37</t>
  </si>
  <si>
    <t>10/07/2025 11:11</t>
  </si>
  <si>
    <t>01/07/2025 11:47</t>
  </si>
  <si>
    <t>05/06/2025 17:12</t>
  </si>
  <si>
    <t>17/07/2025 16:34</t>
  </si>
  <si>
    <t>17/07/2025 17:13</t>
  </si>
  <si>
    <t>Rua Olavo Bilac</t>
  </si>
  <si>
    <t>Jardim Sumare</t>
  </si>
  <si>
    <t>28/03/2023 17:53</t>
  </si>
  <si>
    <t>04/04/2023 11:32</t>
  </si>
  <si>
    <t>17/07/2025 14:35</t>
  </si>
  <si>
    <t>05/06/2025 17:11</t>
  </si>
  <si>
    <t>17/07/2025 17:20</t>
  </si>
  <si>
    <t>17/07/2025 17:21</t>
  </si>
  <si>
    <t>17/07/2025 17:22</t>
  </si>
  <si>
    <t>28/03/2023 17:57</t>
  </si>
  <si>
    <t>04/04/2023 11:34</t>
  </si>
  <si>
    <t>17/07/2025 12:25</t>
  </si>
  <si>
    <t>17/07/2025 16:32</t>
  </si>
  <si>
    <t>Avaliação Urbana</t>
  </si>
  <si>
    <t>30/04/2025 18:07</t>
  </si>
  <si>
    <t>07/10/2025 17:42</t>
  </si>
  <si>
    <t>07/10/2025 17:43</t>
  </si>
  <si>
    <t>07/10/2025 17:44</t>
  </si>
  <si>
    <t>Prospecção</t>
  </si>
  <si>
    <t>Rua Aldo Focosi</t>
  </si>
  <si>
    <t>Iguatemi</t>
  </si>
  <si>
    <t>28/03/2023 16:32</t>
  </si>
  <si>
    <t>04/04/2023 11:37</t>
  </si>
  <si>
    <t>31/05/2025</t>
  </si>
  <si>
    <t>09/05/2025 10:33</t>
  </si>
  <si>
    <t>16/05/2025 14:27</t>
  </si>
  <si>
    <t>ENFORCE RJ E FALÊNCIA</t>
  </si>
  <si>
    <t>16/10/2023</t>
  </si>
  <si>
    <t>27/09/2023 07:55</t>
  </si>
  <si>
    <t>12/10/2023 20:49</t>
  </si>
  <si>
    <t>16/10/2023 09:05</t>
  </si>
  <si>
    <t>17/10/2023 11:55</t>
  </si>
  <si>
    <t>10/10/2023</t>
  </si>
  <si>
    <t>28/09/2023 09:39</t>
  </si>
  <si>
    <t>AHEAD ARQUITETURA</t>
  </si>
  <si>
    <t>27/09/2023 07:51</t>
  </si>
  <si>
    <t>17/10/2023 12:09</t>
  </si>
  <si>
    <t>27/09/2023 07:45</t>
  </si>
  <si>
    <t>17/10/2023 12:01</t>
  </si>
  <si>
    <t>20/10/2023</t>
  </si>
  <si>
    <t>21/09/2023 16:07</t>
  </si>
  <si>
    <t>20/10/2023 17:20</t>
  </si>
  <si>
    <t>20/10/2023 17:27</t>
  </si>
  <si>
    <t>20/10/2023 17:38</t>
  </si>
  <si>
    <t>26/09/2023</t>
  </si>
  <si>
    <t>21/09/2023 16:08</t>
  </si>
  <si>
    <t>26/09/2023 18:16</t>
  </si>
  <si>
    <t>RAPHAEL PARENTE</t>
  </si>
  <si>
    <t>GUILHERME MARQUES</t>
  </si>
  <si>
    <t>Rua Barão de Cotegipe, 683</t>
  </si>
  <si>
    <t>Vila Tibério</t>
  </si>
  <si>
    <t>Rua Antônio Gouveia, 785/781</t>
  </si>
  <si>
    <t>Campos Elísios</t>
  </si>
  <si>
    <t>Rua Antônio Gouveia, 767</t>
  </si>
  <si>
    <t>Travessa Mesquita, 28</t>
  </si>
  <si>
    <t>Avenida Oswaldo Aranha, 268</t>
  </si>
  <si>
    <t>Parque Ribeiro Preto</t>
  </si>
  <si>
    <t>Rua Victório Farnocchi, 165</t>
  </si>
  <si>
    <t>Quintino Facci Ii</t>
  </si>
  <si>
    <t>Rua Renato Barillari, 406</t>
  </si>
  <si>
    <t>Rua Victório Farnocchi, 155</t>
  </si>
  <si>
    <t>Quintino Facci II</t>
  </si>
  <si>
    <t>Rua Acre</t>
  </si>
  <si>
    <t>29/03/2023 17:40</t>
  </si>
  <si>
    <t>29/03/2023 17:42</t>
  </si>
  <si>
    <t>31/03/2023 09:55</t>
  </si>
  <si>
    <t>CLAUDIO OKADA</t>
  </si>
  <si>
    <t>03/08/2023</t>
  </si>
  <si>
    <t>02/08/2023 12:29</t>
  </si>
  <si>
    <t>02/08/2023 15:21</t>
  </si>
  <si>
    <t>22/08/2023 16:11</t>
  </si>
  <si>
    <t>Matrícula relacionada</t>
  </si>
  <si>
    <t>02/08/2023 09:45</t>
  </si>
  <si>
    <t>Bruno Ícaro</t>
  </si>
  <si>
    <t>22/08/2023</t>
  </si>
  <si>
    <t>22/08/2023 16:07</t>
  </si>
  <si>
    <t>23/08/2023 16:54</t>
  </si>
  <si>
    <t>Avaliado</t>
  </si>
  <si>
    <t>02/08/2023 09:44</t>
  </si>
  <si>
    <t>THIAGO MACHADO</t>
  </si>
  <si>
    <t>10/07/2023</t>
  </si>
  <si>
    <t>22/06/2023 18:39</t>
  </si>
  <si>
    <t>10/07/2023 15:11</t>
  </si>
  <si>
    <t>10/07/2023 15:19</t>
  </si>
  <si>
    <t>10/07/2023 15:22</t>
  </si>
  <si>
    <t>Rua 7 de Setembro, 1364</t>
  </si>
  <si>
    <t>20/10/2022 21:16</t>
  </si>
  <si>
    <t>10/07/2023 12:38</t>
  </si>
  <si>
    <t>LUCAS ORTEGA</t>
  </si>
  <si>
    <t>30/06/2023</t>
  </si>
  <si>
    <t>13/06/2023 15:03</t>
  </si>
  <si>
    <t>29/06/2023 11:29</t>
  </si>
  <si>
    <t>30/06/2023 13:08</t>
  </si>
  <si>
    <t>30/06/2023 14:20</t>
  </si>
  <si>
    <t>04/07/2023</t>
  </si>
  <si>
    <t>13/06/2023 15:12</t>
  </si>
  <si>
    <t>13/06/2023 15:02</t>
  </si>
  <si>
    <t>20/10/2023 16:20</t>
  </si>
  <si>
    <t>20/10/2023 16:21</t>
  </si>
  <si>
    <t>20/10/2023 16:24</t>
  </si>
  <si>
    <t>29/06/2023</t>
  </si>
  <si>
    <t>13/06/2023 15:22</t>
  </si>
  <si>
    <t>03/07/2023 13:53</t>
  </si>
  <si>
    <t>10/07/2023 14:57</t>
  </si>
  <si>
    <t>10/07/2023 15:05</t>
  </si>
  <si>
    <t>10/07/2023 14:33</t>
  </si>
  <si>
    <t>13/06/2023 15:01</t>
  </si>
  <si>
    <t>20/10/2023 16:12</t>
  </si>
  <si>
    <t>20/10/2023 16:39</t>
  </si>
  <si>
    <t>10/07/2023 11:50</t>
  </si>
  <si>
    <t>10/07/2023 12:16</t>
  </si>
  <si>
    <t>13/06/2023 15:00</t>
  </si>
  <si>
    <t>20/10/2023 16:29</t>
  </si>
  <si>
    <t>20/10/2023 16:30</t>
  </si>
  <si>
    <t>20/10/2023 16:36</t>
  </si>
  <si>
    <t>06/07/2023</t>
  </si>
  <si>
    <t>13/06/2023 15:29</t>
  </si>
  <si>
    <t>03/07/2023 10:48</t>
  </si>
  <si>
    <t>13/06/2023 14:56</t>
  </si>
  <si>
    <t>20/10/2023 17:11</t>
  </si>
  <si>
    <t>20/10/2023 17:12</t>
  </si>
  <si>
    <t>20/10/2023 17:16</t>
  </si>
  <si>
    <t>10/07/2023 12:37</t>
  </si>
  <si>
    <t>20/09/2023</t>
  </si>
  <si>
    <t>13/06/2023 09:44</t>
  </si>
  <si>
    <t>20/09/2023 15:31</t>
  </si>
  <si>
    <t>20/09/2023 15:32</t>
  </si>
  <si>
    <t>20/09/2023 15:35</t>
  </si>
  <si>
    <t>13/06/2023 10:57</t>
  </si>
  <si>
    <t>28/06/2023 12:07</t>
  </si>
  <si>
    <t>Prédio comercial</t>
  </si>
  <si>
    <t>03/07/2023</t>
  </si>
  <si>
    <t>06/06/2023 16:40</t>
  </si>
  <si>
    <t>03/07/2023 14:39</t>
  </si>
  <si>
    <t>03/07/2023 15:27</t>
  </si>
  <si>
    <t>03/07/2023 15:30</t>
  </si>
  <si>
    <t>Rua Itanhaém,</t>
  </si>
  <si>
    <t>28/03/2023 18:17</t>
  </si>
  <si>
    <t>31/03/2023 15:24</t>
  </si>
  <si>
    <t>03/07/2023 08:57</t>
  </si>
  <si>
    <t>06/06/2023 16:39</t>
  </si>
  <si>
    <t>10/07/2023 16:37</t>
  </si>
  <si>
    <t>10/07/2023 16:38</t>
  </si>
  <si>
    <t>10/07/2023 16:39</t>
  </si>
  <si>
    <t>10/07/2023 16:28</t>
  </si>
  <si>
    <t>20/10/2023 17:40</t>
  </si>
  <si>
    <t>20/10/2023 17:45</t>
  </si>
  <si>
    <t>20/10/2023 17:48</t>
  </si>
  <si>
    <t>10/07/2023 15:46</t>
  </si>
  <si>
    <t>10/07/2023 16:01</t>
  </si>
  <si>
    <t>21/09/2023</t>
  </si>
  <si>
    <t>21/09/2023 16:12</t>
  </si>
  <si>
    <t>21/09/2023 16:13</t>
  </si>
  <si>
    <t>21/09/2023 16:16</t>
  </si>
  <si>
    <t>23/06/2023</t>
  </si>
  <si>
    <t>13/06/2023 11:59</t>
  </si>
  <si>
    <t>23/06/2023 15:52</t>
  </si>
  <si>
    <t>MK ENG DE AVALIACAO</t>
  </si>
  <si>
    <t>20/10/2023 17:28</t>
  </si>
  <si>
    <t>20/10/2023 17:31</t>
  </si>
  <si>
    <t>20/06/2023</t>
  </si>
  <si>
    <t>12/06/2023 17:11</t>
  </si>
  <si>
    <t>29/06/2023 12:01</t>
  </si>
  <si>
    <t>10/07/2023 17:06</t>
  </si>
  <si>
    <t>10/07/2023 17:07</t>
  </si>
  <si>
    <t>10/07/2023 17:08</t>
  </si>
  <si>
    <t>10/07/2023 16:43</t>
  </si>
  <si>
    <t>20/10/2023 16:40</t>
  </si>
  <si>
    <t>20/10/2023 16:43</t>
  </si>
  <si>
    <t>10/07/2023 15:25</t>
  </si>
  <si>
    <t>10/07/2023 15:32</t>
  </si>
  <si>
    <t>20/10/2023 17:50</t>
  </si>
  <si>
    <t>10/07/2023 15:47</t>
  </si>
  <si>
    <t>10/07/2023 16:04</t>
  </si>
  <si>
    <t>10/07/2023 17:25</t>
  </si>
  <si>
    <t>10/07/2023 17:27</t>
  </si>
  <si>
    <t>10/07/2023 17:28</t>
  </si>
  <si>
    <t>10/07/2023 17:10</t>
  </si>
  <si>
    <t>03/07/2023 14:52</t>
  </si>
  <si>
    <t>03/07/2023 15:03</t>
  </si>
  <si>
    <t>03/07/2023 08:56</t>
  </si>
  <si>
    <t>05/07/2023</t>
  </si>
  <si>
    <t>05/07/2023 11:56</t>
  </si>
  <si>
    <t>05/07/2023 13:31</t>
  </si>
  <si>
    <t>05/07/2023 13:38</t>
  </si>
  <si>
    <t>07/06/2023 16:09</t>
  </si>
  <si>
    <t>05/07/2023 11:55</t>
  </si>
  <si>
    <t>28/03/2023 16:36</t>
  </si>
  <si>
    <t>04/04/2023 22:12</t>
  </si>
  <si>
    <t>20/10/2023 17:42</t>
  </si>
  <si>
    <t>20/10/2023 17:44</t>
  </si>
  <si>
    <t>10/07/2023 15:39</t>
  </si>
  <si>
    <t>10/07/2023 15:58</t>
  </si>
  <si>
    <t>20/10/2023 17:32</t>
  </si>
  <si>
    <t>20/10/2023 17:34</t>
  </si>
  <si>
    <t>12/06/2023 17:12</t>
  </si>
  <si>
    <t>29/06/2023 16:29</t>
  </si>
  <si>
    <t>20/10/2023 17:55</t>
  </si>
  <si>
    <t>10/07/2023 15:48</t>
  </si>
  <si>
    <t>10/07/2023 16:10</t>
  </si>
  <si>
    <t>23/10/2023</t>
  </si>
  <si>
    <t>23/10/2023 16:18</t>
  </si>
  <si>
    <t>23/10/2023 16:20</t>
  </si>
  <si>
    <t>28/06/2023</t>
  </si>
  <si>
    <t>07/06/2023 13:58</t>
  </si>
  <si>
    <t>05/07/2023 11:54</t>
  </si>
  <si>
    <t>10/07/2023 16:35</t>
  </si>
  <si>
    <t>10/07/2023 16:36</t>
  </si>
  <si>
    <t>10/07/2023 16:27</t>
  </si>
  <si>
    <t>10/07/2023 16:31</t>
  </si>
  <si>
    <t>10/07/2023 16:26</t>
  </si>
  <si>
    <t>20/10/2023 17:41</t>
  </si>
  <si>
    <t>20/10/2023 17:46</t>
  </si>
  <si>
    <t>20/10/2023 18:01</t>
  </si>
  <si>
    <t>10/07/2023 15:49</t>
  </si>
  <si>
    <t>10/07/2023 16:20</t>
  </si>
  <si>
    <t>10/07/2023 17:04</t>
  </si>
  <si>
    <t>10/07/2023 17:09</t>
  </si>
  <si>
    <t>10/07/2023 16:41</t>
  </si>
  <si>
    <t>20/10/2023 17:58</t>
  </si>
  <si>
    <t>10/07/2023 16:16</t>
  </si>
  <si>
    <t>21/09/2023 16:48</t>
  </si>
  <si>
    <t>21/09/2023 17:31</t>
  </si>
  <si>
    <t>13/06/2023 14:32</t>
  </si>
  <si>
    <t>28/06/2023 12:02</t>
  </si>
  <si>
    <t>20/10/2023 17:54</t>
  </si>
  <si>
    <t>10/07/2023 16:07</t>
  </si>
  <si>
    <t>06/06/2023 16:18</t>
  </si>
  <si>
    <t>20/09/2023 08:52</t>
  </si>
  <si>
    <t>20/09/2023 09:15</t>
  </si>
  <si>
    <t>05/07/2023 14:36</t>
  </si>
  <si>
    <t>05/07/2023 14:37</t>
  </si>
  <si>
    <t>18/07/2023</t>
  </si>
  <si>
    <t>14/07/2023 11:08</t>
  </si>
  <si>
    <t>18/07/2023 11:13</t>
  </si>
  <si>
    <t>18/07/2023 11:18</t>
  </si>
  <si>
    <t>A</t>
  </si>
  <si>
    <t>28/03/2023 18:27</t>
  </si>
  <si>
    <t>04/04/2023 14:34</t>
  </si>
  <si>
    <t>07/06/2023 12:16</t>
  </si>
  <si>
    <t>28/07/2022 21:00</t>
  </si>
  <si>
    <t>14/07/2023 11:10</t>
  </si>
  <si>
    <t>18/07/2023 11:16</t>
  </si>
  <si>
    <t>04/04/2023 14:37</t>
  </si>
  <si>
    <t>21/06/2023</t>
  </si>
  <si>
    <t>20/10/2023 16:50</t>
  </si>
  <si>
    <t>20/10/2023 16:51</t>
  </si>
  <si>
    <t>20/10/2023 16:53</t>
  </si>
  <si>
    <t>10/07/2023 12:29</t>
  </si>
  <si>
    <t>10/07/2023 14:46</t>
  </si>
  <si>
    <t>20/10/2023 17:07</t>
  </si>
  <si>
    <t>20/10/2023 17:08</t>
  </si>
  <si>
    <t>20/10/2023 17:10</t>
  </si>
  <si>
    <t>10/07/2023 14:41</t>
  </si>
  <si>
    <t>10/07/2023 11:33</t>
  </si>
  <si>
    <t>10/07/2023 11:36</t>
  </si>
  <si>
    <t>10/07/2023 11:38</t>
  </si>
  <si>
    <t>10/07/2023 11:26</t>
  </si>
  <si>
    <t>10/07/2023 14:17</t>
  </si>
  <si>
    <t>10/07/2023 14:26</t>
  </si>
  <si>
    <t>10/07/2023 14:29</t>
  </si>
  <si>
    <t>10/07/2023 12:26</t>
  </si>
  <si>
    <t>10/07/2023 11:39</t>
  </si>
  <si>
    <t>10/07/2023 11:40</t>
  </si>
  <si>
    <t>Morro Do Cipó</t>
  </si>
  <si>
    <t>T2</t>
  </si>
  <si>
    <t>26/04/2023</t>
  </si>
  <si>
    <t>24/04/2023 12:12</t>
  </si>
  <si>
    <t>24/04/2023 12:32</t>
  </si>
  <si>
    <t>26/04/2023 14:39</t>
  </si>
  <si>
    <t>20/10/2023 16:07</t>
  </si>
  <si>
    <t>20/10/2023 16:08</t>
  </si>
  <si>
    <t>20/10/2023 16:10</t>
  </si>
  <si>
    <t>29/06/2023 11:44</t>
  </si>
  <si>
    <t>Nível 0</t>
  </si>
  <si>
    <t>TIFANY ARAUJO</t>
  </si>
  <si>
    <t>Investigação</t>
  </si>
  <si>
    <t>03/05/2023</t>
  </si>
  <si>
    <t>20/04/2023 16:41</t>
  </si>
  <si>
    <t>03/05/2023 09:53</t>
  </si>
  <si>
    <t>03/05/2023 10:21</t>
  </si>
  <si>
    <t>03/05/2023 10:33</t>
  </si>
  <si>
    <t>02/05/2023 11:24</t>
  </si>
  <si>
    <t>MATHEUS NAVARRO</t>
  </si>
  <si>
    <t>20/04/2023</t>
  </si>
  <si>
    <t>10/04/2023 12:01</t>
  </si>
  <si>
    <t>14/04/2023 10:35</t>
  </si>
  <si>
    <t>19/04/2023 18:28</t>
  </si>
  <si>
    <t>10/04/2023</t>
  </si>
  <si>
    <t>03/04/2023 09:08</t>
  </si>
  <si>
    <t>RAIZA GONÇALVES</t>
  </si>
  <si>
    <t>NATHALIA DIAS</t>
  </si>
  <si>
    <t>18/04/2023 12:41</t>
  </si>
  <si>
    <t>18/04/2023 16:38</t>
  </si>
  <si>
    <t>19/04/2023 18:16</t>
  </si>
  <si>
    <t>18/04/2023</t>
  </si>
  <si>
    <t>06/04/2023 08:21</t>
  </si>
  <si>
    <t>Réplica</t>
  </si>
  <si>
    <t>17/04/2023 10:02</t>
  </si>
  <si>
    <t>17/04/2023 16:04</t>
  </si>
  <si>
    <t>20/04/2023 09:53</t>
  </si>
  <si>
    <t>12/04/2023 13:57</t>
  </si>
  <si>
    <t>19/04/2023 17:23</t>
  </si>
  <si>
    <t>19/04/2023</t>
  </si>
  <si>
    <t>18/04/2023 11:05</t>
  </si>
  <si>
    <t>19/04/2023 18:05</t>
  </si>
  <si>
    <t>19/04/2023 18:08</t>
  </si>
  <si>
    <t>06/04/2023 08:20</t>
  </si>
  <si>
    <t>18/04/2023 11:04</t>
  </si>
  <si>
    <t>Loja em Condomínio</t>
  </si>
  <si>
    <t>06/04/2023 15:11</t>
  </si>
  <si>
    <t>20/04/2023 10:27</t>
  </si>
  <si>
    <t>05/04/2023 13:24</t>
  </si>
  <si>
    <t>19/04/2023 18:22</t>
  </si>
  <si>
    <t>20/04/2023 10:28</t>
  </si>
  <si>
    <t>20/04/2023 10:29</t>
  </si>
  <si>
    <t>06/04/2023 15:29</t>
  </si>
  <si>
    <t>Lote em Condomínio</t>
  </si>
  <si>
    <t>20/04/2023 11:36</t>
  </si>
  <si>
    <t>20/04/2023 11:37</t>
  </si>
  <si>
    <t>06/04/2023 09:41</t>
  </si>
  <si>
    <t>19/04/2023 18:30</t>
  </si>
  <si>
    <t>06/04/2023</t>
  </si>
  <si>
    <t>06/04/2023 09:22</t>
  </si>
  <si>
    <t>05/04/2023 13:27</t>
  </si>
  <si>
    <t>20/04/2023 10:33</t>
  </si>
  <si>
    <t>20/04/2023 11:24</t>
  </si>
  <si>
    <t>20/04/2023 11:34</t>
  </si>
  <si>
    <t>05/04/2023 13:26</t>
  </si>
  <si>
    <t>19/04/2023 18:21</t>
  </si>
  <si>
    <t>18/04/2023 12:13</t>
  </si>
  <si>
    <t>20/04/2023 10:23</t>
  </si>
  <si>
    <t>12/04/2023 09:36</t>
  </si>
  <si>
    <t>06/04/2023 09:33</t>
  </si>
  <si>
    <t>19/04/2023 18:23</t>
  </si>
  <si>
    <t>17/04/2023 13:03</t>
  </si>
  <si>
    <t>19/04/2023 18:20</t>
  </si>
  <si>
    <t>06/04/2023 11:17</t>
  </si>
  <si>
    <t>19/04/2023 18:13</t>
  </si>
  <si>
    <t>17/04/2023 18:29</t>
  </si>
  <si>
    <t>19/04/2023 17:26</t>
  </si>
  <si>
    <t>07/04/2023 18:00</t>
  </si>
  <si>
    <t>14/04/2023 10:36</t>
  </si>
  <si>
    <t>19/04/2023 18:27</t>
  </si>
  <si>
    <t>13/04/2023</t>
  </si>
  <si>
    <t>17/04/2023 18:27</t>
  </si>
  <si>
    <t>18/04/2023 16:37</t>
  </si>
  <si>
    <t>04/04/2023 17:38</t>
  </si>
  <si>
    <t>20/04/2023 10:24</t>
  </si>
  <si>
    <t>17/04/2023</t>
  </si>
  <si>
    <t>10/04/2023 19:22</t>
  </si>
  <si>
    <t>17/04/2023 09:39</t>
  </si>
  <si>
    <t>17/04/2023 10:14</t>
  </si>
  <si>
    <t>Rua Abrahão Issa Halack</t>
  </si>
  <si>
    <t>Riberânia</t>
  </si>
  <si>
    <t>31/03/2023 12:07</t>
  </si>
  <si>
    <t>28/03/2023 17:46</t>
  </si>
  <si>
    <t>20/04/2023 09:47</t>
  </si>
  <si>
    <t>Avenida Maria de Jesus Condeixa</t>
  </si>
  <si>
    <t>31/03/2023 15:30</t>
  </si>
  <si>
    <t>06/04/2023 17:46</t>
  </si>
  <si>
    <t>19/04/2023 18:10</t>
  </si>
  <si>
    <t>06/04/2023 17:45</t>
  </si>
  <si>
    <t>06/04/2023 17:42</t>
  </si>
  <si>
    <t>19/04/2023 18:11</t>
  </si>
  <si>
    <t>17/04/2023 14:54</t>
  </si>
  <si>
    <t>28/03/2023 17:09</t>
  </si>
  <si>
    <t>17/04/2023 14:51</t>
  </si>
  <si>
    <t>20/04/2023 11:21</t>
  </si>
  <si>
    <t>07/04/2023 11:52</t>
  </si>
  <si>
    <t>20/04/2023 10:04</t>
  </si>
  <si>
    <t>Imóvel Rural</t>
  </si>
  <si>
    <t>Gleba rural</t>
  </si>
  <si>
    <t>Não Localizado</t>
  </si>
  <si>
    <t>10/04/2023 14:25</t>
  </si>
  <si>
    <t>10/04/2023 14:39</t>
  </si>
  <si>
    <t>13/04/2023 10:13</t>
  </si>
  <si>
    <t>Sítio Santa Justa</t>
  </si>
  <si>
    <t>T3</t>
  </si>
  <si>
    <t>07/04/2023 16:29</t>
  </si>
  <si>
    <t>20/04/2023 09:56</t>
  </si>
  <si>
    <t>17/04/2023 10:03</t>
  </si>
  <si>
    <t>20/04/2023 09:54</t>
  </si>
  <si>
    <t>17/04/2023 09:59</t>
  </si>
  <si>
    <t>17/04/2023 18:34</t>
  </si>
  <si>
    <t>20/04/2023 11:38</t>
  </si>
  <si>
    <t>14/04/2023 15:11</t>
  </si>
  <si>
    <t>20/04/2023 10:14</t>
  </si>
  <si>
    <t>17/04/2023 17:24</t>
  </si>
  <si>
    <t>17/04/2023 17:38</t>
  </si>
  <si>
    <t>20/04/2023 11:11</t>
  </si>
  <si>
    <t>14/04/2023 15:12</t>
  </si>
  <si>
    <t>20/04/2023 10:15</t>
  </si>
  <si>
    <t>10/04/2023 15:34</t>
  </si>
  <si>
    <t>20/04/2023 10:18</t>
  </si>
  <si>
    <t>rd.avaliacao@enforcegroup.com.br</t>
  </si>
  <si>
    <t>LACONS</t>
  </si>
  <si>
    <t>27/06/2022</t>
  </si>
  <si>
    <t>27/05/2022 08:40</t>
  </si>
  <si>
    <t>05/06/2022 21:00</t>
  </si>
  <si>
    <t>13/06/2022 21:00</t>
  </si>
  <si>
    <t>MIGRADO_ZOHO</t>
  </si>
  <si>
    <t>Rua Itanhaém 3065 x Rua Cajuru, 1023</t>
  </si>
  <si>
    <t>15/06/2022 21:00</t>
  </si>
  <si>
    <t>BRUNO ICARO</t>
  </si>
  <si>
    <t>28/08/2022</t>
  </si>
  <si>
    <t>28/07/2022 13:45</t>
  </si>
  <si>
    <t>Presidente Medici</t>
  </si>
  <si>
    <t>31/07/2022 21:00</t>
  </si>
  <si>
    <t>BRUNA ALCANTARA</t>
  </si>
  <si>
    <t>JULIA JORGE</t>
  </si>
  <si>
    <t>27/05/2022 08:51</t>
  </si>
  <si>
    <t>12/06/2022 21:00</t>
  </si>
  <si>
    <t>16/06/2022 21:00</t>
  </si>
  <si>
    <t>29/06/2022 21:00</t>
  </si>
  <si>
    <t>MARINA FAHL</t>
  </si>
  <si>
    <t>ANDRE MAGIORE</t>
  </si>
  <si>
    <t>28/07/2022 14:54</t>
  </si>
  <si>
    <t>Rua Itanhaém, 3057</t>
  </si>
  <si>
    <t>Vila Brasil - Condomínio Residencial Brasil</t>
  </si>
  <si>
    <t>19/06/2022 21:00</t>
  </si>
  <si>
    <t>Rua Cajuru, 977</t>
  </si>
  <si>
    <t>28/07/2022 14:50</t>
  </si>
  <si>
    <t>Rua Santos, 3044</t>
  </si>
  <si>
    <t>Gleba Urbana</t>
  </si>
  <si>
    <t>28/07/2022 14:26</t>
  </si>
  <si>
    <t>21/07/2022</t>
  </si>
  <si>
    <t>21/06/2022 12:13</t>
  </si>
  <si>
    <t>20/06/2022 21:00</t>
  </si>
  <si>
    <t>Jardim Clicia</t>
  </si>
  <si>
    <t>Matrícula encerrada</t>
  </si>
  <si>
    <t>23/06/2022</t>
  </si>
  <si>
    <t>23/06/2022 21:00</t>
  </si>
  <si>
    <t>28/07/2022 14:39</t>
  </si>
  <si>
    <t>27/05/2022 12:17</t>
  </si>
  <si>
    <t>27/05/2022 11:54</t>
  </si>
  <si>
    <t>27/05/2022 09:02</t>
  </si>
  <si>
    <t>29/05/2022 21:00</t>
  </si>
  <si>
    <t>02/06/2022 21:00</t>
  </si>
  <si>
    <t>27/05/2022 12:11</t>
  </si>
  <si>
    <t>Rua Barão de Mauá x Rua Gonçalves de Magalhães</t>
  </si>
  <si>
    <t>27/05/2022 08:53</t>
  </si>
  <si>
    <t>06/06/2022 21:00</t>
  </si>
  <si>
    <t>28/07/2022 14:48</t>
  </si>
  <si>
    <t>Rua Cajuru, 951</t>
  </si>
  <si>
    <t>Rua Santos, 3044 x Rua Cajuru</t>
  </si>
  <si>
    <t>28/07/2022 14:55</t>
  </si>
  <si>
    <t>Barracão</t>
  </si>
  <si>
    <t>14/06/2022 21:00</t>
  </si>
  <si>
    <t>Rua Júlio de Mesquita, 261</t>
  </si>
  <si>
    <t>28/07/2022 17:28</t>
  </si>
  <si>
    <t>Rua Marino Paterlini, 110</t>
  </si>
  <si>
    <t>28/07/2022 14:51</t>
  </si>
  <si>
    <t>Rua Cajuru, 945</t>
  </si>
  <si>
    <t>28/07/2022 14:27</t>
  </si>
  <si>
    <t>Américo Sampaio</t>
  </si>
  <si>
    <t>Independência - Gleba A</t>
  </si>
  <si>
    <t>27/05/2022 08:59</t>
  </si>
  <si>
    <t>28/07/2022 13:29</t>
  </si>
  <si>
    <t>Rua Américo Brasiliense, 1243</t>
  </si>
  <si>
    <t>28/07/2022 14:49</t>
  </si>
  <si>
    <t>Rua Altíno Arantes, 1478</t>
  </si>
  <si>
    <t>28/07/2022 13:44</t>
  </si>
  <si>
    <t>Rua Acre, 1839</t>
  </si>
  <si>
    <t>28/07/2022 13:47</t>
  </si>
  <si>
    <t>Prédio Comercial</t>
  </si>
  <si>
    <t>07/06/2022 21:00</t>
  </si>
  <si>
    <t>28/07/2022 13:40</t>
  </si>
  <si>
    <t>28/07/2022 14:44</t>
  </si>
  <si>
    <t>Rua Olavo Bilac, 1380</t>
  </si>
  <si>
    <t>Dumont</t>
  </si>
  <si>
    <t>Teresa Mastrogiacomo</t>
  </si>
  <si>
    <t>28/07/2022 13:38</t>
  </si>
  <si>
    <t>28/07/2022 14:29</t>
  </si>
  <si>
    <t>28/07/2022 14:31</t>
  </si>
  <si>
    <t>Rua Visconde de Inhaúma, 490</t>
  </si>
  <si>
    <t>28/07/2022 16:17</t>
  </si>
  <si>
    <t>28/07/2022 14:25</t>
  </si>
  <si>
    <t>Rua Sacadura Cabral, 39</t>
  </si>
  <si>
    <t>Vila Tamandare</t>
  </si>
  <si>
    <t>28/07/2022 13:34</t>
  </si>
  <si>
    <t>Rua Santos, 3050 x Rua Cajuru</t>
  </si>
  <si>
    <t>28/07/2022 14:21</t>
  </si>
  <si>
    <t>Rua Altino Arantes, 1478</t>
  </si>
  <si>
    <t>28/07/2022 14:23</t>
  </si>
  <si>
    <t>28/07/2022 14:46</t>
  </si>
  <si>
    <t>Rua Santos, 3050</t>
  </si>
  <si>
    <t>28/07/2022 14:42</t>
  </si>
  <si>
    <t>Rua João Penteado, 90</t>
  </si>
  <si>
    <t>Jardim America</t>
  </si>
  <si>
    <t>27/05/2022 08:41</t>
  </si>
  <si>
    <t>Rua Olavo Bilac, 1384 x Rua Conde Afonso Celso</t>
  </si>
  <si>
    <t>01/09/2022</t>
  </si>
  <si>
    <t>01/08/2022 10:01</t>
  </si>
  <si>
    <t>Vila Tamandaré</t>
  </si>
  <si>
    <t>01/08/2022</t>
  </si>
  <si>
    <t>27/05/2022 08:48</t>
  </si>
  <si>
    <t>Jardim América</t>
  </si>
  <si>
    <t>Sala Comercial</t>
  </si>
  <si>
    <t>01/08/2022 09:31</t>
  </si>
  <si>
    <t>Rua Visconde De Inhaúma, 490</t>
  </si>
  <si>
    <t>28/07/2022 14:41</t>
  </si>
  <si>
    <t>Avenida Santa Luzia, 111</t>
  </si>
  <si>
    <t>Rua Júlio de Mesquita, 794</t>
  </si>
  <si>
    <t>Vila Virgínia</t>
  </si>
  <si>
    <t>28/07/2022 17:16</t>
  </si>
  <si>
    <t>28/07/2022 17:26</t>
  </si>
  <si>
    <t>28/07/2022 14:35</t>
  </si>
  <si>
    <t>Rua Itanhaém, 3.065</t>
  </si>
  <si>
    <t>Rua Cajuru, 1023 x Itanhaém, 3057</t>
  </si>
  <si>
    <t>27/05/2022 08:44</t>
  </si>
  <si>
    <t>Rua José Raymundo Filho, 171 5</t>
  </si>
  <si>
    <t>Balneário Recreativa</t>
  </si>
  <si>
    <t>28/07/2022 13:36</t>
  </si>
  <si>
    <t>28/07/2022 14:32</t>
  </si>
  <si>
    <t>Avenida Maria de Jesus Condeixa, 600</t>
  </si>
  <si>
    <t>28/07/2022 14:45</t>
  </si>
  <si>
    <t>Rua Conde Afonso Celso, 1453</t>
  </si>
  <si>
    <t>28/07/2022 14:36</t>
  </si>
  <si>
    <t>28/07/2022 14:34</t>
  </si>
  <si>
    <t>VF Liq</t>
  </si>
  <si>
    <t>VM Liq</t>
  </si>
  <si>
    <t>Carta Adjudicação?</t>
  </si>
  <si>
    <t>Data Adjudicação</t>
  </si>
  <si>
    <t>SIM</t>
  </si>
  <si>
    <t>NÃO</t>
  </si>
  <si>
    <t>Valor Depositado</t>
  </si>
  <si>
    <t>Mês Aluguel</t>
  </si>
  <si>
    <t>Apto</t>
  </si>
  <si>
    <t>Dt Adjudicação</t>
  </si>
  <si>
    <t>Sim</t>
  </si>
  <si>
    <t>Não</t>
  </si>
  <si>
    <t>Registro</t>
  </si>
  <si>
    <t>Data Registro</t>
  </si>
  <si>
    <t>Condições de Venda</t>
  </si>
  <si>
    <t>SPE Comercial</t>
  </si>
  <si>
    <t>SPE Residencial</t>
  </si>
  <si>
    <t>TOTAL</t>
  </si>
  <si>
    <t> Valor</t>
  </si>
  <si>
    <t>Data Recebimento</t>
  </si>
  <si>
    <t>Imóvel</t>
  </si>
  <si>
    <t>Status atual</t>
  </si>
  <si>
    <t>TABELA GI</t>
  </si>
  <si>
    <t>Valor recebido / Proposta</t>
  </si>
  <si>
    <t>A vista</t>
  </si>
  <si>
    <t>Sem proposta</t>
  </si>
  <si>
    <t>Aprovado - em escritura</t>
  </si>
  <si>
    <t>Bloqueado para time comercial</t>
  </si>
  <si>
    <t>Pago</t>
  </si>
  <si>
    <t>72.1</t>
  </si>
  <si>
    <t>vendido??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</si>
</sst>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
    <numFmt numFmtId="166" formatCode="[$-416]dd/mm/yyyy"/>
    <numFmt numFmtId="167" formatCode="_(* #,##0.00_);_(* \(#,##0.00\);_(* &quot;-&quot;??_);_(@_)"/>
  </numFmts>
  <fonts count="28">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b/>
      <sz val="11"/>
      <name val="Aptos Narrow"/>
      <family val="2"/>
      <scheme val="minor"/>
    </font>
    <font>
      <b/>
      <i/>
      <sz val="11"/>
      <color theme="1"/>
      <name val="Aptos Narrow"/>
      <family val="2"/>
      <scheme val="minor"/>
    </font>
    <font>
      <b/>
      <i/>
      <sz val="11"/>
      <color theme="0"/>
      <name val="Aptos Narrow"/>
      <family val="2"/>
      <scheme val="minor"/>
    </font>
    <font>
      <b/>
      <i/>
      <sz val="11"/>
      <name val="Aptos Narrow"/>
      <family val="2"/>
      <scheme val="minor"/>
    </font>
    <font>
      <b/>
      <sz val="16"/>
      <color theme="1"/>
      <name val="Aptos Narrow"/>
      <family val="2"/>
      <scheme val="minor"/>
    </font>
    <font>
      <b/>
      <sz val="11"/>
      <color rgb="FFFFFF00"/>
      <name val="Aptos Narrow"/>
      <family val="2"/>
      <scheme val="minor"/>
    </font>
    <font>
      <i/>
      <sz val="11"/>
      <color theme="1"/>
      <name val="Aptos Narrow"/>
      <family val="2"/>
      <scheme val="minor"/>
    </font>
    <font>
      <sz val="11"/>
      <color rgb="FFC00000"/>
      <name val="Aptos Narrow"/>
      <family val="2"/>
      <scheme val="minor"/>
    </font>
    <font>
      <sz val="11"/>
      <color theme="1"/>
      <name val="Calibri"/>
      <family val="2"/>
    </font>
    <font>
      <b/>
      <sz val="10"/>
      <color theme="1"/>
      <name val="Calibri"/>
      <family val="2"/>
    </font>
    <font>
      <b/>
      <sz val="11"/>
      <color theme="0"/>
      <name val="Calibri"/>
      <family val="2"/>
    </font>
    <font>
      <b/>
      <sz val="11"/>
      <color theme="1"/>
      <name val="Calibri"/>
      <family val="2"/>
    </font>
    <font>
      <b/>
      <sz val="8"/>
      <color indexed="8"/>
      <name val="sans-serif"/>
    </font>
    <font>
      <sz val="10"/>
      <color indexed="8"/>
      <name val="sans-serif"/>
    </font>
    <font>
      <sz val="8"/>
      <name val="Aptos Narrow"/>
      <family val="2"/>
      <scheme val="minor"/>
    </font>
    <font>
      <i/>
      <sz val="11"/>
      <color theme="1"/>
      <name val="Calibri"/>
      <family val="2"/>
    </font>
    <font>
      <b/>
      <i/>
      <sz val="11"/>
      <color theme="1"/>
      <name val="Calibri"/>
      <family val="2"/>
    </font>
    <font>
      <sz val="12"/>
      <color theme="1"/>
      <name val="Aptos Narrow"/>
      <family val="2"/>
      <scheme val="minor"/>
    </font>
    <font>
      <b/>
      <sz val="11"/>
      <color rgb="FF002060"/>
      <name val="Calibri"/>
      <family val="2"/>
    </font>
    <font>
      <sz val="11"/>
      <color theme="1"/>
      <name val="Calibri"/>
      <family val="2"/>
    </font>
    <font>
      <b/>
      <sz val="11"/>
      <color theme="0"/>
      <name val="Calibri"/>
      <family val="2"/>
    </font>
    <font>
      <b/>
      <sz val="11"/>
      <color rgb="FF002060"/>
      <name val="Calibri"/>
      <family val="2"/>
    </font>
    <font>
      <b/>
      <sz val="11"/>
      <color theme="1"/>
      <name val="Calibri"/>
      <family val="2"/>
    </font>
    <font>
      <sz val="11"/>
      <color rgb="FFFFFFFF"/>
      <name val="Times New Roman"/>
      <family val="1"/>
    </font>
  </fonts>
  <fills count="17">
    <fill>
      <patternFill patternType="none"/>
    </fill>
    <fill>
      <patternFill patternType="gray125"/>
    </fill>
    <fill>
      <patternFill patternType="solid">
        <fgColor rgb="FF002060"/>
        <bgColor indexed="64"/>
      </patternFill>
    </fill>
    <fill>
      <patternFill patternType="solid">
        <fgColor theme="3" tint="0.89999084444715716"/>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8"/>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3" tint="0.749992370372631"/>
        <bgColor indexed="64"/>
      </patternFill>
    </fill>
    <fill>
      <patternFill patternType="solid">
        <fgColor rgb="FF002060"/>
        <bgColor theme="4" tint="0.79998168889431442"/>
      </patternFill>
    </fill>
    <fill>
      <patternFill patternType="solid">
        <fgColor theme="1" tint="0.499984740745262"/>
        <bgColor theme="4" tint="0.79998168889431442"/>
      </patternFill>
    </fill>
    <fill>
      <patternFill patternType="solid">
        <fgColor theme="3" tint="9.9978637043366805E-2"/>
        <bgColor indexed="64"/>
      </patternFill>
    </fill>
    <fill>
      <patternFill patternType="solid">
        <fgColor rgb="FF7030A0"/>
        <bgColor indexed="64"/>
      </patternFill>
    </fill>
    <fill>
      <patternFill patternType="solid">
        <fgColor rgb="FF1F4E78"/>
        <bgColor indexed="64"/>
      </patternFill>
    </fill>
    <fill>
      <patternFill patternType="solid">
        <fgColor rgb="FFFFFFCC"/>
        <bgColor indexed="64"/>
      </patternFill>
    </fill>
  </fills>
  <borders count="16">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5">
    <xf numFmtId="0" fontId="0" fillId="0" borderId="0"/>
    <xf numFmtId="9"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21" fillId="0" borderId="0"/>
  </cellStyleXfs>
  <cellXfs count="288">
    <xf numFmtId="0" fontId="0" fillId="0" borderId="0" xfId="0"/>
    <xf numFmtId="4" fontId="0" fillId="0" borderId="0" xfId="0" applyNumberFormat="1" applyAlignment="1">
      <alignment horizontal="center"/>
    </xf>
    <xf numFmtId="0" fontId="0" fillId="0" borderId="0" xfId="0" applyAlignment="1">
      <alignment horizontal="center"/>
    </xf>
    <xf numFmtId="0" fontId="3" fillId="0" borderId="0" xfId="0" applyFont="1"/>
    <xf numFmtId="0" fontId="2" fillId="2" borderId="0" xfId="0" applyFont="1" applyFill="1"/>
    <xf numFmtId="0" fontId="2" fillId="2" borderId="0" xfId="0" applyFont="1" applyFill="1" applyAlignment="1">
      <alignment horizontal="center"/>
    </xf>
    <xf numFmtId="9" fontId="2" fillId="2" borderId="0" xfId="1" applyFont="1" applyFill="1" applyAlignment="1">
      <alignment horizontal="center"/>
    </xf>
    <xf numFmtId="3" fontId="2" fillId="2" borderId="0" xfId="0" applyNumberFormat="1" applyFont="1" applyFill="1" applyAlignment="1">
      <alignment horizontal="center"/>
    </xf>
    <xf numFmtId="3" fontId="0" fillId="0" borderId="0" xfId="0" applyNumberFormat="1" applyAlignment="1">
      <alignment horizontal="center"/>
    </xf>
    <xf numFmtId="15" fontId="0" fillId="0" borderId="0" xfId="0" applyNumberFormat="1" applyAlignment="1">
      <alignment horizontal="center"/>
    </xf>
    <xf numFmtId="9" fontId="0" fillId="0" borderId="0" xfId="1" applyFont="1" applyBorder="1" applyAlignment="1">
      <alignment horizontal="center"/>
    </xf>
    <xf numFmtId="0" fontId="0" fillId="3" borderId="0" xfId="0" applyFill="1"/>
    <xf numFmtId="3" fontId="0" fillId="3" borderId="0" xfId="0" applyNumberFormat="1" applyFill="1" applyAlignment="1">
      <alignment horizontal="center"/>
    </xf>
    <xf numFmtId="0" fontId="0" fillId="3" borderId="0" xfId="0" applyFill="1" applyAlignment="1">
      <alignment horizontal="center"/>
    </xf>
    <xf numFmtId="15" fontId="0" fillId="3" borderId="0" xfId="0" applyNumberFormat="1" applyFill="1" applyAlignment="1">
      <alignment horizontal="center"/>
    </xf>
    <xf numFmtId="3" fontId="0" fillId="3" borderId="0" xfId="1" applyNumberFormat="1" applyFont="1" applyFill="1" applyBorder="1" applyAlignment="1">
      <alignment horizontal="center"/>
    </xf>
    <xf numFmtId="9" fontId="0" fillId="3" borderId="0" xfId="1" applyFont="1" applyFill="1" applyBorder="1" applyAlignment="1">
      <alignment horizontal="center"/>
    </xf>
    <xf numFmtId="0" fontId="0" fillId="0" borderId="1" xfId="0" applyBorder="1"/>
    <xf numFmtId="3" fontId="0" fillId="0" borderId="1" xfId="0" applyNumberFormat="1" applyBorder="1" applyAlignment="1">
      <alignment horizontal="center"/>
    </xf>
    <xf numFmtId="0" fontId="0" fillId="0" borderId="1" xfId="0" applyBorder="1" applyAlignment="1">
      <alignment horizontal="center"/>
    </xf>
    <xf numFmtId="0" fontId="2" fillId="0" borderId="0" xfId="0" applyFont="1" applyAlignment="1">
      <alignment horizontal="center"/>
    </xf>
    <xf numFmtId="3" fontId="4" fillId="0" borderId="0" xfId="0" applyNumberFormat="1" applyFont="1" applyAlignment="1">
      <alignment horizontal="center"/>
    </xf>
    <xf numFmtId="3" fontId="5" fillId="4" borderId="0" xfId="0" applyNumberFormat="1" applyFont="1" applyFill="1" applyAlignment="1">
      <alignment horizontal="center"/>
    </xf>
    <xf numFmtId="4" fontId="5" fillId="0" borderId="0" xfId="0" applyNumberFormat="1" applyFont="1" applyAlignment="1">
      <alignment horizontal="center"/>
    </xf>
    <xf numFmtId="3" fontId="6" fillId="2" borderId="0" xfId="0" applyNumberFormat="1" applyFont="1" applyFill="1" applyAlignment="1">
      <alignment horizontal="center"/>
    </xf>
    <xf numFmtId="3" fontId="5" fillId="0" borderId="0" xfId="0" applyNumberFormat="1" applyFont="1" applyAlignment="1">
      <alignment horizontal="center"/>
    </xf>
    <xf numFmtId="3" fontId="5" fillId="3" borderId="0" xfId="1" applyNumberFormat="1" applyFont="1" applyFill="1" applyBorder="1" applyAlignment="1">
      <alignment horizontal="center"/>
    </xf>
    <xf numFmtId="3" fontId="7" fillId="0" borderId="0" xfId="0" applyNumberFormat="1" applyFont="1" applyAlignment="1">
      <alignment horizontal="center"/>
    </xf>
    <xf numFmtId="0" fontId="5" fillId="0" borderId="0" xfId="0" applyFont="1" applyAlignment="1">
      <alignment horizontal="center"/>
    </xf>
    <xf numFmtId="3" fontId="0" fillId="0" borderId="0" xfId="0" applyNumberFormat="1"/>
    <xf numFmtId="4" fontId="0" fillId="0" borderId="0" xfId="0" applyNumberFormat="1"/>
    <xf numFmtId="3" fontId="0" fillId="0" borderId="1" xfId="0" applyNumberFormat="1" applyBorder="1"/>
    <xf numFmtId="4" fontId="0" fillId="0" borderId="1" xfId="0" applyNumberFormat="1" applyBorder="1"/>
    <xf numFmtId="4" fontId="3" fillId="0" borderId="0" xfId="0" applyNumberFormat="1" applyFont="1"/>
    <xf numFmtId="0" fontId="3" fillId="0" borderId="1" xfId="0" applyFont="1" applyBorder="1"/>
    <xf numFmtId="3" fontId="3" fillId="0" borderId="0" xfId="0" applyNumberFormat="1" applyFont="1"/>
    <xf numFmtId="9" fontId="0" fillId="0" borderId="0" xfId="0" applyNumberFormat="1" applyAlignment="1">
      <alignment horizontal="center"/>
    </xf>
    <xf numFmtId="4" fontId="0" fillId="0" borderId="1" xfId="0" applyNumberFormat="1" applyBorder="1" applyAlignment="1">
      <alignment horizontal="center"/>
    </xf>
    <xf numFmtId="9" fontId="0" fillId="0" borderId="1" xfId="0" applyNumberFormat="1" applyBorder="1" applyAlignment="1">
      <alignment horizontal="center"/>
    </xf>
    <xf numFmtId="0" fontId="2" fillId="2" borderId="1" xfId="0" applyFont="1" applyFill="1" applyBorder="1" applyAlignment="1">
      <alignment horizontal="center"/>
    </xf>
    <xf numFmtId="4" fontId="3" fillId="3" borderId="0" xfId="0" applyNumberFormat="1" applyFont="1" applyFill="1" applyAlignment="1">
      <alignment horizontal="center"/>
    </xf>
    <xf numFmtId="4" fontId="3" fillId="3" borderId="1" xfId="0" applyNumberFormat="1" applyFont="1" applyFill="1" applyBorder="1" applyAlignment="1">
      <alignment horizontal="center"/>
    </xf>
    <xf numFmtId="0" fontId="3" fillId="5" borderId="1" xfId="0" applyFont="1" applyFill="1" applyBorder="1"/>
    <xf numFmtId="0" fontId="0" fillId="5" borderId="1" xfId="0" applyFill="1" applyBorder="1"/>
    <xf numFmtId="0" fontId="3" fillId="5" borderId="0" xfId="0" applyFont="1" applyFill="1" applyAlignment="1">
      <alignment horizontal="center"/>
    </xf>
    <xf numFmtId="3" fontId="5" fillId="5" borderId="0" xfId="1" applyNumberFormat="1" applyFont="1" applyFill="1" applyBorder="1" applyAlignment="1">
      <alignment horizontal="center"/>
    </xf>
    <xf numFmtId="3" fontId="9" fillId="6" borderId="0" xfId="0" applyNumberFormat="1" applyFont="1" applyFill="1" applyAlignment="1">
      <alignment horizontal="center"/>
    </xf>
    <xf numFmtId="0" fontId="0" fillId="0" borderId="2" xfId="0" applyBorder="1" applyAlignment="1">
      <alignment horizontal="center"/>
    </xf>
    <xf numFmtId="0" fontId="0" fillId="0" borderId="7" xfId="0" applyBorder="1" applyAlignment="1">
      <alignment horizontal="center"/>
    </xf>
    <xf numFmtId="4" fontId="0" fillId="0" borderId="3" xfId="0" applyNumberFormat="1" applyBorder="1" applyAlignment="1">
      <alignment horizontal="center"/>
    </xf>
    <xf numFmtId="4" fontId="0" fillId="0" borderId="4" xfId="0" applyNumberFormat="1" applyBorder="1" applyAlignment="1">
      <alignment horizontal="center"/>
    </xf>
    <xf numFmtId="4" fontId="0" fillId="0" borderId="8" xfId="0" applyNumberFormat="1" applyBorder="1" applyAlignment="1">
      <alignment horizontal="center"/>
    </xf>
    <xf numFmtId="164" fontId="0" fillId="0" borderId="3" xfId="0" applyNumberFormat="1" applyBorder="1" applyAlignment="1">
      <alignment horizontal="center"/>
    </xf>
    <xf numFmtId="164" fontId="0" fillId="0" borderId="4" xfId="0" applyNumberFormat="1" applyBorder="1" applyAlignment="1">
      <alignment horizontal="center"/>
    </xf>
    <xf numFmtId="164" fontId="0" fillId="0" borderId="1" xfId="0" applyNumberFormat="1" applyBorder="1" applyAlignment="1">
      <alignment horizontal="center"/>
    </xf>
    <xf numFmtId="164" fontId="0" fillId="0" borderId="8" xfId="0" applyNumberFormat="1" applyBorder="1" applyAlignment="1">
      <alignment horizontal="center"/>
    </xf>
    <xf numFmtId="164" fontId="3" fillId="0" borderId="0" xfId="0" applyNumberFormat="1" applyFont="1" applyAlignment="1">
      <alignment horizontal="center"/>
    </xf>
    <xf numFmtId="0" fontId="3" fillId="0" borderId="0" xfId="0" applyFont="1" applyAlignment="1">
      <alignment horizontal="center"/>
    </xf>
    <xf numFmtId="4" fontId="3" fillId="0" borderId="0" xfId="0" applyNumberFormat="1" applyFont="1" applyAlignment="1">
      <alignment horizontal="center"/>
    </xf>
    <xf numFmtId="9" fontId="0" fillId="0" borderId="2" xfId="0" applyNumberFormat="1" applyBorder="1" applyAlignment="1">
      <alignment horizontal="center"/>
    </xf>
    <xf numFmtId="9" fontId="0" fillId="0" borderId="4" xfId="0" applyNumberFormat="1" applyBorder="1" applyAlignment="1">
      <alignment horizontal="center"/>
    </xf>
    <xf numFmtId="9" fontId="0" fillId="0" borderId="7" xfId="0" applyNumberFormat="1" applyBorder="1" applyAlignment="1">
      <alignment horizontal="center"/>
    </xf>
    <xf numFmtId="9" fontId="0" fillId="0" borderId="8" xfId="0" applyNumberFormat="1" applyBorder="1" applyAlignment="1">
      <alignment horizontal="center"/>
    </xf>
    <xf numFmtId="4" fontId="0" fillId="0" borderId="11" xfId="0" applyNumberFormat="1" applyBorder="1" applyAlignment="1">
      <alignment horizontal="center"/>
    </xf>
    <xf numFmtId="4" fontId="0" fillId="0" borderId="12" xfId="0" applyNumberFormat="1" applyBorder="1" applyAlignment="1">
      <alignment horizontal="center"/>
    </xf>
    <xf numFmtId="0" fontId="0" fillId="0" borderId="0" xfId="0" applyAlignment="1">
      <alignment horizontal="right"/>
    </xf>
    <xf numFmtId="9" fontId="0" fillId="0" borderId="0" xfId="0" applyNumberFormat="1" applyAlignment="1">
      <alignment horizontal="left"/>
    </xf>
    <xf numFmtId="9" fontId="0" fillId="0" borderId="11" xfId="0" applyNumberFormat="1" applyBorder="1" applyAlignment="1">
      <alignment horizontal="center"/>
    </xf>
    <xf numFmtId="9" fontId="0" fillId="0" borderId="12" xfId="0" applyNumberFormat="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0" fillId="5" borderId="0" xfId="0" applyFill="1"/>
    <xf numFmtId="0" fontId="2" fillId="2" borderId="9" xfId="0" applyFont="1" applyFill="1" applyBorder="1"/>
    <xf numFmtId="9" fontId="0" fillId="0" borderId="0" xfId="1" applyFont="1" applyAlignment="1">
      <alignment horizontal="left"/>
    </xf>
    <xf numFmtId="165" fontId="0" fillId="5" borderId="0" xfId="1" applyNumberFormat="1" applyFont="1" applyFill="1" applyAlignment="1">
      <alignment horizontal="left"/>
    </xf>
    <xf numFmtId="0" fontId="2" fillId="2" borderId="10" xfId="0" applyFont="1" applyFill="1" applyBorder="1" applyAlignment="1">
      <alignment horizontal="center"/>
    </xf>
    <xf numFmtId="4" fontId="2" fillId="2" borderId="13" xfId="0" applyNumberFormat="1" applyFont="1" applyFill="1" applyBorder="1" applyAlignment="1">
      <alignment horizontal="center"/>
    </xf>
    <xf numFmtId="0" fontId="0" fillId="5" borderId="0" xfId="0" applyFill="1" applyAlignment="1">
      <alignment horizontal="center"/>
    </xf>
    <xf numFmtId="4" fontId="0" fillId="5" borderId="0" xfId="0" quotePrefix="1" applyNumberFormat="1" applyFill="1" applyAlignment="1">
      <alignment horizontal="center"/>
    </xf>
    <xf numFmtId="4" fontId="0" fillId="0" borderId="0" xfId="0" quotePrefix="1" applyNumberFormat="1" applyAlignment="1">
      <alignment horizontal="center"/>
    </xf>
    <xf numFmtId="3" fontId="0" fillId="5" borderId="0" xfId="0" applyNumberFormat="1" applyFill="1" applyAlignment="1">
      <alignment horizontal="center"/>
    </xf>
    <xf numFmtId="15" fontId="0" fillId="5" borderId="0" xfId="0" applyNumberFormat="1" applyFill="1" applyAlignment="1">
      <alignment horizontal="center"/>
    </xf>
    <xf numFmtId="3" fontId="0" fillId="5" borderId="0" xfId="1" applyNumberFormat="1" applyFont="1" applyFill="1" applyBorder="1" applyAlignment="1">
      <alignment horizontal="center"/>
    </xf>
    <xf numFmtId="9" fontId="0" fillId="5" borderId="0" xfId="1" applyFont="1" applyFill="1" applyBorder="1" applyAlignment="1">
      <alignment horizontal="center"/>
    </xf>
    <xf numFmtId="4" fontId="0" fillId="5" borderId="0" xfId="0" applyNumberFormat="1" applyFill="1"/>
    <xf numFmtId="3" fontId="0" fillId="7" borderId="0" xfId="0" applyNumberFormat="1" applyFill="1" applyAlignment="1">
      <alignment horizontal="center"/>
    </xf>
    <xf numFmtId="3" fontId="5" fillId="7" borderId="0" xfId="1" applyNumberFormat="1" applyFont="1" applyFill="1" applyBorder="1" applyAlignment="1">
      <alignment horizontal="center"/>
    </xf>
    <xf numFmtId="3" fontId="5" fillId="7" borderId="0" xfId="0" applyNumberFormat="1" applyFont="1" applyFill="1" applyAlignment="1">
      <alignment horizontal="center"/>
    </xf>
    <xf numFmtId="0" fontId="0" fillId="7" borderId="0" xfId="0" applyFill="1"/>
    <xf numFmtId="0" fontId="0" fillId="7" borderId="0" xfId="0" applyFill="1" applyAlignment="1">
      <alignment horizontal="center"/>
    </xf>
    <xf numFmtId="15" fontId="0" fillId="7" borderId="0" xfId="0" applyNumberFormat="1" applyFill="1" applyAlignment="1">
      <alignment horizontal="center"/>
    </xf>
    <xf numFmtId="3" fontId="0" fillId="7" borderId="0" xfId="1" applyNumberFormat="1" applyFont="1" applyFill="1" applyBorder="1" applyAlignment="1">
      <alignment horizontal="center"/>
    </xf>
    <xf numFmtId="9" fontId="0" fillId="7" borderId="0" xfId="1" applyFont="1" applyFill="1" applyBorder="1" applyAlignment="1">
      <alignment horizontal="center"/>
    </xf>
    <xf numFmtId="0" fontId="10" fillId="0" borderId="0" xfId="0" applyFont="1"/>
    <xf numFmtId="3" fontId="0" fillId="8" borderId="0" xfId="0" applyNumberFormat="1" applyFill="1" applyAlignment="1">
      <alignment horizontal="center"/>
    </xf>
    <xf numFmtId="0" fontId="0" fillId="8" borderId="0" xfId="0" applyFill="1"/>
    <xf numFmtId="0" fontId="0" fillId="8" borderId="0" xfId="0" applyFill="1" applyAlignment="1">
      <alignment horizontal="center"/>
    </xf>
    <xf numFmtId="15" fontId="0" fillId="8" borderId="0" xfId="0" applyNumberFormat="1" applyFill="1" applyAlignment="1">
      <alignment horizontal="center"/>
    </xf>
    <xf numFmtId="9" fontId="0" fillId="8" borderId="0" xfId="1" applyFont="1" applyFill="1" applyBorder="1" applyAlignment="1">
      <alignment horizontal="center"/>
    </xf>
    <xf numFmtId="3" fontId="5" fillId="8" borderId="0" xfId="0" applyNumberFormat="1" applyFont="1" applyFill="1" applyAlignment="1">
      <alignment horizontal="center"/>
    </xf>
    <xf numFmtId="3" fontId="0" fillId="8" borderId="0" xfId="1" applyNumberFormat="1" applyFont="1" applyFill="1" applyBorder="1" applyAlignment="1">
      <alignment horizontal="center"/>
    </xf>
    <xf numFmtId="3" fontId="5" fillId="8" borderId="0" xfId="1" applyNumberFormat="1" applyFont="1" applyFill="1" applyBorder="1" applyAlignment="1">
      <alignment horizontal="center"/>
    </xf>
    <xf numFmtId="0" fontId="0" fillId="9" borderId="0" xfId="0" applyFill="1"/>
    <xf numFmtId="3" fontId="0" fillId="9" borderId="0" xfId="0" applyNumberFormat="1" applyFill="1" applyAlignment="1">
      <alignment horizontal="center"/>
    </xf>
    <xf numFmtId="0" fontId="0" fillId="9" borderId="0" xfId="0" applyFill="1" applyAlignment="1">
      <alignment horizontal="center"/>
    </xf>
    <xf numFmtId="15" fontId="0" fillId="9" borderId="0" xfId="0" applyNumberFormat="1" applyFill="1" applyAlignment="1">
      <alignment horizontal="center"/>
    </xf>
    <xf numFmtId="9" fontId="0" fillId="9" borderId="0" xfId="1" applyFont="1" applyFill="1" applyBorder="1" applyAlignment="1">
      <alignment horizontal="center"/>
    </xf>
    <xf numFmtId="3" fontId="5" fillId="9" borderId="0" xfId="0" applyNumberFormat="1" applyFont="1" applyFill="1" applyAlignment="1">
      <alignment horizontal="center"/>
    </xf>
    <xf numFmtId="3" fontId="0" fillId="9" borderId="0" xfId="1" applyNumberFormat="1" applyFont="1" applyFill="1" applyBorder="1" applyAlignment="1">
      <alignment horizontal="center"/>
    </xf>
    <xf numFmtId="3" fontId="5" fillId="9" borderId="0" xfId="1" applyNumberFormat="1" applyFont="1" applyFill="1" applyBorder="1" applyAlignment="1">
      <alignment horizontal="center"/>
    </xf>
    <xf numFmtId="0" fontId="0" fillId="7" borderId="1" xfId="0" applyFill="1" applyBorder="1"/>
    <xf numFmtId="3" fontId="0" fillId="7" borderId="1" xfId="0" applyNumberFormat="1" applyFill="1" applyBorder="1" applyAlignment="1">
      <alignment horizontal="center"/>
    </xf>
    <xf numFmtId="0" fontId="0" fillId="7" borderId="1" xfId="0" applyFill="1" applyBorder="1" applyAlignment="1">
      <alignment horizontal="center"/>
    </xf>
    <xf numFmtId="15" fontId="0" fillId="7" borderId="1" xfId="0" applyNumberFormat="1" applyFill="1" applyBorder="1" applyAlignment="1">
      <alignment horizontal="center"/>
    </xf>
    <xf numFmtId="9" fontId="0" fillId="7" borderId="1" xfId="1" applyFont="1" applyFill="1" applyBorder="1" applyAlignment="1">
      <alignment horizontal="center"/>
    </xf>
    <xf numFmtId="3" fontId="5" fillId="7" borderId="1" xfId="0" applyNumberFormat="1" applyFont="1" applyFill="1" applyBorder="1" applyAlignment="1">
      <alignment horizontal="center"/>
    </xf>
    <xf numFmtId="0" fontId="3" fillId="4" borderId="0" xfId="0" applyFont="1" applyFill="1"/>
    <xf numFmtId="0" fontId="11" fillId="0" borderId="1" xfId="0" applyFont="1" applyBorder="1"/>
    <xf numFmtId="4" fontId="0" fillId="3" borderId="0" xfId="0" applyNumberFormat="1" applyFill="1" applyAlignment="1">
      <alignment horizontal="center"/>
    </xf>
    <xf numFmtId="4" fontId="11" fillId="0" borderId="1" xfId="0" applyNumberFormat="1" applyFont="1" applyBorder="1" applyAlignment="1">
      <alignment horizontal="center"/>
    </xf>
    <xf numFmtId="3" fontId="11" fillId="0" borderId="1" xfId="0" applyNumberFormat="1" applyFont="1" applyBorder="1" applyAlignment="1">
      <alignment horizontal="center"/>
    </xf>
    <xf numFmtId="0" fontId="5" fillId="0" borderId="0" xfId="0" applyFont="1"/>
    <xf numFmtId="3" fontId="3" fillId="0" borderId="0" xfId="0" applyNumberFormat="1" applyFont="1" applyAlignment="1">
      <alignment horizontal="center"/>
    </xf>
    <xf numFmtId="0" fontId="6" fillId="2" borderId="1" xfId="0" applyFont="1" applyFill="1" applyBorder="1" applyAlignment="1">
      <alignment horizontal="center"/>
    </xf>
    <xf numFmtId="0" fontId="6" fillId="2" borderId="1" xfId="0" applyFont="1" applyFill="1" applyBorder="1"/>
    <xf numFmtId="3" fontId="11" fillId="0" borderId="0" xfId="0" applyNumberFormat="1" applyFont="1" applyAlignment="1">
      <alignment horizontal="center"/>
    </xf>
    <xf numFmtId="4" fontId="11" fillId="0" borderId="0" xfId="0" applyNumberFormat="1" applyFont="1" applyAlignment="1">
      <alignment horizontal="center"/>
    </xf>
    <xf numFmtId="0" fontId="11" fillId="0" borderId="0" xfId="0" applyFont="1"/>
    <xf numFmtId="0" fontId="12" fillId="0" borderId="0" xfId="0" applyFont="1"/>
    <xf numFmtId="0" fontId="12" fillId="0" borderId="0" xfId="0" applyFont="1" applyAlignment="1">
      <alignment horizontal="center"/>
    </xf>
    <xf numFmtId="0" fontId="13" fillId="0" borderId="14" xfId="0" applyFont="1" applyBorder="1" applyAlignment="1">
      <alignment horizontal="center"/>
    </xf>
    <xf numFmtId="0" fontId="14" fillId="2" borderId="0" xfId="0" applyFont="1" applyFill="1" applyAlignment="1">
      <alignment horizontal="center"/>
    </xf>
    <xf numFmtId="0" fontId="14" fillId="2" borderId="15" xfId="0" applyFont="1" applyFill="1" applyBorder="1" applyAlignment="1">
      <alignment horizontal="center"/>
    </xf>
    <xf numFmtId="0" fontId="14" fillId="2" borderId="2" xfId="0" applyFont="1" applyFill="1" applyBorder="1" applyAlignment="1">
      <alignment horizontal="center"/>
    </xf>
    <xf numFmtId="0" fontId="14" fillId="2" borderId="3" xfId="0" applyFont="1" applyFill="1" applyBorder="1" applyAlignment="1">
      <alignment horizontal="center"/>
    </xf>
    <xf numFmtId="0" fontId="14" fillId="2" borderId="4" xfId="0" applyFont="1" applyFill="1" applyBorder="1" applyAlignment="1">
      <alignment horizontal="center"/>
    </xf>
    <xf numFmtId="0" fontId="12" fillId="0" borderId="15" xfId="0" applyFont="1" applyBorder="1" applyAlignment="1">
      <alignment horizontal="center"/>
    </xf>
    <xf numFmtId="3" fontId="12" fillId="0" borderId="0" xfId="0" applyNumberFormat="1" applyFont="1" applyAlignment="1">
      <alignment horizontal="center"/>
    </xf>
    <xf numFmtId="3" fontId="12" fillId="0" borderId="5" xfId="0" applyNumberFormat="1" applyFont="1" applyBorder="1" applyAlignment="1">
      <alignment horizontal="center"/>
    </xf>
    <xf numFmtId="9" fontId="12" fillId="0" borderId="0" xfId="0" applyNumberFormat="1" applyFont="1" applyAlignment="1">
      <alignment horizontal="center"/>
    </xf>
    <xf numFmtId="3" fontId="12" fillId="0" borderId="6" xfId="0" applyNumberFormat="1" applyFont="1" applyBorder="1" applyAlignment="1">
      <alignment horizontal="center"/>
    </xf>
    <xf numFmtId="0" fontId="12" fillId="10" borderId="0" xfId="0" applyFont="1" applyFill="1" applyAlignment="1">
      <alignment horizontal="center"/>
    </xf>
    <xf numFmtId="0" fontId="12" fillId="10" borderId="15" xfId="0" applyFont="1" applyFill="1" applyBorder="1" applyAlignment="1">
      <alignment horizontal="center"/>
    </xf>
    <xf numFmtId="3" fontId="12" fillId="10" borderId="5" xfId="0" applyNumberFormat="1" applyFont="1" applyFill="1" applyBorder="1" applyAlignment="1">
      <alignment horizontal="center"/>
    </xf>
    <xf numFmtId="9" fontId="12" fillId="10" borderId="0" xfId="0" applyNumberFormat="1" applyFont="1" applyFill="1" applyAlignment="1">
      <alignment horizontal="center"/>
    </xf>
    <xf numFmtId="3" fontId="12" fillId="10" borderId="6" xfId="0" applyNumberFormat="1" applyFont="1" applyFill="1" applyBorder="1" applyAlignment="1">
      <alignment horizontal="center"/>
    </xf>
    <xf numFmtId="3" fontId="12" fillId="10" borderId="0" xfId="0" applyNumberFormat="1" applyFont="1" applyFill="1" applyAlignment="1">
      <alignment horizontal="center"/>
    </xf>
    <xf numFmtId="0" fontId="12" fillId="10" borderId="0" xfId="0" applyFont="1" applyFill="1"/>
    <xf numFmtId="0" fontId="12" fillId="0" borderId="1" xfId="0" applyFont="1" applyBorder="1"/>
    <xf numFmtId="3" fontId="15" fillId="0" borderId="0" xfId="0" applyNumberFormat="1" applyFont="1" applyAlignment="1">
      <alignment horizontal="center"/>
    </xf>
    <xf numFmtId="0" fontId="16" fillId="0" borderId="0" xfId="0" applyFont="1" applyAlignment="1">
      <alignment horizontal="left" vertical="top"/>
    </xf>
    <xf numFmtId="43" fontId="3" fillId="0" borderId="0" xfId="2" applyFont="1" applyAlignment="1">
      <alignment horizontal="center" vertical="center" wrapText="1"/>
    </xf>
    <xf numFmtId="43" fontId="3" fillId="0" borderId="0" xfId="2" applyFont="1" applyAlignment="1">
      <alignment horizontal="center" vertical="center"/>
    </xf>
    <xf numFmtId="0" fontId="17" fillId="0" borderId="0" xfId="0" applyFont="1" applyAlignment="1">
      <alignment horizontal="left" vertical="top"/>
    </xf>
    <xf numFmtId="166" fontId="17" fillId="0" borderId="0" xfId="0" applyNumberFormat="1" applyFont="1" applyAlignment="1">
      <alignment horizontal="left" vertical="top"/>
    </xf>
    <xf numFmtId="167" fontId="17" fillId="0" borderId="0" xfId="3" applyFont="1" applyFill="1" applyBorder="1" applyAlignment="1" applyProtection="1">
      <alignment horizontal="left" vertical="top"/>
    </xf>
    <xf numFmtId="14" fontId="0" fillId="0" borderId="0" xfId="0" applyNumberFormat="1"/>
    <xf numFmtId="43" fontId="0" fillId="0" borderId="0" xfId="0" applyNumberFormat="1"/>
    <xf numFmtId="167" fontId="17" fillId="0" borderId="0" xfId="3" applyFont="1" applyAlignment="1">
      <alignment horizontal="left" vertical="top"/>
    </xf>
    <xf numFmtId="43" fontId="3" fillId="0" borderId="1" xfId="2" applyFont="1" applyBorder="1" applyAlignment="1">
      <alignment horizontal="center" vertical="center" wrapText="1"/>
    </xf>
    <xf numFmtId="43" fontId="3" fillId="5" borderId="1" xfId="2" applyFont="1" applyFill="1" applyBorder="1" applyAlignment="1">
      <alignment horizontal="center" vertical="center"/>
    </xf>
    <xf numFmtId="43" fontId="0" fillId="0" borderId="0" xfId="2" applyFont="1" applyAlignment="1">
      <alignment horizontal="center"/>
    </xf>
    <xf numFmtId="14" fontId="0" fillId="0" borderId="0" xfId="0" applyNumberFormat="1" applyAlignment="1">
      <alignment horizontal="center"/>
    </xf>
    <xf numFmtId="43" fontId="3" fillId="0" borderId="0" xfId="0" applyNumberFormat="1" applyFont="1"/>
    <xf numFmtId="43" fontId="0" fillId="0" borderId="1" xfId="2" applyFont="1" applyBorder="1" applyAlignment="1">
      <alignment horizontal="center"/>
    </xf>
    <xf numFmtId="14" fontId="0" fillId="0" borderId="1" xfId="0" applyNumberFormat="1" applyBorder="1" applyAlignment="1">
      <alignment horizontal="center"/>
    </xf>
    <xf numFmtId="14" fontId="0" fillId="0" borderId="1" xfId="0" applyNumberFormat="1" applyBorder="1"/>
    <xf numFmtId="43" fontId="3" fillId="0" borderId="1" xfId="0" applyNumberFormat="1" applyFont="1" applyBorder="1"/>
    <xf numFmtId="43" fontId="3" fillId="5" borderId="0" xfId="0" applyNumberFormat="1" applyFont="1" applyFill="1"/>
    <xf numFmtId="0" fontId="15" fillId="0" borderId="0" xfId="0" applyFont="1"/>
    <xf numFmtId="0" fontId="14" fillId="11" borderId="1" xfId="0" applyFont="1" applyFill="1" applyBorder="1"/>
    <xf numFmtId="0" fontId="14" fillId="11" borderId="1" xfId="0" applyFont="1" applyFill="1" applyBorder="1" applyAlignment="1">
      <alignment horizontal="center"/>
    </xf>
    <xf numFmtId="4" fontId="12" fillId="0" borderId="0" xfId="0" applyNumberFormat="1" applyFont="1" applyAlignment="1">
      <alignment horizontal="center"/>
    </xf>
    <xf numFmtId="4" fontId="12" fillId="0" borderId="1" xfId="0" applyNumberFormat="1" applyFont="1" applyBorder="1" applyAlignment="1">
      <alignment horizontal="center"/>
    </xf>
    <xf numFmtId="4" fontId="15" fillId="0" borderId="0" xfId="0" applyNumberFormat="1" applyFont="1" applyAlignment="1">
      <alignment horizontal="center"/>
    </xf>
    <xf numFmtId="4" fontId="12" fillId="0" borderId="0" xfId="0" applyNumberFormat="1" applyFont="1"/>
    <xf numFmtId="14" fontId="3" fillId="0" borderId="0" xfId="0" applyNumberFormat="1" applyFont="1"/>
    <xf numFmtId="14" fontId="15" fillId="5" borderId="0" xfId="0" applyNumberFormat="1" applyFont="1" applyFill="1" applyAlignment="1">
      <alignment horizontal="center"/>
    </xf>
    <xf numFmtId="15" fontId="12" fillId="0" borderId="0" xfId="0" applyNumberFormat="1" applyFont="1"/>
    <xf numFmtId="167" fontId="0" fillId="0" borderId="0" xfId="3" applyFont="1"/>
    <xf numFmtId="167" fontId="3" fillId="0" borderId="0" xfId="0" applyNumberFormat="1" applyFont="1"/>
    <xf numFmtId="14" fontId="3" fillId="5" borderId="0" xfId="0" applyNumberFormat="1" applyFont="1" applyFill="1"/>
    <xf numFmtId="0" fontId="16" fillId="5" borderId="0" xfId="0" applyFont="1" applyFill="1" applyAlignment="1">
      <alignment horizontal="left" vertical="top"/>
    </xf>
    <xf numFmtId="15" fontId="17" fillId="0" borderId="0" xfId="3" applyNumberFormat="1" applyFont="1" applyAlignment="1">
      <alignment horizontal="left" vertical="top"/>
    </xf>
    <xf numFmtId="167" fontId="3" fillId="5" borderId="0" xfId="0" applyNumberFormat="1" applyFont="1" applyFill="1"/>
    <xf numFmtId="14" fontId="0" fillId="5" borderId="0" xfId="0" applyNumberFormat="1" applyFill="1"/>
    <xf numFmtId="4" fontId="17" fillId="0" borderId="0" xfId="3" applyNumberFormat="1" applyFont="1" applyAlignment="1">
      <alignment horizontal="left" vertical="top"/>
    </xf>
    <xf numFmtId="0" fontId="14" fillId="11" borderId="0" xfId="0" applyFont="1" applyFill="1" applyAlignment="1">
      <alignment horizontal="center"/>
    </xf>
    <xf numFmtId="4" fontId="12" fillId="3" borderId="0" xfId="0" applyNumberFormat="1" applyFont="1" applyFill="1" applyAlignment="1">
      <alignment horizontal="center"/>
    </xf>
    <xf numFmtId="4" fontId="12" fillId="3" borderId="1" xfId="0" applyNumberFormat="1" applyFont="1" applyFill="1" applyBorder="1" applyAlignment="1">
      <alignment horizontal="center"/>
    </xf>
    <xf numFmtId="0" fontId="15" fillId="0" borderId="0" xfId="0" applyFont="1" applyAlignment="1">
      <alignment horizontal="center"/>
    </xf>
    <xf numFmtId="17" fontId="15" fillId="3" borderId="0" xfId="0" applyNumberFormat="1" applyFont="1" applyFill="1" applyAlignment="1">
      <alignment horizontal="center"/>
    </xf>
    <xf numFmtId="4" fontId="15" fillId="3" borderId="0" xfId="0" applyNumberFormat="1" applyFont="1" applyFill="1" applyAlignment="1">
      <alignment horizontal="center"/>
    </xf>
    <xf numFmtId="17" fontId="15" fillId="3" borderId="1" xfId="0" applyNumberFormat="1" applyFont="1" applyFill="1" applyBorder="1" applyAlignment="1">
      <alignment horizontal="center"/>
    </xf>
    <xf numFmtId="4" fontId="15" fillId="3" borderId="1" xfId="0" applyNumberFormat="1" applyFont="1" applyFill="1" applyBorder="1" applyAlignment="1">
      <alignment horizontal="center"/>
    </xf>
    <xf numFmtId="17" fontId="15" fillId="0" borderId="0" xfId="0" applyNumberFormat="1" applyFont="1" applyAlignment="1">
      <alignment horizontal="center"/>
    </xf>
    <xf numFmtId="17" fontId="15" fillId="0" borderId="1" xfId="0" applyNumberFormat="1" applyFont="1" applyBorder="1" applyAlignment="1">
      <alignment horizontal="center"/>
    </xf>
    <xf numFmtId="4" fontId="15" fillId="0" borderId="1" xfId="0" applyNumberFormat="1" applyFont="1" applyBorder="1" applyAlignment="1">
      <alignment horizontal="center"/>
    </xf>
    <xf numFmtId="0" fontId="14" fillId="12" borderId="0" xfId="0" applyFont="1" applyFill="1" applyAlignment="1">
      <alignment horizontal="center"/>
    </xf>
    <xf numFmtId="9" fontId="19" fillId="0" borderId="0" xfId="0" applyNumberFormat="1" applyFont="1" applyAlignment="1">
      <alignment horizontal="center"/>
    </xf>
    <xf numFmtId="0" fontId="20" fillId="0" borderId="0" xfId="0" applyFont="1"/>
    <xf numFmtId="164" fontId="15" fillId="0" borderId="0" xfId="0" applyNumberFormat="1" applyFont="1" applyAlignment="1">
      <alignment horizontal="center"/>
    </xf>
    <xf numFmtId="0" fontId="20" fillId="0" borderId="0" xfId="0" applyFont="1" applyAlignment="1">
      <alignment horizontal="right"/>
    </xf>
    <xf numFmtId="4" fontId="15" fillId="4" borderId="0" xfId="0" applyNumberFormat="1" applyFont="1" applyFill="1" applyAlignment="1">
      <alignment horizontal="center"/>
    </xf>
    <xf numFmtId="167" fontId="0" fillId="0" borderId="0" xfId="0" applyNumberFormat="1"/>
    <xf numFmtId="0" fontId="0" fillId="0" borderId="0" xfId="0" pivotButton="1"/>
    <xf numFmtId="0" fontId="0" fillId="0" borderId="0" xfId="0" applyAlignment="1">
      <alignment horizontal="left"/>
    </xf>
    <xf numFmtId="0" fontId="21" fillId="0" borderId="0" xfId="4"/>
    <xf numFmtId="0" fontId="21" fillId="5" borderId="0" xfId="4" applyFill="1"/>
    <xf numFmtId="4" fontId="21" fillId="5" borderId="0" xfId="4" applyNumberFormat="1" applyFill="1"/>
    <xf numFmtId="15" fontId="21" fillId="5" borderId="0" xfId="4" applyNumberFormat="1" applyFill="1"/>
    <xf numFmtId="0" fontId="13" fillId="0" borderId="0" xfId="0" applyFont="1" applyAlignment="1">
      <alignment horizontal="center"/>
    </xf>
    <xf numFmtId="0" fontId="22" fillId="5" borderId="0" xfId="0" applyFont="1" applyFill="1" applyAlignment="1">
      <alignment horizontal="center"/>
    </xf>
    <xf numFmtId="4" fontId="12" fillId="10" borderId="0" xfId="0" applyNumberFormat="1" applyFont="1" applyFill="1" applyAlignment="1">
      <alignment horizontal="center"/>
    </xf>
    <xf numFmtId="14" fontId="12" fillId="0" borderId="0" xfId="0" applyNumberFormat="1" applyFont="1" applyAlignment="1">
      <alignment horizontal="center"/>
    </xf>
    <xf numFmtId="14" fontId="12" fillId="10" borderId="0" xfId="0" applyNumberFormat="1" applyFont="1" applyFill="1" applyAlignment="1">
      <alignment horizontal="center"/>
    </xf>
    <xf numFmtId="0" fontId="0" fillId="0" borderId="0" xfId="0" applyAlignment="1">
      <alignment horizontal="center" vertical="center"/>
    </xf>
    <xf numFmtId="14" fontId="0" fillId="0" borderId="0" xfId="0" applyNumberFormat="1" applyAlignment="1">
      <alignment horizontal="center" vertical="center"/>
    </xf>
    <xf numFmtId="4" fontId="0" fillId="0" borderId="0" xfId="0" applyNumberFormat="1" applyAlignment="1">
      <alignment horizontal="center" vertical="center"/>
    </xf>
    <xf numFmtId="4" fontId="3" fillId="0" borderId="0" xfId="0" applyNumberFormat="1" applyFont="1" applyAlignment="1">
      <alignment horizontal="center" vertical="center"/>
    </xf>
    <xf numFmtId="0" fontId="2" fillId="13" borderId="0" xfId="0" applyFont="1" applyFill="1" applyAlignment="1">
      <alignment horizontal="center" vertical="center"/>
    </xf>
    <xf numFmtId="4" fontId="2" fillId="13" borderId="0" xfId="0" applyNumberFormat="1" applyFont="1" applyFill="1" applyAlignment="1">
      <alignment horizontal="center" vertical="center"/>
    </xf>
    <xf numFmtId="0" fontId="23" fillId="0" borderId="0" xfId="0" applyFont="1" applyAlignment="1">
      <alignment horizontal="center"/>
    </xf>
    <xf numFmtId="0" fontId="24" fillId="2" borderId="0" xfId="0" applyFont="1" applyFill="1" applyAlignment="1">
      <alignment horizontal="center"/>
    </xf>
    <xf numFmtId="14" fontId="23" fillId="10" borderId="0" xfId="0" applyNumberFormat="1" applyFont="1" applyFill="1" applyAlignment="1">
      <alignment horizontal="center"/>
    </xf>
    <xf numFmtId="14" fontId="23" fillId="0" borderId="0" xfId="0" applyNumberFormat="1" applyFont="1" applyAlignment="1">
      <alignment horizontal="center"/>
    </xf>
    <xf numFmtId="4" fontId="23" fillId="10" borderId="0" xfId="0" applyNumberFormat="1" applyFont="1" applyFill="1" applyAlignment="1">
      <alignment horizontal="center"/>
    </xf>
    <xf numFmtId="0" fontId="23" fillId="0" borderId="15" xfId="0" applyFont="1" applyBorder="1" applyAlignment="1">
      <alignment horizontal="center"/>
    </xf>
    <xf numFmtId="0" fontId="25" fillId="5" borderId="0" xfId="0" applyFont="1" applyFill="1" applyAlignment="1">
      <alignment horizontal="center"/>
    </xf>
    <xf numFmtId="0" fontId="23" fillId="10" borderId="0" xfId="0" applyFont="1" applyFill="1" applyAlignment="1">
      <alignment horizontal="center"/>
    </xf>
    <xf numFmtId="0" fontId="26" fillId="0" borderId="0" xfId="0" applyFont="1" applyAlignment="1">
      <alignment horizontal="center"/>
    </xf>
    <xf numFmtId="4" fontId="26" fillId="0" borderId="0" xfId="0" applyNumberFormat="1" applyFont="1" applyAlignment="1">
      <alignment horizontal="center"/>
    </xf>
    <xf numFmtId="0" fontId="3" fillId="9" borderId="0" xfId="0" applyFont="1" applyFill="1" applyAlignment="1">
      <alignment horizontal="center" vertical="center"/>
    </xf>
    <xf numFmtId="0" fontId="3" fillId="9" borderId="0" xfId="0" applyFont="1" applyFill="1" applyAlignment="1">
      <alignment horizontal="center"/>
    </xf>
    <xf numFmtId="0" fontId="3" fillId="9" borderId="0" xfId="0" applyFont="1" applyFill="1"/>
    <xf numFmtId="4" fontId="3" fillId="9" borderId="0" xfId="0" applyNumberFormat="1" applyFont="1" applyFill="1" applyAlignment="1">
      <alignment horizontal="center" vertical="center"/>
    </xf>
    <xf numFmtId="0" fontId="27" fillId="15" borderId="0" xfId="0" applyFont="1" applyFill="1" applyAlignment="1">
      <alignment horizontal="center" vertical="center"/>
    </xf>
    <xf numFmtId="4" fontId="27" fillId="14" borderId="0" xfId="0" applyNumberFormat="1" applyFont="1" applyFill="1" applyAlignment="1">
      <alignment horizontal="center" vertical="center"/>
    </xf>
    <xf numFmtId="14" fontId="12" fillId="9" borderId="0" xfId="0" applyNumberFormat="1" applyFont="1" applyFill="1" applyAlignment="1">
      <alignment horizontal="center"/>
    </xf>
    <xf numFmtId="14" fontId="13" fillId="0" borderId="0" xfId="0" applyNumberFormat="1" applyFont="1" applyAlignment="1">
      <alignment horizontal="center"/>
    </xf>
    <xf numFmtId="4" fontId="12" fillId="9" borderId="0" xfId="0" applyNumberFormat="1" applyFont="1" applyFill="1" applyAlignment="1">
      <alignment horizontal="center"/>
    </xf>
    <xf numFmtId="4" fontId="15" fillId="9" borderId="0" xfId="0" applyNumberFormat="1" applyFont="1" applyFill="1" applyAlignment="1">
      <alignment horizontal="center"/>
    </xf>
    <xf numFmtId="0" fontId="12" fillId="16" borderId="0" xfId="0" applyFont="1" applyFill="1" applyAlignment="1">
      <alignment horizontal="center"/>
    </xf>
    <xf numFmtId="0" fontId="12" fillId="16" borderId="15" xfId="0" applyFont="1" applyFill="1" applyBorder="1" applyAlignment="1">
      <alignment horizontal="center"/>
    </xf>
    <xf numFmtId="3" fontId="12" fillId="16" borderId="5" xfId="0" applyNumberFormat="1" applyFont="1" applyFill="1" applyBorder="1" applyAlignment="1">
      <alignment horizontal="center"/>
    </xf>
    <xf numFmtId="9" fontId="12" fillId="16" borderId="0" xfId="0" applyNumberFormat="1" applyFont="1" applyFill="1" applyAlignment="1">
      <alignment horizontal="center"/>
    </xf>
    <xf numFmtId="3" fontId="12" fillId="16" borderId="6" xfId="0" applyNumberFormat="1" applyFont="1" applyFill="1" applyBorder="1" applyAlignment="1">
      <alignment horizontal="center"/>
    </xf>
    <xf numFmtId="3" fontId="12" fillId="16" borderId="0" xfId="0" applyNumberFormat="1" applyFont="1" applyFill="1" applyAlignment="1">
      <alignment horizontal="center"/>
    </xf>
    <xf numFmtId="0" fontId="12" fillId="16" borderId="0" xfId="0" applyFont="1" applyFill="1"/>
    <xf numFmtId="14" fontId="12" fillId="16" borderId="0" xfId="0" applyNumberFormat="1" applyFont="1" applyFill="1" applyAlignment="1">
      <alignment horizontal="center"/>
    </xf>
    <xf numFmtId="14" fontId="23" fillId="16" borderId="0" xfId="0" applyNumberFormat="1" applyFont="1" applyFill="1" applyAlignment="1">
      <alignment horizontal="center"/>
    </xf>
    <xf numFmtId="0" fontId="23" fillId="16" borderId="0" xfId="0" applyFont="1" applyFill="1" applyAlignment="1">
      <alignment horizontal="center"/>
    </xf>
    <xf numFmtId="4" fontId="12" fillId="16" borderId="0" xfId="0" applyNumberFormat="1" applyFont="1" applyFill="1" applyAlignment="1">
      <alignment horizontal="center"/>
    </xf>
    <xf numFmtId="0" fontId="12" fillId="16" borderId="1" xfId="0" applyFont="1" applyFill="1" applyBorder="1" applyAlignment="1">
      <alignment horizontal="center"/>
    </xf>
    <xf numFmtId="0" fontId="12" fillId="16" borderId="12" xfId="0" applyFont="1" applyFill="1" applyBorder="1" applyAlignment="1">
      <alignment horizontal="center"/>
    </xf>
    <xf numFmtId="3" fontId="12" fillId="16" borderId="7" xfId="0" applyNumberFormat="1" applyFont="1" applyFill="1" applyBorder="1" applyAlignment="1">
      <alignment horizontal="center"/>
    </xf>
    <xf numFmtId="9" fontId="12" fillId="16" borderId="1" xfId="0" applyNumberFormat="1" applyFont="1" applyFill="1" applyBorder="1" applyAlignment="1">
      <alignment horizontal="center"/>
    </xf>
    <xf numFmtId="3" fontId="12" fillId="16" borderId="8" xfId="0" applyNumberFormat="1" applyFont="1" applyFill="1" applyBorder="1" applyAlignment="1">
      <alignment horizontal="center"/>
    </xf>
    <xf numFmtId="3" fontId="12" fillId="16" borderId="1" xfId="0" applyNumberFormat="1" applyFont="1" applyFill="1" applyBorder="1" applyAlignment="1">
      <alignment horizontal="center"/>
    </xf>
    <xf numFmtId="0" fontId="12" fillId="16" borderId="1" xfId="0" applyFont="1" applyFill="1" applyBorder="1"/>
    <xf numFmtId="14" fontId="12" fillId="16" borderId="1" xfId="0" applyNumberFormat="1" applyFont="1" applyFill="1" applyBorder="1" applyAlignment="1">
      <alignment horizontal="center"/>
    </xf>
    <xf numFmtId="14" fontId="23" fillId="16" borderId="1" xfId="0" applyNumberFormat="1" applyFont="1" applyFill="1" applyBorder="1" applyAlignment="1">
      <alignment horizontal="center"/>
    </xf>
    <xf numFmtId="0" fontId="23" fillId="16" borderId="1" xfId="0" applyFont="1" applyFill="1" applyBorder="1" applyAlignment="1">
      <alignment horizontal="center"/>
    </xf>
    <xf numFmtId="4" fontId="12" fillId="16" borderId="1" xfId="0" applyNumberFormat="1" applyFont="1" applyFill="1" applyBorder="1" applyAlignment="1">
      <alignment horizontal="center"/>
    </xf>
    <xf numFmtId="0" fontId="12" fillId="5" borderId="0" xfId="0" applyFont="1" applyFill="1" applyAlignment="1">
      <alignment horizontal="center"/>
    </xf>
    <xf numFmtId="0" fontId="12" fillId="5" borderId="15" xfId="0" applyFont="1" applyFill="1" applyBorder="1" applyAlignment="1">
      <alignment horizontal="center"/>
    </xf>
    <xf numFmtId="3" fontId="12" fillId="5" borderId="5" xfId="0" applyNumberFormat="1" applyFont="1" applyFill="1" applyBorder="1" applyAlignment="1">
      <alignment horizontal="center"/>
    </xf>
    <xf numFmtId="9" fontId="12" fillId="5" borderId="0" xfId="0" applyNumberFormat="1" applyFont="1" applyFill="1" applyAlignment="1">
      <alignment horizontal="center"/>
    </xf>
    <xf numFmtId="3" fontId="12" fillId="5" borderId="6" xfId="0" applyNumberFormat="1" applyFont="1" applyFill="1" applyBorder="1" applyAlignment="1">
      <alignment horizontal="center"/>
    </xf>
    <xf numFmtId="3" fontId="12" fillId="5" borderId="0" xfId="0" applyNumberFormat="1" applyFont="1" applyFill="1" applyAlignment="1">
      <alignment horizontal="center"/>
    </xf>
    <xf numFmtId="0" fontId="12" fillId="5" borderId="0" xfId="0" applyFont="1" applyFill="1"/>
    <xf numFmtId="14" fontId="12" fillId="5" borderId="0" xfId="0" applyNumberFormat="1" applyFont="1" applyFill="1" applyAlignment="1">
      <alignment horizontal="center"/>
    </xf>
    <xf numFmtId="14" fontId="23" fillId="5" borderId="0" xfId="0" applyNumberFormat="1" applyFont="1" applyFill="1" applyAlignment="1">
      <alignment horizontal="center"/>
    </xf>
    <xf numFmtId="0" fontId="23" fillId="5" borderId="0" xfId="0" applyFont="1" applyFill="1" applyAlignment="1">
      <alignment horizontal="center"/>
    </xf>
    <xf numFmtId="4" fontId="12" fillId="5" borderId="0" xfId="0" applyNumberFormat="1" applyFont="1" applyFill="1" applyAlignment="1">
      <alignment horizontal="center"/>
    </xf>
    <xf numFmtId="0" fontId="13" fillId="0" borderId="9" xfId="0" applyFont="1" applyBorder="1" applyAlignment="1">
      <alignment horizontal="center"/>
    </xf>
    <xf numFmtId="0" fontId="13" fillId="0" borderId="10" xfId="0" applyFont="1" applyBorder="1" applyAlignment="1">
      <alignment horizontal="center"/>
    </xf>
    <xf numFmtId="0" fontId="13" fillId="0" borderId="13" xfId="0" applyFont="1" applyBorder="1" applyAlignment="1">
      <alignment horizontal="center"/>
    </xf>
    <xf numFmtId="0" fontId="8" fillId="5" borderId="2" xfId="0" applyFont="1" applyFill="1" applyBorder="1" applyAlignment="1">
      <alignment horizontal="center" vertical="center"/>
    </xf>
    <xf numFmtId="0" fontId="8" fillId="5" borderId="3" xfId="0" applyFont="1" applyFill="1" applyBorder="1" applyAlignment="1">
      <alignment horizontal="center" vertical="center"/>
    </xf>
    <xf numFmtId="0" fontId="8" fillId="5" borderId="4" xfId="0" applyFont="1" applyFill="1" applyBorder="1" applyAlignment="1">
      <alignment horizontal="center" vertical="center"/>
    </xf>
    <xf numFmtId="0" fontId="8" fillId="5" borderId="5" xfId="0" applyFont="1" applyFill="1" applyBorder="1" applyAlignment="1">
      <alignment horizontal="center" vertical="center"/>
    </xf>
    <xf numFmtId="0" fontId="8" fillId="5" borderId="0" xfId="0" applyFont="1" applyFill="1" applyAlignment="1">
      <alignment horizontal="center" vertical="center"/>
    </xf>
    <xf numFmtId="0" fontId="8" fillId="5" borderId="6" xfId="0" applyFont="1" applyFill="1" applyBorder="1" applyAlignment="1">
      <alignment horizontal="center" vertical="center"/>
    </xf>
    <xf numFmtId="0" fontId="8" fillId="5" borderId="7" xfId="0" applyFont="1" applyFill="1" applyBorder="1" applyAlignment="1">
      <alignment horizontal="center" vertical="center"/>
    </xf>
    <xf numFmtId="0" fontId="8" fillId="5" borderId="1" xfId="0" applyFont="1" applyFill="1" applyBorder="1" applyAlignment="1">
      <alignment horizontal="center" vertical="center"/>
    </xf>
    <xf numFmtId="0" fontId="8" fillId="5" borderId="8" xfId="0" applyFont="1" applyFill="1" applyBorder="1" applyAlignment="1">
      <alignment horizontal="center" vertical="center"/>
    </xf>
  </cellXfs>
  <cellStyles count="5">
    <cellStyle name="Comma 2 4" xfId="2" xr:uid="{206F2C7A-888B-4D53-82B6-736E806E7880}"/>
    <cellStyle name="Normal" xfId="0" builtinId="0"/>
    <cellStyle name="Normal 2" xfId="4" xr:uid="{49DE81DF-055D-4A78-8286-A8ECC94B906F}"/>
    <cellStyle name="Porcentagem" xfId="1" builtinId="5"/>
    <cellStyle name="Vírgula 2" xfId="3" xr:uid="{29A337C0-0205-499B-95C4-850B80569304}"/>
  </cellStyles>
  <dxfs count="5">
    <dxf>
      <numFmt numFmtId="4" formatCode="#,##0.00"/>
    </dxf>
    <dxf>
      <numFmt numFmtId="4" formatCode="#,##0.00"/>
    </dxf>
    <dxf>
      <numFmt numFmtId="19" formatCode="dd/mm/yyyy"/>
    </dxf>
    <dxf>
      <numFmt numFmtId="4" formatCode="#,##0.00"/>
    </dxf>
    <dxf>
      <numFmt numFmtId="4" formatCode="#,##0.00"/>
    </dxf>
  </dxfs>
  <tableStyles count="0" defaultTableStyle="TableStyleMedium2" defaultPivotStyle="PivotStyleLight16"/>
  <colors>
    <mruColors>
      <color rgb="FFFFFFCC"/>
      <color rgb="FF9E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externalLink" Target="externalLinks/externalLink13.xml"/><Relationship Id="rId21" Type="http://schemas.openxmlformats.org/officeDocument/2006/relationships/externalLink" Target="externalLinks/externalLink8.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33" Type="http://schemas.openxmlformats.org/officeDocument/2006/relationships/sharedStrings" Target="sharedString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29"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1.xml"/><Relationship Id="rId32" Type="http://schemas.openxmlformats.org/officeDocument/2006/relationships/styles" Target="styles.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externalLink" Target="externalLinks/externalLink6.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30" Type="http://schemas.openxmlformats.org/officeDocument/2006/relationships/pivotCacheDefinition" Target="pivotCache/pivotCacheDefinition2.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Gerencial%20-%20Mauricio\100-OR&#199;AMENTO_RESULTADO\Plano%204%20anos\Plano%204%20anos%20JAC%20-%20Rev.07\Dist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Gerencial%20-%20Mauricio\100-OR&#199;AMENTO_RESULTADO\Plano%204%20anos\Plano%204%20anos%20JAC%20-%20Rev.07\Dist20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BPE\FINANCE\JAIROC\PLANILHAS%20DE%20C&#193;LCULO%20JUDICIAIS\COMPOSI&#199;&#195;O%20DIVIDA\NASCIMENTO%20E%20PESSOA%20LTDA.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personal/renan_borsatti_enforcegroup_com_br/Documents/Documentos/Renan%20Borsatti/ELIO%20ROCHA/ELIO%20ROCHA_Precifica&#231;&#227;o_Laad_V2.xlsx" TargetMode="External"/><Relationship Id="rId1" Type="http://schemas.openxmlformats.org/officeDocument/2006/relationships/externalLinkPath" Target="/personal/renan_borsatti_enforcegroup_com_br/Documents/Documentos/Renan%20Borsatti/ELIO%20ROCHA/ELIO%20ROCHA_Precifica&#231;&#227;o_Laad_V2.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Users/pedro.santiago/AppData/Local/Microsoft/Windows/INetCache/Content.Outlook/O7NG80PH/Fluxo_Sensibilidade_Juros_Multiplas_Exec_6%20(002).xlsb" TargetMode="External"/><Relationship Id="rId1" Type="http://schemas.openxmlformats.org/officeDocument/2006/relationships/externalLinkPath" Target="/Users/pedro.santiago/AppData/Local/Microsoft/Windows/INetCache/Content.Outlook/O7NG80PH/Fluxo_Sensibilidade_Juros_Multiplas_Exec_6%20(00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andrei.insognia\AppData\Local\Microsoft\Windows\INetCache\Content.Outlook\X5C4L49W\APTA%20DTREE%20-%20v3.0%20-%20Rosarial.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Users/agostinho.alves/Desktop/email%20de%20cobran&#231;a/1.%20EMAIL%20COBRAN&#199;A2.0.xlsx" TargetMode="External"/><Relationship Id="rId1" Type="http://schemas.openxmlformats.org/officeDocument/2006/relationships/externalLinkPath" Target="/Users/agostinho.alves/Desktop/email%20de%20cobran&#231;a/1.%20EMAIL%20COBRAN&#199;A2.0.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Gestao%20Portifolio/Casos/Modelo%20Precifica&#231;&#227;o.xlsx" TargetMode="External"/><Relationship Id="rId1" Type="http://schemas.openxmlformats.org/officeDocument/2006/relationships/externalLinkPath" Target="/Gestao%20Portifolio/Casos/Modelo%20Precifica&#231;&#227;o.xlsx"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Atualiza&#231;&#227;o%20de%20Valores1"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TRABALHO\EXCEL\CONTABIL\OR&#199;AM_2002\ORCAMENTO%202002\Dist20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Users/Usuario/ENFORCE%20GESTAO%20DE%20ATIVOS%20S.A/Site%20da%20Equipe%20-%2007-Prospeccao/BVA_CAOA/Modelo%20Avalia&#231;&#227;o_BVA%20CAOA_05_04.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matheus.tavares\Documents\APTA%20DTREE%20-%20Varnier.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rvidor\nt_dados\Trabalho\Controladoria\OR&#199;AMENTO_RESULTADO\grafico_termometro.xls"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https://enforcegestaoativos.sharepoint.com/OLRJ/01%20-%20Casos%20Sob%20Gest&#227;o/JV/COZAC%20-%20JV_2022/1%20-%20Controle%20da%20Opera&#231;&#227;o/202506_COZAC%20-%20revis&#227;o%20im&#243;veis%20e%20internaliza&#231;&#227;o%20(RPM).xlsx" TargetMode="External"/><Relationship Id="rId1" Type="http://schemas.openxmlformats.org/officeDocument/2006/relationships/externalLinkPath" Target="202506_COZAC%20-%20revis&#227;o%20im&#243;veis%20e%20internaliza&#231;&#227;o%20(RPM).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C:\Pricing\Add-in\Pricing.xlam" TargetMode="External"/><Relationship Id="rId1" Type="http://schemas.openxmlformats.org/officeDocument/2006/relationships/externalLinkPath" Target="file:///C:\Pricing\Add-in\Pricing.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ACAL"/>
      <sheetName val="EMPREIT"/>
      <sheetName val="TMED"/>
      <sheetName val="TTRAC"/>
      <sheetName val="TSUPER"/>
      <sheetName val="GUINCHO."/>
      <sheetName val="CLHDRAS"/>
      <sheetName val="KMCAM"/>
      <sheetName val="MAQCONT"/>
      <sheetName val="FRETCONT"/>
      <sheetName val="VEICTRATS"/>
      <sheetName val="MENSALISTAS"/>
      <sheetName val="MATDIV"/>
      <sheetName val="REFEICS"/>
      <sheetName val="Plan1"/>
      <sheetName val="Plan2"/>
      <sheetName val="Plan3"/>
      <sheetName val="GUINCHO_"/>
      <sheetName val="GUINCHO_1"/>
      <sheetName val="GUINCHO_2"/>
      <sheetName val="GUINCHO_3"/>
      <sheetName val="GUINCHO_4"/>
      <sheetName val="GUINCHO_5"/>
      <sheetName val="GUINCHO_6"/>
      <sheetName val="GUINCHO_16"/>
      <sheetName val="GUINCHO_7"/>
      <sheetName val="GUINCHO_8"/>
      <sheetName val="GUINCHO_9"/>
      <sheetName val="GUINCHO_10"/>
      <sheetName val="GUINCHO_11"/>
      <sheetName val="GUINCHO_12"/>
      <sheetName val="GUINCHO_13"/>
      <sheetName val="GUINCHO_14"/>
      <sheetName val="GUINCHO_15"/>
      <sheetName val="GUINCHO_17"/>
      <sheetName val="GUINCHO_29"/>
      <sheetName val="GUINCHO_18"/>
      <sheetName val="GUINCHO_20"/>
      <sheetName val="GUINCHO_19"/>
      <sheetName val="GUINCHO_21"/>
      <sheetName val="GUINCHO_22"/>
      <sheetName val="GUINCHO_23"/>
      <sheetName val="GUINCHO_24"/>
      <sheetName val="GUINCHO_25"/>
      <sheetName val="GUINCHO_26"/>
      <sheetName val="GUINCHO_27"/>
      <sheetName val="GUINCHO_28"/>
      <sheetName val="GUINCHO_30"/>
      <sheetName val="GUINCHO_31"/>
      <sheetName val="GUINCHO_3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ACAL"/>
      <sheetName val="EMPREIT"/>
      <sheetName val="TMED"/>
      <sheetName val="TTRAC"/>
      <sheetName val="TSUPER"/>
      <sheetName val="GUINCHO."/>
      <sheetName val="CLHDRAS"/>
      <sheetName val="KMCAM"/>
      <sheetName val="MAQCONT"/>
      <sheetName val="FRETCONT"/>
      <sheetName val="VEICTRATS"/>
      <sheetName val="MENSALISTAS"/>
      <sheetName val="MATDIV"/>
      <sheetName val="REFEICS"/>
      <sheetName val="Plan1"/>
      <sheetName val="Plan2"/>
      <sheetName val="Plan3"/>
      <sheetName val="GUINCHO_"/>
      <sheetName val="GUINCHO_1"/>
      <sheetName val="GUINCHO_2"/>
      <sheetName val="GUINCHO_3"/>
      <sheetName val="GUINCHO_4"/>
      <sheetName val="GUINCHO_5"/>
      <sheetName val="GUINCHO_6"/>
      <sheetName val="GUINCHO_16"/>
      <sheetName val="GUINCHO_7"/>
      <sheetName val="GUINCHO_8"/>
      <sheetName val="GUINCHO_9"/>
      <sheetName val="GUINCHO_10"/>
      <sheetName val="GUINCHO_11"/>
      <sheetName val="GUINCHO_12"/>
      <sheetName val="GUINCHO_13"/>
      <sheetName val="GUINCHO_14"/>
      <sheetName val="GUINCHO_15"/>
      <sheetName val="GUINCHO_17"/>
      <sheetName val="GUINCHO_29"/>
      <sheetName val="GUINCHO_18"/>
      <sheetName val="GUINCHO_20"/>
      <sheetName val="GUINCHO_19"/>
      <sheetName val="GUINCHO_21"/>
      <sheetName val="GUINCHO_22"/>
      <sheetName val="GUINCHO_23"/>
      <sheetName val="GUINCHO_24"/>
      <sheetName val="GUINCHO_25"/>
      <sheetName val="GUINCHO_26"/>
      <sheetName val="GUINCHO_27"/>
      <sheetName val="GUINCHO_28"/>
      <sheetName val="GUINCHO_30"/>
      <sheetName val="GUINCHO_31"/>
      <sheetName val="GUINCHO_3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US CASOS"/>
      <sheetName val="AM"/>
      <sheetName val="CÁLCULOS PEDIDOS"/>
      <sheetName val="DATA"/>
      <sheetName val="Atualização"/>
      <sheetName val="Ind TJ"/>
      <sheetName val="NASCIMENTO E PESSOA LTDA"/>
      <sheetName val="MEUS_CASOS1"/>
      <sheetName val="CÁLCULOS_PEDIDOS1"/>
      <sheetName val="Ind_TJ1"/>
      <sheetName val="NASCIMENTO_E_PESSOA_LTDA1"/>
      <sheetName val="MEUS_CASOS"/>
      <sheetName val="CÁLCULOS_PEDIDOS"/>
      <sheetName val="Ind_TJ"/>
      <sheetName val="NASCIMENTO_E_PESSOA_LTDA"/>
      <sheetName val="MEUS_CASOS2"/>
      <sheetName val="CÁLCULOS_PEDIDOS2"/>
      <sheetName val="Ind_TJ2"/>
      <sheetName val="NASCIMENTO_E_PESSOA_LTDA2"/>
      <sheetName val="MEUS_CASOS3"/>
      <sheetName val="CÁLCULOS_PEDIDOS3"/>
      <sheetName val="Ind_TJ3"/>
      <sheetName val="NASCIMENTO_E_PESSOA_LTDA3"/>
      <sheetName val="MEUS_CASOS4"/>
      <sheetName val="CÁLCULOS_PEDIDOS4"/>
      <sheetName val="Ind_TJ4"/>
      <sheetName val="NASCIMENTO_E_PESSOA_LTDA4"/>
      <sheetName val="MEUS_CASOS5"/>
      <sheetName val="CÁLCULOS_PEDIDOS5"/>
      <sheetName val="Ind_TJ5"/>
      <sheetName val="NASCIMENTO_E_PESSOA_LTDA5"/>
      <sheetName val="MEUS_CASOS6"/>
      <sheetName val="CÁLCULOS_PEDIDOS6"/>
      <sheetName val="Ind_TJ6"/>
      <sheetName val="NASCIMENTO_E_PESSOA_LTDA6"/>
      <sheetName val="MEUS_CASOS8"/>
      <sheetName val="CÁLCULOS_PEDIDOS8"/>
      <sheetName val="Ind_TJ8"/>
      <sheetName val="NASCIMENTO_E_PESSOA_LTDA8"/>
      <sheetName val="MEUS_CASOS7"/>
      <sheetName val="CÁLCULOS_PEDIDOS7"/>
      <sheetName val="Ind_TJ7"/>
      <sheetName val="NASCIMENTO_E_PESSOA_LTDA7"/>
      <sheetName val="MEUS_CASOS11"/>
      <sheetName val="CÁLCULOS_PEDIDOS11"/>
      <sheetName val="Ind_TJ11"/>
      <sheetName val="NASCIMENTO_E_PESSOA_LTDA11"/>
      <sheetName val="MEUS_CASOS9"/>
      <sheetName val="CÁLCULOS_PEDIDOS9"/>
      <sheetName val="Ind_TJ9"/>
      <sheetName val="NASCIMENTO_E_PESSOA_LTDA9"/>
      <sheetName val="MEUS_CASOS10"/>
      <sheetName val="CÁLCULOS_PEDIDOS10"/>
      <sheetName val="Ind_TJ10"/>
      <sheetName val="NASCIMENTO_E_PESSOA_LTDA10"/>
      <sheetName val="MEUS_CASOS12"/>
      <sheetName val="CÁLCULOS_PEDIDOS12"/>
      <sheetName val="Ind_TJ12"/>
      <sheetName val="NASCIMENTO_E_PESSOA_LTDA12"/>
      <sheetName val="MEUS_CASOS14"/>
      <sheetName val="CÁLCULOS_PEDIDOS14"/>
      <sheetName val="Ind_TJ14"/>
      <sheetName val="NASCIMENTO_E_PESSOA_LTDA14"/>
      <sheetName val="MEUS_CASOS13"/>
      <sheetName val="CÁLCULOS_PEDIDOS13"/>
      <sheetName val="Ind_TJ13"/>
      <sheetName val="NASCIMENTO_E_PESSOA_LTDA13"/>
      <sheetName val="MEUS_CASOS15"/>
      <sheetName val="CÁLCULOS_PEDIDOS15"/>
      <sheetName val="Ind_TJ15"/>
      <sheetName val="NASCIMENTO_E_PESSOA_LTDA15"/>
      <sheetName val="MEUS_CASOS27"/>
      <sheetName val="CÁLCULOS_PEDIDOS27"/>
      <sheetName val="Ind_TJ27"/>
      <sheetName val="NASCIMENTO_E_PESSOA_LTDA27"/>
      <sheetName val="MEUS_CASOS16"/>
      <sheetName val="CÁLCULOS_PEDIDOS16"/>
      <sheetName val="Ind_TJ16"/>
      <sheetName val="NASCIMENTO_E_PESSOA_LTDA16"/>
      <sheetName val="MEUS_CASOS18"/>
      <sheetName val="CÁLCULOS_PEDIDOS18"/>
      <sheetName val="Ind_TJ18"/>
      <sheetName val="NASCIMENTO_E_PESSOA_LTDA18"/>
      <sheetName val="MEUS_CASOS17"/>
      <sheetName val="CÁLCULOS_PEDIDOS17"/>
      <sheetName val="Ind_TJ17"/>
      <sheetName val="NASCIMENTO_E_PESSOA_LTDA17"/>
      <sheetName val="MEUS_CASOS19"/>
      <sheetName val="CÁLCULOS_PEDIDOS19"/>
      <sheetName val="Ind_TJ19"/>
      <sheetName val="NASCIMENTO_E_PESSOA_LTDA19"/>
      <sheetName val="MEUS_CASOS20"/>
      <sheetName val="CÁLCULOS_PEDIDOS20"/>
      <sheetName val="Ind_TJ20"/>
      <sheetName val="NASCIMENTO_E_PESSOA_LTDA20"/>
      <sheetName val="MEUS_CASOS21"/>
      <sheetName val="CÁLCULOS_PEDIDOS21"/>
      <sheetName val="Ind_TJ21"/>
      <sheetName val="NASCIMENTO_E_PESSOA_LTDA21"/>
      <sheetName val="MEUS_CASOS22"/>
      <sheetName val="CÁLCULOS_PEDIDOS22"/>
      <sheetName val="Ind_TJ22"/>
      <sheetName val="NASCIMENTO_E_PESSOA_LTDA22"/>
      <sheetName val="MEUS_CASOS23"/>
      <sheetName val="CÁLCULOS_PEDIDOS23"/>
      <sheetName val="Ind_TJ23"/>
      <sheetName val="NASCIMENTO_E_PESSOA_LTDA23"/>
      <sheetName val="MEUS_CASOS24"/>
      <sheetName val="CÁLCULOS_PEDIDOS24"/>
      <sheetName val="Ind_TJ24"/>
      <sheetName val="NASCIMENTO_E_PESSOA_LTDA24"/>
      <sheetName val="MEUS_CASOS25"/>
      <sheetName val="CÁLCULOS_PEDIDOS25"/>
      <sheetName val="Ind_TJ25"/>
      <sheetName val="NASCIMENTO_E_PESSOA_LTDA25"/>
      <sheetName val="MEUS_CASOS26"/>
      <sheetName val="CÁLCULOS_PEDIDOS26"/>
      <sheetName val="Ind_TJ26"/>
      <sheetName val="NASCIMENTO_E_PESSOA_LTDA26"/>
      <sheetName val="MEUS_CASOS28"/>
      <sheetName val="CÁLCULOS_PEDIDOS28"/>
      <sheetName val="Ind_TJ28"/>
      <sheetName val="NASCIMENTO_E_PESSOA_LTDA28"/>
      <sheetName val="MEUS_CASOS29"/>
      <sheetName val="CÁLCULOS_PEDIDOS29"/>
      <sheetName val="Ind_TJ29"/>
      <sheetName val="NASCIMENTO_E_PESSOA_LTDA29"/>
      <sheetName val="MEUS_CASOS30"/>
      <sheetName val="CÁLCULOS_PEDIDOS30"/>
      <sheetName val="Ind_TJ30"/>
      <sheetName val="NASCIMENTO_E_PESSOA_LTDA30"/>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10_fl009-143"/>
      <sheetName val="0246_fl1293"/>
      <sheetName val="25_fl07-123"/>
      <sheetName val="3942_fl0013"/>
      <sheetName val="4042_fl1203"/>
      <sheetName val="Árvore"/>
      <sheetName val="Planilha1"/>
      <sheetName val="Best_Case3"/>
      <sheetName val="Base_Case3"/>
      <sheetName val="Worst_Case3"/>
      <sheetName val="NPL_RJ3"/>
      <sheetName val="QGC"/>
      <sheetName val="Falência"/>
      <sheetName val="Dívida"/>
      <sheetName val="ATIVOS"/>
      <sheetName val="Planilha2"/>
      <sheetName val="PRJ"/>
      <sheetName val="Funding"/>
      <sheetName val="Evolução_de_Dívida3"/>
      <sheetName val="Ônus_Eliot"/>
      <sheetName val="Bens_Ativos_Eliot"/>
      <sheetName val="Extração_-_Zoho3"/>
      <sheetName val="Remuneração_Escritórios3"/>
      <sheetName val="Conversão_Moeda3"/>
      <sheetName val="10_fl009-14"/>
      <sheetName val="0246_fl129"/>
      <sheetName val="25_fl07-12"/>
      <sheetName val="3942_fl001"/>
      <sheetName val="4042_fl120"/>
      <sheetName val="Best_Case"/>
      <sheetName val="Base_Case"/>
      <sheetName val="Worst_Case"/>
      <sheetName val="NPL_RJ"/>
      <sheetName val="Evolução_de_Dívida"/>
      <sheetName val="Extração_-_Zoho"/>
      <sheetName val="Remuneração_Escritórios"/>
      <sheetName val="Conversão_Moeda"/>
      <sheetName val="10_fl009-141"/>
      <sheetName val="0246_fl1291"/>
      <sheetName val="25_fl07-121"/>
      <sheetName val="3942_fl0011"/>
      <sheetName val="4042_fl1201"/>
      <sheetName val="Best_Case1"/>
      <sheetName val="Base_Case1"/>
      <sheetName val="Worst_Case1"/>
      <sheetName val="NPL_RJ1"/>
      <sheetName val="Evolução_de_Dívida1"/>
      <sheetName val="Extração_-_Zoho1"/>
      <sheetName val="Remuneração_Escritórios1"/>
      <sheetName val="Conversão_Moeda1"/>
      <sheetName val="10_fl009-142"/>
      <sheetName val="0246_fl1292"/>
      <sheetName val="25_fl07-122"/>
      <sheetName val="3942_fl0012"/>
      <sheetName val="4042_fl1202"/>
      <sheetName val="Best_Case2"/>
      <sheetName val="Base_Case2"/>
      <sheetName val="Worst_Case2"/>
      <sheetName val="NPL_RJ2"/>
      <sheetName val="Evolução_de_Dívida2"/>
      <sheetName val="Extração_-_Zoho2"/>
      <sheetName val="Remuneração_Escritórios2"/>
      <sheetName val="Conversão_Moeda2"/>
      <sheetName val="10 fl009-14"/>
      <sheetName val="0246 fl129"/>
      <sheetName val="25 fl07-12"/>
      <sheetName val="3942 fl001"/>
      <sheetName val="4042 fl120"/>
      <sheetName val="Best Case"/>
      <sheetName val="Base Case"/>
      <sheetName val="Worst Case"/>
      <sheetName val="NPL RJ"/>
      <sheetName val="Evolução de Dívida"/>
      <sheetName val="Extração - Zoho"/>
      <sheetName val="Remuneração Escritórios"/>
      <sheetName val="Conversão Moeda"/>
    </sheetNames>
    <sheetDataSet>
      <sheetData sheetId="0"/>
      <sheetData sheetId="1"/>
      <sheetData sheetId="2"/>
      <sheetData sheetId="3"/>
      <sheetData sheetId="4"/>
      <sheetData sheetId="5">
        <row r="10">
          <cell r="W10">
            <v>5.3405613259273883</v>
          </cell>
        </row>
      </sheetData>
      <sheetData sheetId="6"/>
      <sheetData sheetId="7"/>
      <sheetData sheetId="8"/>
      <sheetData sheetId="9"/>
      <sheetData sheetId="10"/>
      <sheetData sheetId="11"/>
      <sheetData sheetId="12">
        <row r="3">
          <cell r="D3">
            <v>46783</v>
          </cell>
        </row>
      </sheetData>
      <sheetData sheetId="13"/>
      <sheetData sheetId="14"/>
      <sheetData sheetId="15"/>
      <sheetData sheetId="16">
        <row r="27">
          <cell r="AH27" t="str">
            <v>soma parc</v>
          </cell>
          <cell r="AI27" t="str">
            <v>qtde pgtos no ano</v>
          </cell>
        </row>
        <row r="28">
          <cell r="AG28" t="str">
            <v>Anual</v>
          </cell>
          <cell r="AH28">
            <v>12</v>
          </cell>
          <cell r="AI28">
            <v>1</v>
          </cell>
        </row>
        <row r="29">
          <cell r="AG29" t="str">
            <v>Semestral</v>
          </cell>
          <cell r="AH29">
            <v>6</v>
          </cell>
          <cell r="AI29">
            <v>2</v>
          </cell>
        </row>
        <row r="30">
          <cell r="AG30" t="str">
            <v>Trimestral</v>
          </cell>
          <cell r="AH30">
            <v>3</v>
          </cell>
          <cell r="AI30">
            <v>4</v>
          </cell>
        </row>
        <row r="31">
          <cell r="AG31" t="str">
            <v>Bimestral</v>
          </cell>
          <cell r="AH31">
            <v>2</v>
          </cell>
          <cell r="AI31">
            <v>6</v>
          </cell>
        </row>
        <row r="32">
          <cell r="AG32" t="str">
            <v>Mensal</v>
          </cell>
          <cell r="AH32">
            <v>1</v>
          </cell>
          <cell r="AI32">
            <v>12</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pa"/>
      <sheetName val="Main"/>
      <sheetName val="Mult_Exec"/>
      <sheetName val="Altera_Linear"/>
      <sheetName val="DB"/>
      <sheetName val="MC"/>
      <sheetName val="Base"/>
      <sheetName val="Feriados"/>
    </sheetNames>
    <sheetDataSet>
      <sheetData sheetId="0"/>
      <sheetData sheetId="1">
        <row r="29">
          <cell r="C29">
            <v>0.03</v>
          </cell>
        </row>
      </sheetData>
      <sheetData sheetId="2">
        <row r="2">
          <cell r="Y2"/>
        </row>
        <row r="4">
          <cell r="C4">
            <v>36464</v>
          </cell>
          <cell r="Y4" t="str">
            <v>Principal</v>
          </cell>
        </row>
        <row r="5">
          <cell r="C5">
            <v>42216</v>
          </cell>
          <cell r="Y5">
            <v>34722.9</v>
          </cell>
        </row>
        <row r="6">
          <cell r="O6">
            <v>1094196.9261317363</v>
          </cell>
          <cell r="Y6">
            <v>34722.9</v>
          </cell>
        </row>
        <row r="7">
          <cell r="Y7">
            <v>35590.97</v>
          </cell>
        </row>
        <row r="8">
          <cell r="Y8">
            <v>36285.43</v>
          </cell>
        </row>
        <row r="9">
          <cell r="C9">
            <v>0.06</v>
          </cell>
          <cell r="Y9">
            <v>43403.63</v>
          </cell>
        </row>
        <row r="10">
          <cell r="Y10">
            <v>78290.559999999998</v>
          </cell>
        </row>
        <row r="11">
          <cell r="Y11">
            <v>78290.559999999998</v>
          </cell>
        </row>
        <row r="12">
          <cell r="C12" t="str">
            <v>SIM</v>
          </cell>
          <cell r="Y12"/>
        </row>
        <row r="13">
          <cell r="Y13"/>
        </row>
        <row r="14">
          <cell r="C14">
            <v>26000000</v>
          </cell>
          <cell r="Y14"/>
        </row>
        <row r="15">
          <cell r="Y15"/>
        </row>
        <row r="16">
          <cell r="Y16"/>
        </row>
        <row r="17">
          <cell r="Y17"/>
        </row>
        <row r="18">
          <cell r="Y18"/>
        </row>
        <row r="19">
          <cell r="C19">
            <v>0.1</v>
          </cell>
          <cell r="Y19"/>
        </row>
        <row r="20">
          <cell r="Y20"/>
        </row>
        <row r="21">
          <cell r="Y21"/>
        </row>
        <row r="22">
          <cell r="Y22"/>
        </row>
        <row r="23">
          <cell r="Y23"/>
        </row>
        <row r="24">
          <cell r="C24">
            <v>0.7</v>
          </cell>
          <cell r="Y24"/>
        </row>
        <row r="25">
          <cell r="C25">
            <v>0.7</v>
          </cell>
          <cell r="Y25"/>
        </row>
        <row r="26">
          <cell r="C26">
            <v>0.05</v>
          </cell>
          <cell r="Y26"/>
        </row>
        <row r="27">
          <cell r="C27">
            <v>0.05</v>
          </cell>
          <cell r="Y27"/>
        </row>
        <row r="28">
          <cell r="C28">
            <v>0.03</v>
          </cell>
          <cell r="Y28"/>
        </row>
        <row r="29">
          <cell r="Y29"/>
        </row>
        <row r="30">
          <cell r="C30">
            <v>0.03</v>
          </cell>
        </row>
        <row r="33">
          <cell r="B33">
            <v>1</v>
          </cell>
          <cell r="Y33"/>
        </row>
        <row r="34">
          <cell r="B34">
            <v>1.5</v>
          </cell>
        </row>
        <row r="35">
          <cell r="B35">
            <v>2</v>
          </cell>
        </row>
        <row r="36">
          <cell r="B36">
            <v>2.5</v>
          </cell>
        </row>
        <row r="37">
          <cell r="B37">
            <v>3</v>
          </cell>
        </row>
        <row r="38">
          <cell r="B38">
            <v>3.5</v>
          </cell>
        </row>
        <row r="39">
          <cell r="B39">
            <v>4</v>
          </cell>
        </row>
        <row r="40">
          <cell r="B40">
            <v>4.5</v>
          </cell>
        </row>
        <row r="41">
          <cell r="B41">
            <v>5</v>
          </cell>
        </row>
        <row r="42">
          <cell r="B42">
            <v>5.5</v>
          </cell>
        </row>
      </sheetData>
      <sheetData sheetId="3"/>
      <sheetData sheetId="4">
        <row r="2">
          <cell r="C2">
            <v>43375</v>
          </cell>
        </row>
        <row r="4">
          <cell r="C4">
            <v>43374</v>
          </cell>
        </row>
        <row r="7">
          <cell r="F7">
            <v>1</v>
          </cell>
        </row>
        <row r="8">
          <cell r="F8">
            <v>36192</v>
          </cell>
          <cell r="G8">
            <v>36192</v>
          </cell>
        </row>
        <row r="17">
          <cell r="J17">
            <v>28915</v>
          </cell>
          <cell r="K17"/>
          <cell r="L17"/>
          <cell r="M17">
            <v>1E-8</v>
          </cell>
          <cell r="O17">
            <v>36161</v>
          </cell>
          <cell r="P17">
            <v>1</v>
          </cell>
          <cell r="Q17">
            <v>1</v>
          </cell>
        </row>
        <row r="18">
          <cell r="J18">
            <v>28946</v>
          </cell>
          <cell r="K18"/>
          <cell r="L18"/>
          <cell r="M18">
            <v>1E-8</v>
          </cell>
          <cell r="O18">
            <v>36165</v>
          </cell>
          <cell r="P18">
            <v>1.00100761</v>
          </cell>
          <cell r="Q18">
            <v>1.00100761</v>
          </cell>
        </row>
        <row r="19">
          <cell r="J19">
            <v>28976</v>
          </cell>
          <cell r="K19"/>
          <cell r="L19"/>
          <cell r="M19">
            <v>1E-8</v>
          </cell>
          <cell r="O19">
            <v>36166</v>
          </cell>
          <cell r="P19">
            <v>1.0010072999999999</v>
          </cell>
          <cell r="Q19">
            <v>1.0020159249655529</v>
          </cell>
        </row>
        <row r="20">
          <cell r="J20">
            <v>29007</v>
          </cell>
          <cell r="K20"/>
          <cell r="L20"/>
          <cell r="M20">
            <v>1E-8</v>
          </cell>
          <cell r="O20">
            <v>36167</v>
          </cell>
          <cell r="P20">
            <v>1.0010072999999999</v>
          </cell>
          <cell r="Q20">
            <v>1.0030252556067707</v>
          </cell>
        </row>
        <row r="21">
          <cell r="J21">
            <v>29037</v>
          </cell>
          <cell r="K21"/>
          <cell r="L21"/>
          <cell r="M21">
            <v>1E-8</v>
          </cell>
          <cell r="O21">
            <v>36168</v>
          </cell>
          <cell r="P21">
            <v>1.0010119200000001</v>
          </cell>
          <cell r="Q21">
            <v>1.0040402369234243</v>
          </cell>
        </row>
        <row r="22">
          <cell r="J22">
            <v>29068</v>
          </cell>
          <cell r="K22"/>
          <cell r="L22"/>
          <cell r="M22">
            <v>1E-8</v>
          </cell>
          <cell r="O22">
            <v>36171</v>
          </cell>
          <cell r="P22">
            <v>1.0010122299999999</v>
          </cell>
          <cell r="Q22">
            <v>1.0050565565724452</v>
          </cell>
        </row>
        <row r="23">
          <cell r="J23">
            <v>29099</v>
          </cell>
          <cell r="K23"/>
          <cell r="L23"/>
          <cell r="M23">
            <v>1E-8</v>
          </cell>
          <cell r="O23">
            <v>36172</v>
          </cell>
          <cell r="P23">
            <v>1.00101869</v>
          </cell>
          <cell r="Q23">
            <v>1.0060803976360599</v>
          </cell>
        </row>
        <row r="24">
          <cell r="J24">
            <v>29129</v>
          </cell>
          <cell r="K24"/>
          <cell r="L24"/>
          <cell r="M24">
            <v>1E-8</v>
          </cell>
          <cell r="O24">
            <v>36173</v>
          </cell>
          <cell r="P24">
            <v>1.001015</v>
          </cell>
          <cell r="Q24">
            <v>1.0071015692396605</v>
          </cell>
        </row>
        <row r="25">
          <cell r="J25">
            <v>29160</v>
          </cell>
          <cell r="K25"/>
          <cell r="L25"/>
          <cell r="M25">
            <v>1E-8</v>
          </cell>
          <cell r="O25">
            <v>36174</v>
          </cell>
          <cell r="P25">
            <v>1.00103188</v>
          </cell>
          <cell r="Q25">
            <v>1.0081407772069275</v>
          </cell>
        </row>
        <row r="26">
          <cell r="J26">
            <v>29190</v>
          </cell>
          <cell r="K26"/>
          <cell r="L26"/>
          <cell r="M26">
            <v>1E-8</v>
          </cell>
          <cell r="O26">
            <v>36175</v>
          </cell>
          <cell r="P26">
            <v>1.00103188</v>
          </cell>
          <cell r="Q26">
            <v>1.0091810575121118</v>
          </cell>
        </row>
        <row r="27">
          <cell r="J27">
            <v>29221</v>
          </cell>
          <cell r="K27"/>
          <cell r="L27"/>
          <cell r="M27">
            <v>1E-8</v>
          </cell>
          <cell r="O27">
            <v>36178</v>
          </cell>
          <cell r="P27">
            <v>1.0010355500000001</v>
          </cell>
          <cell r="Q27">
            <v>1.0102261149562186</v>
          </cell>
        </row>
        <row r="28">
          <cell r="J28">
            <v>29252</v>
          </cell>
          <cell r="K28"/>
          <cell r="L28"/>
          <cell r="M28">
            <v>1E-8</v>
          </cell>
          <cell r="O28">
            <v>36179</v>
          </cell>
          <cell r="P28">
            <v>1.0010315700000001</v>
          </cell>
          <cell r="Q28">
            <v>1.0112682339096242</v>
          </cell>
        </row>
        <row r="29">
          <cell r="J29">
            <v>29281</v>
          </cell>
          <cell r="K29"/>
          <cell r="L29"/>
          <cell r="M29">
            <v>1E-8</v>
          </cell>
          <cell r="O29">
            <v>36180</v>
          </cell>
          <cell r="P29">
            <v>1.0010975</v>
          </cell>
          <cell r="Q29">
            <v>1.0123781007963399</v>
          </cell>
        </row>
        <row r="30">
          <cell r="J30">
            <v>29312</v>
          </cell>
          <cell r="K30"/>
          <cell r="L30"/>
          <cell r="M30">
            <v>1E-8</v>
          </cell>
          <cell r="O30">
            <v>36181</v>
          </cell>
          <cell r="P30">
            <v>1.0011122400000001</v>
          </cell>
          <cell r="Q30">
            <v>1.0135041082151697</v>
          </cell>
        </row>
        <row r="31">
          <cell r="J31">
            <v>29342</v>
          </cell>
          <cell r="K31"/>
          <cell r="L31"/>
          <cell r="M31">
            <v>1E-8</v>
          </cell>
          <cell r="O31">
            <v>36182</v>
          </cell>
          <cell r="P31">
            <v>1.0011152400000001</v>
          </cell>
          <cell r="Q31">
            <v>1.0146344085368155</v>
          </cell>
        </row>
        <row r="32">
          <cell r="J32">
            <v>29373</v>
          </cell>
          <cell r="K32"/>
          <cell r="L32"/>
          <cell r="M32">
            <v>1E-8</v>
          </cell>
          <cell r="O32">
            <v>36185</v>
          </cell>
          <cell r="P32">
            <v>1.00111134</v>
          </cell>
          <cell r="Q32">
            <v>1.0157620123403988</v>
          </cell>
        </row>
        <row r="33">
          <cell r="J33">
            <v>29403</v>
          </cell>
          <cell r="K33"/>
          <cell r="L33"/>
          <cell r="M33">
            <v>1E-8</v>
          </cell>
          <cell r="O33">
            <v>36186</v>
          </cell>
          <cell r="P33">
            <v>1.0011107400000001</v>
          </cell>
          <cell r="Q33">
            <v>1.0168902598379859</v>
          </cell>
        </row>
        <row r="34">
          <cell r="J34">
            <v>29434</v>
          </cell>
          <cell r="K34"/>
          <cell r="L34"/>
          <cell r="M34">
            <v>1E-8</v>
          </cell>
          <cell r="O34">
            <v>36187</v>
          </cell>
          <cell r="P34">
            <v>1.0011095400000001</v>
          </cell>
          <cell r="Q34">
            <v>1.0180185402568867</v>
          </cell>
        </row>
        <row r="35">
          <cell r="J35">
            <v>29465</v>
          </cell>
          <cell r="K35"/>
          <cell r="L35"/>
          <cell r="M35">
            <v>1E-8</v>
          </cell>
          <cell r="O35">
            <v>36188</v>
          </cell>
          <cell r="P35">
            <v>1.00119366</v>
          </cell>
          <cell r="Q35">
            <v>1.0192337082676497</v>
          </cell>
        </row>
        <row r="36">
          <cell r="J36">
            <v>29495</v>
          </cell>
          <cell r="K36"/>
          <cell r="L36"/>
          <cell r="M36">
            <v>1E-8</v>
          </cell>
          <cell r="O36">
            <v>36189</v>
          </cell>
          <cell r="P36">
            <v>1.00119866</v>
          </cell>
          <cell r="Q36">
            <v>1.0204554229444018</v>
          </cell>
        </row>
        <row r="37">
          <cell r="J37">
            <v>29526</v>
          </cell>
          <cell r="K37"/>
          <cell r="L37"/>
          <cell r="M37">
            <v>2E-8</v>
          </cell>
          <cell r="O37">
            <v>36192</v>
          </cell>
          <cell r="P37">
            <v>1.0012607499999999</v>
          </cell>
          <cell r="Q37">
            <v>1.0217419621188788</v>
          </cell>
        </row>
        <row r="38">
          <cell r="J38">
            <v>29556</v>
          </cell>
          <cell r="K38"/>
          <cell r="L38"/>
          <cell r="M38">
            <v>2E-8</v>
          </cell>
          <cell r="O38">
            <v>36193</v>
          </cell>
          <cell r="P38">
            <v>1.0013238799999999</v>
          </cell>
          <cell r="Q38">
            <v>1.0230946258676887</v>
          </cell>
        </row>
        <row r="39">
          <cell r="J39">
            <v>29587</v>
          </cell>
          <cell r="K39"/>
          <cell r="L39"/>
          <cell r="M39">
            <v>2E-8</v>
          </cell>
          <cell r="O39">
            <v>36194</v>
          </cell>
          <cell r="P39">
            <v>1.0012886999999999</v>
          </cell>
          <cell r="Q39">
            <v>1.0244130879120443</v>
          </cell>
        </row>
        <row r="40">
          <cell r="J40">
            <v>29618</v>
          </cell>
          <cell r="K40"/>
          <cell r="L40"/>
          <cell r="M40">
            <v>2E-8</v>
          </cell>
          <cell r="O40">
            <v>36195</v>
          </cell>
          <cell r="P40">
            <v>1.0012864100000001</v>
          </cell>
          <cell r="Q40">
            <v>1.0257309031524653</v>
          </cell>
        </row>
        <row r="41">
          <cell r="J41">
            <v>29646</v>
          </cell>
          <cell r="K41"/>
          <cell r="L41"/>
          <cell r="M41">
            <v>2E-8</v>
          </cell>
          <cell r="O41">
            <v>36196</v>
          </cell>
          <cell r="P41">
            <v>1.0012864100000001</v>
          </cell>
          <cell r="Q41">
            <v>1.0270504136435896</v>
          </cell>
        </row>
        <row r="42">
          <cell r="J42">
            <v>29677</v>
          </cell>
          <cell r="K42"/>
          <cell r="L42"/>
          <cell r="M42">
            <v>2E-8</v>
          </cell>
          <cell r="O42">
            <v>36199</v>
          </cell>
          <cell r="P42">
            <v>1.00128727</v>
          </cell>
          <cell r="Q42">
            <v>1.0283725048295607</v>
          </cell>
        </row>
        <row r="43">
          <cell r="J43">
            <v>29707</v>
          </cell>
          <cell r="K43"/>
          <cell r="L43"/>
          <cell r="M43">
            <v>2E-8</v>
          </cell>
          <cell r="O43">
            <v>36200</v>
          </cell>
          <cell r="P43">
            <v>1.0012884200000001</v>
          </cell>
          <cell r="Q43">
            <v>1.0296974805322332</v>
          </cell>
        </row>
        <row r="44">
          <cell r="J44">
            <v>29738</v>
          </cell>
          <cell r="K44"/>
          <cell r="L44"/>
          <cell r="M44">
            <v>2E-8</v>
          </cell>
          <cell r="O44">
            <v>36201</v>
          </cell>
          <cell r="P44">
            <v>1.0012886999999999</v>
          </cell>
          <cell r="Q44">
            <v>1.031024451675395</v>
          </cell>
        </row>
        <row r="45">
          <cell r="J45">
            <v>29768</v>
          </cell>
          <cell r="K45"/>
          <cell r="L45"/>
          <cell r="M45">
            <v>2E-8</v>
          </cell>
          <cell r="O45">
            <v>36202</v>
          </cell>
          <cell r="P45">
            <v>1.00128957</v>
          </cell>
          <cell r="Q45">
            <v>1.032354029877542</v>
          </cell>
        </row>
        <row r="46">
          <cell r="J46">
            <v>29799</v>
          </cell>
          <cell r="K46"/>
          <cell r="L46"/>
          <cell r="M46">
            <v>2.9999999999999997E-8</v>
          </cell>
          <cell r="O46">
            <v>36203</v>
          </cell>
          <cell r="P46">
            <v>1.0012892799999999</v>
          </cell>
          <cell r="Q46">
            <v>1.0336850232811825</v>
          </cell>
        </row>
        <row r="47">
          <cell r="J47">
            <v>29830</v>
          </cell>
          <cell r="K47"/>
          <cell r="L47"/>
          <cell r="M47">
            <v>2.9999999999999997E-8</v>
          </cell>
          <cell r="O47">
            <v>36208</v>
          </cell>
          <cell r="P47">
            <v>1.00128985</v>
          </cell>
          <cell r="Q47">
            <v>1.0350183219084619</v>
          </cell>
        </row>
        <row r="48">
          <cell r="J48">
            <v>29860</v>
          </cell>
          <cell r="K48"/>
          <cell r="L48"/>
          <cell r="M48">
            <v>2.9999999999999997E-8</v>
          </cell>
          <cell r="O48">
            <v>36209</v>
          </cell>
          <cell r="P48">
            <v>1.00128957</v>
          </cell>
          <cell r="Q48">
            <v>1.0363530504858454</v>
          </cell>
        </row>
        <row r="49">
          <cell r="J49">
            <v>29891</v>
          </cell>
          <cell r="K49"/>
          <cell r="L49"/>
          <cell r="M49">
            <v>2.9999999999999997E-8</v>
          </cell>
          <cell r="O49">
            <v>36210</v>
          </cell>
          <cell r="P49">
            <v>1.00128985</v>
          </cell>
          <cell r="Q49">
            <v>1.0376897904680145</v>
          </cell>
        </row>
        <row r="50">
          <cell r="J50">
            <v>29921</v>
          </cell>
          <cell r="K50"/>
          <cell r="L50"/>
          <cell r="M50">
            <v>2.9999999999999997E-8</v>
          </cell>
          <cell r="O50">
            <v>36213</v>
          </cell>
          <cell r="P50">
            <v>1.00128957</v>
          </cell>
          <cell r="Q50">
            <v>1.0390279640911082</v>
          </cell>
        </row>
        <row r="51">
          <cell r="J51">
            <v>29952</v>
          </cell>
          <cell r="K51"/>
          <cell r="L51"/>
          <cell r="M51">
            <v>2.9999999999999997E-8</v>
          </cell>
          <cell r="O51">
            <v>36214</v>
          </cell>
          <cell r="P51">
            <v>1.00128957</v>
          </cell>
          <cell r="Q51">
            <v>1.0403678633827611</v>
          </cell>
        </row>
        <row r="52">
          <cell r="J52">
            <v>29983</v>
          </cell>
          <cell r="K52"/>
          <cell r="L52"/>
          <cell r="M52">
            <v>4.0000000000000001E-8</v>
          </cell>
          <cell r="O52">
            <v>36215</v>
          </cell>
          <cell r="P52">
            <v>1.00128957</v>
          </cell>
          <cell r="Q52">
            <v>1.0417094905683435</v>
          </cell>
        </row>
        <row r="53">
          <cell r="J53">
            <v>30011</v>
          </cell>
          <cell r="K53"/>
          <cell r="L53"/>
          <cell r="M53">
            <v>4.0000000000000001E-8</v>
          </cell>
          <cell r="O53">
            <v>36216</v>
          </cell>
          <cell r="P53">
            <v>1.0012892799999999</v>
          </cell>
          <cell r="Q53">
            <v>1.0430525457803435</v>
          </cell>
        </row>
        <row r="54">
          <cell r="J54">
            <v>30042</v>
          </cell>
          <cell r="K54"/>
          <cell r="L54"/>
          <cell r="M54">
            <v>4.0000000000000001E-8</v>
          </cell>
          <cell r="O54">
            <v>36217</v>
          </cell>
          <cell r="P54">
            <v>1.0012889899999999</v>
          </cell>
          <cell r="Q54">
            <v>1.0443970300813288</v>
          </cell>
        </row>
        <row r="55">
          <cell r="J55">
            <v>30072</v>
          </cell>
          <cell r="K55"/>
          <cell r="L55"/>
          <cell r="M55">
            <v>4.0000000000000001E-8</v>
          </cell>
          <cell r="O55">
            <v>36220</v>
          </cell>
          <cell r="P55">
            <v>1.0012907099999999</v>
          </cell>
          <cell r="Q55">
            <v>1.045745043772025</v>
          </cell>
        </row>
        <row r="56">
          <cell r="J56">
            <v>30103</v>
          </cell>
          <cell r="K56"/>
          <cell r="L56"/>
          <cell r="M56">
            <v>4.9999999999999998E-8</v>
          </cell>
          <cell r="O56">
            <v>36221</v>
          </cell>
          <cell r="P56">
            <v>1.0012912899999999</v>
          </cell>
          <cell r="Q56">
            <v>1.0470954038895974</v>
          </cell>
        </row>
        <row r="57">
          <cell r="J57">
            <v>30133</v>
          </cell>
          <cell r="K57"/>
          <cell r="L57"/>
          <cell r="M57">
            <v>4.9999999999999998E-8</v>
          </cell>
          <cell r="O57">
            <v>36222</v>
          </cell>
          <cell r="P57">
            <v>1.0012904300000001</v>
          </cell>
          <cell r="Q57">
            <v>1.0484466072116387</v>
          </cell>
        </row>
        <row r="58">
          <cell r="J58">
            <v>30164</v>
          </cell>
          <cell r="K58"/>
          <cell r="L58"/>
          <cell r="M58">
            <v>4.9999999999999998E-8</v>
          </cell>
          <cell r="O58">
            <v>36223</v>
          </cell>
          <cell r="P58">
            <v>1.0012907099999999</v>
          </cell>
          <cell r="Q58">
            <v>1.0497998477320327</v>
          </cell>
        </row>
        <row r="59">
          <cell r="J59">
            <v>30195</v>
          </cell>
          <cell r="K59"/>
          <cell r="L59"/>
          <cell r="M59">
            <v>4.9999999999999998E-8</v>
          </cell>
          <cell r="O59">
            <v>36224</v>
          </cell>
          <cell r="P59">
            <v>1.00129387</v>
          </cell>
          <cell r="Q59">
            <v>1.0511581522610178</v>
          </cell>
        </row>
        <row r="60">
          <cell r="J60">
            <v>30225</v>
          </cell>
          <cell r="K60"/>
          <cell r="L60"/>
          <cell r="M60">
            <v>5.9999999999999995E-8</v>
          </cell>
          <cell r="O60">
            <v>36227</v>
          </cell>
          <cell r="P60">
            <v>1.0014554899999999</v>
          </cell>
          <cell r="Q60">
            <v>1.0526881024400521</v>
          </cell>
        </row>
        <row r="61">
          <cell r="J61">
            <v>30256</v>
          </cell>
          <cell r="K61"/>
          <cell r="L61"/>
          <cell r="M61">
            <v>5.9999999999999995E-8</v>
          </cell>
          <cell r="O61">
            <v>36228</v>
          </cell>
          <cell r="P61">
            <v>1.0014560400000001</v>
          </cell>
          <cell r="Q61">
            <v>1.054220858424729</v>
          </cell>
        </row>
        <row r="62">
          <cell r="J62">
            <v>30286</v>
          </cell>
          <cell r="K62"/>
          <cell r="L62"/>
          <cell r="M62">
            <v>5.9999999999999995E-8</v>
          </cell>
          <cell r="O62">
            <v>36229</v>
          </cell>
          <cell r="P62">
            <v>1.00145273</v>
          </cell>
          <cell r="Q62">
            <v>1.0557523566923883</v>
          </cell>
        </row>
        <row r="63">
          <cell r="J63">
            <v>30317</v>
          </cell>
          <cell r="K63"/>
          <cell r="L63"/>
          <cell r="M63">
            <v>7.0000000000000005E-8</v>
          </cell>
          <cell r="O63">
            <v>36230</v>
          </cell>
          <cell r="P63">
            <v>1.0014530100000001</v>
          </cell>
          <cell r="Q63">
            <v>1.0572863754241859</v>
          </cell>
        </row>
        <row r="64">
          <cell r="J64">
            <v>30348</v>
          </cell>
          <cell r="K64"/>
          <cell r="L64"/>
          <cell r="M64">
            <v>8.0000000000000002E-8</v>
          </cell>
          <cell r="O64">
            <v>36231</v>
          </cell>
          <cell r="P64">
            <v>1.0014571400000001</v>
          </cell>
          <cell r="Q64">
            <v>1.0588269896932716</v>
          </cell>
        </row>
        <row r="65">
          <cell r="J65">
            <v>30376</v>
          </cell>
          <cell r="K65"/>
          <cell r="L65"/>
          <cell r="M65">
            <v>8.0000000000000002E-8</v>
          </cell>
          <cell r="O65">
            <v>36234</v>
          </cell>
          <cell r="P65">
            <v>1.00145631</v>
          </cell>
          <cell r="Q65">
            <v>1.0603689700266319</v>
          </cell>
        </row>
        <row r="66">
          <cell r="J66">
            <v>30407</v>
          </cell>
          <cell r="K66"/>
          <cell r="L66"/>
          <cell r="M66">
            <v>8.9999999999999999E-8</v>
          </cell>
          <cell r="O66">
            <v>36235</v>
          </cell>
          <cell r="P66">
            <v>1.0014554899999999</v>
          </cell>
          <cell r="Q66">
            <v>1.0619123264588157</v>
          </cell>
        </row>
        <row r="67">
          <cell r="J67">
            <v>30437</v>
          </cell>
          <cell r="K67"/>
          <cell r="L67"/>
          <cell r="M67">
            <v>8.9999999999999999E-8</v>
          </cell>
          <cell r="O67">
            <v>36236</v>
          </cell>
          <cell r="P67">
            <v>1.0014546600000001</v>
          </cell>
          <cell r="Q67">
            <v>1.0634570478436223</v>
          </cell>
        </row>
        <row r="68">
          <cell r="J68">
            <v>30468</v>
          </cell>
          <cell r="K68"/>
          <cell r="L68"/>
          <cell r="M68">
            <v>9.9999999999999995E-8</v>
          </cell>
          <cell r="O68">
            <v>36237</v>
          </cell>
          <cell r="P68">
            <v>1.0014560400000001</v>
          </cell>
          <cell r="Q68">
            <v>1.0650054838435645</v>
          </cell>
        </row>
        <row r="69">
          <cell r="J69">
            <v>30498</v>
          </cell>
          <cell r="K69"/>
          <cell r="L69"/>
          <cell r="M69">
            <v>1.1999999999999999E-7</v>
          </cell>
          <cell r="O69">
            <v>36238</v>
          </cell>
          <cell r="P69">
            <v>1.0014574199999999</v>
          </cell>
          <cell r="Q69">
            <v>1.0665576441358278</v>
          </cell>
        </row>
        <row r="70">
          <cell r="J70">
            <v>30529</v>
          </cell>
          <cell r="K70"/>
          <cell r="L70"/>
          <cell r="M70">
            <v>1.3E-7</v>
          </cell>
          <cell r="O70">
            <v>36241</v>
          </cell>
          <cell r="P70">
            <v>1.00145521</v>
          </cell>
          <cell r="Q70">
            <v>1.0681097094851506</v>
          </cell>
        </row>
        <row r="71">
          <cell r="J71">
            <v>30560</v>
          </cell>
          <cell r="K71"/>
          <cell r="L71"/>
          <cell r="M71">
            <v>1.4000000000000001E-7</v>
          </cell>
          <cell r="O71">
            <v>36242</v>
          </cell>
          <cell r="P71">
            <v>1.0014549399999999</v>
          </cell>
          <cell r="Q71">
            <v>1.0696637450258688</v>
          </cell>
        </row>
        <row r="72">
          <cell r="J72">
            <v>30590</v>
          </cell>
          <cell r="K72"/>
          <cell r="L72"/>
          <cell r="M72">
            <v>1.4999999999999999E-7</v>
          </cell>
          <cell r="O72">
            <v>36243</v>
          </cell>
          <cell r="P72">
            <v>1.0014543899999999</v>
          </cell>
          <cell r="Q72">
            <v>1.0712194532799968</v>
          </cell>
        </row>
        <row r="73">
          <cell r="J73">
            <v>30621</v>
          </cell>
          <cell r="K73"/>
          <cell r="L73"/>
          <cell r="M73">
            <v>1.6999999999999999E-7</v>
          </cell>
          <cell r="O73">
            <v>36244</v>
          </cell>
          <cell r="P73">
            <v>1.0014549399999999</v>
          </cell>
          <cell r="Q73">
            <v>1.0727780133113518</v>
          </cell>
        </row>
        <row r="74">
          <cell r="J74">
            <v>30651</v>
          </cell>
          <cell r="K74"/>
          <cell r="L74"/>
          <cell r="M74">
            <v>1.8E-7</v>
          </cell>
          <cell r="O74">
            <v>36245</v>
          </cell>
          <cell r="P74">
            <v>1.00137367</v>
          </cell>
          <cell r="Q74">
            <v>1.0742516562848972</v>
          </cell>
        </row>
        <row r="75">
          <cell r="J75">
            <v>30682</v>
          </cell>
          <cell r="K75"/>
          <cell r="L75"/>
          <cell r="M75">
            <v>1.9999999999999999E-7</v>
          </cell>
          <cell r="O75">
            <v>36248</v>
          </cell>
          <cell r="P75">
            <v>1.0013731100000001</v>
          </cell>
          <cell r="Q75">
            <v>1.0757267219766586</v>
          </cell>
        </row>
        <row r="76">
          <cell r="J76">
            <v>30713</v>
          </cell>
          <cell r="K76"/>
          <cell r="L76"/>
          <cell r="M76">
            <v>2.2000000000000001E-7</v>
          </cell>
          <cell r="O76">
            <v>36249</v>
          </cell>
          <cell r="P76">
            <v>1.0013731100000001</v>
          </cell>
          <cell r="Q76">
            <v>1.0772038130958721</v>
          </cell>
        </row>
        <row r="77">
          <cell r="J77">
            <v>30742</v>
          </cell>
          <cell r="K77"/>
          <cell r="L77"/>
          <cell r="M77">
            <v>2.3999999999999998E-7</v>
          </cell>
          <cell r="O77">
            <v>36250</v>
          </cell>
          <cell r="P77">
            <v>1.0013719800000001</v>
          </cell>
          <cell r="Q77">
            <v>1.0786817151833634</v>
          </cell>
        </row>
        <row r="78">
          <cell r="J78">
            <v>30773</v>
          </cell>
          <cell r="K78"/>
          <cell r="L78"/>
          <cell r="M78">
            <v>2.6E-7</v>
          </cell>
          <cell r="O78">
            <v>36255</v>
          </cell>
          <cell r="P78">
            <v>1.0013150399999999</v>
          </cell>
          <cell r="Q78">
            <v>1.080100224786098</v>
          </cell>
        </row>
        <row r="79">
          <cell r="J79">
            <v>30803</v>
          </cell>
          <cell r="K79"/>
          <cell r="L79"/>
          <cell r="M79">
            <v>2.8000000000000002E-7</v>
          </cell>
          <cell r="O79">
            <v>36256</v>
          </cell>
          <cell r="P79">
            <v>1.0012984599999999</v>
          </cell>
          <cell r="Q79">
            <v>1.0815026917239736</v>
          </cell>
        </row>
        <row r="80">
          <cell r="J80">
            <v>30834</v>
          </cell>
          <cell r="K80"/>
          <cell r="L80"/>
          <cell r="M80">
            <v>3.1E-7</v>
          </cell>
          <cell r="O80">
            <v>36257</v>
          </cell>
          <cell r="P80">
            <v>1.00129416</v>
          </cell>
          <cell r="Q80">
            <v>1.0829023292474951</v>
          </cell>
        </row>
        <row r="81">
          <cell r="J81">
            <v>30864</v>
          </cell>
          <cell r="K81"/>
          <cell r="L81"/>
          <cell r="M81">
            <v>3.3999999999999997E-7</v>
          </cell>
          <cell r="O81">
            <v>36258</v>
          </cell>
          <cell r="P81">
            <v>1.0012932999999999</v>
          </cell>
          <cell r="Q81">
            <v>1.0843028468299107</v>
          </cell>
        </row>
        <row r="82">
          <cell r="J82">
            <v>30895</v>
          </cell>
          <cell r="K82"/>
          <cell r="L82"/>
          <cell r="M82">
            <v>3.7E-7</v>
          </cell>
          <cell r="O82">
            <v>36259</v>
          </cell>
          <cell r="P82">
            <v>1.0012944399999999</v>
          </cell>
          <cell r="Q82">
            <v>1.085706411806961</v>
          </cell>
        </row>
        <row r="83">
          <cell r="J83">
            <v>30926</v>
          </cell>
          <cell r="K83"/>
          <cell r="L83"/>
          <cell r="M83">
            <v>4.0999999999999999E-7</v>
          </cell>
          <cell r="O83">
            <v>36262</v>
          </cell>
          <cell r="P83">
            <v>1.0012950199999999</v>
          </cell>
          <cell r="Q83">
            <v>1.0871124233243792</v>
          </cell>
        </row>
        <row r="84">
          <cell r="J84">
            <v>30956</v>
          </cell>
          <cell r="K84"/>
          <cell r="L84"/>
          <cell r="M84">
            <v>4.4999999999999998E-7</v>
          </cell>
          <cell r="O84">
            <v>36263</v>
          </cell>
          <cell r="P84">
            <v>1.0012967399999999</v>
          </cell>
          <cell r="Q84">
            <v>1.0885221254882007</v>
          </cell>
        </row>
        <row r="85">
          <cell r="J85">
            <v>30987</v>
          </cell>
          <cell r="K85"/>
          <cell r="L85"/>
          <cell r="M85">
            <v>4.9999999999999998E-7</v>
          </cell>
          <cell r="O85">
            <v>36264</v>
          </cell>
          <cell r="P85">
            <v>1.00129588</v>
          </cell>
          <cell r="Q85">
            <v>1.0899327195401785</v>
          </cell>
        </row>
        <row r="86">
          <cell r="J86">
            <v>31017</v>
          </cell>
          <cell r="K86"/>
          <cell r="L86"/>
          <cell r="M86">
            <v>5.6000000000000004E-7</v>
          </cell>
          <cell r="O86">
            <v>36265</v>
          </cell>
          <cell r="P86">
            <v>1.00112483</v>
          </cell>
          <cell r="Q86">
            <v>1.0911587085610988</v>
          </cell>
        </row>
        <row r="87">
          <cell r="J87">
            <v>31048</v>
          </cell>
          <cell r="K87"/>
          <cell r="L87"/>
          <cell r="M87">
            <v>6.1999999999999999E-7</v>
          </cell>
          <cell r="O87">
            <v>36266</v>
          </cell>
          <cell r="P87">
            <v>1.0011430400000001</v>
          </cell>
          <cell r="Q87">
            <v>1.0924059466113325</v>
          </cell>
        </row>
        <row r="88">
          <cell r="J88">
            <v>31079</v>
          </cell>
          <cell r="K88"/>
          <cell r="L88"/>
          <cell r="M88">
            <v>6.8999999999999996E-7</v>
          </cell>
          <cell r="O88">
            <v>36269</v>
          </cell>
          <cell r="P88">
            <v>1.0011430400000001</v>
          </cell>
          <cell r="Q88">
            <v>1.0936546103045472</v>
          </cell>
        </row>
        <row r="89">
          <cell r="J89">
            <v>31107</v>
          </cell>
          <cell r="K89"/>
          <cell r="L89"/>
          <cell r="M89">
            <v>7.6000000000000003E-7</v>
          </cell>
          <cell r="O89">
            <v>36270</v>
          </cell>
          <cell r="P89">
            <v>1.00114423</v>
          </cell>
          <cell r="Q89">
            <v>1.0949060027192961</v>
          </cell>
        </row>
        <row r="90">
          <cell r="J90">
            <v>31138</v>
          </cell>
          <cell r="K90"/>
          <cell r="L90"/>
          <cell r="M90">
            <v>8.1999999999999998E-7</v>
          </cell>
          <cell r="O90">
            <v>36272</v>
          </cell>
          <cell r="P90">
            <v>1.00114036</v>
          </cell>
          <cell r="Q90">
            <v>1.0961545897285569</v>
          </cell>
        </row>
        <row r="91">
          <cell r="J91">
            <v>31168</v>
          </cell>
          <cell r="K91"/>
          <cell r="L91"/>
          <cell r="M91">
            <v>8.8000000000000004E-7</v>
          </cell>
          <cell r="O91">
            <v>36273</v>
          </cell>
          <cell r="P91">
            <v>1.0011338000000001</v>
          </cell>
          <cell r="Q91">
            <v>1.0973974098023913</v>
          </cell>
        </row>
        <row r="92">
          <cell r="J92">
            <v>31199</v>
          </cell>
          <cell r="K92"/>
          <cell r="L92"/>
          <cell r="M92">
            <v>9.5999999999999991E-7</v>
          </cell>
          <cell r="O92">
            <v>36276</v>
          </cell>
          <cell r="P92">
            <v>1.00111554</v>
          </cell>
          <cell r="Q92">
            <v>1.0986216005089222</v>
          </cell>
        </row>
        <row r="93">
          <cell r="J93">
            <v>31229</v>
          </cell>
          <cell r="K93"/>
          <cell r="L93"/>
          <cell r="M93">
            <v>1.0499999999999999E-6</v>
          </cell>
          <cell r="O93">
            <v>36277</v>
          </cell>
          <cell r="P93">
            <v>1.0011146399999999</v>
          </cell>
          <cell r="Q93">
            <v>1.0998461680897134</v>
          </cell>
        </row>
        <row r="94">
          <cell r="J94">
            <v>31260</v>
          </cell>
          <cell r="K94"/>
          <cell r="L94"/>
          <cell r="M94">
            <v>1.1799999999999999E-6</v>
          </cell>
          <cell r="O94">
            <v>36278</v>
          </cell>
          <cell r="P94">
            <v>1.00111164</v>
          </cell>
          <cell r="Q94">
            <v>1.1010688010840086</v>
          </cell>
        </row>
        <row r="95">
          <cell r="J95">
            <v>31291</v>
          </cell>
          <cell r="K95"/>
          <cell r="L95"/>
          <cell r="M95">
            <v>1.3E-6</v>
          </cell>
          <cell r="O95">
            <v>36279</v>
          </cell>
          <cell r="P95">
            <v>1.00110473</v>
          </cell>
          <cell r="Q95">
            <v>1.1022851848206301</v>
          </cell>
        </row>
        <row r="96">
          <cell r="J96">
            <v>31321</v>
          </cell>
          <cell r="K96"/>
          <cell r="L96"/>
          <cell r="M96">
            <v>1.4300000000000001E-6</v>
          </cell>
          <cell r="O96">
            <v>36280</v>
          </cell>
          <cell r="P96">
            <v>1.0010854300000001</v>
          </cell>
          <cell r="Q96">
            <v>1.10348163822879</v>
          </cell>
        </row>
        <row r="97">
          <cell r="J97">
            <v>31352</v>
          </cell>
          <cell r="K97"/>
          <cell r="L97"/>
          <cell r="M97">
            <v>1.6300000000000001E-6</v>
          </cell>
          <cell r="O97">
            <v>36283</v>
          </cell>
          <cell r="P97">
            <v>1.00108452</v>
          </cell>
          <cell r="Q97">
            <v>1.104678386135082</v>
          </cell>
        </row>
        <row r="98">
          <cell r="J98">
            <v>31382</v>
          </cell>
          <cell r="K98"/>
          <cell r="L98"/>
          <cell r="M98">
            <v>1.8899999999999999E-6</v>
          </cell>
          <cell r="O98">
            <v>36284</v>
          </cell>
          <cell r="P98">
            <v>1.0010830100000001</v>
          </cell>
          <cell r="Q98">
            <v>1.1058747638740503</v>
          </cell>
        </row>
        <row r="99">
          <cell r="J99">
            <v>31413</v>
          </cell>
          <cell r="K99"/>
          <cell r="L99"/>
          <cell r="M99">
            <v>2.17E-6</v>
          </cell>
          <cell r="O99">
            <v>36285</v>
          </cell>
          <cell r="P99">
            <v>1.0010842200000001</v>
          </cell>
          <cell r="Q99">
            <v>1.107073775410538</v>
          </cell>
        </row>
        <row r="100">
          <cell r="J100">
            <v>31444</v>
          </cell>
          <cell r="K100"/>
          <cell r="L100"/>
          <cell r="M100">
            <v>2.4399999999999999E-6</v>
          </cell>
          <cell r="O100">
            <v>36286</v>
          </cell>
          <cell r="P100">
            <v>1.00108362</v>
          </cell>
          <cell r="Q100">
            <v>1.1082734226950484</v>
          </cell>
        </row>
        <row r="101">
          <cell r="J101">
            <v>31472</v>
          </cell>
          <cell r="K101"/>
          <cell r="L101"/>
          <cell r="M101">
            <v>2.52E-6</v>
          </cell>
          <cell r="O101">
            <v>36287</v>
          </cell>
          <cell r="P101">
            <v>1.0010805899999999</v>
          </cell>
          <cell r="Q101">
            <v>1.1094710118728783</v>
          </cell>
        </row>
        <row r="102">
          <cell r="J102">
            <v>31503</v>
          </cell>
          <cell r="K102"/>
          <cell r="L102"/>
          <cell r="M102">
            <v>2.5299999999999999E-6</v>
          </cell>
          <cell r="O102">
            <v>36290</v>
          </cell>
          <cell r="P102">
            <v>1.0010477799999999</v>
          </cell>
          <cell r="Q102">
            <v>1.1106334934096984</v>
          </cell>
        </row>
        <row r="103">
          <cell r="J103">
            <v>31533</v>
          </cell>
          <cell r="K103"/>
          <cell r="L103"/>
          <cell r="M103">
            <v>2.5600000000000001E-6</v>
          </cell>
          <cell r="O103">
            <v>36291</v>
          </cell>
          <cell r="P103">
            <v>1.0010113</v>
          </cell>
          <cell r="Q103">
            <v>1.1117566770615837</v>
          </cell>
        </row>
        <row r="104">
          <cell r="J104">
            <v>31564</v>
          </cell>
          <cell r="K104"/>
          <cell r="L104"/>
          <cell r="M104">
            <v>2.5799999999999999E-6</v>
          </cell>
          <cell r="O104">
            <v>36292</v>
          </cell>
          <cell r="P104">
            <v>1.0010094599999999</v>
          </cell>
          <cell r="Q104">
            <v>1.1128789509568102</v>
          </cell>
        </row>
        <row r="105">
          <cell r="J105">
            <v>31594</v>
          </cell>
          <cell r="K105"/>
          <cell r="L105"/>
          <cell r="M105">
            <v>2.61E-6</v>
          </cell>
          <cell r="O105">
            <v>36293</v>
          </cell>
          <cell r="P105">
            <v>1.0010088399999999</v>
          </cell>
          <cell r="Q105">
            <v>1.1140016677576934</v>
          </cell>
        </row>
        <row r="106">
          <cell r="J106">
            <v>31625</v>
          </cell>
          <cell r="K106"/>
          <cell r="L106"/>
          <cell r="M106">
            <v>2.6400000000000001E-6</v>
          </cell>
          <cell r="O106">
            <v>36294</v>
          </cell>
          <cell r="P106">
            <v>1.00093546</v>
          </cell>
          <cell r="Q106">
            <v>1.1150437717578139</v>
          </cell>
        </row>
        <row r="107">
          <cell r="J107">
            <v>31656</v>
          </cell>
          <cell r="K107"/>
          <cell r="L107"/>
          <cell r="M107">
            <v>2.6699999999999998E-6</v>
          </cell>
          <cell r="O107">
            <v>36297</v>
          </cell>
          <cell r="P107">
            <v>1.00093075</v>
          </cell>
          <cell r="Q107">
            <v>1.1160815987483774</v>
          </cell>
        </row>
        <row r="108">
          <cell r="J108">
            <v>31686</v>
          </cell>
          <cell r="K108"/>
          <cell r="L108"/>
          <cell r="M108">
            <v>2.7099999999999999E-6</v>
          </cell>
          <cell r="O108">
            <v>36298</v>
          </cell>
          <cell r="P108">
            <v>1.0009169</v>
          </cell>
          <cell r="Q108">
            <v>1.1171049339662698</v>
          </cell>
        </row>
        <row r="109">
          <cell r="J109">
            <v>31717</v>
          </cell>
          <cell r="K109"/>
          <cell r="L109"/>
          <cell r="M109">
            <v>2.7999999999999999E-6</v>
          </cell>
          <cell r="O109">
            <v>36299</v>
          </cell>
          <cell r="P109">
            <v>1.0009052199999999</v>
          </cell>
          <cell r="Q109">
            <v>1.1181161596945945</v>
          </cell>
        </row>
        <row r="110">
          <cell r="J110">
            <v>31747</v>
          </cell>
          <cell r="K110"/>
          <cell r="L110"/>
          <cell r="M110">
            <v>3.0000000000000001E-6</v>
          </cell>
          <cell r="O110">
            <v>36300</v>
          </cell>
          <cell r="P110">
            <v>1.00081504</v>
          </cell>
          <cell r="Q110">
            <v>1.119027469089392</v>
          </cell>
        </row>
        <row r="111">
          <cell r="J111">
            <v>31778</v>
          </cell>
          <cell r="K111"/>
          <cell r="L111"/>
          <cell r="M111">
            <v>3.5099999999999999E-6</v>
          </cell>
          <cell r="O111">
            <v>36301</v>
          </cell>
          <cell r="P111">
            <v>1.00081859</v>
          </cell>
          <cell r="Q111">
            <v>1.1199434937853139</v>
          </cell>
        </row>
        <row r="112">
          <cell r="J112">
            <v>31809</v>
          </cell>
          <cell r="K112"/>
          <cell r="L112"/>
          <cell r="M112">
            <v>3.9999999999999998E-6</v>
          </cell>
          <cell r="O112">
            <v>36304</v>
          </cell>
          <cell r="P112">
            <v>1.0008179500000001</v>
          </cell>
          <cell r="Q112">
            <v>1.1208595515660555</v>
          </cell>
        </row>
        <row r="113">
          <cell r="J113">
            <v>31837</v>
          </cell>
          <cell r="K113"/>
          <cell r="L113"/>
          <cell r="M113">
            <v>4.5800000000000002E-6</v>
          </cell>
          <cell r="O113">
            <v>36305</v>
          </cell>
          <cell r="P113">
            <v>1.00081698</v>
          </cell>
          <cell r="Q113">
            <v>1.121775271402494</v>
          </cell>
        </row>
        <row r="114">
          <cell r="J114">
            <v>31868</v>
          </cell>
          <cell r="K114"/>
          <cell r="L114"/>
          <cell r="M114">
            <v>5.5300000000000004E-6</v>
          </cell>
          <cell r="O114">
            <v>36306</v>
          </cell>
          <cell r="P114">
            <v>1.0008179500000001</v>
          </cell>
          <cell r="Q114">
            <v>1.1226928274857377</v>
          </cell>
        </row>
        <row r="115">
          <cell r="J115">
            <v>31898</v>
          </cell>
          <cell r="K115"/>
          <cell r="L115"/>
          <cell r="M115">
            <v>6.8199999999999999E-6</v>
          </cell>
          <cell r="O115">
            <v>36307</v>
          </cell>
          <cell r="P115">
            <v>1.0008173</v>
          </cell>
          <cell r="Q115">
            <v>1.1236104043336419</v>
          </cell>
        </row>
        <row r="116">
          <cell r="J116">
            <v>31929</v>
          </cell>
          <cell r="K116"/>
          <cell r="L116"/>
          <cell r="M116">
            <v>8.2700000000000004E-6</v>
          </cell>
          <cell r="O116">
            <v>36308</v>
          </cell>
          <cell r="P116">
            <v>1.00080824</v>
          </cell>
          <cell r="Q116">
            <v>1.1245185512068405</v>
          </cell>
        </row>
        <row r="117">
          <cell r="J117">
            <v>31959</v>
          </cell>
          <cell r="K117"/>
          <cell r="L117"/>
          <cell r="M117">
            <v>9.0899999999999994E-6</v>
          </cell>
          <cell r="O117">
            <v>36311</v>
          </cell>
          <cell r="P117">
            <v>1.0008040199999999</v>
          </cell>
          <cell r="Q117">
            <v>1.1254226866123818</v>
          </cell>
        </row>
        <row r="118">
          <cell r="J118">
            <v>31990</v>
          </cell>
          <cell r="K118"/>
          <cell r="L118"/>
          <cell r="M118">
            <v>9.55E-6</v>
          </cell>
          <cell r="O118">
            <v>36312</v>
          </cell>
          <cell r="P118">
            <v>1.0008017499999999</v>
          </cell>
          <cell r="Q118">
            <v>1.1263249942513731</v>
          </cell>
        </row>
        <row r="119">
          <cell r="J119">
            <v>32021</v>
          </cell>
          <cell r="K119"/>
          <cell r="L119"/>
          <cell r="M119">
            <v>1.023E-5</v>
          </cell>
          <cell r="O119">
            <v>36313</v>
          </cell>
          <cell r="P119">
            <v>1.0008020799999999</v>
          </cell>
          <cell r="Q119">
            <v>1.1272283970027621</v>
          </cell>
        </row>
        <row r="120">
          <cell r="J120">
            <v>32051</v>
          </cell>
          <cell r="K120"/>
          <cell r="L120"/>
          <cell r="M120">
            <v>1.135E-5</v>
          </cell>
          <cell r="O120">
            <v>36315</v>
          </cell>
          <cell r="P120">
            <v>1.00080565</v>
          </cell>
          <cell r="Q120">
            <v>1.1281365485608075</v>
          </cell>
        </row>
        <row r="121">
          <cell r="J121">
            <v>32082</v>
          </cell>
          <cell r="K121"/>
          <cell r="L121"/>
          <cell r="M121">
            <v>1.3040000000000001E-5</v>
          </cell>
          <cell r="O121">
            <v>36318</v>
          </cell>
          <cell r="P121">
            <v>1.0008069399999999</v>
          </cell>
          <cell r="Q121">
            <v>1.1290468870673029</v>
          </cell>
        </row>
        <row r="122">
          <cell r="J122">
            <v>32112</v>
          </cell>
          <cell r="K122"/>
          <cell r="L122"/>
          <cell r="M122">
            <v>1.486E-5</v>
          </cell>
          <cell r="O122">
            <v>36319</v>
          </cell>
          <cell r="P122">
            <v>1.0008066200000001</v>
          </cell>
          <cell r="Q122">
            <v>1.1299575988673494</v>
          </cell>
        </row>
        <row r="123">
          <cell r="J123">
            <v>32143</v>
          </cell>
          <cell r="K123"/>
          <cell r="L123"/>
          <cell r="M123">
            <v>1.768E-5</v>
          </cell>
          <cell r="O123">
            <v>36320</v>
          </cell>
          <cell r="P123">
            <v>1.00080824</v>
          </cell>
          <cell r="Q123">
            <v>1.130870875797058</v>
          </cell>
        </row>
        <row r="124">
          <cell r="J124">
            <v>32174</v>
          </cell>
          <cell r="K124"/>
          <cell r="L124"/>
          <cell r="M124">
            <v>2.048E-5</v>
          </cell>
          <cell r="O124">
            <v>36321</v>
          </cell>
          <cell r="P124">
            <v>1.0007763599999999</v>
          </cell>
          <cell r="Q124">
            <v>1.1317488387101917</v>
          </cell>
        </row>
        <row r="125">
          <cell r="J125">
            <v>32203</v>
          </cell>
          <cell r="K125"/>
          <cell r="L125"/>
          <cell r="M125">
            <v>2.4179999999999999E-5</v>
          </cell>
          <cell r="O125">
            <v>36322</v>
          </cell>
          <cell r="P125">
            <v>1.00077734</v>
          </cell>
          <cell r="Q125">
            <v>1.1326285923524746</v>
          </cell>
        </row>
        <row r="126">
          <cell r="J126">
            <v>32234</v>
          </cell>
          <cell r="K126"/>
          <cell r="L126"/>
          <cell r="M126">
            <v>2.8609999999999999E-5</v>
          </cell>
          <cell r="O126">
            <v>36325</v>
          </cell>
          <cell r="P126">
            <v>1.00077767</v>
          </cell>
          <cell r="Q126">
            <v>1.1335094036298894</v>
          </cell>
        </row>
        <row r="127">
          <cell r="J127">
            <v>32264</v>
          </cell>
          <cell r="K127"/>
          <cell r="L127"/>
          <cell r="M127">
            <v>3.383E-5</v>
          </cell>
          <cell r="O127">
            <v>36326</v>
          </cell>
          <cell r="P127">
            <v>1.00077767</v>
          </cell>
          <cell r="Q127">
            <v>1.1343908998878103</v>
          </cell>
        </row>
        <row r="128">
          <cell r="J128">
            <v>32295</v>
          </cell>
          <cell r="K128"/>
          <cell r="L128"/>
          <cell r="M128">
            <v>4.1369999999999999E-5</v>
          </cell>
          <cell r="O128">
            <v>36327</v>
          </cell>
          <cell r="P128">
            <v>1.0007793</v>
          </cell>
          <cell r="Q128">
            <v>1.135274930716093</v>
          </cell>
        </row>
        <row r="129">
          <cell r="J129">
            <v>32325</v>
          </cell>
          <cell r="K129"/>
          <cell r="L129"/>
          <cell r="M129">
            <v>5.0899999999999997E-5</v>
          </cell>
          <cell r="O129">
            <v>36328</v>
          </cell>
          <cell r="P129">
            <v>1.00077701</v>
          </cell>
          <cell r="Q129">
            <v>1.1361570506900087</v>
          </cell>
        </row>
        <row r="130">
          <cell r="J130">
            <v>32356</v>
          </cell>
          <cell r="K130"/>
          <cell r="L130"/>
          <cell r="M130">
            <v>6.1400000000000002E-5</v>
          </cell>
          <cell r="O130">
            <v>36329</v>
          </cell>
          <cell r="P130">
            <v>1.0007740700000001</v>
          </cell>
          <cell r="Q130">
            <v>1.1370365157782365</v>
          </cell>
        </row>
        <row r="131">
          <cell r="J131">
            <v>32387</v>
          </cell>
          <cell r="K131"/>
          <cell r="L131"/>
          <cell r="M131">
            <v>7.7929999999999994E-5</v>
          </cell>
          <cell r="O131">
            <v>36332</v>
          </cell>
          <cell r="P131">
            <v>1.00077277</v>
          </cell>
          <cell r="Q131">
            <v>1.1379151834865344</v>
          </cell>
        </row>
        <row r="132">
          <cell r="J132">
            <v>32417</v>
          </cell>
          <cell r="K132"/>
          <cell r="L132"/>
          <cell r="M132">
            <v>9.8729999999999998E-5</v>
          </cell>
          <cell r="O132">
            <v>36333</v>
          </cell>
          <cell r="P132">
            <v>1.00077342</v>
          </cell>
          <cell r="Q132">
            <v>1.1387952698477466</v>
          </cell>
        </row>
        <row r="133">
          <cell r="J133">
            <v>32448</v>
          </cell>
          <cell r="K133"/>
          <cell r="L133"/>
          <cell r="M133">
            <v>1.2652E-4</v>
          </cell>
          <cell r="O133">
            <v>36334</v>
          </cell>
          <cell r="P133">
            <v>1.00077244</v>
          </cell>
          <cell r="Q133">
            <v>1.1396749208659878</v>
          </cell>
        </row>
        <row r="134">
          <cell r="J134">
            <v>32478</v>
          </cell>
          <cell r="K134"/>
          <cell r="L134"/>
          <cell r="M134">
            <v>1.6249E-4</v>
          </cell>
          <cell r="O134">
            <v>36335</v>
          </cell>
          <cell r="P134">
            <v>1.0007191200000001</v>
          </cell>
          <cell r="Q134">
            <v>1.140494483895081</v>
          </cell>
        </row>
        <row r="135">
          <cell r="J135">
            <v>32509</v>
          </cell>
          <cell r="K135"/>
          <cell r="L135"/>
          <cell r="M135">
            <v>2.2013999999999999E-4</v>
          </cell>
          <cell r="O135">
            <v>36336</v>
          </cell>
          <cell r="P135">
            <v>1.00074357</v>
          </cell>
          <cell r="Q135">
            <v>1.1413425213784709</v>
          </cell>
        </row>
        <row r="136">
          <cell r="J136">
            <v>32540</v>
          </cell>
          <cell r="K136"/>
          <cell r="L136"/>
          <cell r="M136">
            <v>2.5614000000000002E-4</v>
          </cell>
          <cell r="O136">
            <v>36339</v>
          </cell>
          <cell r="P136">
            <v>1.0007448800000001</v>
          </cell>
          <cell r="Q136">
            <v>1.1421926845957955</v>
          </cell>
        </row>
        <row r="137">
          <cell r="J137">
            <v>32568</v>
          </cell>
          <cell r="K137"/>
          <cell r="L137"/>
          <cell r="M137">
            <v>2.7125000000000001E-4</v>
          </cell>
          <cell r="O137">
            <v>36340</v>
          </cell>
          <cell r="P137">
            <v>1.00074324</v>
          </cell>
          <cell r="Q137">
            <v>1.1430416078866945</v>
          </cell>
        </row>
        <row r="138">
          <cell r="J138">
            <v>32599</v>
          </cell>
          <cell r="K138"/>
          <cell r="L138"/>
          <cell r="M138">
            <v>2.9311000000000002E-4</v>
          </cell>
          <cell r="O138">
            <v>36341</v>
          </cell>
          <cell r="P138">
            <v>1.00074291</v>
          </cell>
          <cell r="Q138">
            <v>1.1438907849276096</v>
          </cell>
        </row>
        <row r="139">
          <cell r="J139">
            <v>32629</v>
          </cell>
          <cell r="K139"/>
          <cell r="L139"/>
          <cell r="M139">
            <v>3.4196999999999998E-4</v>
          </cell>
          <cell r="O139">
            <v>36342</v>
          </cell>
          <cell r="P139">
            <v>1.0007406000000001</v>
          </cell>
          <cell r="Q139">
            <v>1.1447379504429271</v>
          </cell>
        </row>
        <row r="140">
          <cell r="J140">
            <v>32660</v>
          </cell>
          <cell r="K140"/>
          <cell r="L140"/>
          <cell r="M140">
            <v>4.4251000000000002E-4</v>
          </cell>
          <cell r="O140">
            <v>36343</v>
          </cell>
          <cell r="P140">
            <v>1.0007376299999999</v>
          </cell>
          <cell r="Q140">
            <v>1.1455823434973122</v>
          </cell>
        </row>
        <row r="141">
          <cell r="J141">
            <v>32690</v>
          </cell>
          <cell r="K141"/>
          <cell r="L141"/>
          <cell r="M141">
            <v>5.6375999999999996E-4</v>
          </cell>
          <cell r="O141">
            <v>36346</v>
          </cell>
          <cell r="P141">
            <v>1.0007376299999999</v>
          </cell>
          <cell r="Q141">
            <v>1.1464273594013461</v>
          </cell>
        </row>
        <row r="142">
          <cell r="J142">
            <v>32721</v>
          </cell>
          <cell r="K142"/>
          <cell r="L142"/>
          <cell r="M142">
            <v>7.5082000000000002E-4</v>
          </cell>
          <cell r="O142">
            <v>36347</v>
          </cell>
          <cell r="P142">
            <v>1.0007349999999999</v>
          </cell>
          <cell r="Q142">
            <v>1.147269983510506</v>
          </cell>
        </row>
        <row r="143">
          <cell r="J143">
            <v>32752</v>
          </cell>
          <cell r="K143"/>
          <cell r="L143"/>
          <cell r="M143">
            <v>1.02374E-3</v>
          </cell>
          <cell r="O143">
            <v>36348</v>
          </cell>
          <cell r="P143">
            <v>1.0007353299999999</v>
          </cell>
          <cell r="Q143">
            <v>1.1481136055474808</v>
          </cell>
        </row>
        <row r="144">
          <cell r="J144">
            <v>32782</v>
          </cell>
          <cell r="K144"/>
          <cell r="L144"/>
          <cell r="M144">
            <v>1.42055E-3</v>
          </cell>
          <cell r="O144">
            <v>36349</v>
          </cell>
          <cell r="P144">
            <v>1.00073401</v>
          </cell>
          <cell r="Q144">
            <v>1.1489563324150887</v>
          </cell>
        </row>
        <row r="145">
          <cell r="J145">
            <v>32813</v>
          </cell>
          <cell r="K145"/>
          <cell r="L145"/>
          <cell r="M145">
            <v>2.1090800000000002E-3</v>
          </cell>
          <cell r="O145">
            <v>36350</v>
          </cell>
          <cell r="P145">
            <v>1.0007303700000001</v>
          </cell>
          <cell r="Q145">
            <v>1.1497954956515948</v>
          </cell>
        </row>
        <row r="146">
          <cell r="J146">
            <v>32843</v>
          </cell>
          <cell r="K146"/>
          <cell r="L146"/>
          <cell r="M146">
            <v>3.1906199999999999E-3</v>
          </cell>
          <cell r="O146">
            <v>36353</v>
          </cell>
          <cell r="P146">
            <v>1.0007297100000001</v>
          </cell>
          <cell r="Q146">
            <v>1.1506345129227269</v>
          </cell>
        </row>
        <row r="147">
          <cell r="J147">
            <v>32874</v>
          </cell>
          <cell r="K147"/>
          <cell r="L147"/>
          <cell r="M147">
            <v>5.36631E-3</v>
          </cell>
          <cell r="O147">
            <v>36354</v>
          </cell>
          <cell r="P147">
            <v>1.0007320200000001</v>
          </cell>
          <cell r="Q147">
            <v>1.1514768003988767</v>
          </cell>
        </row>
        <row r="148">
          <cell r="J148">
            <v>32905</v>
          </cell>
          <cell r="K148"/>
          <cell r="L148"/>
          <cell r="M148">
            <v>9.3368300000000008E-3</v>
          </cell>
          <cell r="O148">
            <v>36355</v>
          </cell>
          <cell r="P148">
            <v>1.0007359899999999</v>
          </cell>
          <cell r="Q148">
            <v>1.152324275809202</v>
          </cell>
        </row>
        <row r="149">
          <cell r="J149">
            <v>32933</v>
          </cell>
          <cell r="K149"/>
          <cell r="L149"/>
          <cell r="M149">
            <v>1.700985E-2</v>
          </cell>
          <cell r="O149">
            <v>36356</v>
          </cell>
          <cell r="P149">
            <v>1.0007359899999999</v>
          </cell>
          <cell r="Q149">
            <v>1.1531723749529548</v>
          </cell>
        </row>
        <row r="150">
          <cell r="J150">
            <v>32964</v>
          </cell>
          <cell r="K150"/>
          <cell r="L150"/>
          <cell r="M150">
            <v>1.9505189999999999E-2</v>
          </cell>
          <cell r="O150">
            <v>36357</v>
          </cell>
          <cell r="P150">
            <v>1.0007359899999999</v>
          </cell>
          <cell r="Q150">
            <v>1.1540210982891963</v>
          </cell>
        </row>
        <row r="151">
          <cell r="J151">
            <v>32994</v>
          </cell>
          <cell r="K151"/>
          <cell r="L151"/>
          <cell r="M151">
            <v>2.0931020000000002E-2</v>
          </cell>
          <cell r="O151">
            <v>36360</v>
          </cell>
          <cell r="P151">
            <v>1.0007359899999999</v>
          </cell>
          <cell r="Q151">
            <v>1.154870446277326</v>
          </cell>
        </row>
        <row r="152">
          <cell r="J152">
            <v>33025</v>
          </cell>
          <cell r="K152"/>
          <cell r="L152"/>
          <cell r="M152">
            <v>2.3367389999999998E-2</v>
          </cell>
          <cell r="O152">
            <v>36361</v>
          </cell>
          <cell r="P152">
            <v>1.0007366499999999</v>
          </cell>
          <cell r="Q152">
            <v>1.1557211815915762</v>
          </cell>
        </row>
        <row r="153">
          <cell r="J153">
            <v>33055</v>
          </cell>
          <cell r="K153"/>
          <cell r="L153"/>
          <cell r="M153">
            <v>2.6316349999999999E-2</v>
          </cell>
          <cell r="O153">
            <v>36362</v>
          </cell>
          <cell r="P153">
            <v>1.0007379599999999</v>
          </cell>
          <cell r="Q153">
            <v>1.1565740575947434</v>
          </cell>
        </row>
        <row r="154">
          <cell r="J154">
            <v>33086</v>
          </cell>
          <cell r="K154"/>
          <cell r="L154"/>
          <cell r="M154">
            <v>2.952169E-2</v>
          </cell>
          <cell r="O154">
            <v>36363</v>
          </cell>
          <cell r="P154">
            <v>1.0007366499999999</v>
          </cell>
          <cell r="Q154">
            <v>1.1574260478742704</v>
          </cell>
        </row>
        <row r="155">
          <cell r="J155">
            <v>33117</v>
          </cell>
          <cell r="K155"/>
          <cell r="L155"/>
          <cell r="M155">
            <v>3.3731480000000001E-2</v>
          </cell>
          <cell r="O155">
            <v>36364</v>
          </cell>
          <cell r="P155">
            <v>1.0007386199999999</v>
          </cell>
          <cell r="Q155">
            <v>1.1582809459017511</v>
          </cell>
        </row>
        <row r="156">
          <cell r="J156">
            <v>33147</v>
          </cell>
          <cell r="K156"/>
          <cell r="L156"/>
          <cell r="M156">
            <v>3.8598929999999997E-2</v>
          </cell>
          <cell r="O156">
            <v>36367</v>
          </cell>
          <cell r="P156">
            <v>1.0007363199999999</v>
          </cell>
          <cell r="Q156">
            <v>1.1591338113278373</v>
          </cell>
        </row>
        <row r="157">
          <cell r="J157">
            <v>33178</v>
          </cell>
          <cell r="K157"/>
          <cell r="L157"/>
          <cell r="M157">
            <v>4.5129870000000002E-2</v>
          </cell>
          <cell r="O157">
            <v>36368</v>
          </cell>
          <cell r="P157">
            <v>1.0007373100000001</v>
          </cell>
          <cell r="Q157">
            <v>1.1599884522782675</v>
          </cell>
        </row>
        <row r="158">
          <cell r="J158">
            <v>33208</v>
          </cell>
          <cell r="K158"/>
          <cell r="L158"/>
          <cell r="M158">
            <v>5.376773E-2</v>
          </cell>
          <cell r="O158">
            <v>36369</v>
          </cell>
          <cell r="P158">
            <v>1.0007373100000001</v>
          </cell>
          <cell r="Q158">
            <v>1.160843723364017</v>
          </cell>
        </row>
        <row r="159">
          <cell r="J159">
            <v>33239</v>
          </cell>
          <cell r="K159"/>
          <cell r="L159"/>
          <cell r="M159">
            <v>6.5032069999999997E-2</v>
          </cell>
          <cell r="O159">
            <v>36370</v>
          </cell>
          <cell r="P159">
            <v>1.00072608</v>
          </cell>
          <cell r="Q159">
            <v>1.161686588774677</v>
          </cell>
        </row>
        <row r="160">
          <cell r="J160">
            <v>33270</v>
          </cell>
          <cell r="K160"/>
          <cell r="L160"/>
          <cell r="M160">
            <v>7.8167520000000004E-2</v>
          </cell>
          <cell r="O160">
            <v>36371</v>
          </cell>
          <cell r="P160">
            <v>1.0006991999999999</v>
          </cell>
          <cell r="Q160">
            <v>1.1624988400375482</v>
          </cell>
        </row>
        <row r="161">
          <cell r="J161">
            <v>33298</v>
          </cell>
          <cell r="K161"/>
          <cell r="L161"/>
          <cell r="M161">
            <v>8.7383310000000006E-2</v>
          </cell>
          <cell r="O161">
            <v>36374</v>
          </cell>
          <cell r="P161">
            <v>1.0006998600000001</v>
          </cell>
          <cell r="Q161">
            <v>1.1633124264757371</v>
          </cell>
        </row>
        <row r="162">
          <cell r="J162">
            <v>33329</v>
          </cell>
          <cell r="K162"/>
          <cell r="L162"/>
          <cell r="M162">
            <v>9.1759999999999994E-2</v>
          </cell>
          <cell r="O162">
            <v>36375</v>
          </cell>
          <cell r="P162">
            <v>1.0006995299999999</v>
          </cell>
          <cell r="Q162">
            <v>1.1641261984174296</v>
          </cell>
        </row>
        <row r="163">
          <cell r="J163">
            <v>33359</v>
          </cell>
          <cell r="K163"/>
          <cell r="L163"/>
          <cell r="M163">
            <v>9.7889530000000002E-2</v>
          </cell>
          <cell r="O163">
            <v>36376</v>
          </cell>
          <cell r="P163">
            <v>1.00069886</v>
          </cell>
          <cell r="Q163">
            <v>1.1649397596524556</v>
          </cell>
        </row>
        <row r="164">
          <cell r="J164">
            <v>33390</v>
          </cell>
          <cell r="K164"/>
          <cell r="L164"/>
          <cell r="M164">
            <v>0.10849252</v>
          </cell>
          <cell r="O164">
            <v>36377</v>
          </cell>
          <cell r="P164">
            <v>1.00069853</v>
          </cell>
          <cell r="Q164">
            <v>1.1657535050227656</v>
          </cell>
        </row>
        <row r="165">
          <cell r="J165">
            <v>33420</v>
          </cell>
          <cell r="K165"/>
          <cell r="L165"/>
          <cell r="M165">
            <v>0.12166560999999999</v>
          </cell>
          <cell r="O165">
            <v>36378</v>
          </cell>
          <cell r="P165">
            <v>1.00069853</v>
          </cell>
          <cell r="Q165">
            <v>1.1665678188186293</v>
          </cell>
        </row>
        <row r="166">
          <cell r="J166">
            <v>33451</v>
          </cell>
          <cell r="K166"/>
          <cell r="L166"/>
          <cell r="M166">
            <v>0.14066713</v>
          </cell>
          <cell r="O166">
            <v>36381</v>
          </cell>
          <cell r="P166">
            <v>1.0006978600000001</v>
          </cell>
          <cell r="Q166">
            <v>1.1673819198366702</v>
          </cell>
        </row>
        <row r="167">
          <cell r="J167">
            <v>33482</v>
          </cell>
          <cell r="K167"/>
          <cell r="L167"/>
          <cell r="M167">
            <v>0.16264200000000001</v>
          </cell>
          <cell r="O167">
            <v>36382</v>
          </cell>
          <cell r="P167">
            <v>1.0006975300000001</v>
          </cell>
          <cell r="Q167">
            <v>1.168196203747214</v>
          </cell>
        </row>
        <row r="168">
          <cell r="J168">
            <v>33512</v>
          </cell>
          <cell r="K168"/>
          <cell r="L168"/>
          <cell r="M168">
            <v>0.1969243</v>
          </cell>
          <cell r="O168">
            <v>36383</v>
          </cell>
          <cell r="P168">
            <v>1.0006982</v>
          </cell>
          <cell r="Q168">
            <v>1.1690118383366703</v>
          </cell>
        </row>
        <row r="169">
          <cell r="J169">
            <v>33543</v>
          </cell>
          <cell r="K169"/>
          <cell r="L169"/>
          <cell r="M169">
            <v>0.24906824999999999</v>
          </cell>
          <cell r="O169">
            <v>36384</v>
          </cell>
          <cell r="P169">
            <v>1.00069853</v>
          </cell>
          <cell r="Q169">
            <v>1.1698284281761036</v>
          </cell>
        </row>
        <row r="170">
          <cell r="J170">
            <v>33573</v>
          </cell>
          <cell r="K170"/>
          <cell r="L170"/>
          <cell r="M170">
            <v>0.3092182</v>
          </cell>
          <cell r="O170">
            <v>36385</v>
          </cell>
          <cell r="P170">
            <v>1.0006982</v>
          </cell>
          <cell r="Q170">
            <v>1.1706452023846561</v>
          </cell>
        </row>
        <row r="171">
          <cell r="J171">
            <v>33604</v>
          </cell>
          <cell r="K171"/>
          <cell r="L171"/>
          <cell r="M171">
            <v>0.38936975000000001</v>
          </cell>
          <cell r="O171">
            <v>36388</v>
          </cell>
          <cell r="P171">
            <v>1.00069853</v>
          </cell>
          <cell r="Q171">
            <v>1.1714629331778779</v>
          </cell>
        </row>
        <row r="172">
          <cell r="J172">
            <v>33635</v>
          </cell>
          <cell r="K172"/>
          <cell r="L172"/>
          <cell r="M172">
            <v>0.48468918</v>
          </cell>
          <cell r="O172">
            <v>36389</v>
          </cell>
          <cell r="P172">
            <v>1.0006982</v>
          </cell>
          <cell r="Q172">
            <v>1.1722808485978227</v>
          </cell>
        </row>
        <row r="173">
          <cell r="J173">
            <v>33664</v>
          </cell>
          <cell r="K173"/>
          <cell r="L173"/>
          <cell r="M173">
            <v>0.58947711000000003</v>
          </cell>
          <cell r="O173">
            <v>36390</v>
          </cell>
          <cell r="P173">
            <v>1.0006975300000001</v>
          </cell>
          <cell r="Q173">
            <v>1.1730985496581452</v>
          </cell>
        </row>
        <row r="174">
          <cell r="J174">
            <v>33695</v>
          </cell>
          <cell r="K174"/>
          <cell r="L174"/>
          <cell r="M174">
            <v>0.71232561000000005</v>
          </cell>
          <cell r="O174">
            <v>36391</v>
          </cell>
          <cell r="P174">
            <v>1.0006975300000001</v>
          </cell>
          <cell r="Q174">
            <v>1.1739168210894884</v>
          </cell>
        </row>
        <row r="175">
          <cell r="J175">
            <v>33725</v>
          </cell>
          <cell r="K175"/>
          <cell r="L175"/>
          <cell r="M175">
            <v>0.88684490000000005</v>
          </cell>
          <cell r="O175">
            <v>36392</v>
          </cell>
          <cell r="P175">
            <v>1.0006978600000001</v>
          </cell>
          <cell r="Q175">
            <v>1.174736050682254</v>
          </cell>
        </row>
        <row r="176">
          <cell r="J176">
            <v>33756</v>
          </cell>
          <cell r="K176"/>
          <cell r="L176"/>
          <cell r="M176">
            <v>1.07175212</v>
          </cell>
          <cell r="O176">
            <v>36395</v>
          </cell>
          <cell r="P176">
            <v>1.0006968599999999</v>
          </cell>
          <cell r="Q176">
            <v>1.1755546772465322</v>
          </cell>
        </row>
        <row r="177">
          <cell r="J177">
            <v>33786</v>
          </cell>
          <cell r="K177"/>
          <cell r="L177"/>
          <cell r="M177">
            <v>1.3083946399999999</v>
          </cell>
          <cell r="O177">
            <v>36396</v>
          </cell>
          <cell r="P177">
            <v>1.0006965299999999</v>
          </cell>
          <cell r="Q177">
            <v>1.1763734863458746</v>
          </cell>
        </row>
        <row r="178">
          <cell r="J178">
            <v>33817</v>
          </cell>
          <cell r="K178"/>
          <cell r="L178"/>
          <cell r="M178">
            <v>1.60121369</v>
          </cell>
          <cell r="O178">
            <v>36397</v>
          </cell>
          <cell r="P178">
            <v>1.0006965299999999</v>
          </cell>
          <cell r="Q178">
            <v>1.177192865770319</v>
          </cell>
        </row>
        <row r="179">
          <cell r="J179">
            <v>33848</v>
          </cell>
          <cell r="K179"/>
          <cell r="L179"/>
          <cell r="M179">
            <v>1.9851851599999999</v>
          </cell>
          <cell r="O179">
            <v>36398</v>
          </cell>
          <cell r="P179">
            <v>1.00069586</v>
          </cell>
          <cell r="Q179">
            <v>1.178012027197894</v>
          </cell>
        </row>
        <row r="180">
          <cell r="J180">
            <v>33878</v>
          </cell>
          <cell r="K180"/>
          <cell r="L180"/>
          <cell r="M180">
            <v>2.5027210499999999</v>
          </cell>
          <cell r="O180">
            <v>36399</v>
          </cell>
          <cell r="P180">
            <v>1.0006982</v>
          </cell>
          <cell r="Q180">
            <v>1.1788345151952835</v>
          </cell>
        </row>
        <row r="181">
          <cell r="J181">
            <v>33909</v>
          </cell>
          <cell r="K181"/>
          <cell r="L181"/>
          <cell r="M181">
            <v>3.07559468</v>
          </cell>
          <cell r="O181">
            <v>36402</v>
          </cell>
          <cell r="P181">
            <v>1.0006965299999999</v>
          </cell>
          <cell r="Q181">
            <v>1.1796556088001524</v>
          </cell>
        </row>
        <row r="182">
          <cell r="J182">
            <v>33939</v>
          </cell>
          <cell r="K182"/>
          <cell r="L182"/>
          <cell r="M182">
            <v>3.8623294499999998</v>
          </cell>
          <cell r="O182">
            <v>36403</v>
          </cell>
          <cell r="P182">
            <v>1.0006975300000001</v>
          </cell>
          <cell r="Q182">
            <v>1.1804784539769588</v>
          </cell>
        </row>
        <row r="183">
          <cell r="J183">
            <v>33970</v>
          </cell>
          <cell r="K183"/>
          <cell r="L183"/>
          <cell r="M183">
            <v>4.9735202000000003</v>
          </cell>
          <cell r="O183">
            <v>36404</v>
          </cell>
          <cell r="P183">
            <v>1.0006975300000001</v>
          </cell>
          <cell r="Q183">
            <v>1.1813018731129614</v>
          </cell>
        </row>
        <row r="184">
          <cell r="J184">
            <v>34001</v>
          </cell>
          <cell r="K184"/>
          <cell r="L184"/>
          <cell r="M184">
            <v>6.2064572099999999</v>
          </cell>
          <cell r="O184">
            <v>36405</v>
          </cell>
          <cell r="P184">
            <v>1.00068953</v>
          </cell>
          <cell r="Q184">
            <v>1.1821164161935291</v>
          </cell>
        </row>
        <row r="185">
          <cell r="J185">
            <v>34029</v>
          </cell>
          <cell r="K185"/>
          <cell r="L185"/>
          <cell r="M185">
            <v>7.9181958400000001</v>
          </cell>
          <cell r="O185">
            <v>36406</v>
          </cell>
          <cell r="P185">
            <v>1.0006982</v>
          </cell>
          <cell r="Q185">
            <v>1.1829417698753155</v>
          </cell>
        </row>
        <row r="186">
          <cell r="J186">
            <v>34060</v>
          </cell>
          <cell r="K186"/>
          <cell r="L186"/>
          <cell r="M186">
            <v>10.16459</v>
          </cell>
          <cell r="O186">
            <v>36409</v>
          </cell>
          <cell r="P186">
            <v>1.0006975300000001</v>
          </cell>
          <cell r="Q186">
            <v>1.1837669072480568</v>
          </cell>
        </row>
        <row r="187">
          <cell r="J187">
            <v>34090</v>
          </cell>
          <cell r="K187"/>
          <cell r="L187"/>
          <cell r="M187">
            <v>12.88666725</v>
          </cell>
          <cell r="O187">
            <v>36411</v>
          </cell>
          <cell r="P187">
            <v>1.00069553</v>
          </cell>
          <cell r="Q187">
            <v>1.1845902526450549</v>
          </cell>
        </row>
        <row r="188">
          <cell r="J188">
            <v>34121</v>
          </cell>
          <cell r="K188"/>
          <cell r="L188"/>
          <cell r="M188">
            <v>16.800350259999998</v>
          </cell>
          <cell r="O188">
            <v>36412</v>
          </cell>
          <cell r="P188">
            <v>1.0006968599999999</v>
          </cell>
          <cell r="Q188">
            <v>1.1854157462085131</v>
          </cell>
        </row>
        <row r="189">
          <cell r="J189">
            <v>34151</v>
          </cell>
          <cell r="K189"/>
          <cell r="L189"/>
          <cell r="M189">
            <v>22.01013661</v>
          </cell>
          <cell r="O189">
            <v>36413</v>
          </cell>
          <cell r="P189">
            <v>1.0006968599999999</v>
          </cell>
          <cell r="Q189">
            <v>1.1862418150254159</v>
          </cell>
        </row>
        <row r="190">
          <cell r="J190">
            <v>34182</v>
          </cell>
          <cell r="K190"/>
          <cell r="L190"/>
          <cell r="M190">
            <v>29.348318469999999</v>
          </cell>
          <cell r="O190">
            <v>36416</v>
          </cell>
          <cell r="P190">
            <v>1.0007025199999999</v>
          </cell>
          <cell r="Q190">
            <v>1.1870751736253076</v>
          </cell>
        </row>
        <row r="191">
          <cell r="J191">
            <v>34213</v>
          </cell>
          <cell r="K191"/>
          <cell r="L191"/>
          <cell r="M191">
            <v>39.805125320000002</v>
          </cell>
          <cell r="O191">
            <v>36417</v>
          </cell>
          <cell r="P191">
            <v>1.0007031900000001</v>
          </cell>
          <cell r="Q191">
            <v>1.1879099130166493</v>
          </cell>
        </row>
        <row r="192">
          <cell r="J192">
            <v>34243</v>
          </cell>
          <cell r="K192"/>
          <cell r="L192"/>
          <cell r="M192">
            <v>53.386632919999997</v>
          </cell>
          <cell r="O192">
            <v>36418</v>
          </cell>
          <cell r="P192">
            <v>1.0006991999999999</v>
          </cell>
          <cell r="Q192">
            <v>1.1887404996278303</v>
          </cell>
        </row>
        <row r="193">
          <cell r="J193">
            <v>34274</v>
          </cell>
          <cell r="K193"/>
          <cell r="L193"/>
          <cell r="M193">
            <v>72.605821210000002</v>
          </cell>
          <cell r="O193">
            <v>36419</v>
          </cell>
          <cell r="P193">
            <v>1.00069586</v>
          </cell>
          <cell r="Q193">
            <v>1.1895676965919013</v>
          </cell>
        </row>
        <row r="194">
          <cell r="J194">
            <v>34304</v>
          </cell>
          <cell r="K194"/>
          <cell r="L194"/>
          <cell r="M194">
            <v>100</v>
          </cell>
          <cell r="O194">
            <v>36420</v>
          </cell>
          <cell r="P194">
            <v>1.0006968599999999</v>
          </cell>
          <cell r="Q194">
            <v>1.1903966587369483</v>
          </cell>
        </row>
        <row r="195">
          <cell r="J195">
            <v>34335</v>
          </cell>
          <cell r="K195"/>
          <cell r="L195"/>
          <cell r="M195">
            <v>141.32</v>
          </cell>
          <cell r="O195">
            <v>36423</v>
          </cell>
          <cell r="P195">
            <v>1.0006975300000001</v>
          </cell>
          <cell r="Q195">
            <v>1.1912269961183173</v>
          </cell>
        </row>
        <row r="196">
          <cell r="J196">
            <v>34366</v>
          </cell>
          <cell r="K196"/>
          <cell r="L196"/>
          <cell r="M196">
            <v>198.65</v>
          </cell>
          <cell r="O196">
            <v>36424</v>
          </cell>
          <cell r="P196">
            <v>1.0006982</v>
          </cell>
          <cell r="Q196">
            <v>1.1920587108070071</v>
          </cell>
        </row>
        <row r="197">
          <cell r="J197">
            <v>34394</v>
          </cell>
          <cell r="K197"/>
          <cell r="L197"/>
          <cell r="M197">
            <v>284.23</v>
          </cell>
          <cell r="O197">
            <v>36425</v>
          </cell>
          <cell r="P197">
            <v>1.0006995299999999</v>
          </cell>
          <cell r="Q197">
            <v>1.1928925916369777</v>
          </cell>
        </row>
        <row r="198">
          <cell r="J198">
            <v>34425</v>
          </cell>
          <cell r="K198"/>
          <cell r="L198"/>
          <cell r="M198">
            <v>406.05</v>
          </cell>
          <cell r="O198">
            <v>36426</v>
          </cell>
          <cell r="P198">
            <v>1.00068786</v>
          </cell>
          <cell r="Q198">
            <v>1.1937131347350611</v>
          </cell>
        </row>
        <row r="199">
          <cell r="J199">
            <v>34455</v>
          </cell>
          <cell r="K199"/>
          <cell r="L199"/>
          <cell r="M199">
            <v>579.55999999999995</v>
          </cell>
          <cell r="O199">
            <v>36427</v>
          </cell>
          <cell r="P199">
            <v>1.0006871900000001</v>
          </cell>
          <cell r="Q199">
            <v>1.1945334424641199</v>
          </cell>
        </row>
        <row r="200">
          <cell r="J200">
            <v>34486</v>
          </cell>
          <cell r="K200"/>
          <cell r="L200"/>
          <cell r="M200">
            <v>859.14</v>
          </cell>
          <cell r="O200">
            <v>36430</v>
          </cell>
          <cell r="P200">
            <v>1.0006871900000001</v>
          </cell>
          <cell r="Q200">
            <v>1.1953543139004468</v>
          </cell>
        </row>
        <row r="201">
          <cell r="J201">
            <v>34516</v>
          </cell>
          <cell r="K201"/>
          <cell r="L201"/>
          <cell r="M201">
            <v>925.72</v>
          </cell>
          <cell r="O201">
            <v>36431</v>
          </cell>
          <cell r="P201">
            <v>1.0006871900000001</v>
          </cell>
          <cell r="Q201">
            <v>1.196175749431416</v>
          </cell>
        </row>
        <row r="202">
          <cell r="J202">
            <v>34547</v>
          </cell>
          <cell r="K202">
            <v>100</v>
          </cell>
          <cell r="L202"/>
          <cell r="M202">
            <v>942.85</v>
          </cell>
          <cell r="O202">
            <v>36432</v>
          </cell>
          <cell r="P202">
            <v>1.0006868600000001</v>
          </cell>
          <cell r="Q202">
            <v>1.1969973547066706</v>
          </cell>
        </row>
        <row r="203">
          <cell r="J203">
            <v>34578</v>
          </cell>
          <cell r="K203">
            <v>101.751</v>
          </cell>
          <cell r="L203"/>
          <cell r="M203">
            <v>956.05</v>
          </cell>
          <cell r="O203">
            <v>36433</v>
          </cell>
          <cell r="P203">
            <v>1.0006865199999999</v>
          </cell>
          <cell r="Q203">
            <v>1.1978191173306236</v>
          </cell>
        </row>
        <row r="204">
          <cell r="J204">
            <v>34608</v>
          </cell>
          <cell r="K204">
            <v>103.602</v>
          </cell>
          <cell r="L204"/>
          <cell r="M204">
            <v>983.01</v>
          </cell>
          <cell r="O204">
            <v>36434</v>
          </cell>
          <cell r="P204">
            <v>1.00068585</v>
          </cell>
          <cell r="Q204">
            <v>1.1986406415722448</v>
          </cell>
        </row>
        <row r="205">
          <cell r="J205">
            <v>34639</v>
          </cell>
          <cell r="K205">
            <v>106.553</v>
          </cell>
          <cell r="L205"/>
          <cell r="M205">
            <v>1012.11</v>
          </cell>
          <cell r="O205">
            <v>36437</v>
          </cell>
          <cell r="P205">
            <v>1.0006871900000001</v>
          </cell>
          <cell r="Q205">
            <v>1.199464335434727</v>
          </cell>
        </row>
        <row r="206">
          <cell r="J206">
            <v>34669</v>
          </cell>
          <cell r="K206">
            <v>107.45</v>
          </cell>
          <cell r="L206"/>
          <cell r="M206">
            <v>1029.32</v>
          </cell>
          <cell r="O206">
            <v>36438</v>
          </cell>
          <cell r="P206">
            <v>1.0006861899999999</v>
          </cell>
          <cell r="Q206">
            <v>1.2002873958670588</v>
          </cell>
        </row>
        <row r="207">
          <cell r="J207">
            <v>34700</v>
          </cell>
          <cell r="K207">
            <v>108.44199999999999</v>
          </cell>
          <cell r="L207"/>
          <cell r="M207">
            <v>1044.1400000000001</v>
          </cell>
          <cell r="O207">
            <v>36439</v>
          </cell>
          <cell r="P207">
            <v>1.00068585</v>
          </cell>
          <cell r="Q207">
            <v>1.2011106129775142</v>
          </cell>
        </row>
        <row r="208">
          <cell r="J208">
            <v>34731</v>
          </cell>
          <cell r="K208">
            <v>109.94499999999999</v>
          </cell>
          <cell r="L208"/>
          <cell r="M208">
            <v>1054.69</v>
          </cell>
          <cell r="O208">
            <v>36440</v>
          </cell>
          <cell r="P208">
            <v>1.00068084</v>
          </cell>
          <cell r="Q208">
            <v>1.2019283771272538</v>
          </cell>
        </row>
        <row r="209">
          <cell r="J209">
            <v>34759</v>
          </cell>
          <cell r="K209">
            <v>111.178</v>
          </cell>
          <cell r="L209"/>
          <cell r="M209">
            <v>1071.78</v>
          </cell>
          <cell r="O209">
            <v>36441</v>
          </cell>
          <cell r="P209">
            <v>1.0006848500000001</v>
          </cell>
          <cell r="Q209">
            <v>1.2027515177763295</v>
          </cell>
        </row>
        <row r="210">
          <cell r="J210">
            <v>34790</v>
          </cell>
          <cell r="K210">
            <v>113.518</v>
          </cell>
          <cell r="L210"/>
          <cell r="M210">
            <v>1098.47</v>
          </cell>
          <cell r="O210">
            <v>36444</v>
          </cell>
          <cell r="P210">
            <v>1.0006845200000001</v>
          </cell>
          <cell r="Q210">
            <v>1.2035748252452778</v>
          </cell>
        </row>
        <row r="211">
          <cell r="J211">
            <v>34820</v>
          </cell>
          <cell r="K211">
            <v>114.17100000000001</v>
          </cell>
          <cell r="L211"/>
          <cell r="M211">
            <v>1121.54</v>
          </cell>
          <cell r="O211">
            <v>36446</v>
          </cell>
          <cell r="P211">
            <v>1.00068285</v>
          </cell>
          <cell r="Q211">
            <v>1.2043966863146967</v>
          </cell>
        </row>
        <row r="212">
          <cell r="J212">
            <v>34851</v>
          </cell>
          <cell r="K212">
            <v>116.98399999999999</v>
          </cell>
          <cell r="L212"/>
          <cell r="M212">
            <v>1145.99</v>
          </cell>
          <cell r="O212">
            <v>36447</v>
          </cell>
          <cell r="P212">
            <v>1.00068318</v>
          </cell>
          <cell r="Q212">
            <v>1.2052195060428532</v>
          </cell>
        </row>
        <row r="213">
          <cell r="J213">
            <v>34881</v>
          </cell>
          <cell r="K213">
            <v>119.114</v>
          </cell>
          <cell r="L213"/>
          <cell r="M213">
            <v>1174.18</v>
          </cell>
          <cell r="O213">
            <v>36448</v>
          </cell>
          <cell r="P213">
            <v>1.00068318</v>
          </cell>
          <cell r="Q213">
            <v>1.2060428879049916</v>
          </cell>
        </row>
        <row r="214">
          <cell r="J214">
            <v>34912</v>
          </cell>
          <cell r="K214">
            <v>121.729</v>
          </cell>
          <cell r="L214"/>
          <cell r="M214">
            <v>1186.1600000000001</v>
          </cell>
          <cell r="O214">
            <v>36451</v>
          </cell>
          <cell r="P214">
            <v>1.00068285</v>
          </cell>
          <cell r="Q214">
            <v>1.2068664342909976</v>
          </cell>
        </row>
        <row r="215">
          <cell r="J215">
            <v>34943</v>
          </cell>
          <cell r="K215">
            <v>120.869</v>
          </cell>
          <cell r="L215"/>
          <cell r="M215">
            <v>1200.04</v>
          </cell>
          <cell r="O215">
            <v>36452</v>
          </cell>
          <cell r="P215">
            <v>1.00068285</v>
          </cell>
          <cell r="Q215">
            <v>1.2076905430356533</v>
          </cell>
        </row>
        <row r="216">
          <cell r="J216">
            <v>34973</v>
          </cell>
          <cell r="K216">
            <v>121.503</v>
          </cell>
          <cell r="L216"/>
          <cell r="M216">
            <v>1216.8399999999999</v>
          </cell>
          <cell r="O216">
            <v>36453</v>
          </cell>
          <cell r="P216">
            <v>1.00068318</v>
          </cell>
          <cell r="Q216">
            <v>1.2085156130608443</v>
          </cell>
        </row>
        <row r="217">
          <cell r="J217">
            <v>35004</v>
          </cell>
          <cell r="K217">
            <v>122.955</v>
          </cell>
          <cell r="L217"/>
          <cell r="M217">
            <v>1235.21</v>
          </cell>
          <cell r="O217">
            <v>36454</v>
          </cell>
          <cell r="P217">
            <v>1.00068285</v>
          </cell>
          <cell r="Q217">
            <v>1.209340847947223</v>
          </cell>
        </row>
        <row r="218">
          <cell r="J218">
            <v>35034</v>
          </cell>
          <cell r="K218">
            <v>123.833</v>
          </cell>
          <cell r="L218"/>
          <cell r="M218">
            <v>1255.5899999999999</v>
          </cell>
          <cell r="O218">
            <v>36455</v>
          </cell>
          <cell r="P218">
            <v>1.0006821800000001</v>
          </cell>
          <cell r="Q218">
            <v>1.2101658360868757</v>
          </cell>
        </row>
        <row r="219">
          <cell r="J219">
            <v>35065</v>
          </cell>
          <cell r="K219">
            <v>125.977</v>
          </cell>
          <cell r="L219"/>
          <cell r="M219">
            <v>1273.92</v>
          </cell>
          <cell r="O219">
            <v>36458</v>
          </cell>
          <cell r="P219">
            <v>1.0006815099999999</v>
          </cell>
          <cell r="Q219">
            <v>1.2109905762058271</v>
          </cell>
        </row>
        <row r="220">
          <cell r="J220">
            <v>35096</v>
          </cell>
          <cell r="K220">
            <v>127.202</v>
          </cell>
          <cell r="L220"/>
          <cell r="M220">
            <v>1282.96</v>
          </cell>
          <cell r="O220">
            <v>36459</v>
          </cell>
          <cell r="P220">
            <v>1.0006801700000001</v>
          </cell>
          <cell r="Q220">
            <v>1.2118142556660452</v>
          </cell>
        </row>
        <row r="221">
          <cell r="J221">
            <v>35125</v>
          </cell>
          <cell r="K221">
            <v>127.715</v>
          </cell>
          <cell r="L221"/>
          <cell r="M221">
            <v>1286.68</v>
          </cell>
          <cell r="O221">
            <v>36460</v>
          </cell>
          <cell r="P221">
            <v>1.00068051</v>
          </cell>
          <cell r="Q221">
            <v>1.2126389073851684</v>
          </cell>
        </row>
        <row r="222">
          <cell r="J222">
            <v>35156</v>
          </cell>
          <cell r="K222">
            <v>128.13</v>
          </cell>
          <cell r="L222"/>
          <cell r="M222">
            <v>1298.6500000000001</v>
          </cell>
          <cell r="O222">
            <v>36461</v>
          </cell>
          <cell r="P222">
            <v>1.0006801700000001</v>
          </cell>
          <cell r="Q222">
            <v>1.2134637079908048</v>
          </cell>
        </row>
        <row r="223">
          <cell r="J223">
            <v>35186</v>
          </cell>
          <cell r="K223">
            <v>130.12100000000001</v>
          </cell>
          <cell r="L223"/>
          <cell r="M223">
            <v>1315.27</v>
          </cell>
          <cell r="O223">
            <v>36462</v>
          </cell>
          <cell r="P223">
            <v>1.0006801700000001</v>
          </cell>
          <cell r="Q223">
            <v>1.2142890696010691</v>
          </cell>
        </row>
        <row r="224">
          <cell r="J224">
            <v>35217</v>
          </cell>
          <cell r="K224">
            <v>131.44499999999999</v>
          </cell>
          <cell r="L224"/>
          <cell r="M224">
            <v>1332.76</v>
          </cell>
          <cell r="O224">
            <v>36465</v>
          </cell>
          <cell r="P224">
            <v>1.00068051</v>
          </cell>
          <cell r="Q224">
            <v>1.2151154054558233</v>
          </cell>
        </row>
        <row r="225">
          <cell r="J225">
            <v>35247</v>
          </cell>
          <cell r="K225">
            <v>133.21299999999999</v>
          </cell>
          <cell r="L225"/>
          <cell r="M225">
            <v>1348.75</v>
          </cell>
          <cell r="O225">
            <v>36467</v>
          </cell>
          <cell r="P225">
            <v>1.00068084</v>
          </cell>
          <cell r="Q225">
            <v>1.2159427046284739</v>
          </cell>
        </row>
        <row r="226">
          <cell r="J226">
            <v>35278</v>
          </cell>
          <cell r="K226">
            <v>133.58699999999999</v>
          </cell>
          <cell r="L226"/>
          <cell r="M226">
            <v>1355.49</v>
          </cell>
          <cell r="O226">
            <v>36468</v>
          </cell>
          <cell r="P226">
            <v>1.00068051</v>
          </cell>
          <cell r="Q226">
            <v>1.2167701657984007</v>
          </cell>
        </row>
        <row r="227">
          <cell r="J227">
            <v>35309</v>
          </cell>
          <cell r="K227">
            <v>133.72200000000001</v>
          </cell>
          <cell r="L227"/>
          <cell r="M227">
            <v>1355.76</v>
          </cell>
          <cell r="O227">
            <v>36469</v>
          </cell>
          <cell r="P227">
            <v>1.00068051</v>
          </cell>
          <cell r="Q227">
            <v>1.2175981900639281</v>
          </cell>
        </row>
        <row r="228">
          <cell r="J228">
            <v>35339</v>
          </cell>
          <cell r="K228">
            <v>133.97800000000001</v>
          </cell>
          <cell r="L228"/>
          <cell r="M228">
            <v>1360.91</v>
          </cell>
          <cell r="O228">
            <v>36472</v>
          </cell>
          <cell r="P228">
            <v>1.0006801700000001</v>
          </cell>
          <cell r="Q228">
            <v>1.218426363824864</v>
          </cell>
        </row>
        <row r="229">
          <cell r="J229">
            <v>35370</v>
          </cell>
          <cell r="K229">
            <v>134.24199999999999</v>
          </cell>
          <cell r="L229"/>
          <cell r="M229">
            <v>1365.54</v>
          </cell>
          <cell r="O229">
            <v>36473</v>
          </cell>
          <cell r="P229">
            <v>1.0006801700000001</v>
          </cell>
          <cell r="Q229">
            <v>1.219255100884747</v>
          </cell>
        </row>
        <row r="230">
          <cell r="J230">
            <v>35400</v>
          </cell>
          <cell r="K230">
            <v>135.22499999999999</v>
          </cell>
          <cell r="L230"/>
          <cell r="M230">
            <v>1370.05</v>
          </cell>
          <cell r="O230">
            <v>36474</v>
          </cell>
          <cell r="P230">
            <v>1.0006798400000001</v>
          </cell>
          <cell r="Q230">
            <v>1.2200839992725325</v>
          </cell>
        </row>
        <row r="231">
          <cell r="J231">
            <v>35431</v>
          </cell>
          <cell r="K231">
            <v>137.613</v>
          </cell>
          <cell r="L231"/>
          <cell r="M231">
            <v>1381.15</v>
          </cell>
          <cell r="O231">
            <v>36475</v>
          </cell>
          <cell r="P231">
            <v>1.00067247</v>
          </cell>
          <cell r="Q231">
            <v>1.2209044691595234</v>
          </cell>
        </row>
        <row r="232">
          <cell r="J232">
            <v>35462</v>
          </cell>
          <cell r="K232">
            <v>138.20400000000001</v>
          </cell>
          <cell r="L232"/>
          <cell r="M232">
            <v>1387.37</v>
          </cell>
          <cell r="O232">
            <v>36476</v>
          </cell>
          <cell r="P232">
            <v>1.0006818399999999</v>
          </cell>
          <cell r="Q232">
            <v>1.221736930662775</v>
          </cell>
        </row>
        <row r="233">
          <cell r="J233">
            <v>35490</v>
          </cell>
          <cell r="K233">
            <v>139.79499999999999</v>
          </cell>
          <cell r="L233"/>
          <cell r="M233">
            <v>1396.8</v>
          </cell>
          <cell r="O233">
            <v>36480</v>
          </cell>
          <cell r="P233">
            <v>1.0006825100000001</v>
          </cell>
          <cell r="Q233">
            <v>1.2225707783353217</v>
          </cell>
        </row>
        <row r="234">
          <cell r="J234">
            <v>35521</v>
          </cell>
          <cell r="K234">
            <v>140.74199999999999</v>
          </cell>
          <cell r="L234"/>
          <cell r="M234">
            <v>1405.18</v>
          </cell>
          <cell r="O234">
            <v>36481</v>
          </cell>
          <cell r="P234">
            <v>1.00068285</v>
          </cell>
          <cell r="Q234">
            <v>1.2234056107913081</v>
          </cell>
        </row>
        <row r="235">
          <cell r="J235">
            <v>35551</v>
          </cell>
          <cell r="K235">
            <v>141.04</v>
          </cell>
          <cell r="L235"/>
          <cell r="M235">
            <v>1406.73</v>
          </cell>
          <cell r="O235">
            <v>36482</v>
          </cell>
          <cell r="P235">
            <v>1.00068285</v>
          </cell>
          <cell r="Q235">
            <v>1.2242410133126369</v>
          </cell>
        </row>
        <row r="236">
          <cell r="J236">
            <v>35582</v>
          </cell>
          <cell r="K236">
            <v>142.09</v>
          </cell>
          <cell r="L236"/>
          <cell r="M236">
            <v>1411.65</v>
          </cell>
          <cell r="O236">
            <v>36483</v>
          </cell>
          <cell r="P236">
            <v>1.0006835199999999</v>
          </cell>
          <cell r="Q236">
            <v>1.2250778065300563</v>
          </cell>
        </row>
        <row r="237">
          <cell r="J237">
            <v>35612</v>
          </cell>
          <cell r="K237">
            <v>142.09</v>
          </cell>
          <cell r="L237"/>
          <cell r="M237">
            <v>1414.19</v>
          </cell>
          <cell r="O237">
            <v>36486</v>
          </cell>
          <cell r="P237">
            <v>1.0006838499999999</v>
          </cell>
          <cell r="Q237">
            <v>1.2259155759880518</v>
          </cell>
        </row>
        <row r="238">
          <cell r="J238">
            <v>35643</v>
          </cell>
          <cell r="K238">
            <v>142.35300000000001</v>
          </cell>
          <cell r="L238"/>
          <cell r="M238">
            <v>1413.77</v>
          </cell>
          <cell r="O238">
            <v>36487</v>
          </cell>
          <cell r="P238">
            <v>1.0006835199999999</v>
          </cell>
          <cell r="Q238">
            <v>1.2267535138025512</v>
          </cell>
        </row>
        <row r="239">
          <cell r="J239">
            <v>35674</v>
          </cell>
          <cell r="K239">
            <v>143.042</v>
          </cell>
          <cell r="L239"/>
          <cell r="M239">
            <v>1415.18</v>
          </cell>
          <cell r="O239">
            <v>36488</v>
          </cell>
          <cell r="P239">
            <v>1.00068318</v>
          </cell>
          <cell r="Q239">
            <v>1.2275916072681108</v>
          </cell>
        </row>
        <row r="240">
          <cell r="J240">
            <v>35704</v>
          </cell>
          <cell r="K240">
            <v>143.56700000000001</v>
          </cell>
          <cell r="L240"/>
          <cell r="M240">
            <v>1419.28</v>
          </cell>
          <cell r="O240">
            <v>36489</v>
          </cell>
          <cell r="P240">
            <v>1.00068318</v>
          </cell>
          <cell r="Q240">
            <v>1.2284302733023642</v>
          </cell>
        </row>
        <row r="241">
          <cell r="J241">
            <v>35735</v>
          </cell>
          <cell r="K241">
            <v>144.48099999999999</v>
          </cell>
          <cell r="L241"/>
          <cell r="M241">
            <v>1421.41</v>
          </cell>
          <cell r="O241">
            <v>36490</v>
          </cell>
          <cell r="P241">
            <v>1.00068318</v>
          </cell>
          <cell r="Q241">
            <v>1.229269512296479</v>
          </cell>
        </row>
        <row r="242">
          <cell r="J242">
            <v>35765</v>
          </cell>
          <cell r="K242">
            <v>145.69499999999999</v>
          </cell>
          <cell r="L242"/>
          <cell r="M242">
            <v>1429.51</v>
          </cell>
          <cell r="O242">
            <v>36493</v>
          </cell>
          <cell r="P242">
            <v>1.0006838499999999</v>
          </cell>
          <cell r="Q242">
            <v>1.2301101482524628</v>
          </cell>
        </row>
        <row r="243">
          <cell r="J243">
            <v>35796</v>
          </cell>
          <cell r="K243">
            <v>147.09100000000001</v>
          </cell>
          <cell r="L243"/>
          <cell r="M243">
            <v>1441.66</v>
          </cell>
          <cell r="O243">
            <v>36494</v>
          </cell>
          <cell r="P243">
            <v>1.00068318</v>
          </cell>
          <cell r="Q243">
            <v>1.2309505349035459</v>
          </cell>
        </row>
        <row r="244">
          <cell r="J244">
            <v>35827</v>
          </cell>
          <cell r="K244">
            <v>147.35599999999999</v>
          </cell>
          <cell r="L244"/>
          <cell r="M244">
            <v>1449.44</v>
          </cell>
          <cell r="O244">
            <v>36495</v>
          </cell>
          <cell r="P244">
            <v>1.0006841799999999</v>
          </cell>
          <cell r="Q244">
            <v>1.2317927266405162</v>
          </cell>
        </row>
        <row r="245">
          <cell r="J245">
            <v>35855</v>
          </cell>
          <cell r="K245">
            <v>147.63499999999999</v>
          </cell>
          <cell r="L245"/>
          <cell r="M245">
            <v>1456.54</v>
          </cell>
          <cell r="O245">
            <v>36496</v>
          </cell>
          <cell r="P245">
            <v>1.0006841799999999</v>
          </cell>
          <cell r="Q245">
            <v>1.232635494588229</v>
          </cell>
        </row>
        <row r="246">
          <cell r="J246">
            <v>35886</v>
          </cell>
          <cell r="K246">
            <v>147.821</v>
          </cell>
          <cell r="L246"/>
          <cell r="M246">
            <v>1463.09</v>
          </cell>
          <cell r="O246">
            <v>36497</v>
          </cell>
          <cell r="P246">
            <v>1.0006838499999999</v>
          </cell>
          <cell r="Q246">
            <v>1.2334784323712031</v>
          </cell>
        </row>
        <row r="247">
          <cell r="J247">
            <v>35916</v>
          </cell>
          <cell r="K247">
            <v>148.02099999999999</v>
          </cell>
          <cell r="L247"/>
          <cell r="M247">
            <v>1473.62</v>
          </cell>
          <cell r="O247">
            <v>36500</v>
          </cell>
          <cell r="P247">
            <v>1.0006841799999999</v>
          </cell>
          <cell r="Q247">
            <v>1.2343223536450627</v>
          </cell>
        </row>
        <row r="248">
          <cell r="J248">
            <v>35947</v>
          </cell>
          <cell r="K248">
            <v>148.58799999999999</v>
          </cell>
          <cell r="L248"/>
          <cell r="M248">
            <v>1475.83</v>
          </cell>
          <cell r="O248">
            <v>36501</v>
          </cell>
          <cell r="P248">
            <v>1.0006845200000001</v>
          </cell>
          <cell r="Q248">
            <v>1.2351672719825799</v>
          </cell>
        </row>
        <row r="249">
          <cell r="J249">
            <v>35977</v>
          </cell>
          <cell r="K249">
            <v>148.339</v>
          </cell>
          <cell r="L249"/>
          <cell r="M249">
            <v>1471.7</v>
          </cell>
          <cell r="O249">
            <v>36502</v>
          </cell>
          <cell r="P249">
            <v>1.00068318</v>
          </cell>
          <cell r="Q249">
            <v>1.2360111135594529</v>
          </cell>
        </row>
        <row r="250">
          <cell r="J250">
            <v>36008</v>
          </cell>
          <cell r="K250">
            <v>148.10900000000001</v>
          </cell>
          <cell r="L250"/>
          <cell r="M250">
            <v>1464.49</v>
          </cell>
          <cell r="O250">
            <v>36503</v>
          </cell>
          <cell r="P250">
            <v>1.0006821800000001</v>
          </cell>
          <cell r="Q250">
            <v>1.236854295620901</v>
          </cell>
        </row>
        <row r="251">
          <cell r="J251">
            <v>36039</v>
          </cell>
          <cell r="K251">
            <v>147.98400000000001</v>
          </cell>
          <cell r="L251"/>
          <cell r="M251">
            <v>1459.95</v>
          </cell>
          <cell r="O251">
            <v>36504</v>
          </cell>
          <cell r="P251">
            <v>1.0006821800000001</v>
          </cell>
          <cell r="Q251">
            <v>1.2376980528842878</v>
          </cell>
        </row>
        <row r="252">
          <cell r="J252">
            <v>36069</v>
          </cell>
          <cell r="K252">
            <v>148.1</v>
          </cell>
          <cell r="L252"/>
          <cell r="M252">
            <v>1461.56</v>
          </cell>
          <cell r="O252">
            <v>36507</v>
          </cell>
          <cell r="P252">
            <v>1.0006818399999999</v>
          </cell>
          <cell r="Q252">
            <v>1.2385419649246663</v>
          </cell>
        </row>
        <row r="253">
          <cell r="J253">
            <v>36100</v>
          </cell>
          <cell r="K253">
            <v>147.62799999999999</v>
          </cell>
          <cell r="L253"/>
          <cell r="M253">
            <v>1458.93</v>
          </cell>
          <cell r="O253">
            <v>36508</v>
          </cell>
          <cell r="P253">
            <v>1.0006818399999999</v>
          </cell>
          <cell r="Q253">
            <v>1.2393864523780305</v>
          </cell>
        </row>
        <row r="254">
          <cell r="J254">
            <v>36130</v>
          </cell>
          <cell r="K254">
            <v>148.291</v>
          </cell>
          <cell r="L254"/>
          <cell r="M254">
            <v>1465.06</v>
          </cell>
          <cell r="O254">
            <v>36509</v>
          </cell>
          <cell r="P254">
            <v>1.0006818399999999</v>
          </cell>
          <cell r="Q254">
            <v>1.2402315156367199</v>
          </cell>
        </row>
        <row r="255">
          <cell r="J255">
            <v>36161</v>
          </cell>
          <cell r="K255">
            <v>149.53299999999999</v>
          </cell>
          <cell r="L255"/>
          <cell r="M255">
            <v>1474.58</v>
          </cell>
          <cell r="O255">
            <v>36510</v>
          </cell>
          <cell r="P255">
            <v>1.0006818399999999</v>
          </cell>
          <cell r="Q255">
            <v>1.2410771550933415</v>
          </cell>
        </row>
        <row r="256">
          <cell r="J256">
            <v>36192</v>
          </cell>
          <cell r="K256">
            <v>154.93299999999999</v>
          </cell>
          <cell r="L256"/>
          <cell r="M256">
            <v>1493.6</v>
          </cell>
          <cell r="O256">
            <v>36511</v>
          </cell>
          <cell r="P256">
            <v>1.0006825100000001</v>
          </cell>
          <cell r="Q256">
            <v>1.2419242026624644</v>
          </cell>
        </row>
        <row r="257">
          <cell r="J257">
            <v>36220</v>
          </cell>
          <cell r="K257">
            <v>159.32499999999999</v>
          </cell>
          <cell r="L257"/>
          <cell r="M257">
            <v>1512.72</v>
          </cell>
          <cell r="O257">
            <v>36514</v>
          </cell>
          <cell r="P257">
            <v>1.0006821800000001</v>
          </cell>
          <cell r="Q257">
            <v>1.2427714185150367</v>
          </cell>
        </row>
        <row r="258">
          <cell r="J258">
            <v>36251</v>
          </cell>
          <cell r="K258">
            <v>160.459</v>
          </cell>
          <cell r="L258"/>
          <cell r="M258">
            <v>1519.83</v>
          </cell>
          <cell r="O258">
            <v>36515</v>
          </cell>
          <cell r="P258">
            <v>1.00068285</v>
          </cell>
          <cell r="Q258">
            <v>1.2436200449781698</v>
          </cell>
        </row>
        <row r="259">
          <cell r="J259">
            <v>36281</v>
          </cell>
          <cell r="K259">
            <v>159.99600000000001</v>
          </cell>
          <cell r="L259"/>
          <cell r="M259">
            <v>1520.59</v>
          </cell>
          <cell r="O259">
            <v>36516</v>
          </cell>
          <cell r="P259">
            <v>1.00068318</v>
          </cell>
          <cell r="Q259">
            <v>1.244469661320498</v>
          </cell>
        </row>
        <row r="260">
          <cell r="J260">
            <v>36312</v>
          </cell>
          <cell r="K260">
            <v>160.57300000000001</v>
          </cell>
          <cell r="L260"/>
          <cell r="M260">
            <v>1521.65</v>
          </cell>
          <cell r="O260">
            <v>36517</v>
          </cell>
          <cell r="P260">
            <v>1.00068285</v>
          </cell>
          <cell r="Q260">
            <v>1.2453194474287306</v>
          </cell>
        </row>
        <row r="261">
          <cell r="J261">
            <v>36342</v>
          </cell>
          <cell r="K261">
            <v>163.06</v>
          </cell>
          <cell r="L261"/>
          <cell r="M261">
            <v>1532.91</v>
          </cell>
          <cell r="O261">
            <v>36518</v>
          </cell>
          <cell r="P261">
            <v>1.00068318</v>
          </cell>
          <cell r="Q261">
            <v>1.2461702247688249</v>
          </cell>
        </row>
        <row r="262">
          <cell r="J262">
            <v>36373</v>
          </cell>
          <cell r="K262">
            <v>165.60300000000001</v>
          </cell>
          <cell r="L262"/>
          <cell r="M262">
            <v>1541.34</v>
          </cell>
          <cell r="O262">
            <v>36521</v>
          </cell>
          <cell r="P262">
            <v>1.00068318</v>
          </cell>
          <cell r="Q262">
            <v>1.2470215833429825</v>
          </cell>
        </row>
        <row r="263">
          <cell r="J263">
            <v>36404</v>
          </cell>
          <cell r="K263">
            <v>167.99700000000001</v>
          </cell>
          <cell r="L263"/>
          <cell r="M263">
            <v>1547.35</v>
          </cell>
          <cell r="O263">
            <v>36522</v>
          </cell>
          <cell r="P263">
            <v>1.0006818399999999</v>
          </cell>
          <cell r="Q263">
            <v>1.2478718525393691</v>
          </cell>
        </row>
        <row r="264">
          <cell r="J264">
            <v>36434</v>
          </cell>
          <cell r="K264">
            <v>170.86099999999999</v>
          </cell>
          <cell r="L264"/>
          <cell r="M264">
            <v>1562.2</v>
          </cell>
          <cell r="O264">
            <v>36523</v>
          </cell>
          <cell r="P264">
            <v>1.0006818399999999</v>
          </cell>
          <cell r="Q264">
            <v>1.2487227014833044</v>
          </cell>
        </row>
        <row r="265">
          <cell r="J265">
            <v>36465</v>
          </cell>
          <cell r="K265">
            <v>174.93899999999999</v>
          </cell>
          <cell r="L265"/>
          <cell r="M265">
            <v>1576.88</v>
          </cell>
          <cell r="O265">
            <v>36524</v>
          </cell>
          <cell r="P265">
            <v>1.0006815099999999</v>
          </cell>
          <cell r="Q265">
            <v>1.2495737184915923</v>
          </cell>
        </row>
        <row r="266">
          <cell r="J266">
            <v>36495</v>
          </cell>
          <cell r="K266">
            <v>178.09899999999999</v>
          </cell>
          <cell r="L266"/>
          <cell r="M266">
            <v>1588.55</v>
          </cell>
          <cell r="O266">
            <v>36525</v>
          </cell>
          <cell r="P266">
            <v>1.0006848500000001</v>
          </cell>
          <cell r="Q266">
            <v>1.2504294890527012</v>
          </cell>
        </row>
        <row r="267">
          <cell r="J267">
            <v>36526</v>
          </cell>
          <cell r="K267">
            <v>180.30099999999999</v>
          </cell>
          <cell r="L267"/>
          <cell r="M267">
            <v>1598.24</v>
          </cell>
          <cell r="O267">
            <v>36528</v>
          </cell>
          <cell r="P267">
            <v>1.0006848500000001</v>
          </cell>
          <cell r="Q267">
            <v>1.2512858456882792</v>
          </cell>
        </row>
        <row r="268">
          <cell r="J268">
            <v>36557</v>
          </cell>
          <cell r="K268">
            <v>180.935</v>
          </cell>
          <cell r="L268"/>
          <cell r="M268">
            <v>1599.04</v>
          </cell>
          <cell r="O268">
            <v>36529</v>
          </cell>
          <cell r="P268">
            <v>1.00068318</v>
          </cell>
          <cell r="Q268">
            <v>1.2521406991523365</v>
          </cell>
        </row>
        <row r="269">
          <cell r="J269">
            <v>36586</v>
          </cell>
          <cell r="K269">
            <v>181.214</v>
          </cell>
          <cell r="L269"/>
          <cell r="M269">
            <v>1601.12</v>
          </cell>
          <cell r="O269">
            <v>36530</v>
          </cell>
          <cell r="P269">
            <v>1.0006821800000001</v>
          </cell>
          <cell r="Q269">
            <v>1.2529948844944843</v>
          </cell>
        </row>
        <row r="270">
          <cell r="J270">
            <v>36617</v>
          </cell>
          <cell r="K270">
            <v>181.63499999999999</v>
          </cell>
          <cell r="L270"/>
          <cell r="M270">
            <v>1602.56</v>
          </cell>
          <cell r="O270">
            <v>36531</v>
          </cell>
          <cell r="P270">
            <v>1.0006818399999999</v>
          </cell>
          <cell r="Q270">
            <v>1.253849226526528</v>
          </cell>
        </row>
        <row r="271">
          <cell r="J271">
            <v>36647</v>
          </cell>
          <cell r="K271">
            <v>182.18899999999999</v>
          </cell>
          <cell r="L271"/>
          <cell r="M271">
            <v>1601.76</v>
          </cell>
          <cell r="O271">
            <v>36532</v>
          </cell>
          <cell r="P271">
            <v>1.0006821800000001</v>
          </cell>
          <cell r="Q271">
            <v>1.2547045773918799</v>
          </cell>
        </row>
        <row r="272">
          <cell r="J272">
            <v>36678</v>
          </cell>
          <cell r="K272">
            <v>183.745</v>
          </cell>
          <cell r="L272"/>
          <cell r="M272">
            <v>1606.57</v>
          </cell>
          <cell r="O272">
            <v>36535</v>
          </cell>
          <cell r="P272">
            <v>1.0006821800000001</v>
          </cell>
          <cell r="Q272">
            <v>1.2555605117604851</v>
          </cell>
        </row>
        <row r="273">
          <cell r="J273">
            <v>36708</v>
          </cell>
          <cell r="K273">
            <v>186.63399999999999</v>
          </cell>
          <cell r="L273"/>
          <cell r="M273">
            <v>1628.9</v>
          </cell>
          <cell r="O273">
            <v>36536</v>
          </cell>
          <cell r="P273">
            <v>1.0006821800000001</v>
          </cell>
          <cell r="Q273">
            <v>1.2564170300303981</v>
          </cell>
        </row>
        <row r="274">
          <cell r="J274">
            <v>36739</v>
          </cell>
          <cell r="K274">
            <v>191.08699999999999</v>
          </cell>
          <cell r="L274"/>
          <cell r="M274">
            <v>1648.61</v>
          </cell>
          <cell r="O274">
            <v>36537</v>
          </cell>
          <cell r="P274">
            <v>1.00068285</v>
          </cell>
          <cell r="Q274">
            <v>1.2572749743993543</v>
          </cell>
        </row>
        <row r="275">
          <cell r="J275">
            <v>36770</v>
          </cell>
          <cell r="K275">
            <v>193.297</v>
          </cell>
          <cell r="L275"/>
          <cell r="M275">
            <v>1655.7</v>
          </cell>
          <cell r="O275">
            <v>36538</v>
          </cell>
          <cell r="P275">
            <v>1.0006818399999999</v>
          </cell>
          <cell r="Q275">
            <v>1.2581322347678987</v>
          </cell>
        </row>
        <row r="276">
          <cell r="J276">
            <v>36800</v>
          </cell>
          <cell r="K276">
            <v>194.04</v>
          </cell>
          <cell r="L276"/>
          <cell r="M276">
            <v>1658.35</v>
          </cell>
          <cell r="O276">
            <v>36539</v>
          </cell>
          <cell r="P276">
            <v>1.0006818399999999</v>
          </cell>
          <cell r="Q276">
            <v>1.2589900796508529</v>
          </cell>
        </row>
        <row r="277">
          <cell r="J277">
            <v>36831</v>
          </cell>
          <cell r="K277">
            <v>194.59899999999999</v>
          </cell>
          <cell r="L277"/>
          <cell r="M277">
            <v>1663.16</v>
          </cell>
          <cell r="O277">
            <v>36542</v>
          </cell>
          <cell r="P277">
            <v>1.0006825100000001</v>
          </cell>
          <cell r="Q277">
            <v>1.2598493529701154</v>
          </cell>
        </row>
        <row r="278">
          <cell r="J278">
            <v>36861</v>
          </cell>
          <cell r="K278">
            <v>195.827</v>
          </cell>
          <cell r="L278"/>
          <cell r="M278">
            <v>1672.31</v>
          </cell>
          <cell r="O278">
            <v>36543</v>
          </cell>
          <cell r="P278">
            <v>1.0006818399999999</v>
          </cell>
          <cell r="Q278">
            <v>1.2607083686529443</v>
          </cell>
        </row>
        <row r="279">
          <cell r="J279">
            <v>36892</v>
          </cell>
          <cell r="K279">
            <v>197.04499999999999</v>
          </cell>
          <cell r="L279"/>
          <cell r="M279">
            <v>1685.19</v>
          </cell>
          <cell r="O279">
            <v>36544</v>
          </cell>
          <cell r="P279">
            <v>1.0006815099999999</v>
          </cell>
          <cell r="Q279">
            <v>1.2615675540132649</v>
          </cell>
        </row>
        <row r="280">
          <cell r="J280">
            <v>36923</v>
          </cell>
          <cell r="K280">
            <v>197.49100000000001</v>
          </cell>
          <cell r="L280"/>
          <cell r="M280">
            <v>1693.45</v>
          </cell>
          <cell r="O280">
            <v>36545</v>
          </cell>
          <cell r="P280">
            <v>1.0006798400000001</v>
          </cell>
          <cell r="Q280">
            <v>1.2624252180991855</v>
          </cell>
        </row>
        <row r="281">
          <cell r="J281">
            <v>36951</v>
          </cell>
          <cell r="K281">
            <v>198.60599999999999</v>
          </cell>
          <cell r="L281"/>
          <cell r="M281">
            <v>1701.58</v>
          </cell>
          <cell r="O281">
            <v>36546</v>
          </cell>
          <cell r="P281">
            <v>1.0006794999999999</v>
          </cell>
          <cell r="Q281">
            <v>1.2632830360348839</v>
          </cell>
        </row>
        <row r="282">
          <cell r="J282">
            <v>36982</v>
          </cell>
          <cell r="K282">
            <v>200.59100000000001</v>
          </cell>
          <cell r="L282"/>
          <cell r="M282">
            <v>1715.87</v>
          </cell>
          <cell r="O282">
            <v>36549</v>
          </cell>
          <cell r="P282">
            <v>1.0006825100000001</v>
          </cell>
          <cell r="Q282">
            <v>1.2641452393398083</v>
          </cell>
        </row>
        <row r="283">
          <cell r="J283">
            <v>37012</v>
          </cell>
          <cell r="K283">
            <v>202.32400000000001</v>
          </cell>
          <cell r="L283"/>
          <cell r="M283">
            <v>1725.65</v>
          </cell>
          <cell r="O283">
            <v>36550</v>
          </cell>
          <cell r="P283">
            <v>1.0006825100000001</v>
          </cell>
          <cell r="Q283">
            <v>1.2650080311071101</v>
          </cell>
        </row>
        <row r="284">
          <cell r="J284">
            <v>37043</v>
          </cell>
          <cell r="K284">
            <v>204.31</v>
          </cell>
          <cell r="L284"/>
          <cell r="M284">
            <v>1736</v>
          </cell>
          <cell r="O284">
            <v>36551</v>
          </cell>
          <cell r="P284">
            <v>1.00068285</v>
          </cell>
          <cell r="Q284">
            <v>1.2658718418411516</v>
          </cell>
        </row>
        <row r="285">
          <cell r="J285">
            <v>37073</v>
          </cell>
          <cell r="K285">
            <v>207.34100000000001</v>
          </cell>
          <cell r="L285"/>
          <cell r="M285">
            <v>1755.27</v>
          </cell>
          <cell r="O285">
            <v>36552</v>
          </cell>
          <cell r="P285">
            <v>1.00068117</v>
          </cell>
          <cell r="Q285">
            <v>1.2667341157636587</v>
          </cell>
        </row>
        <row r="286">
          <cell r="J286">
            <v>37104</v>
          </cell>
          <cell r="K286">
            <v>210.21100000000001</v>
          </cell>
          <cell r="L286"/>
          <cell r="M286">
            <v>1769.14</v>
          </cell>
          <cell r="O286">
            <v>36553</v>
          </cell>
          <cell r="P286">
            <v>1.0006801700000001</v>
          </cell>
          <cell r="Q286">
            <v>1.2675957103071778</v>
          </cell>
        </row>
        <row r="287">
          <cell r="J287">
            <v>37135</v>
          </cell>
          <cell r="K287">
            <v>210.85300000000001</v>
          </cell>
          <cell r="L287"/>
          <cell r="M287">
            <v>1776.92</v>
          </cell>
          <cell r="O287">
            <v>36556</v>
          </cell>
          <cell r="P287">
            <v>1.0006801700000001</v>
          </cell>
          <cell r="Q287">
            <v>1.2684578908814574</v>
          </cell>
        </row>
        <row r="288">
          <cell r="J288">
            <v>37165</v>
          </cell>
          <cell r="K288">
            <v>205.166</v>
          </cell>
          <cell r="L288"/>
          <cell r="M288">
            <v>1793.62</v>
          </cell>
          <cell r="O288">
            <v>36557</v>
          </cell>
          <cell r="P288">
            <v>1.0006798400000001</v>
          </cell>
          <cell r="Q288">
            <v>1.2693202392939944</v>
          </cell>
        </row>
        <row r="289">
          <cell r="J289">
            <v>37196</v>
          </cell>
          <cell r="K289">
            <v>215.685</v>
          </cell>
          <cell r="L289"/>
          <cell r="M289">
            <v>1816.76</v>
          </cell>
          <cell r="O289">
            <v>36558</v>
          </cell>
          <cell r="P289">
            <v>1.00068084</v>
          </cell>
          <cell r="Q289">
            <v>1.2701844432857154</v>
          </cell>
        </row>
        <row r="290">
          <cell r="J290">
            <v>37226</v>
          </cell>
          <cell r="K290">
            <v>216.16300000000001</v>
          </cell>
          <cell r="L290"/>
          <cell r="M290">
            <v>1830.2</v>
          </cell>
          <cell r="O290">
            <v>36559</v>
          </cell>
          <cell r="P290">
            <v>1.00068051</v>
          </cell>
          <cell r="Q290">
            <v>1.2710488165012159</v>
          </cell>
        </row>
        <row r="291">
          <cell r="J291">
            <v>37257</v>
          </cell>
          <cell r="K291">
            <v>216.94399999999999</v>
          </cell>
          <cell r="L291"/>
          <cell r="M291">
            <v>1849.78</v>
          </cell>
          <cell r="O291">
            <v>36560</v>
          </cell>
          <cell r="P291">
            <v>1.00068051</v>
          </cell>
          <cell r="Q291">
            <v>1.2719137779313332</v>
          </cell>
        </row>
        <row r="292">
          <cell r="J292">
            <v>37288</v>
          </cell>
          <cell r="K292">
            <v>217.07400000000001</v>
          </cell>
          <cell r="L292"/>
          <cell r="M292">
            <v>1855.51</v>
          </cell>
          <cell r="O292">
            <v>36563</v>
          </cell>
          <cell r="P292">
            <v>1.00068117</v>
          </cell>
          <cell r="Q292">
            <v>1.2727801674394468</v>
          </cell>
        </row>
        <row r="293">
          <cell r="J293">
            <v>37316</v>
          </cell>
          <cell r="K293">
            <v>217.27600000000001</v>
          </cell>
          <cell r="L293"/>
          <cell r="M293">
            <v>1867.01</v>
          </cell>
          <cell r="O293">
            <v>36564</v>
          </cell>
          <cell r="P293">
            <v>1.0006801700000001</v>
          </cell>
          <cell r="Q293">
            <v>1.2736458743259342</v>
          </cell>
        </row>
        <row r="294">
          <cell r="J294">
            <v>37347</v>
          </cell>
          <cell r="K294">
            <v>218.48599999999999</v>
          </cell>
          <cell r="L294"/>
          <cell r="M294">
            <v>1879.71</v>
          </cell>
          <cell r="O294">
            <v>36565</v>
          </cell>
          <cell r="P294">
            <v>1.00068117</v>
          </cell>
          <cell r="Q294">
            <v>1.2745134436861489</v>
          </cell>
        </row>
        <row r="295">
          <cell r="J295">
            <v>37377</v>
          </cell>
          <cell r="K295">
            <v>220.292</v>
          </cell>
          <cell r="L295"/>
          <cell r="M295">
            <v>1881.4</v>
          </cell>
          <cell r="O295">
            <v>36566</v>
          </cell>
          <cell r="P295">
            <v>1.0006801700000001</v>
          </cell>
          <cell r="Q295">
            <v>1.2753803294951411</v>
          </cell>
        </row>
        <row r="296">
          <cell r="J296">
            <v>37408</v>
          </cell>
          <cell r="K296">
            <v>223.68799999999999</v>
          </cell>
          <cell r="L296"/>
          <cell r="M296">
            <v>1892.88</v>
          </cell>
          <cell r="O296">
            <v>36567</v>
          </cell>
          <cell r="P296">
            <v>1.00068084</v>
          </cell>
          <cell r="Q296">
            <v>1.2762486594386746</v>
          </cell>
        </row>
        <row r="297">
          <cell r="J297">
            <v>37438</v>
          </cell>
          <cell r="K297">
            <v>228.05699999999999</v>
          </cell>
          <cell r="L297"/>
          <cell r="M297">
            <v>1914.65</v>
          </cell>
          <cell r="O297">
            <v>36570</v>
          </cell>
          <cell r="P297">
            <v>1.00068051</v>
          </cell>
          <cell r="Q297">
            <v>1.2771171594139092</v>
          </cell>
        </row>
        <row r="298">
          <cell r="J298">
            <v>37469</v>
          </cell>
          <cell r="K298">
            <v>233.34800000000001</v>
          </cell>
          <cell r="L298"/>
          <cell r="M298">
            <v>1931.12</v>
          </cell>
          <cell r="O298">
            <v>36571</v>
          </cell>
          <cell r="P298">
            <v>1.00068051</v>
          </cell>
          <cell r="Q298">
            <v>1.277986250412062</v>
          </cell>
        </row>
        <row r="299">
          <cell r="J299">
            <v>37500</v>
          </cell>
          <cell r="K299">
            <v>238.94300000000001</v>
          </cell>
          <cell r="L299"/>
          <cell r="M299">
            <v>1947.15</v>
          </cell>
          <cell r="O299">
            <v>36572</v>
          </cell>
          <cell r="P299">
            <v>1.00068084</v>
          </cell>
          <cell r="Q299">
            <v>1.2788563545707927</v>
          </cell>
        </row>
        <row r="300">
          <cell r="J300">
            <v>37530</v>
          </cell>
          <cell r="K300">
            <v>248.19900000000001</v>
          </cell>
          <cell r="L300"/>
          <cell r="M300">
            <v>1977.72</v>
          </cell>
          <cell r="O300">
            <v>36573</v>
          </cell>
          <cell r="P300">
            <v>1.0006815099999999</v>
          </cell>
          <cell r="Q300">
            <v>1.2797279079649961</v>
          </cell>
        </row>
        <row r="301">
          <cell r="J301">
            <v>37561</v>
          </cell>
          <cell r="K301">
            <v>261.08</v>
          </cell>
          <cell r="L301"/>
          <cell r="M301">
            <v>2044.76</v>
          </cell>
          <cell r="O301">
            <v>36574</v>
          </cell>
          <cell r="P301">
            <v>1.00068051</v>
          </cell>
          <cell r="Q301">
            <v>1.2805987756036454</v>
          </cell>
        </row>
        <row r="302">
          <cell r="J302">
            <v>37591</v>
          </cell>
          <cell r="K302">
            <v>270.86700000000002</v>
          </cell>
          <cell r="L302"/>
          <cell r="M302">
            <v>2099.9699999999998</v>
          </cell>
          <cell r="O302">
            <v>36577</v>
          </cell>
          <cell r="P302">
            <v>1.0006818399999999</v>
          </cell>
          <cell r="Q302">
            <v>1.2814719390728029</v>
          </cell>
        </row>
        <row r="303">
          <cell r="J303">
            <v>37622</v>
          </cell>
          <cell r="K303">
            <v>277.173</v>
          </cell>
          <cell r="L303"/>
          <cell r="M303">
            <v>2151.84</v>
          </cell>
          <cell r="O303">
            <v>36578</v>
          </cell>
          <cell r="P303">
            <v>1.00068318</v>
          </cell>
          <cell r="Q303">
            <v>1.2823474150721386</v>
          </cell>
        </row>
        <row r="304">
          <cell r="J304">
            <v>37653</v>
          </cell>
          <cell r="K304">
            <v>283.50599999999997</v>
          </cell>
          <cell r="L304"/>
          <cell r="M304">
            <v>2183.2600000000002</v>
          </cell>
          <cell r="O304">
            <v>36579</v>
          </cell>
          <cell r="P304">
            <v>1.0006825100000001</v>
          </cell>
          <cell r="Q304">
            <v>1.2832226300063996</v>
          </cell>
        </row>
        <row r="305">
          <cell r="J305">
            <v>37681</v>
          </cell>
          <cell r="K305">
            <v>287.85500000000002</v>
          </cell>
          <cell r="L305"/>
          <cell r="M305">
            <v>2213.17</v>
          </cell>
          <cell r="O305">
            <v>36580</v>
          </cell>
          <cell r="P305">
            <v>1.0006825100000001</v>
          </cell>
          <cell r="Q305">
            <v>1.2840984422836053</v>
          </cell>
        </row>
        <row r="306">
          <cell r="J306">
            <v>37712</v>
          </cell>
          <cell r="K306">
            <v>290.512</v>
          </cell>
          <cell r="L306"/>
          <cell r="M306">
            <v>2243.71</v>
          </cell>
          <cell r="O306">
            <v>36581</v>
          </cell>
          <cell r="P306">
            <v>1.0006821800000001</v>
          </cell>
          <cell r="Q306">
            <v>1.2849744285589624</v>
          </cell>
        </row>
        <row r="307">
          <cell r="J307">
            <v>37742</v>
          </cell>
          <cell r="K307">
            <v>289.74700000000001</v>
          </cell>
          <cell r="L307"/>
          <cell r="M307">
            <v>2265.92</v>
          </cell>
          <cell r="O307">
            <v>36584</v>
          </cell>
          <cell r="P307">
            <v>1.0006818399999999</v>
          </cell>
          <cell r="Q307">
            <v>1.2858505755233309</v>
          </cell>
        </row>
        <row r="308">
          <cell r="J308">
            <v>37773</v>
          </cell>
          <cell r="K308">
            <v>286.84300000000002</v>
          </cell>
          <cell r="L308"/>
          <cell r="M308">
            <v>2264.56</v>
          </cell>
          <cell r="O308">
            <v>36585</v>
          </cell>
          <cell r="P308">
            <v>1.0006815099999999</v>
          </cell>
          <cell r="Q308">
            <v>1.2867268955490558</v>
          </cell>
        </row>
        <row r="309">
          <cell r="J309">
            <v>37803</v>
          </cell>
          <cell r="K309">
            <v>285.649</v>
          </cell>
          <cell r="L309"/>
          <cell r="M309">
            <v>2265.4699999999998</v>
          </cell>
          <cell r="O309">
            <v>36586</v>
          </cell>
          <cell r="P309">
            <v>1.0006825100000001</v>
          </cell>
          <cell r="Q309">
            <v>1.2876050995225372</v>
          </cell>
        </row>
        <row r="310">
          <cell r="J310">
            <v>37834</v>
          </cell>
          <cell r="K310">
            <v>286.73500000000001</v>
          </cell>
          <cell r="L310"/>
          <cell r="M310">
            <v>2269.5500000000002</v>
          </cell>
          <cell r="O310">
            <v>36587</v>
          </cell>
          <cell r="P310">
            <v>1.0006821800000001</v>
          </cell>
          <cell r="Q310">
            <v>1.2884834779693297</v>
          </cell>
        </row>
        <row r="311">
          <cell r="J311">
            <v>37865</v>
          </cell>
          <cell r="K311">
            <v>290.12700000000001</v>
          </cell>
          <cell r="L311"/>
          <cell r="M311">
            <v>2288.16</v>
          </cell>
          <cell r="O311">
            <v>36588</v>
          </cell>
          <cell r="P311">
            <v>1.0006825100000001</v>
          </cell>
          <cell r="Q311">
            <v>1.2893628808278788</v>
          </cell>
        </row>
        <row r="312">
          <cell r="J312">
            <v>37895</v>
          </cell>
          <cell r="K312">
            <v>291.22899999999998</v>
          </cell>
          <cell r="L312">
            <v>2210.44</v>
          </cell>
          <cell r="M312">
            <v>2297.08</v>
          </cell>
          <cell r="O312">
            <v>36593</v>
          </cell>
          <cell r="P312">
            <v>1.0006821800000001</v>
          </cell>
          <cell r="Q312">
            <v>1.290242458397922</v>
          </cell>
        </row>
        <row r="313">
          <cell r="J313">
            <v>37926</v>
          </cell>
          <cell r="K313">
            <v>292.65699999999998</v>
          </cell>
          <cell r="L313">
            <v>2217.96</v>
          </cell>
          <cell r="M313">
            <v>2305.58</v>
          </cell>
          <cell r="O313">
            <v>36594</v>
          </cell>
          <cell r="P313">
            <v>1.0006821800000001</v>
          </cell>
          <cell r="Q313">
            <v>1.291122635998192</v>
          </cell>
        </row>
        <row r="314">
          <cell r="J314">
            <v>37956</v>
          </cell>
          <cell r="K314">
            <v>294.45499999999998</v>
          </cell>
          <cell r="L314">
            <v>2229.4899999999998</v>
          </cell>
          <cell r="M314">
            <v>2318.0300000000002</v>
          </cell>
          <cell r="O314">
            <v>36595</v>
          </cell>
          <cell r="P314">
            <v>1.0006825100000001</v>
          </cell>
          <cell r="Q314">
            <v>1.2920038401084872</v>
          </cell>
        </row>
        <row r="315">
          <cell r="J315">
            <v>37987</v>
          </cell>
          <cell r="K315">
            <v>297.03899999999999</v>
          </cell>
          <cell r="L315">
            <v>2246.4299999999998</v>
          </cell>
          <cell r="M315">
            <v>2337.27</v>
          </cell>
          <cell r="O315">
            <v>36598</v>
          </cell>
          <cell r="P315">
            <v>1.0006825100000001</v>
          </cell>
          <cell r="Q315">
            <v>1.2928856456493998</v>
          </cell>
        </row>
        <row r="316">
          <cell r="J316">
            <v>38018</v>
          </cell>
          <cell r="K316">
            <v>299.09699999999998</v>
          </cell>
          <cell r="L316">
            <v>2260.13</v>
          </cell>
          <cell r="M316">
            <v>2346.39</v>
          </cell>
          <cell r="O316">
            <v>36599</v>
          </cell>
          <cell r="P316">
            <v>1.0006825100000001</v>
          </cell>
          <cell r="Q316">
            <v>1.293768053031412</v>
          </cell>
        </row>
        <row r="317">
          <cell r="J317">
            <v>38047</v>
          </cell>
          <cell r="K317">
            <v>302.48399999999998</v>
          </cell>
          <cell r="L317">
            <v>2270.75</v>
          </cell>
          <cell r="M317">
            <v>2359.7600000000002</v>
          </cell>
          <cell r="O317">
            <v>36600</v>
          </cell>
          <cell r="P317">
            <v>1.00068318</v>
          </cell>
          <cell r="Q317">
            <v>1.2946519294898819</v>
          </cell>
        </row>
        <row r="318">
          <cell r="J318">
            <v>38078</v>
          </cell>
          <cell r="K318">
            <v>306.15100000000001</v>
          </cell>
          <cell r="L318">
            <v>2279.15</v>
          </cell>
          <cell r="M318">
            <v>2369.4299999999998</v>
          </cell>
          <cell r="O318">
            <v>36601</v>
          </cell>
          <cell r="P318">
            <v>1.00068318</v>
          </cell>
          <cell r="Q318">
            <v>1.2955364097950708</v>
          </cell>
        </row>
        <row r="319">
          <cell r="J319">
            <v>38108</v>
          </cell>
          <cell r="K319">
            <v>310.15199999999999</v>
          </cell>
          <cell r="L319">
            <v>2290.77</v>
          </cell>
          <cell r="M319">
            <v>2378.91</v>
          </cell>
          <cell r="O319">
            <v>36602</v>
          </cell>
          <cell r="P319">
            <v>1.00068318</v>
          </cell>
          <cell r="Q319">
            <v>1.2964214943595145</v>
          </cell>
        </row>
        <row r="320">
          <cell r="J320">
            <v>38139</v>
          </cell>
          <cell r="K320">
            <v>314.41899999999998</v>
          </cell>
          <cell r="L320">
            <v>2307.0300000000002</v>
          </cell>
          <cell r="M320">
            <v>2390.8000000000002</v>
          </cell>
          <cell r="O320">
            <v>36605</v>
          </cell>
          <cell r="P320">
            <v>1.0006825100000001</v>
          </cell>
          <cell r="Q320">
            <v>1.2973063149936299</v>
          </cell>
        </row>
        <row r="321">
          <cell r="J321">
            <v>38169</v>
          </cell>
          <cell r="K321">
            <v>318.53199999999998</v>
          </cell>
          <cell r="L321">
            <v>2328.02</v>
          </cell>
          <cell r="M321">
            <v>2408.25</v>
          </cell>
          <cell r="O321">
            <v>36606</v>
          </cell>
          <cell r="P321">
            <v>1.0006825100000001</v>
          </cell>
          <cell r="Q321">
            <v>1.2981917395266762</v>
          </cell>
        </row>
        <row r="322">
          <cell r="J322">
            <v>38200</v>
          </cell>
          <cell r="K322">
            <v>322.41199999999998</v>
          </cell>
          <cell r="L322">
            <v>2344.08</v>
          </cell>
          <cell r="M322">
            <v>2420.29</v>
          </cell>
          <cell r="O322">
            <v>36607</v>
          </cell>
          <cell r="P322">
            <v>1.00068285</v>
          </cell>
          <cell r="Q322">
            <v>1.2990782097560121</v>
          </cell>
        </row>
        <row r="323">
          <cell r="J323">
            <v>38231</v>
          </cell>
          <cell r="K323">
            <v>324.65100000000001</v>
          </cell>
          <cell r="L323">
            <v>2351.8200000000002</v>
          </cell>
          <cell r="M323">
            <v>2424.4</v>
          </cell>
          <cell r="O323">
            <v>36608</v>
          </cell>
          <cell r="P323">
            <v>1.00067682</v>
          </cell>
          <cell r="Q323">
            <v>1.2999574518699393</v>
          </cell>
        </row>
        <row r="324">
          <cell r="J324">
            <v>38261</v>
          </cell>
          <cell r="K324">
            <v>325.92500000000001</v>
          </cell>
          <cell r="L324">
            <v>2362.17</v>
          </cell>
          <cell r="M324">
            <v>2428.52</v>
          </cell>
          <cell r="O324">
            <v>36609</v>
          </cell>
          <cell r="P324">
            <v>1.00068084</v>
          </cell>
          <cell r="Q324">
            <v>1.3008425149014704</v>
          </cell>
        </row>
        <row r="325">
          <cell r="J325">
            <v>38292</v>
          </cell>
          <cell r="K325">
            <v>328.58800000000002</v>
          </cell>
          <cell r="L325">
            <v>2378.4699999999998</v>
          </cell>
          <cell r="M325">
            <v>2439.21</v>
          </cell>
          <cell r="O325">
            <v>36612</v>
          </cell>
          <cell r="P325">
            <v>1.0006835199999999</v>
          </cell>
          <cell r="Q325">
            <v>1.3017316667772558</v>
          </cell>
        </row>
        <row r="326">
          <cell r="J326">
            <v>38322</v>
          </cell>
          <cell r="K326">
            <v>331.005</v>
          </cell>
          <cell r="L326">
            <v>2398.92</v>
          </cell>
          <cell r="M326">
            <v>2460.19</v>
          </cell>
          <cell r="O326">
            <v>36613</v>
          </cell>
          <cell r="P326">
            <v>1.00068318</v>
          </cell>
          <cell r="Q326">
            <v>1.3026209838173648</v>
          </cell>
        </row>
        <row r="327">
          <cell r="J327">
            <v>38353</v>
          </cell>
          <cell r="K327">
            <v>332.298</v>
          </cell>
          <cell r="L327">
            <v>2412.83</v>
          </cell>
          <cell r="M327">
            <v>2474.21</v>
          </cell>
          <cell r="O327">
            <v>36614</v>
          </cell>
          <cell r="P327">
            <v>1.0006825100000001</v>
          </cell>
          <cell r="Q327">
            <v>1.30351003566503</v>
          </cell>
        </row>
        <row r="328">
          <cell r="J328">
            <v>38384</v>
          </cell>
          <cell r="K328">
            <v>333.28800000000001</v>
          </cell>
          <cell r="L328">
            <v>2427.0700000000002</v>
          </cell>
          <cell r="M328">
            <v>2485.1</v>
          </cell>
          <cell r="O328">
            <v>36615</v>
          </cell>
          <cell r="P328">
            <v>1.00067079</v>
          </cell>
          <cell r="Q328">
            <v>1.3043844171618537</v>
          </cell>
        </row>
        <row r="329">
          <cell r="J329">
            <v>38412</v>
          </cell>
          <cell r="K329">
            <v>336.12299999999999</v>
          </cell>
          <cell r="L329">
            <v>2441.87</v>
          </cell>
          <cell r="M329">
            <v>2503.2399999999998</v>
          </cell>
          <cell r="O329">
            <v>36616</v>
          </cell>
          <cell r="P329">
            <v>1.0006697899999999</v>
          </cell>
          <cell r="Q329">
            <v>1.3052580808006244</v>
          </cell>
        </row>
        <row r="330">
          <cell r="J330">
            <v>38443</v>
          </cell>
          <cell r="K330">
            <v>339.03</v>
          </cell>
          <cell r="L330">
            <v>2463.11</v>
          </cell>
          <cell r="M330">
            <v>2526.02</v>
          </cell>
          <cell r="O330">
            <v>36619</v>
          </cell>
          <cell r="P330">
            <v>1.00066945</v>
          </cell>
          <cell r="Q330">
            <v>1.3061318858228164</v>
          </cell>
        </row>
        <row r="331">
          <cell r="J331">
            <v>38473</v>
          </cell>
          <cell r="K331">
            <v>338.29899999999998</v>
          </cell>
          <cell r="L331">
            <v>2475.1799999999998</v>
          </cell>
          <cell r="M331">
            <v>2543.6999999999998</v>
          </cell>
          <cell r="O331">
            <v>36620</v>
          </cell>
          <cell r="P331">
            <v>1.00066878</v>
          </cell>
          <cell r="Q331">
            <v>1.307005400705417</v>
          </cell>
        </row>
        <row r="332">
          <cell r="J332">
            <v>38504</v>
          </cell>
          <cell r="K332">
            <v>336.80099999999999</v>
          </cell>
          <cell r="L332">
            <v>2474.6799999999998</v>
          </cell>
          <cell r="M332">
            <v>2540.9</v>
          </cell>
          <cell r="O332">
            <v>36621</v>
          </cell>
          <cell r="P332">
            <v>1.00066912</v>
          </cell>
          <cell r="Q332">
            <v>1.3078799441591371</v>
          </cell>
        </row>
        <row r="333">
          <cell r="J333">
            <v>38534</v>
          </cell>
          <cell r="K333">
            <v>335.66300000000001</v>
          </cell>
          <cell r="L333">
            <v>2480.87</v>
          </cell>
          <cell r="M333">
            <v>2541.66</v>
          </cell>
          <cell r="O333">
            <v>36622</v>
          </cell>
          <cell r="P333">
            <v>1.00067046</v>
          </cell>
          <cell r="Q333">
            <v>1.3087568253464981</v>
          </cell>
        </row>
        <row r="334">
          <cell r="J334">
            <v>38565</v>
          </cell>
          <cell r="K334">
            <v>333.47399999999999</v>
          </cell>
          <cell r="L334">
            <v>2485.09</v>
          </cell>
          <cell r="M334">
            <v>2541.66</v>
          </cell>
          <cell r="O334">
            <v>36623</v>
          </cell>
          <cell r="P334">
            <v>1.00067079</v>
          </cell>
          <cell r="Q334">
            <v>1.3096347263373722</v>
          </cell>
        </row>
        <row r="335">
          <cell r="J335">
            <v>38596</v>
          </cell>
          <cell r="K335">
            <v>331.69</v>
          </cell>
          <cell r="L335">
            <v>2493.79</v>
          </cell>
          <cell r="M335">
            <v>2545.4699999999998</v>
          </cell>
          <cell r="O335">
            <v>36626</v>
          </cell>
          <cell r="P335">
            <v>1.00067046</v>
          </cell>
          <cell r="Q335">
            <v>1.3105127840359925</v>
          </cell>
        </row>
        <row r="336">
          <cell r="J336">
            <v>38626</v>
          </cell>
          <cell r="K336">
            <v>333.69400000000002</v>
          </cell>
          <cell r="L336">
            <v>2512.4899999999998</v>
          </cell>
          <cell r="M336">
            <v>2560.23</v>
          </cell>
          <cell r="O336">
            <v>36627</v>
          </cell>
          <cell r="P336">
            <v>1.0006701200000001</v>
          </cell>
          <cell r="Q336">
            <v>1.3113909848628309</v>
          </cell>
        </row>
        <row r="337">
          <cell r="J337">
            <v>38657</v>
          </cell>
          <cell r="K337">
            <v>335.03300000000002</v>
          </cell>
          <cell r="L337">
            <v>2526.31</v>
          </cell>
          <cell r="M337">
            <v>2574.0500000000002</v>
          </cell>
          <cell r="O337">
            <v>36628</v>
          </cell>
          <cell r="P337">
            <v>1.00067046</v>
          </cell>
          <cell r="Q337">
            <v>1.312270220062542</v>
          </cell>
        </row>
        <row r="338">
          <cell r="J338">
            <v>38687</v>
          </cell>
          <cell r="K338">
            <v>335.00599999999997</v>
          </cell>
          <cell r="L338">
            <v>2535.4</v>
          </cell>
          <cell r="M338">
            <v>2584.35</v>
          </cell>
          <cell r="O338">
            <v>36629</v>
          </cell>
          <cell r="P338">
            <v>1.00067079</v>
          </cell>
          <cell r="Q338">
            <v>1.3131504778034577</v>
          </cell>
        </row>
        <row r="339">
          <cell r="J339">
            <v>38718</v>
          </cell>
          <cell r="K339">
            <v>338.08300000000003</v>
          </cell>
          <cell r="L339">
            <v>2550.36</v>
          </cell>
          <cell r="M339">
            <v>2594.17</v>
          </cell>
          <cell r="O339">
            <v>36630</v>
          </cell>
          <cell r="P339">
            <v>1.0006717999999999</v>
          </cell>
          <cell r="Q339">
            <v>1.3140326522944459</v>
          </cell>
        </row>
        <row r="340">
          <cell r="J340">
            <v>38749</v>
          </cell>
          <cell r="K340">
            <v>338.12799999999999</v>
          </cell>
          <cell r="L340">
            <v>2560.8200000000002</v>
          </cell>
          <cell r="M340">
            <v>2600.14</v>
          </cell>
          <cell r="O340">
            <v>36633</v>
          </cell>
          <cell r="P340">
            <v>1.00067314</v>
          </cell>
          <cell r="Q340">
            <v>1.3149171802340114</v>
          </cell>
        </row>
        <row r="341">
          <cell r="J341">
            <v>38777</v>
          </cell>
          <cell r="K341">
            <v>337.339</v>
          </cell>
          <cell r="L341">
            <v>2571.83</v>
          </cell>
          <cell r="M341">
            <v>2607.16</v>
          </cell>
          <cell r="O341">
            <v>36634</v>
          </cell>
          <cell r="P341">
            <v>1.00067314</v>
          </cell>
          <cell r="Q341">
            <v>1.315802303584714</v>
          </cell>
        </row>
        <row r="342">
          <cell r="J342">
            <v>38808</v>
          </cell>
          <cell r="K342">
            <v>335.92099999999999</v>
          </cell>
          <cell r="L342">
            <v>2577.23</v>
          </cell>
          <cell r="M342">
            <v>2610.29</v>
          </cell>
          <cell r="O342">
            <v>36635</v>
          </cell>
          <cell r="P342">
            <v>1.00067314</v>
          </cell>
          <cell r="Q342">
            <v>1.316688022747349</v>
          </cell>
        </row>
        <row r="343">
          <cell r="J343">
            <v>38838</v>
          </cell>
          <cell r="K343">
            <v>337.185</v>
          </cell>
          <cell r="L343">
            <v>2579.81</v>
          </cell>
          <cell r="M343">
            <v>2613.6799999999998</v>
          </cell>
          <cell r="O343">
            <v>36636</v>
          </cell>
          <cell r="P343">
            <v>1.00067146</v>
          </cell>
          <cell r="Q343">
            <v>1.3175721260871029</v>
          </cell>
        </row>
        <row r="344">
          <cell r="J344">
            <v>38869</v>
          </cell>
          <cell r="K344">
            <v>339.71199999999999</v>
          </cell>
          <cell r="L344">
            <v>2574.39</v>
          </cell>
          <cell r="M344">
            <v>2611.85</v>
          </cell>
          <cell r="O344">
            <v>36640</v>
          </cell>
          <cell r="P344">
            <v>1.0006728</v>
          </cell>
          <cell r="Q344">
            <v>1.3184585886135345</v>
          </cell>
        </row>
        <row r="345">
          <cell r="J345">
            <v>38899</v>
          </cell>
          <cell r="K345">
            <v>340.31200000000001</v>
          </cell>
          <cell r="L345">
            <v>2579.2800000000002</v>
          </cell>
          <cell r="M345">
            <v>2614.7199999999998</v>
          </cell>
          <cell r="O345">
            <v>36641</v>
          </cell>
          <cell r="P345">
            <v>1.0006728</v>
          </cell>
          <cell r="Q345">
            <v>1.3193456475519536</v>
          </cell>
        </row>
        <row r="346">
          <cell r="J346">
            <v>38930</v>
          </cell>
          <cell r="K346">
            <v>341.57400000000001</v>
          </cell>
          <cell r="L346">
            <v>2580.5700000000002</v>
          </cell>
          <cell r="M346">
            <v>2614.1999999999998</v>
          </cell>
          <cell r="O346">
            <v>36642</v>
          </cell>
          <cell r="P346">
            <v>1.0006728</v>
          </cell>
          <cell r="Q346">
            <v>1.3202333033036266</v>
          </cell>
        </row>
        <row r="347">
          <cell r="J347">
            <v>38961</v>
          </cell>
          <cell r="K347">
            <v>342.56099999999998</v>
          </cell>
          <cell r="L347">
            <v>2585.9899999999998</v>
          </cell>
          <cell r="M347">
            <v>2618.38</v>
          </cell>
          <cell r="O347">
            <v>36643</v>
          </cell>
          <cell r="P347">
            <v>1.0006728</v>
          </cell>
          <cell r="Q347">
            <v>1.3211215562700893</v>
          </cell>
        </row>
        <row r="348">
          <cell r="J348">
            <v>38991</v>
          </cell>
          <cell r="K348">
            <v>344.15499999999997</v>
          </cell>
          <cell r="L348">
            <v>2594.52</v>
          </cell>
          <cell r="M348">
            <v>2629.64</v>
          </cell>
          <cell r="O348">
            <v>36644</v>
          </cell>
          <cell r="P348">
            <v>1.0006728</v>
          </cell>
          <cell r="Q348">
            <v>1.322010406853148</v>
          </cell>
        </row>
        <row r="349">
          <cell r="J349">
            <v>39022</v>
          </cell>
          <cell r="K349">
            <v>346.74599999999998</v>
          </cell>
          <cell r="L349">
            <v>2602.56</v>
          </cell>
          <cell r="M349">
            <v>2640.68</v>
          </cell>
          <cell r="O349">
            <v>36648</v>
          </cell>
          <cell r="P349">
            <v>1.0006728</v>
          </cell>
          <cell r="Q349">
            <v>1.3228998554548788</v>
          </cell>
        </row>
        <row r="350">
          <cell r="J350">
            <v>39052</v>
          </cell>
          <cell r="K350">
            <v>347.84199999999998</v>
          </cell>
          <cell r="L350">
            <v>2615.0500000000002</v>
          </cell>
          <cell r="M350">
            <v>2657.05</v>
          </cell>
          <cell r="O350">
            <v>36649</v>
          </cell>
          <cell r="P350">
            <v>1.00067347</v>
          </cell>
          <cell r="Q350">
            <v>1.3237907888205318</v>
          </cell>
        </row>
        <row r="351">
          <cell r="J351">
            <v>39083</v>
          </cell>
          <cell r="K351">
            <v>349.59300000000002</v>
          </cell>
          <cell r="L351">
            <v>2626.56</v>
          </cell>
          <cell r="M351">
            <v>2670.07</v>
          </cell>
          <cell r="O351">
            <v>36650</v>
          </cell>
          <cell r="P351">
            <v>1.00067347</v>
          </cell>
          <cell r="Q351">
            <v>1.3246823222030788</v>
          </cell>
        </row>
        <row r="352">
          <cell r="J352">
            <v>39114</v>
          </cell>
          <cell r="K352">
            <v>350.524</v>
          </cell>
          <cell r="L352">
            <v>2638.12</v>
          </cell>
          <cell r="M352">
            <v>2681.28</v>
          </cell>
          <cell r="O352">
            <v>36651</v>
          </cell>
          <cell r="P352">
            <v>1.0006741400000001</v>
          </cell>
          <cell r="Q352">
            <v>1.3255753435437689</v>
          </cell>
        </row>
        <row r="353">
          <cell r="J353">
            <v>39142</v>
          </cell>
          <cell r="K353">
            <v>351.71699999999998</v>
          </cell>
          <cell r="L353">
            <v>2647.88</v>
          </cell>
          <cell r="M353">
            <v>2693.08</v>
          </cell>
          <cell r="O353">
            <v>36654</v>
          </cell>
          <cell r="P353">
            <v>1.0006741400000001</v>
          </cell>
          <cell r="Q353">
            <v>1.3264689669058656</v>
          </cell>
        </row>
        <row r="354">
          <cell r="J354">
            <v>39173</v>
          </cell>
          <cell r="K354">
            <v>351.86900000000003</v>
          </cell>
          <cell r="L354">
            <v>2654.5</v>
          </cell>
          <cell r="M354">
            <v>2700.08</v>
          </cell>
          <cell r="O354">
            <v>36655</v>
          </cell>
          <cell r="P354">
            <v>1.00067314</v>
          </cell>
          <cell r="Q354">
            <v>1.3273618662262485</v>
          </cell>
        </row>
        <row r="355">
          <cell r="J355">
            <v>39203</v>
          </cell>
          <cell r="K355">
            <v>352.02</v>
          </cell>
          <cell r="L355">
            <v>2661.93</v>
          </cell>
          <cell r="M355">
            <v>2707.1</v>
          </cell>
          <cell r="O355">
            <v>36656</v>
          </cell>
          <cell r="P355">
            <v>1.0006717999999999</v>
          </cell>
          <cell r="Q355">
            <v>1.3282535879279791</v>
          </cell>
        </row>
        <row r="356">
          <cell r="J356">
            <v>39234</v>
          </cell>
          <cell r="K356">
            <v>352.93599999999998</v>
          </cell>
          <cell r="L356">
            <v>2669.38</v>
          </cell>
          <cell r="M356">
            <v>2715.49</v>
          </cell>
          <cell r="O356">
            <v>36657</v>
          </cell>
          <cell r="P356">
            <v>1.0006717999999999</v>
          </cell>
          <cell r="Q356">
            <v>1.329145908688349</v>
          </cell>
        </row>
        <row r="357">
          <cell r="J357">
            <v>39264</v>
          </cell>
          <cell r="K357">
            <v>353.92</v>
          </cell>
          <cell r="L357">
            <v>2675.79</v>
          </cell>
          <cell r="M357">
            <v>2724.18</v>
          </cell>
          <cell r="O357">
            <v>36658</v>
          </cell>
          <cell r="P357">
            <v>1.0006717999999999</v>
          </cell>
          <cell r="Q357">
            <v>1.3300388289098057</v>
          </cell>
        </row>
        <row r="358">
          <cell r="J358">
            <v>39295</v>
          </cell>
          <cell r="K358">
            <v>357.404</v>
          </cell>
          <cell r="L358">
            <v>2688.37</v>
          </cell>
          <cell r="M358">
            <v>2740.25</v>
          </cell>
          <cell r="O358">
            <v>36661</v>
          </cell>
          <cell r="P358">
            <v>1.00067113</v>
          </cell>
          <cell r="Q358">
            <v>1.3309314578690519</v>
          </cell>
        </row>
        <row r="359">
          <cell r="J359">
            <v>39326</v>
          </cell>
          <cell r="K359">
            <v>361.99700000000001</v>
          </cell>
          <cell r="L359">
            <v>2693.21</v>
          </cell>
          <cell r="M359">
            <v>2747.1</v>
          </cell>
          <cell r="O359">
            <v>36662</v>
          </cell>
          <cell r="P359">
            <v>1.00067113</v>
          </cell>
          <cell r="Q359">
            <v>1.3318246858983716</v>
          </cell>
        </row>
        <row r="360">
          <cell r="J360">
            <v>39356</v>
          </cell>
          <cell r="K360">
            <v>365.79399999999998</v>
          </cell>
          <cell r="L360">
            <v>2701.29</v>
          </cell>
          <cell r="M360">
            <v>2755.34</v>
          </cell>
          <cell r="O360">
            <v>36663</v>
          </cell>
          <cell r="P360">
            <v>1.00067113</v>
          </cell>
          <cell r="Q360">
            <v>1.3327185133998185</v>
          </cell>
        </row>
        <row r="361">
          <cell r="J361">
            <v>39387</v>
          </cell>
          <cell r="K361">
            <v>368.334</v>
          </cell>
          <cell r="L361">
            <v>2711.55</v>
          </cell>
          <cell r="M361">
            <v>2767.19</v>
          </cell>
          <cell r="O361">
            <v>36664</v>
          </cell>
          <cell r="P361">
            <v>1.00067079</v>
          </cell>
          <cell r="Q361">
            <v>1.3336124876514219</v>
          </cell>
        </row>
        <row r="362">
          <cell r="J362">
            <v>39417</v>
          </cell>
          <cell r="K362">
            <v>374.815</v>
          </cell>
          <cell r="L362">
            <v>2731.62</v>
          </cell>
          <cell r="M362">
            <v>2794.03</v>
          </cell>
          <cell r="O362">
            <v>36665</v>
          </cell>
          <cell r="P362">
            <v>1.00067079</v>
          </cell>
          <cell r="Q362">
            <v>1.3345070615720136</v>
          </cell>
        </row>
        <row r="363">
          <cell r="J363">
            <v>39448</v>
          </cell>
          <cell r="K363">
            <v>378.9</v>
          </cell>
          <cell r="L363">
            <v>2746.37</v>
          </cell>
          <cell r="M363">
            <v>2813.31</v>
          </cell>
          <cell r="O363">
            <v>36668</v>
          </cell>
          <cell r="P363">
            <v>1.00067079</v>
          </cell>
          <cell r="Q363">
            <v>1.3354022355638455</v>
          </cell>
        </row>
        <row r="364">
          <cell r="J364">
            <v>39479</v>
          </cell>
          <cell r="K364">
            <v>380.90600000000001</v>
          </cell>
          <cell r="L364">
            <v>2759.83</v>
          </cell>
          <cell r="M364">
            <v>2826.81</v>
          </cell>
          <cell r="O364">
            <v>36669</v>
          </cell>
          <cell r="P364">
            <v>1.00067079</v>
          </cell>
          <cell r="Q364">
            <v>1.3362980100294395</v>
          </cell>
        </row>
        <row r="365">
          <cell r="J365">
            <v>39508</v>
          </cell>
          <cell r="K365">
            <v>383.73099999999999</v>
          </cell>
          <cell r="L365">
            <v>2773.08</v>
          </cell>
          <cell r="M365">
            <v>2841.23</v>
          </cell>
          <cell r="O365">
            <v>36670</v>
          </cell>
          <cell r="P365">
            <v>1.00067079</v>
          </cell>
          <cell r="Q365">
            <v>1.3371943853715871</v>
          </cell>
        </row>
        <row r="366">
          <cell r="J366">
            <v>39539</v>
          </cell>
          <cell r="K366">
            <v>386.38</v>
          </cell>
          <cell r="L366">
            <v>2788.33</v>
          </cell>
          <cell r="M366">
            <v>2859.41</v>
          </cell>
          <cell r="O366">
            <v>36671</v>
          </cell>
          <cell r="P366">
            <v>1.00067113</v>
          </cell>
          <cell r="Q366">
            <v>1.3380918166394415</v>
          </cell>
        </row>
        <row r="367">
          <cell r="J367">
            <v>39569</v>
          </cell>
          <cell r="K367">
            <v>392.59199999999998</v>
          </cell>
          <cell r="L367">
            <v>2810.36</v>
          </cell>
          <cell r="M367">
            <v>2886.86</v>
          </cell>
          <cell r="O367">
            <v>36672</v>
          </cell>
          <cell r="P367">
            <v>1.00067113</v>
          </cell>
          <cell r="Q367">
            <v>1.3389898502003428</v>
          </cell>
        </row>
        <row r="368">
          <cell r="J368">
            <v>39600</v>
          </cell>
          <cell r="K368">
            <v>400.38200000000001</v>
          </cell>
          <cell r="L368">
            <v>2831.16</v>
          </cell>
          <cell r="M368">
            <v>2913.13</v>
          </cell>
          <cell r="O368">
            <v>36675</v>
          </cell>
          <cell r="P368">
            <v>1.00067146</v>
          </cell>
          <cell r="Q368">
            <v>1.3398889283251583</v>
          </cell>
        </row>
        <row r="369">
          <cell r="J369">
            <v>39630</v>
          </cell>
          <cell r="K369">
            <v>407.44600000000003</v>
          </cell>
          <cell r="L369">
            <v>2846.16</v>
          </cell>
          <cell r="M369">
            <v>2930.03</v>
          </cell>
          <cell r="O369">
            <v>36676</v>
          </cell>
          <cell r="P369">
            <v>1.00067113</v>
          </cell>
          <cell r="Q369">
            <v>1.3407881679816251</v>
          </cell>
        </row>
        <row r="370">
          <cell r="J370">
            <v>39661</v>
          </cell>
          <cell r="K370">
            <v>406.12700000000001</v>
          </cell>
          <cell r="L370">
            <v>2854.13</v>
          </cell>
          <cell r="M370">
            <v>2936.18</v>
          </cell>
          <cell r="O370">
            <v>36677</v>
          </cell>
          <cell r="P370">
            <v>1.00067046</v>
          </cell>
          <cell r="Q370">
            <v>1.3416871128167303</v>
          </cell>
        </row>
        <row r="371">
          <cell r="J371">
            <v>39692</v>
          </cell>
          <cell r="K371">
            <v>406.55700000000002</v>
          </cell>
          <cell r="L371">
            <v>2861.55</v>
          </cell>
          <cell r="M371">
            <v>2940.58</v>
          </cell>
          <cell r="O371">
            <v>36678</v>
          </cell>
          <cell r="P371">
            <v>1.0006701200000001</v>
          </cell>
          <cell r="Q371">
            <v>1.3425862041847711</v>
          </cell>
        </row>
        <row r="372">
          <cell r="J372">
            <v>39722</v>
          </cell>
          <cell r="K372">
            <v>410.524</v>
          </cell>
          <cell r="L372">
            <v>2874.43</v>
          </cell>
          <cell r="M372">
            <v>2955.28</v>
          </cell>
          <cell r="O372">
            <v>36679</v>
          </cell>
          <cell r="P372">
            <v>1.0006697899999999</v>
          </cell>
          <cell r="Q372">
            <v>1.3434854549984718</v>
          </cell>
        </row>
        <row r="373">
          <cell r="J373">
            <v>39753</v>
          </cell>
          <cell r="K373">
            <v>412.10399999999998</v>
          </cell>
          <cell r="L373">
            <v>2884.78</v>
          </cell>
          <cell r="M373">
            <v>2966.51</v>
          </cell>
          <cell r="O373">
            <v>36682</v>
          </cell>
          <cell r="P373">
            <v>1.00066945</v>
          </cell>
          <cell r="Q373">
            <v>1.3443848513363206</v>
          </cell>
        </row>
        <row r="374">
          <cell r="J374">
            <v>39783</v>
          </cell>
          <cell r="K374">
            <v>411.57499999999999</v>
          </cell>
          <cell r="L374">
            <v>2892.86</v>
          </cell>
          <cell r="M374">
            <v>2975.11</v>
          </cell>
          <cell r="O374">
            <v>36683</v>
          </cell>
          <cell r="P374">
            <v>1.00066878</v>
          </cell>
          <cell r="Q374">
            <v>1.3452839490371973</v>
          </cell>
        </row>
        <row r="375">
          <cell r="J375">
            <v>39814</v>
          </cell>
          <cell r="K375">
            <v>409.78199999999998</v>
          </cell>
          <cell r="L375">
            <v>2906.74</v>
          </cell>
          <cell r="M375">
            <v>2994.15</v>
          </cell>
          <cell r="O375">
            <v>36684</v>
          </cell>
          <cell r="P375">
            <v>1.00066777</v>
          </cell>
          <cell r="Q375">
            <v>1.3461822892998458</v>
          </cell>
        </row>
        <row r="376">
          <cell r="J376">
            <v>39845</v>
          </cell>
          <cell r="K376">
            <v>410.84899999999999</v>
          </cell>
          <cell r="L376">
            <v>2922.73</v>
          </cell>
          <cell r="M376">
            <v>3003.43</v>
          </cell>
          <cell r="O376">
            <v>36685</v>
          </cell>
          <cell r="P376">
            <v>1.0006664300000001</v>
          </cell>
          <cell r="Q376">
            <v>1.3470794255629042</v>
          </cell>
        </row>
        <row r="377">
          <cell r="J377">
            <v>39873</v>
          </cell>
          <cell r="K377">
            <v>407.80799999999999</v>
          </cell>
          <cell r="L377">
            <v>2928.57</v>
          </cell>
          <cell r="M377">
            <v>3009.44</v>
          </cell>
          <cell r="O377">
            <v>36686</v>
          </cell>
          <cell r="P377">
            <v>1.00066576</v>
          </cell>
          <cell r="Q377">
            <v>1.3479762571612668</v>
          </cell>
        </row>
        <row r="378">
          <cell r="J378">
            <v>39904</v>
          </cell>
          <cell r="K378">
            <v>407.18099999999998</v>
          </cell>
          <cell r="L378">
            <v>2942.63</v>
          </cell>
          <cell r="M378">
            <v>3025.99</v>
          </cell>
          <cell r="O378">
            <v>36689</v>
          </cell>
          <cell r="P378">
            <v>1.00066576</v>
          </cell>
          <cell r="Q378">
            <v>1.3488736858342345</v>
          </cell>
        </row>
        <row r="379">
          <cell r="J379">
            <v>39934</v>
          </cell>
          <cell r="K379">
            <v>406.88499999999999</v>
          </cell>
          <cell r="L379">
            <v>2956.46</v>
          </cell>
          <cell r="M379">
            <v>3044.15</v>
          </cell>
          <cell r="O379">
            <v>36690</v>
          </cell>
          <cell r="P379">
            <v>1.00066542</v>
          </cell>
          <cell r="Q379">
            <v>1.3497712533622623</v>
          </cell>
        </row>
        <row r="380">
          <cell r="J380">
            <v>39965</v>
          </cell>
          <cell r="K380">
            <v>406.48599999999999</v>
          </cell>
          <cell r="L380">
            <v>2967.1</v>
          </cell>
          <cell r="M380">
            <v>3056.93</v>
          </cell>
          <cell r="O380">
            <v>36691</v>
          </cell>
          <cell r="P380">
            <v>1.00066509</v>
          </cell>
          <cell r="Q380">
            <v>1.3506689727251611</v>
          </cell>
        </row>
        <row r="381">
          <cell r="J381">
            <v>39995</v>
          </cell>
          <cell r="K381">
            <v>404.71800000000002</v>
          </cell>
          <cell r="L381">
            <v>2974.22</v>
          </cell>
          <cell r="M381">
            <v>3063.96</v>
          </cell>
          <cell r="O381">
            <v>36692</v>
          </cell>
          <cell r="P381">
            <v>1.0006647500000001</v>
          </cell>
          <cell r="Q381">
            <v>1.3515668299247803</v>
          </cell>
        </row>
        <row r="382">
          <cell r="J382">
            <v>40026</v>
          </cell>
          <cell r="K382">
            <v>403.25299999999999</v>
          </cell>
          <cell r="L382">
            <v>2978.68</v>
          </cell>
          <cell r="M382">
            <v>3066.41</v>
          </cell>
          <cell r="O382">
            <v>36693</v>
          </cell>
          <cell r="P382">
            <v>1.00066509</v>
          </cell>
          <cell r="Q382">
            <v>1.352465743507695</v>
          </cell>
        </row>
        <row r="383">
          <cell r="J383">
            <v>40057</v>
          </cell>
          <cell r="K383">
            <v>404.94499999999999</v>
          </cell>
          <cell r="L383">
            <v>2985.83</v>
          </cell>
          <cell r="M383">
            <v>3071.32</v>
          </cell>
          <cell r="O383">
            <v>36696</v>
          </cell>
          <cell r="P383">
            <v>1.00066542</v>
          </cell>
          <cell r="Q383">
            <v>1.35336570126274</v>
          </cell>
        </row>
        <row r="384">
          <cell r="J384">
            <v>40087</v>
          </cell>
          <cell r="K384">
            <v>405.12900000000002</v>
          </cell>
          <cell r="L384">
            <v>2994.19</v>
          </cell>
          <cell r="M384">
            <v>3078.69</v>
          </cell>
          <cell r="O384">
            <v>36697</v>
          </cell>
          <cell r="P384">
            <v>1.00066509</v>
          </cell>
          <cell r="Q384">
            <v>1.354265811256993</v>
          </cell>
        </row>
        <row r="385">
          <cell r="J385">
            <v>40118</v>
          </cell>
          <cell r="K385">
            <v>405.548</v>
          </cell>
          <cell r="L385">
            <v>3006.47</v>
          </cell>
          <cell r="M385">
            <v>3090.08</v>
          </cell>
          <cell r="O385">
            <v>36698</v>
          </cell>
          <cell r="P385">
            <v>1.00066206</v>
          </cell>
          <cell r="Q385">
            <v>1.3551624164799938</v>
          </cell>
        </row>
        <row r="386">
          <cell r="J386">
            <v>40148</v>
          </cell>
          <cell r="K386">
            <v>404.49900000000002</v>
          </cell>
          <cell r="L386">
            <v>3017.59</v>
          </cell>
          <cell r="M386">
            <v>3097.5</v>
          </cell>
          <cell r="O386">
            <v>36700</v>
          </cell>
          <cell r="P386">
            <v>1.0006377900000001</v>
          </cell>
          <cell r="Q386">
            <v>1.3560267255176006</v>
          </cell>
        </row>
        <row r="387">
          <cell r="J387">
            <v>40179</v>
          </cell>
          <cell r="K387">
            <v>407.04899999999998</v>
          </cell>
          <cell r="L387">
            <v>3040.22</v>
          </cell>
          <cell r="M387">
            <v>3124.76</v>
          </cell>
          <cell r="O387">
            <v>36703</v>
          </cell>
          <cell r="P387">
            <v>1.00063678</v>
          </cell>
          <cell r="Q387">
            <v>1.3568902162158758</v>
          </cell>
        </row>
        <row r="388">
          <cell r="J388">
            <v>40210</v>
          </cell>
          <cell r="K388">
            <v>411.84300000000002</v>
          </cell>
          <cell r="L388">
            <v>3063.93</v>
          </cell>
          <cell r="M388">
            <v>3146.63</v>
          </cell>
          <cell r="O388">
            <v>36704</v>
          </cell>
          <cell r="P388">
            <v>1.0006350900000001</v>
          </cell>
          <cell r="Q388">
            <v>1.3577519636232924</v>
          </cell>
        </row>
        <row r="389">
          <cell r="J389">
            <v>40238</v>
          </cell>
          <cell r="K389">
            <v>415.73399999999998</v>
          </cell>
          <cell r="L389">
            <v>3079.86</v>
          </cell>
          <cell r="M389">
            <v>3168.97</v>
          </cell>
          <cell r="O389">
            <v>36705</v>
          </cell>
          <cell r="P389">
            <v>1.00063407</v>
          </cell>
          <cell r="Q389">
            <v>1.3586128734108671</v>
          </cell>
        </row>
        <row r="390">
          <cell r="J390">
            <v>40269</v>
          </cell>
          <cell r="K390">
            <v>418.91699999999997</v>
          </cell>
          <cell r="L390">
            <v>3097.42</v>
          </cell>
          <cell r="M390">
            <v>3192.1</v>
          </cell>
          <cell r="O390">
            <v>36706</v>
          </cell>
          <cell r="P390">
            <v>1.0006296699999999</v>
          </cell>
          <cell r="Q390">
            <v>1.3594683511788677</v>
          </cell>
        </row>
        <row r="391">
          <cell r="J391">
            <v>40299</v>
          </cell>
          <cell r="K391">
            <v>423.88499999999999</v>
          </cell>
          <cell r="L391">
            <v>3110.74</v>
          </cell>
          <cell r="M391">
            <v>3205.83</v>
          </cell>
          <cell r="O391">
            <v>36707</v>
          </cell>
          <cell r="P391">
            <v>1.0006310199999999</v>
          </cell>
          <cell r="Q391">
            <v>1.3603262028978285</v>
          </cell>
        </row>
        <row r="392">
          <cell r="J392">
            <v>40330</v>
          </cell>
          <cell r="K392">
            <v>427.48899999999998</v>
          </cell>
          <cell r="L392">
            <v>3110.74</v>
          </cell>
          <cell r="M392">
            <v>3202.3</v>
          </cell>
          <cell r="O392">
            <v>36710</v>
          </cell>
          <cell r="P392">
            <v>1.00063035</v>
          </cell>
          <cell r="Q392">
            <v>1.3611836845198251</v>
          </cell>
        </row>
        <row r="393">
          <cell r="J393">
            <v>40360</v>
          </cell>
          <cell r="K393">
            <v>428.15</v>
          </cell>
          <cell r="L393">
            <v>3111.05</v>
          </cell>
          <cell r="M393">
            <v>3200.06</v>
          </cell>
          <cell r="O393">
            <v>36711</v>
          </cell>
          <cell r="P393">
            <v>1.0006289900000001</v>
          </cell>
          <cell r="Q393">
            <v>1.3620398554455513</v>
          </cell>
        </row>
        <row r="394">
          <cell r="J394">
            <v>40391</v>
          </cell>
          <cell r="K394">
            <v>431.44499999999999</v>
          </cell>
          <cell r="L394">
            <v>3112.29</v>
          </cell>
          <cell r="M394">
            <v>3197.82</v>
          </cell>
          <cell r="O394">
            <v>36712</v>
          </cell>
          <cell r="P394">
            <v>1.00062933</v>
          </cell>
          <cell r="Q394">
            <v>1.3628970279877788</v>
          </cell>
        </row>
        <row r="395">
          <cell r="J395">
            <v>40422</v>
          </cell>
          <cell r="K395">
            <v>436.423</v>
          </cell>
          <cell r="L395">
            <v>3126.29</v>
          </cell>
          <cell r="M395">
            <v>3215.09</v>
          </cell>
          <cell r="O395">
            <v>36713</v>
          </cell>
          <cell r="P395">
            <v>1.0006300100000001</v>
          </cell>
          <cell r="Q395">
            <v>1.3637556667443815</v>
          </cell>
        </row>
        <row r="396">
          <cell r="J396">
            <v>40452</v>
          </cell>
          <cell r="K396">
            <v>440.82900000000001</v>
          </cell>
          <cell r="L396">
            <v>3149.74</v>
          </cell>
          <cell r="M396">
            <v>3244.67</v>
          </cell>
          <cell r="O396">
            <v>36714</v>
          </cell>
          <cell r="P396">
            <v>1.00063068</v>
          </cell>
          <cell r="Q396">
            <v>1.3646157601682838</v>
          </cell>
        </row>
        <row r="397">
          <cell r="J397">
            <v>40483</v>
          </cell>
          <cell r="K397">
            <v>447.20600000000002</v>
          </cell>
          <cell r="L397">
            <v>3175.88</v>
          </cell>
          <cell r="M397">
            <v>3278.09</v>
          </cell>
          <cell r="O397">
            <v>36717</v>
          </cell>
          <cell r="P397">
            <v>1.0006296699999999</v>
          </cell>
          <cell r="Q397">
            <v>1.3654750177739889</v>
          </cell>
        </row>
        <row r="398">
          <cell r="J398">
            <v>40513</v>
          </cell>
          <cell r="K398">
            <v>450.30099999999999</v>
          </cell>
          <cell r="L398">
            <v>3195.89</v>
          </cell>
          <cell r="M398">
            <v>3297.76</v>
          </cell>
          <cell r="O398">
            <v>36718</v>
          </cell>
          <cell r="P398">
            <v>1.0006211899999999</v>
          </cell>
          <cell r="Q398">
            <v>1.3663232372002798</v>
          </cell>
        </row>
        <row r="399">
          <cell r="J399">
            <v>40544</v>
          </cell>
          <cell r="K399">
            <v>453.875</v>
          </cell>
          <cell r="L399">
            <v>3222.42</v>
          </cell>
          <cell r="M399">
            <v>3328.76</v>
          </cell>
          <cell r="O399">
            <v>36719</v>
          </cell>
          <cell r="P399">
            <v>1.00061983</v>
          </cell>
          <cell r="Q399">
            <v>1.3671701253323936</v>
          </cell>
        </row>
        <row r="400">
          <cell r="J400">
            <v>40575</v>
          </cell>
          <cell r="K400">
            <v>458.39699999999999</v>
          </cell>
          <cell r="L400">
            <v>3248.2</v>
          </cell>
          <cell r="M400">
            <v>3346.74</v>
          </cell>
          <cell r="O400">
            <v>36720</v>
          </cell>
          <cell r="P400">
            <v>1.0006194900000001</v>
          </cell>
          <cell r="Q400">
            <v>1.3680170735533359</v>
          </cell>
        </row>
        <row r="401">
          <cell r="J401">
            <v>40603</v>
          </cell>
          <cell r="K401">
            <v>461.24900000000002</v>
          </cell>
          <cell r="L401">
            <v>3273.86</v>
          </cell>
          <cell r="M401">
            <v>3368.83</v>
          </cell>
          <cell r="O401">
            <v>36721</v>
          </cell>
          <cell r="P401">
            <v>1.0006191499999999</v>
          </cell>
          <cell r="Q401">
            <v>1.3688640813244264</v>
          </cell>
        </row>
        <row r="402">
          <cell r="J402">
            <v>40634</v>
          </cell>
          <cell r="K402">
            <v>463.31099999999998</v>
          </cell>
          <cell r="L402">
            <v>3299.07</v>
          </cell>
          <cell r="M402">
            <v>3393.09</v>
          </cell>
          <cell r="O402">
            <v>36724</v>
          </cell>
          <cell r="P402">
            <v>1.0006194900000001</v>
          </cell>
          <cell r="Q402">
            <v>1.3697120789341661</v>
          </cell>
        </row>
        <row r="403">
          <cell r="J403">
            <v>40664</v>
          </cell>
          <cell r="K403">
            <v>465.31099999999998</v>
          </cell>
          <cell r="L403">
            <v>3314.58</v>
          </cell>
          <cell r="M403">
            <v>3412.43</v>
          </cell>
          <cell r="O403">
            <v>36725</v>
          </cell>
          <cell r="P403">
            <v>1.0006194900000001</v>
          </cell>
          <cell r="Q403">
            <v>1.3705606018699452</v>
          </cell>
        </row>
        <row r="404">
          <cell r="J404">
            <v>40695</v>
          </cell>
          <cell r="K404">
            <v>464.46300000000002</v>
          </cell>
          <cell r="L404">
            <v>3319.55</v>
          </cell>
          <cell r="M404">
            <v>3419.94</v>
          </cell>
          <cell r="O404">
            <v>36726</v>
          </cell>
          <cell r="P404">
            <v>1.0006191499999999</v>
          </cell>
          <cell r="Q404">
            <v>1.3714091844665928</v>
          </cell>
        </row>
        <row r="405">
          <cell r="J405">
            <v>40725</v>
          </cell>
          <cell r="K405">
            <v>463.92700000000002</v>
          </cell>
          <cell r="L405">
            <v>3324.86</v>
          </cell>
          <cell r="M405">
            <v>3419.94</v>
          </cell>
          <cell r="O405">
            <v>36727</v>
          </cell>
          <cell r="P405">
            <v>1.00061745</v>
          </cell>
          <cell r="Q405">
            <v>1.3722559610675418</v>
          </cell>
        </row>
        <row r="406">
          <cell r="J406">
            <v>40756</v>
          </cell>
          <cell r="K406">
            <v>465.96800000000002</v>
          </cell>
          <cell r="L406">
            <v>3337.16</v>
          </cell>
          <cell r="M406">
            <v>3434.3</v>
          </cell>
          <cell r="O406">
            <v>36728</v>
          </cell>
          <cell r="P406">
            <v>1.0006058799999999</v>
          </cell>
          <cell r="Q406">
            <v>1.3730873835092332</v>
          </cell>
        </row>
        <row r="407">
          <cell r="J407">
            <v>40787</v>
          </cell>
          <cell r="K407">
            <v>468.97500000000002</v>
          </cell>
          <cell r="L407">
            <v>3354.85</v>
          </cell>
          <cell r="M407">
            <v>3449.76</v>
          </cell>
          <cell r="O407">
            <v>36731</v>
          </cell>
          <cell r="P407">
            <v>1.0006052000000001</v>
          </cell>
          <cell r="Q407">
            <v>1.373918375993733</v>
          </cell>
        </row>
        <row r="408">
          <cell r="J408">
            <v>40817</v>
          </cell>
          <cell r="K408">
            <v>471.46600000000001</v>
          </cell>
          <cell r="L408">
            <v>3369.28</v>
          </cell>
          <cell r="M408">
            <v>3460.8</v>
          </cell>
          <cell r="O408">
            <v>36732</v>
          </cell>
          <cell r="P408">
            <v>1.00060452</v>
          </cell>
          <cell r="Q408">
            <v>1.3747489371303887</v>
          </cell>
        </row>
        <row r="409">
          <cell r="J409">
            <v>40848</v>
          </cell>
          <cell r="K409">
            <v>473.80799999999999</v>
          </cell>
          <cell r="L409">
            <v>3386.8</v>
          </cell>
          <cell r="M409">
            <v>3480.52</v>
          </cell>
          <cell r="O409">
            <v>36733</v>
          </cell>
          <cell r="P409">
            <v>1.00060383</v>
          </cell>
          <cell r="Q409">
            <v>1.3755790517810962</v>
          </cell>
        </row>
        <row r="410">
          <cell r="J410">
            <v>40878</v>
          </cell>
          <cell r="K410">
            <v>473.25200000000001</v>
          </cell>
          <cell r="L410">
            <v>3403.73</v>
          </cell>
          <cell r="M410">
            <v>3498.27</v>
          </cell>
          <cell r="O410">
            <v>36734</v>
          </cell>
          <cell r="P410">
            <v>1.00060349</v>
          </cell>
          <cell r="Q410">
            <v>1.3764091999830557</v>
          </cell>
        </row>
        <row r="411">
          <cell r="J411">
            <v>40909</v>
          </cell>
          <cell r="K411">
            <v>474.42899999999997</v>
          </cell>
          <cell r="L411">
            <v>3422.79</v>
          </cell>
          <cell r="M411">
            <v>3516.11</v>
          </cell>
          <cell r="O411">
            <v>36735</v>
          </cell>
          <cell r="P411">
            <v>1.0006031500000001</v>
          </cell>
          <cell r="Q411">
            <v>1.3772393811920256</v>
          </cell>
        </row>
        <row r="412">
          <cell r="J412">
            <v>40940</v>
          </cell>
          <cell r="K412">
            <v>474.13799999999998</v>
          </cell>
          <cell r="L412">
            <v>3438.19</v>
          </cell>
          <cell r="M412">
            <v>3529.82</v>
          </cell>
          <cell r="O412">
            <v>36738</v>
          </cell>
          <cell r="P412">
            <v>1.00060281</v>
          </cell>
          <cell r="Q412">
            <v>1.3780695948634019</v>
          </cell>
        </row>
        <row r="413">
          <cell r="J413">
            <v>40969</v>
          </cell>
          <cell r="K413">
            <v>476.166</v>
          </cell>
          <cell r="L413">
            <v>3445.41</v>
          </cell>
          <cell r="M413">
            <v>3536.17</v>
          </cell>
          <cell r="O413">
            <v>36739</v>
          </cell>
          <cell r="P413">
            <v>1.0006021300000001</v>
          </cell>
          <cell r="Q413">
            <v>1.3788993719085572</v>
          </cell>
        </row>
        <row r="414">
          <cell r="J414">
            <v>41000</v>
          </cell>
          <cell r="K414">
            <v>480.22899999999998</v>
          </cell>
          <cell r="L414">
            <v>3467.46</v>
          </cell>
          <cell r="M414">
            <v>3558.81</v>
          </cell>
          <cell r="O414">
            <v>36740</v>
          </cell>
          <cell r="P414">
            <v>1.0006017899999999</v>
          </cell>
          <cell r="Q414">
            <v>1.3797291797615778</v>
          </cell>
        </row>
        <row r="415">
          <cell r="J415">
            <v>41030</v>
          </cell>
          <cell r="K415">
            <v>485.14</v>
          </cell>
          <cell r="L415">
            <v>3479.94</v>
          </cell>
          <cell r="M415">
            <v>3578.38</v>
          </cell>
          <cell r="O415">
            <v>36741</v>
          </cell>
          <cell r="P415">
            <v>1.0006017899999999</v>
          </cell>
          <cell r="Q415">
            <v>1.3805594869846665</v>
          </cell>
        </row>
        <row r="416">
          <cell r="J416">
            <v>41061</v>
          </cell>
          <cell r="K416">
            <v>488.34199999999998</v>
          </cell>
          <cell r="L416">
            <v>3482.72</v>
          </cell>
          <cell r="M416">
            <v>3587.67</v>
          </cell>
          <cell r="O416">
            <v>36742</v>
          </cell>
          <cell r="P416">
            <v>1.0006017899999999</v>
          </cell>
          <cell r="Q416">
            <v>1.3813902938783389</v>
          </cell>
        </row>
        <row r="417">
          <cell r="J417">
            <v>41091</v>
          </cell>
          <cell r="K417">
            <v>494.89100000000002</v>
          </cell>
          <cell r="L417">
            <v>3497.7</v>
          </cell>
          <cell r="M417">
            <v>3603.1</v>
          </cell>
          <cell r="O417">
            <v>36745</v>
          </cell>
          <cell r="P417">
            <v>1.0006017899999999</v>
          </cell>
          <cell r="Q417">
            <v>1.3822216007432919</v>
          </cell>
        </row>
        <row r="418">
          <cell r="J418">
            <v>41122</v>
          </cell>
          <cell r="K418">
            <v>501.95699999999999</v>
          </cell>
          <cell r="L418">
            <v>3512.04</v>
          </cell>
          <cell r="M418">
            <v>3619.31</v>
          </cell>
          <cell r="O418">
            <v>36746</v>
          </cell>
          <cell r="P418">
            <v>1.0006021300000001</v>
          </cell>
          <cell r="Q418">
            <v>1.3830538778357475</v>
          </cell>
        </row>
        <row r="419">
          <cell r="J419">
            <v>41153</v>
          </cell>
          <cell r="K419">
            <v>506.80399999999997</v>
          </cell>
          <cell r="L419">
            <v>3532.06</v>
          </cell>
          <cell r="M419">
            <v>3642.12</v>
          </cell>
          <cell r="O419">
            <v>36747</v>
          </cell>
          <cell r="P419">
            <v>1.00060247</v>
          </cell>
          <cell r="Q419">
            <v>1.3838871263055272</v>
          </cell>
        </row>
        <row r="420">
          <cell r="J420">
            <v>41183</v>
          </cell>
          <cell r="K420">
            <v>506.92599999999999</v>
          </cell>
          <cell r="L420">
            <v>3552.9</v>
          </cell>
          <cell r="M420">
            <v>3667.97</v>
          </cell>
          <cell r="O420">
            <v>36748</v>
          </cell>
          <cell r="P420">
            <v>1.0006021300000001</v>
          </cell>
          <cell r="Q420">
            <v>1.3847204062608898</v>
          </cell>
        </row>
        <row r="421">
          <cell r="J421">
            <v>41214</v>
          </cell>
          <cell r="K421">
            <v>506.79500000000002</v>
          </cell>
          <cell r="L421">
            <v>3574.22</v>
          </cell>
          <cell r="M421">
            <v>3687.78</v>
          </cell>
          <cell r="O421">
            <v>36749</v>
          </cell>
          <cell r="P421">
            <v>1.00060281</v>
          </cell>
          <cell r="Q421">
            <v>1.3855551295689879</v>
          </cell>
        </row>
        <row r="422">
          <cell r="J422">
            <v>41244</v>
          </cell>
          <cell r="K422">
            <v>510.25200000000001</v>
          </cell>
          <cell r="L422">
            <v>3602.46</v>
          </cell>
          <cell r="M422">
            <v>3715.07</v>
          </cell>
          <cell r="O422">
            <v>36752</v>
          </cell>
          <cell r="P422">
            <v>1.00060383</v>
          </cell>
          <cell r="Q422">
            <v>1.3863917693228756</v>
          </cell>
        </row>
        <row r="423">
          <cell r="J423">
            <v>41275</v>
          </cell>
          <cell r="K423">
            <v>511.97699999999998</v>
          </cell>
          <cell r="L423">
            <v>3633.44</v>
          </cell>
          <cell r="M423">
            <v>3749.25</v>
          </cell>
          <cell r="O423">
            <v>36753</v>
          </cell>
          <cell r="P423">
            <v>1.00060452</v>
          </cell>
          <cell r="Q423">
            <v>1.3872298708752666</v>
          </cell>
        </row>
        <row r="424">
          <cell r="J424">
            <v>41306</v>
          </cell>
          <cell r="K424">
            <v>513.46699999999998</v>
          </cell>
          <cell r="L424">
            <v>3655.24</v>
          </cell>
          <cell r="M424">
            <v>3768.75</v>
          </cell>
          <cell r="O424">
            <v>36754</v>
          </cell>
          <cell r="P424">
            <v>1.0006031500000001</v>
          </cell>
          <cell r="Q424">
            <v>1.3880665785718851</v>
          </cell>
        </row>
        <row r="425">
          <cell r="J425">
            <v>41334</v>
          </cell>
          <cell r="K425">
            <v>514.52599999999995</v>
          </cell>
          <cell r="L425">
            <v>3672.42</v>
          </cell>
          <cell r="M425">
            <v>3791.36</v>
          </cell>
          <cell r="O425">
            <v>36755</v>
          </cell>
          <cell r="P425">
            <v>1.00060247</v>
          </cell>
          <cell r="Q425">
            <v>1.3889028470434772</v>
          </cell>
        </row>
        <row r="426">
          <cell r="J426">
            <v>41365</v>
          </cell>
          <cell r="K426">
            <v>515.27599999999995</v>
          </cell>
          <cell r="L426">
            <v>3692.62</v>
          </cell>
          <cell r="M426">
            <v>3813.73</v>
          </cell>
          <cell r="O426">
            <v>36756</v>
          </cell>
          <cell r="P426">
            <v>1.0006031500000001</v>
          </cell>
          <cell r="Q426">
            <v>1.3897405637956717</v>
          </cell>
        </row>
        <row r="427">
          <cell r="J427">
            <v>41395</v>
          </cell>
          <cell r="K427">
            <v>515.29899999999998</v>
          </cell>
          <cell r="L427">
            <v>3706.28</v>
          </cell>
          <cell r="M427">
            <v>3827.08</v>
          </cell>
          <cell r="O427">
            <v>36759</v>
          </cell>
          <cell r="P427">
            <v>1.00060349</v>
          </cell>
          <cell r="Q427">
            <v>1.3905792583285168</v>
          </cell>
        </row>
        <row r="428">
          <cell r="J428">
            <v>41426</v>
          </cell>
          <cell r="K428">
            <v>519.15300000000002</v>
          </cell>
          <cell r="L428">
            <v>3715.92</v>
          </cell>
          <cell r="M428">
            <v>3837.8</v>
          </cell>
          <cell r="O428">
            <v>36760</v>
          </cell>
          <cell r="P428">
            <v>1.00060554</v>
          </cell>
          <cell r="Q428">
            <v>1.3914213096926051</v>
          </cell>
        </row>
        <row r="429">
          <cell r="J429">
            <v>41456</v>
          </cell>
          <cell r="K429">
            <v>520.50800000000004</v>
          </cell>
          <cell r="L429">
            <v>3717.03</v>
          </cell>
          <cell r="M429">
            <v>3832.81</v>
          </cell>
          <cell r="O429">
            <v>36761</v>
          </cell>
          <cell r="P429">
            <v>1.0006031500000001</v>
          </cell>
          <cell r="Q429">
            <v>1.3922605454555463</v>
          </cell>
        </row>
        <row r="430">
          <cell r="J430">
            <v>41487</v>
          </cell>
          <cell r="K430">
            <v>521.27</v>
          </cell>
          <cell r="L430">
            <v>3725.95</v>
          </cell>
          <cell r="M430">
            <v>3838.94</v>
          </cell>
          <cell r="O430">
            <v>36762</v>
          </cell>
          <cell r="P430">
            <v>1.0005942699999999</v>
          </cell>
          <cell r="Q430">
            <v>1.3930879241298941</v>
          </cell>
        </row>
        <row r="431">
          <cell r="J431">
            <v>41518</v>
          </cell>
          <cell r="K431">
            <v>529.08500000000004</v>
          </cell>
          <cell r="L431">
            <v>3738.99</v>
          </cell>
          <cell r="M431">
            <v>3849.31</v>
          </cell>
          <cell r="O431">
            <v>36763</v>
          </cell>
          <cell r="P431">
            <v>1.0006021300000001</v>
          </cell>
          <cell r="Q431">
            <v>1.3939267441616505</v>
          </cell>
        </row>
        <row r="432">
          <cell r="J432">
            <v>41548</v>
          </cell>
          <cell r="K432">
            <v>533.62099999999998</v>
          </cell>
          <cell r="L432">
            <v>3760.3</v>
          </cell>
          <cell r="M432">
            <v>3872.79</v>
          </cell>
          <cell r="O432">
            <v>36766</v>
          </cell>
          <cell r="P432">
            <v>1.0006031500000001</v>
          </cell>
          <cell r="Q432">
            <v>1.3947674910773917</v>
          </cell>
        </row>
        <row r="433">
          <cell r="J433">
            <v>41579</v>
          </cell>
          <cell r="K433">
            <v>535.16800000000001</v>
          </cell>
          <cell r="L433">
            <v>3780.61</v>
          </cell>
          <cell r="M433">
            <v>3893.7</v>
          </cell>
          <cell r="O433">
            <v>36767</v>
          </cell>
          <cell r="P433">
            <v>1.00060349</v>
          </cell>
          <cell r="Q433">
            <v>1.395609219310582</v>
          </cell>
        </row>
        <row r="434">
          <cell r="J434">
            <v>41609</v>
          </cell>
          <cell r="K434">
            <v>538.37</v>
          </cell>
          <cell r="L434">
            <v>3815.39</v>
          </cell>
          <cell r="M434">
            <v>3921.73</v>
          </cell>
          <cell r="O434">
            <v>36768</v>
          </cell>
          <cell r="P434">
            <v>1.00060383</v>
          </cell>
          <cell r="Q434">
            <v>1.3964519300254783</v>
          </cell>
        </row>
        <row r="435">
          <cell r="J435">
            <v>41640</v>
          </cell>
          <cell r="K435">
            <v>540.95899999999995</v>
          </cell>
          <cell r="L435">
            <v>3836.37</v>
          </cell>
          <cell r="M435">
            <v>3946.44</v>
          </cell>
          <cell r="O435">
            <v>36769</v>
          </cell>
          <cell r="P435">
            <v>1.0006031500000001</v>
          </cell>
          <cell r="Q435">
            <v>1.3972942000070734</v>
          </cell>
        </row>
        <row r="436">
          <cell r="J436">
            <v>41671</v>
          </cell>
          <cell r="K436">
            <v>543.03800000000001</v>
          </cell>
          <cell r="L436">
            <v>3862.84</v>
          </cell>
          <cell r="M436">
            <v>3971.7</v>
          </cell>
          <cell r="O436">
            <v>36770</v>
          </cell>
          <cell r="P436">
            <v>1.0006017899999999</v>
          </cell>
          <cell r="Q436">
            <v>1.3981350776836956</v>
          </cell>
        </row>
        <row r="437">
          <cell r="J437">
            <v>41699</v>
          </cell>
          <cell r="K437">
            <v>552.08699999999999</v>
          </cell>
          <cell r="L437">
            <v>3898.38</v>
          </cell>
          <cell r="M437">
            <v>4004.27</v>
          </cell>
          <cell r="O437">
            <v>36773</v>
          </cell>
          <cell r="P437">
            <v>1.00060145</v>
          </cell>
          <cell r="Q437">
            <v>1.3989759860261686</v>
          </cell>
        </row>
        <row r="438">
          <cell r="J438">
            <v>41730</v>
          </cell>
          <cell r="K438">
            <v>556.41999999999996</v>
          </cell>
          <cell r="L438">
            <v>3924.5</v>
          </cell>
          <cell r="M438">
            <v>4035.5</v>
          </cell>
          <cell r="O438">
            <v>36774</v>
          </cell>
          <cell r="P438">
            <v>1.00060247</v>
          </cell>
          <cell r="Q438">
            <v>1.3998188270884697</v>
          </cell>
        </row>
        <row r="439">
          <cell r="J439">
            <v>41760</v>
          </cell>
          <cell r="K439">
            <v>555.67899999999997</v>
          </cell>
          <cell r="L439">
            <v>3942.55</v>
          </cell>
          <cell r="M439">
            <v>4059.71</v>
          </cell>
          <cell r="O439">
            <v>36775</v>
          </cell>
          <cell r="P439">
            <v>1.00060281</v>
          </cell>
          <cell r="Q439">
            <v>1.4006626518756269</v>
          </cell>
        </row>
        <row r="440">
          <cell r="J440">
            <v>41791</v>
          </cell>
          <cell r="K440">
            <v>551.55399999999997</v>
          </cell>
          <cell r="L440">
            <v>3958.32</v>
          </cell>
          <cell r="M440">
            <v>4070.27</v>
          </cell>
          <cell r="O440">
            <v>36777</v>
          </cell>
          <cell r="P440">
            <v>1.0006041699999999</v>
          </cell>
          <cell r="Q440">
            <v>1.4015088902300104</v>
          </cell>
        </row>
        <row r="441">
          <cell r="J441">
            <v>41821</v>
          </cell>
          <cell r="K441">
            <v>548.202</v>
          </cell>
          <cell r="L441">
            <v>3958.72</v>
          </cell>
          <cell r="M441">
            <v>4075.56</v>
          </cell>
          <cell r="O441">
            <v>36780</v>
          </cell>
          <cell r="P441">
            <v>1.00060452</v>
          </cell>
          <cell r="Q441">
            <v>1.4023561303843322</v>
          </cell>
        </row>
        <row r="442">
          <cell r="J442">
            <v>41852</v>
          </cell>
          <cell r="K442">
            <v>546.745</v>
          </cell>
          <cell r="L442">
            <v>3968.62</v>
          </cell>
          <cell r="M442">
            <v>4082.9</v>
          </cell>
          <cell r="O442">
            <v>36781</v>
          </cell>
          <cell r="P442">
            <v>1.0006058799999999</v>
          </cell>
          <cell r="Q442">
            <v>1.4032057899166093</v>
          </cell>
        </row>
        <row r="443">
          <cell r="J443">
            <v>41883</v>
          </cell>
          <cell r="K443">
            <v>547.83900000000006</v>
          </cell>
          <cell r="L443">
            <v>3991.24</v>
          </cell>
          <cell r="M443">
            <v>4102.8999999999996</v>
          </cell>
          <cell r="O443">
            <v>36782</v>
          </cell>
          <cell r="P443">
            <v>1.0006058799999999</v>
          </cell>
          <cell r="Q443">
            <v>1.4040559642406039</v>
          </cell>
        </row>
        <row r="444">
          <cell r="J444">
            <v>41913</v>
          </cell>
          <cell r="K444">
            <v>549.39599999999996</v>
          </cell>
          <cell r="L444">
            <v>4008</v>
          </cell>
          <cell r="M444">
            <v>4118.49</v>
          </cell>
          <cell r="O444">
            <v>36783</v>
          </cell>
          <cell r="P444">
            <v>1.0006062200000001</v>
          </cell>
          <cell r="Q444">
            <v>1.4049071310472458</v>
          </cell>
        </row>
        <row r="445">
          <cell r="J445">
            <v>41944</v>
          </cell>
          <cell r="K445">
            <v>554.76900000000001</v>
          </cell>
          <cell r="L445">
            <v>4028.44</v>
          </cell>
          <cell r="M445">
            <v>4140.32</v>
          </cell>
          <cell r="O445">
            <v>36784</v>
          </cell>
          <cell r="P445">
            <v>1.00060656</v>
          </cell>
          <cell r="Q445">
            <v>1.4057592915166539</v>
          </cell>
        </row>
        <row r="446">
          <cell r="J446">
            <v>41974</v>
          </cell>
          <cell r="K446">
            <v>558.21299999999997</v>
          </cell>
          <cell r="L446">
            <v>4059.86</v>
          </cell>
          <cell r="M446">
            <v>4165.99</v>
          </cell>
          <cell r="O446">
            <v>36787</v>
          </cell>
          <cell r="P446">
            <v>1.0006062200000001</v>
          </cell>
          <cell r="Q446">
            <v>1.4066114909143572</v>
          </cell>
        </row>
        <row r="447">
          <cell r="J447">
            <v>42005</v>
          </cell>
          <cell r="K447">
            <v>562.48199999999997</v>
          </cell>
          <cell r="L447">
            <v>4110.2</v>
          </cell>
          <cell r="M447">
            <v>4227.6400000000003</v>
          </cell>
          <cell r="O447">
            <v>36788</v>
          </cell>
          <cell r="P447">
            <v>1.0006062200000001</v>
          </cell>
          <cell r="Q447">
            <v>1.4074642069323795</v>
          </cell>
        </row>
        <row r="448">
          <cell r="J448">
            <v>42036</v>
          </cell>
          <cell r="K448">
            <v>564.00400000000002</v>
          </cell>
          <cell r="L448">
            <v>4160.34</v>
          </cell>
          <cell r="M448">
            <v>4276.6899999999996</v>
          </cell>
          <cell r="O448">
            <v>36789</v>
          </cell>
          <cell r="P448">
            <v>1.0006058799999999</v>
          </cell>
          <cell r="Q448">
            <v>1.4083169613460755</v>
          </cell>
        </row>
        <row r="449">
          <cell r="J449">
            <v>42064</v>
          </cell>
          <cell r="K449">
            <v>569.53599999999994</v>
          </cell>
          <cell r="L449">
            <v>4215.26</v>
          </cell>
          <cell r="M449">
            <v>4341.26</v>
          </cell>
          <cell r="O449">
            <v>36790</v>
          </cell>
          <cell r="P449">
            <v>1.0006058799999999</v>
          </cell>
          <cell r="Q449">
            <v>1.4091702324266158</v>
          </cell>
        </row>
        <row r="450">
          <cell r="J450">
            <v>42095</v>
          </cell>
          <cell r="K450">
            <v>576.17499999999995</v>
          </cell>
          <cell r="L450">
            <v>4245.1899999999996</v>
          </cell>
          <cell r="M450">
            <v>4372.08</v>
          </cell>
          <cell r="O450">
            <v>36791</v>
          </cell>
          <cell r="P450">
            <v>1.0006062200000001</v>
          </cell>
          <cell r="Q450">
            <v>1.4100244996049176</v>
          </cell>
        </row>
        <row r="451">
          <cell r="J451">
            <v>42125</v>
          </cell>
          <cell r="K451">
            <v>578.51599999999996</v>
          </cell>
          <cell r="L451">
            <v>4276.6000000000004</v>
          </cell>
          <cell r="M451">
            <v>4415.37</v>
          </cell>
          <cell r="O451">
            <v>36794</v>
          </cell>
          <cell r="P451">
            <v>1.0006058799999999</v>
          </cell>
          <cell r="Q451">
            <v>1.4108788052487382</v>
          </cell>
        </row>
        <row r="452">
          <cell r="J452">
            <v>42156</v>
          </cell>
          <cell r="K452">
            <v>582.40099999999995</v>
          </cell>
          <cell r="L452">
            <v>4310.3900000000003</v>
          </cell>
          <cell r="M452">
            <v>4449.3599999999997</v>
          </cell>
          <cell r="O452">
            <v>36795</v>
          </cell>
          <cell r="P452">
            <v>1.00060554</v>
          </cell>
          <cell r="Q452">
            <v>1.4117331488004685</v>
          </cell>
        </row>
        <row r="453">
          <cell r="J453">
            <v>42186</v>
          </cell>
          <cell r="K453">
            <v>586.42600000000004</v>
          </cell>
          <cell r="L453">
            <v>4337.1099999999997</v>
          </cell>
          <cell r="M453">
            <v>4475.17</v>
          </cell>
          <cell r="O453">
            <v>36796</v>
          </cell>
          <cell r="P453">
            <v>1.0006048599999999</v>
          </cell>
          <cell r="Q453">
            <v>1.4125870497128519</v>
          </cell>
        </row>
        <row r="454">
          <cell r="J454">
            <v>42217</v>
          </cell>
          <cell r="K454">
            <v>588.04200000000003</v>
          </cell>
          <cell r="L454">
            <v>4346.6499999999996</v>
          </cell>
          <cell r="M454">
            <v>4486.3599999999997</v>
          </cell>
          <cell r="O454">
            <v>36797</v>
          </cell>
          <cell r="P454">
            <v>1.00060383</v>
          </cell>
          <cell r="Q454">
            <v>1.4134400121510799</v>
          </cell>
        </row>
        <row r="455">
          <cell r="J455">
            <v>42248</v>
          </cell>
          <cell r="K455">
            <v>593.60599999999999</v>
          </cell>
          <cell r="L455">
            <v>4370.12</v>
          </cell>
          <cell r="M455">
            <v>4509.24</v>
          </cell>
          <cell r="O455">
            <v>36798</v>
          </cell>
          <cell r="P455">
            <v>1.0006041699999999</v>
          </cell>
          <cell r="Q455">
            <v>1.4142939702032211</v>
          </cell>
        </row>
        <row r="456">
          <cell r="J456">
            <v>42278</v>
          </cell>
          <cell r="K456">
            <v>604.83199999999999</v>
          </cell>
          <cell r="L456">
            <v>4405.95</v>
          </cell>
          <cell r="M456">
            <v>4543.96</v>
          </cell>
          <cell r="O456">
            <v>36801</v>
          </cell>
          <cell r="P456">
            <v>1.0006058799999999</v>
          </cell>
          <cell r="Q456">
            <v>1.4151508626338878</v>
          </cell>
        </row>
        <row r="457">
          <cell r="J457">
            <v>42309</v>
          </cell>
          <cell r="K457">
            <v>614.05100000000004</v>
          </cell>
          <cell r="L457">
            <v>4450.45</v>
          </cell>
          <cell r="M457">
            <v>4594.3999999999996</v>
          </cell>
          <cell r="O457">
            <v>36802</v>
          </cell>
          <cell r="P457">
            <v>1.0006062200000001</v>
          </cell>
          <cell r="Q457">
            <v>1.416008755389834</v>
          </cell>
        </row>
        <row r="458">
          <cell r="J458">
            <v>42339</v>
          </cell>
          <cell r="K458">
            <v>617.04399999999998</v>
          </cell>
          <cell r="L458">
            <v>4493.17</v>
          </cell>
          <cell r="M458">
            <v>4635.75</v>
          </cell>
          <cell r="O458">
            <v>36803</v>
          </cell>
          <cell r="P458">
            <v>1.0006058799999999</v>
          </cell>
          <cell r="Q458">
            <v>1.4168666867745494</v>
          </cell>
        </row>
        <row r="459">
          <cell r="J459">
            <v>42370</v>
          </cell>
          <cell r="K459">
            <v>624.05999999999995</v>
          </cell>
          <cell r="L459">
            <v>4550.2299999999996</v>
          </cell>
          <cell r="M459">
            <v>4705.75</v>
          </cell>
          <cell r="O459">
            <v>36804</v>
          </cell>
          <cell r="P459">
            <v>1.00060656</v>
          </cell>
          <cell r="Q459">
            <v>1.4177261014320794</v>
          </cell>
        </row>
        <row r="460">
          <cell r="J460">
            <v>42401</v>
          </cell>
          <cell r="K460">
            <v>632.11400000000003</v>
          </cell>
          <cell r="L460">
            <v>4591.18</v>
          </cell>
          <cell r="M460">
            <v>4750.45</v>
          </cell>
          <cell r="O460">
            <v>36805</v>
          </cell>
          <cell r="P460">
            <v>1.00060656</v>
          </cell>
          <cell r="Q460">
            <v>1.4185860373761641</v>
          </cell>
        </row>
        <row r="461">
          <cell r="J461">
            <v>42430</v>
          </cell>
          <cell r="K461">
            <v>635.34900000000005</v>
          </cell>
          <cell r="L461">
            <v>4610.92</v>
          </cell>
          <cell r="M461">
            <v>4771.3599999999997</v>
          </cell>
          <cell r="O461">
            <v>36808</v>
          </cell>
          <cell r="P461">
            <v>1.00060554</v>
          </cell>
          <cell r="Q461">
            <v>1.419445047965237</v>
          </cell>
        </row>
        <row r="462">
          <cell r="J462">
            <v>42461</v>
          </cell>
          <cell r="K462">
            <v>637.43399999999997</v>
          </cell>
          <cell r="L462">
            <v>4639.05</v>
          </cell>
          <cell r="M462">
            <v>4801.8900000000003</v>
          </cell>
          <cell r="O462">
            <v>36809</v>
          </cell>
          <cell r="P462">
            <v>1.00060554</v>
          </cell>
          <cell r="Q462">
            <v>1.4203045787195818</v>
          </cell>
        </row>
        <row r="463">
          <cell r="J463">
            <v>42491</v>
          </cell>
          <cell r="K463">
            <v>642.65099999999995</v>
          </cell>
          <cell r="L463">
            <v>4675.2299999999996</v>
          </cell>
          <cell r="M463">
            <v>4848.95</v>
          </cell>
          <cell r="O463">
            <v>36810</v>
          </cell>
          <cell r="P463">
            <v>1.0006052000000001</v>
          </cell>
          <cell r="Q463">
            <v>1.4211641470506231</v>
          </cell>
        </row>
        <row r="464">
          <cell r="J464">
            <v>42522</v>
          </cell>
          <cell r="K464">
            <v>653.49599999999998</v>
          </cell>
          <cell r="L464">
            <v>4691.59</v>
          </cell>
          <cell r="M464">
            <v>4871.74</v>
          </cell>
          <cell r="O464">
            <v>36812</v>
          </cell>
          <cell r="P464">
            <v>1.00060452</v>
          </cell>
          <cell r="Q464">
            <v>1.4220232692007981</v>
          </cell>
        </row>
        <row r="465">
          <cell r="J465">
            <v>42552</v>
          </cell>
          <cell r="K465">
            <v>654.64099999999996</v>
          </cell>
          <cell r="L465">
            <v>4715.99</v>
          </cell>
          <cell r="M465">
            <v>4902.92</v>
          </cell>
          <cell r="O465">
            <v>36815</v>
          </cell>
          <cell r="P465">
            <v>1.0006052000000001</v>
          </cell>
          <cell r="Q465">
            <v>1.4228838776833186</v>
          </cell>
        </row>
        <row r="466">
          <cell r="J466">
            <v>42583</v>
          </cell>
          <cell r="K466">
            <v>655.60199999999998</v>
          </cell>
          <cell r="L466">
            <v>4736.74</v>
          </cell>
          <cell r="M466">
            <v>4918.12</v>
          </cell>
          <cell r="O466">
            <v>36816</v>
          </cell>
          <cell r="P466">
            <v>1.00060554</v>
          </cell>
          <cell r="Q466">
            <v>1.4237454907866109</v>
          </cell>
        </row>
        <row r="467">
          <cell r="J467">
            <v>42614</v>
          </cell>
          <cell r="K467">
            <v>656.89400000000001</v>
          </cell>
          <cell r="L467">
            <v>4740.53</v>
          </cell>
          <cell r="M467">
            <v>4922.05</v>
          </cell>
          <cell r="O467">
            <v>36817</v>
          </cell>
          <cell r="P467">
            <v>1.00060554</v>
          </cell>
          <cell r="Q467">
            <v>1.424607625631102</v>
          </cell>
        </row>
        <row r="468">
          <cell r="J468">
            <v>42644</v>
          </cell>
          <cell r="K468">
            <v>657.92700000000002</v>
          </cell>
          <cell r="L468">
            <v>4752.8599999999997</v>
          </cell>
          <cell r="M468">
            <v>4930.42</v>
          </cell>
          <cell r="O468">
            <v>36818</v>
          </cell>
          <cell r="P468">
            <v>1.00060554</v>
          </cell>
          <cell r="Q468">
            <v>1.4254702825327266</v>
          </cell>
        </row>
        <row r="469">
          <cell r="J469">
            <v>42675</v>
          </cell>
          <cell r="K469">
            <v>657.75199999999995</v>
          </cell>
          <cell r="L469">
            <v>4761.42</v>
          </cell>
          <cell r="M469">
            <v>4933.87</v>
          </cell>
          <cell r="O469">
            <v>36819</v>
          </cell>
          <cell r="P469">
            <v>1.00060554</v>
          </cell>
          <cell r="Q469">
            <v>1.4263334618076116</v>
          </cell>
        </row>
        <row r="470">
          <cell r="J470">
            <v>42705</v>
          </cell>
          <cell r="K470">
            <v>661.30399999999997</v>
          </cell>
          <cell r="L470">
            <v>4775.7</v>
          </cell>
          <cell r="M470">
            <v>4940.78</v>
          </cell>
          <cell r="O470">
            <v>36822</v>
          </cell>
          <cell r="P470">
            <v>1.0006058799999999</v>
          </cell>
          <cell r="Q470">
            <v>1.4271976487254514</v>
          </cell>
        </row>
        <row r="471">
          <cell r="J471">
            <v>42736</v>
          </cell>
          <cell r="K471">
            <v>665.54200000000003</v>
          </cell>
          <cell r="L471">
            <v>4793.8500000000004</v>
          </cell>
          <cell r="M471">
            <v>4961.53</v>
          </cell>
          <cell r="O471">
            <v>36823</v>
          </cell>
          <cell r="P471">
            <v>1.00060554</v>
          </cell>
          <cell r="Q471">
            <v>1.4280618739896607</v>
          </cell>
        </row>
        <row r="472">
          <cell r="J472">
            <v>42767</v>
          </cell>
          <cell r="K472">
            <v>666.09900000000005</v>
          </cell>
          <cell r="L472">
            <v>4809.67</v>
          </cell>
          <cell r="M472">
            <v>4973.4399999999996</v>
          </cell>
          <cell r="O472">
            <v>36824</v>
          </cell>
          <cell r="P472">
            <v>1.0006052000000001</v>
          </cell>
          <cell r="Q472">
            <v>1.4289261370357993</v>
          </cell>
        </row>
        <row r="473">
          <cell r="J473">
            <v>42795</v>
          </cell>
          <cell r="K473">
            <v>666.197</v>
          </cell>
          <cell r="L473">
            <v>4821.6899999999996</v>
          </cell>
          <cell r="M473">
            <v>4989.3599999999997</v>
          </cell>
          <cell r="O473">
            <v>36825</v>
          </cell>
          <cell r="P473">
            <v>1.0006052000000001</v>
          </cell>
          <cell r="Q473">
            <v>1.4297909231339334</v>
          </cell>
        </row>
        <row r="474">
          <cell r="J474">
            <v>42826</v>
          </cell>
          <cell r="K474">
            <v>658.89800000000002</v>
          </cell>
          <cell r="L474">
            <v>4828.4399999999996</v>
          </cell>
          <cell r="M474">
            <v>4993.3500000000004</v>
          </cell>
          <cell r="O474">
            <v>36826</v>
          </cell>
          <cell r="P474">
            <v>1.00060554</v>
          </cell>
          <cell r="Q474">
            <v>1.430656718729528</v>
          </cell>
        </row>
        <row r="475">
          <cell r="J475">
            <v>42856</v>
          </cell>
          <cell r="K475">
            <v>652.75800000000004</v>
          </cell>
          <cell r="L475">
            <v>4843.41</v>
          </cell>
          <cell r="M475">
            <v>5011.33</v>
          </cell>
          <cell r="O475">
            <v>36829</v>
          </cell>
          <cell r="P475">
            <v>1.00060554</v>
          </cell>
          <cell r="Q475">
            <v>1.4315230385989874</v>
          </cell>
        </row>
        <row r="476">
          <cell r="J476">
            <v>42887</v>
          </cell>
          <cell r="K476">
            <v>648.40899999999999</v>
          </cell>
          <cell r="L476">
            <v>4832.2700000000004</v>
          </cell>
          <cell r="M476">
            <v>4996.3</v>
          </cell>
          <cell r="O476">
            <v>36830</v>
          </cell>
          <cell r="P476">
            <v>1.00060554</v>
          </cell>
          <cell r="Q476">
            <v>1.4323898830597808</v>
          </cell>
        </row>
        <row r="477">
          <cell r="J477">
            <v>42917</v>
          </cell>
          <cell r="K477">
            <v>643.76599999999996</v>
          </cell>
          <cell r="L477">
            <v>4843.87</v>
          </cell>
          <cell r="M477">
            <v>5004.79</v>
          </cell>
          <cell r="O477">
            <v>36831</v>
          </cell>
          <cell r="P477">
            <v>1.0006058799999999</v>
          </cell>
          <cell r="Q477">
            <v>1.4332577394421289</v>
          </cell>
        </row>
        <row r="478">
          <cell r="J478">
            <v>42948</v>
          </cell>
          <cell r="K478">
            <v>644.38300000000004</v>
          </cell>
          <cell r="L478">
            <v>4853.07</v>
          </cell>
          <cell r="M478">
            <v>5003.29</v>
          </cell>
          <cell r="O478">
            <v>36833</v>
          </cell>
          <cell r="P478">
            <v>1.0006052000000001</v>
          </cell>
          <cell r="Q478">
            <v>1.4341251470260394</v>
          </cell>
        </row>
        <row r="479">
          <cell r="J479">
            <v>42979</v>
          </cell>
          <cell r="K479">
            <v>647.4</v>
          </cell>
          <cell r="L479">
            <v>4860.83</v>
          </cell>
          <cell r="M479">
            <v>5002.29</v>
          </cell>
          <cell r="O479">
            <v>36836</v>
          </cell>
          <cell r="P479">
            <v>1.0006041699999999</v>
          </cell>
          <cell r="Q479">
            <v>1.434991602416118</v>
          </cell>
        </row>
        <row r="480">
          <cell r="J480">
            <v>43009</v>
          </cell>
          <cell r="K480">
            <v>648.67200000000003</v>
          </cell>
          <cell r="L480">
            <v>4881.25</v>
          </cell>
          <cell r="M480">
            <v>5020.8</v>
          </cell>
          <cell r="O480">
            <v>36837</v>
          </cell>
          <cell r="P480">
            <v>1.00060281</v>
          </cell>
          <cell r="Q480">
            <v>1.4358566297039703</v>
          </cell>
        </row>
        <row r="481">
          <cell r="J481">
            <v>43040</v>
          </cell>
          <cell r="K481">
            <v>652.07299999999998</v>
          </cell>
          <cell r="L481">
            <v>4894.92</v>
          </cell>
          <cell r="M481">
            <v>5029.84</v>
          </cell>
          <cell r="O481">
            <v>36838</v>
          </cell>
          <cell r="P481">
            <v>1.00060349</v>
          </cell>
          <cell r="Q481">
            <v>1.4367231548214305</v>
          </cell>
        </row>
        <row r="482">
          <cell r="J482">
            <v>43070</v>
          </cell>
          <cell r="K482">
            <v>657.85900000000004</v>
          </cell>
          <cell r="L482">
            <v>4916.46</v>
          </cell>
          <cell r="M482">
            <v>5042.92</v>
          </cell>
          <cell r="O482">
            <v>36839</v>
          </cell>
          <cell r="P482">
            <v>1.0006048599999999</v>
          </cell>
          <cell r="Q482">
            <v>1.4375921711888557</v>
          </cell>
        </row>
        <row r="483">
          <cell r="J483">
            <v>43101</v>
          </cell>
          <cell r="K483">
            <v>662.82600000000002</v>
          </cell>
          <cell r="L483">
            <v>4930.72</v>
          </cell>
          <cell r="M483">
            <v>5054.5200000000004</v>
          </cell>
          <cell r="O483">
            <v>36840</v>
          </cell>
          <cell r="P483">
            <v>1.0006052000000001</v>
          </cell>
          <cell r="Q483">
            <v>1.4384622019708593</v>
          </cell>
        </row>
        <row r="484">
          <cell r="J484">
            <v>43132</v>
          </cell>
          <cell r="K484">
            <v>663.31100000000004</v>
          </cell>
          <cell r="L484">
            <v>4946.5</v>
          </cell>
          <cell r="M484">
            <v>5063.62</v>
          </cell>
          <cell r="O484">
            <v>36843</v>
          </cell>
          <cell r="P484">
            <v>1.00060554</v>
          </cell>
          <cell r="Q484">
            <v>1.4393332483726407</v>
          </cell>
        </row>
        <row r="485">
          <cell r="J485">
            <v>43160</v>
          </cell>
          <cell r="K485">
            <v>667.524</v>
          </cell>
          <cell r="L485">
            <v>4950.95</v>
          </cell>
          <cell r="M485">
            <v>5067.16</v>
          </cell>
          <cell r="O485">
            <v>36844</v>
          </cell>
          <cell r="P485">
            <v>1.00060554</v>
          </cell>
          <cell r="Q485">
            <v>1.4402048222278603</v>
          </cell>
        </row>
        <row r="486">
          <cell r="J486">
            <v>43191</v>
          </cell>
          <cell r="K486">
            <v>671.327</v>
          </cell>
          <cell r="L486">
            <v>4961.84</v>
          </cell>
          <cell r="M486">
            <v>5077.8</v>
          </cell>
          <cell r="O486">
            <v>36846</v>
          </cell>
          <cell r="P486">
            <v>1.0006058799999999</v>
          </cell>
          <cell r="Q486">
            <v>1.4410774135255515</v>
          </cell>
        </row>
        <row r="487">
          <cell r="J487">
            <v>43221</v>
          </cell>
          <cell r="K487">
            <v>680.57899999999995</v>
          </cell>
          <cell r="L487">
            <v>4981.6899999999996</v>
          </cell>
          <cell r="M487">
            <v>5099.63</v>
          </cell>
          <cell r="O487">
            <v>36847</v>
          </cell>
          <cell r="P487">
            <v>1.0006058799999999</v>
          </cell>
          <cell r="Q487">
            <v>1.4419505335088583</v>
          </cell>
        </row>
        <row r="488">
          <cell r="J488">
            <v>43252</v>
          </cell>
          <cell r="K488">
            <v>693.28700000000003</v>
          </cell>
          <cell r="L488">
            <v>5044.46</v>
          </cell>
          <cell r="M488">
            <v>5172.55</v>
          </cell>
          <cell r="O488">
            <v>36850</v>
          </cell>
          <cell r="P488">
            <v>1.0006062200000001</v>
          </cell>
          <cell r="Q488">
            <v>1.4428246727612821</v>
          </cell>
        </row>
        <row r="489">
          <cell r="J489">
            <v>43282</v>
          </cell>
          <cell r="K489">
            <v>696.8</v>
          </cell>
          <cell r="L489">
            <v>5061.1099999999997</v>
          </cell>
          <cell r="M489">
            <v>5185.4799999999996</v>
          </cell>
          <cell r="O489">
            <v>36851</v>
          </cell>
          <cell r="P489">
            <v>1.0006058799999999</v>
          </cell>
          <cell r="Q489">
            <v>1.4436988513740145</v>
          </cell>
        </row>
        <row r="490">
          <cell r="J490">
            <v>43313</v>
          </cell>
          <cell r="K490">
            <v>701.67700000000002</v>
          </cell>
          <cell r="L490">
            <v>5056.5600000000004</v>
          </cell>
          <cell r="M490">
            <v>5185.4799999999996</v>
          </cell>
          <cell r="O490">
            <v>36852</v>
          </cell>
          <cell r="P490">
            <v>1.0006058799999999</v>
          </cell>
          <cell r="Q490">
            <v>1.444573559634085</v>
          </cell>
        </row>
        <row r="491">
          <cell r="J491">
            <v>43344</v>
          </cell>
          <cell r="K491">
            <v>712.37300000000005</v>
          </cell>
          <cell r="L491">
            <v>5076.7861999999996</v>
          </cell>
          <cell r="M491">
            <v>5206.2218789801746</v>
          </cell>
          <cell r="O491">
            <v>36853</v>
          </cell>
          <cell r="P491">
            <v>1.00060349</v>
          </cell>
          <cell r="Q491">
            <v>1.4454453453315885</v>
          </cell>
        </row>
        <row r="492">
          <cell r="J492">
            <v>43374</v>
          </cell>
          <cell r="K492">
            <v>718.07056999999998</v>
          </cell>
          <cell r="L492">
            <v>5095.6727000000001</v>
          </cell>
          <cell r="M492">
            <v>5225.5899015132809</v>
          </cell>
          <cell r="O492">
            <v>36854</v>
          </cell>
          <cell r="P492">
            <v>1.00060349</v>
          </cell>
          <cell r="Q492">
            <v>1.4463176571430427</v>
          </cell>
        </row>
        <row r="493">
          <cell r="J493">
            <v>43405</v>
          </cell>
          <cell r="K493">
            <v>719.79191000000003</v>
          </cell>
          <cell r="L493">
            <v>5114.2503999999999</v>
          </cell>
          <cell r="M493">
            <v>5244.6412510070077</v>
          </cell>
          <cell r="O493">
            <v>36857</v>
          </cell>
          <cell r="P493">
            <v>1.0006031500000001</v>
          </cell>
          <cell r="Q493">
            <v>1.4471900036379488</v>
          </cell>
        </row>
        <row r="494">
          <cell r="J494">
            <v>43435</v>
          </cell>
          <cell r="K494">
            <v>723.42124000000001</v>
          </cell>
          <cell r="L494">
            <v>5135.8130000000001</v>
          </cell>
          <cell r="M494">
            <v>5266.7536022987952</v>
          </cell>
          <cell r="O494">
            <v>36858</v>
          </cell>
          <cell r="P494">
            <v>1.00060281</v>
          </cell>
          <cell r="Q494">
            <v>1.4480623842440417</v>
          </cell>
        </row>
        <row r="495">
          <cell r="J495">
            <v>43466</v>
          </cell>
          <cell r="K495">
            <v>725.82412999999997</v>
          </cell>
          <cell r="L495">
            <v>5165.7701999999999</v>
          </cell>
          <cell r="M495">
            <v>5297.4745789026529</v>
          </cell>
          <cell r="O495">
            <v>36859</v>
          </cell>
          <cell r="P495">
            <v>1.0006031500000001</v>
          </cell>
          <cell r="Q495">
            <v>1.4489357830710987</v>
          </cell>
        </row>
        <row r="496">
          <cell r="J496">
            <v>43497</v>
          </cell>
          <cell r="K496">
            <v>728.36914000000002</v>
          </cell>
          <cell r="L496">
            <v>5189.8446000000004</v>
          </cell>
          <cell r="M496">
            <v>5322.1627700270546</v>
          </cell>
          <cell r="O496">
            <v>36860</v>
          </cell>
          <cell r="P496">
            <v>1.0006021300000001</v>
          </cell>
          <cell r="Q496">
            <v>1.4498082307741595</v>
          </cell>
        </row>
        <row r="497">
          <cell r="J497">
            <v>43525</v>
          </cell>
          <cell r="K497">
            <v>731.01559999999995</v>
          </cell>
          <cell r="L497">
            <v>5201.8599000000004</v>
          </cell>
          <cell r="M497">
            <v>5334.48440723575</v>
          </cell>
          <cell r="O497">
            <v>36861</v>
          </cell>
          <cell r="P497">
            <v>1.00060145</v>
          </cell>
          <cell r="Q497">
            <v>1.4506802179345586</v>
          </cell>
        </row>
        <row r="498">
          <cell r="J498">
            <v>43556</v>
          </cell>
          <cell r="K498">
            <v>734.19224999999994</v>
          </cell>
          <cell r="L498">
            <v>5217.0311000000002</v>
          </cell>
          <cell r="M498">
            <v>5350.0424059890529</v>
          </cell>
          <cell r="O498">
            <v>36864</v>
          </cell>
          <cell r="P498">
            <v>1.0006017899999999</v>
          </cell>
          <cell r="Q498">
            <v>1.4515532227829093</v>
          </cell>
        </row>
        <row r="499">
          <cell r="J499">
            <v>43586</v>
          </cell>
          <cell r="K499">
            <v>737.47456</v>
          </cell>
          <cell r="L499">
            <v>5241.9210000000003</v>
          </cell>
          <cell r="M499">
            <v>5375.5668887702323</v>
          </cell>
          <cell r="O499">
            <v>36865</v>
          </cell>
          <cell r="P499">
            <v>1.00060145</v>
          </cell>
          <cell r="Q499">
            <v>1.452426259468752</v>
          </cell>
        </row>
        <row r="500">
          <cell r="J500">
            <v>43617</v>
          </cell>
          <cell r="K500">
            <v>740.02863000000002</v>
          </cell>
          <cell r="L500">
            <v>5265.0833000000002</v>
          </cell>
          <cell r="M500">
            <v>5399.3197253634899</v>
          </cell>
          <cell r="O500">
            <v>36866</v>
          </cell>
          <cell r="P500">
            <v>1.00060145</v>
          </cell>
          <cell r="Q500">
            <v>1.4532998212425094</v>
          </cell>
        </row>
        <row r="501">
          <cell r="J501">
            <v>43647</v>
          </cell>
          <cell r="K501">
            <v>743.43250999999998</v>
          </cell>
          <cell r="L501">
            <v>5283.4589999999998</v>
          </cell>
          <cell r="M501">
            <v>5418.1639247472604</v>
          </cell>
          <cell r="O501">
            <v>36867</v>
          </cell>
          <cell r="P501">
            <v>1.0006010999999999</v>
          </cell>
          <cell r="Q501">
            <v>1.4541733997650581</v>
          </cell>
        </row>
        <row r="502">
          <cell r="J502">
            <v>43678</v>
          </cell>
          <cell r="K502">
            <v>746.00958000000003</v>
          </cell>
          <cell r="L502">
            <v>5292.5944</v>
          </cell>
          <cell r="M502">
            <v>5427.5322371952489</v>
          </cell>
          <cell r="O502">
            <v>36868</v>
          </cell>
          <cell r="P502">
            <v>1.00060076</v>
          </cell>
          <cell r="Q502">
            <v>1.4550470089767009</v>
          </cell>
        </row>
        <row r="503">
          <cell r="J503">
            <v>43709</v>
          </cell>
          <cell r="K503">
            <v>749.10216000000003</v>
          </cell>
          <cell r="L503">
            <v>5305.8127000000004</v>
          </cell>
          <cell r="M503">
            <v>5441.0875456033373</v>
          </cell>
          <cell r="O503">
            <v>36871</v>
          </cell>
          <cell r="P503">
            <v>1.00060076</v>
          </cell>
          <cell r="Q503">
            <v>1.4559211430178138</v>
          </cell>
        </row>
        <row r="504">
          <cell r="J504">
            <v>43739</v>
          </cell>
          <cell r="K504">
            <v>752.46915999999999</v>
          </cell>
          <cell r="L504">
            <v>5331.2960000000003</v>
          </cell>
          <cell r="M504">
            <v>5467.2205574699028</v>
          </cell>
          <cell r="O504">
            <v>36872</v>
          </cell>
          <cell r="P504">
            <v>1.00060042</v>
          </cell>
          <cell r="Q504">
            <v>1.4567953071905047</v>
          </cell>
        </row>
        <row r="505">
          <cell r="J505">
            <v>43770</v>
          </cell>
          <cell r="K505">
            <v>755.85131000000001</v>
          </cell>
          <cell r="L505">
            <v>5356.3896000000004</v>
          </cell>
          <cell r="M505">
            <v>5492.9539337035476</v>
          </cell>
          <cell r="O505">
            <v>36873</v>
          </cell>
          <cell r="P505">
            <v>1.0006000799999999</v>
          </cell>
          <cell r="Q505">
            <v>1.4576695009184433</v>
          </cell>
        </row>
        <row r="506">
          <cell r="J506">
            <v>43800</v>
          </cell>
          <cell r="K506">
            <v>759.24865</v>
          </cell>
          <cell r="L506">
            <v>5385.5460000000003</v>
          </cell>
          <cell r="M506">
            <v>5522.8536934358553</v>
          </cell>
          <cell r="O506">
            <v>36874</v>
          </cell>
          <cell r="P506">
            <v>1.00059974</v>
          </cell>
          <cell r="Q506">
            <v>1.4585437236249241</v>
          </cell>
        </row>
        <row r="507">
          <cell r="J507">
            <v>43831</v>
          </cell>
          <cell r="K507">
            <v>761.90251000000001</v>
          </cell>
          <cell r="L507">
            <v>5418.9997000000003</v>
          </cell>
          <cell r="M507">
            <v>5557.1603153835831</v>
          </cell>
          <cell r="O507">
            <v>36875</v>
          </cell>
          <cell r="P507">
            <v>1.0005994</v>
          </cell>
          <cell r="Q507">
            <v>1.4594179747328651</v>
          </cell>
        </row>
        <row r="508">
          <cell r="J508">
            <v>43862</v>
          </cell>
          <cell r="K508">
            <v>764.56564000000003</v>
          </cell>
          <cell r="L508">
            <v>5445.8941999999997</v>
          </cell>
          <cell r="M508">
            <v>5584.7405066321789</v>
          </cell>
          <cell r="O508">
            <v>36878</v>
          </cell>
          <cell r="P508">
            <v>1.0005994</v>
          </cell>
          <cell r="Q508">
            <v>1.46029274986692</v>
          </cell>
        </row>
        <row r="509">
          <cell r="J509">
            <v>43891</v>
          </cell>
          <cell r="K509">
            <v>767.23807999999997</v>
          </cell>
          <cell r="L509">
            <v>5459.3209999999999</v>
          </cell>
          <cell r="M509">
            <v>5598.5096308715838</v>
          </cell>
          <cell r="O509">
            <v>36879</v>
          </cell>
          <cell r="P509">
            <v>1.00059871</v>
          </cell>
          <cell r="Q509">
            <v>1.4611670417391929</v>
          </cell>
        </row>
        <row r="510">
          <cell r="J510">
            <v>43922</v>
          </cell>
          <cell r="K510">
            <v>769.91985999999997</v>
          </cell>
          <cell r="L510">
            <v>5476.277</v>
          </cell>
          <cell r="M510">
            <v>5615.8979341607774</v>
          </cell>
          <cell r="O510">
            <v>36880</v>
          </cell>
          <cell r="P510">
            <v>1.0005980299999999</v>
          </cell>
          <cell r="Q510">
            <v>1.462040863465164</v>
          </cell>
        </row>
        <row r="511">
          <cell r="J511">
            <v>43952</v>
          </cell>
          <cell r="K511">
            <v>772.61102000000005</v>
          </cell>
          <cell r="L511">
            <v>5502.4036999999998</v>
          </cell>
          <cell r="M511">
            <v>5642.6907498924202</v>
          </cell>
          <cell r="O511">
            <v>36881</v>
          </cell>
          <cell r="P511">
            <v>1.00058983</v>
          </cell>
          <cell r="Q511">
            <v>1.4629032190276616</v>
          </cell>
        </row>
        <row r="512">
          <cell r="J512">
            <v>43983</v>
          </cell>
          <cell r="K512">
            <v>775.31158000000005</v>
          </cell>
          <cell r="L512">
            <v>5526.7169999999996</v>
          </cell>
          <cell r="M512">
            <v>5667.6239319141905</v>
          </cell>
          <cell r="O512">
            <v>36882</v>
          </cell>
          <cell r="P512">
            <v>1.00058023</v>
          </cell>
          <cell r="Q512">
            <v>1.4637520393624379</v>
          </cell>
        </row>
        <row r="513">
          <cell r="J513">
            <v>44013</v>
          </cell>
          <cell r="K513">
            <v>778.02157999999997</v>
          </cell>
          <cell r="L513">
            <v>5546.0059000000001</v>
          </cell>
          <cell r="M513">
            <v>5687.4046138742588</v>
          </cell>
          <cell r="O513">
            <v>36886</v>
          </cell>
          <cell r="P513">
            <v>1.00057989</v>
          </cell>
          <cell r="Q513">
            <v>1.4646008545325437</v>
          </cell>
        </row>
        <row r="514">
          <cell r="J514">
            <v>44044</v>
          </cell>
          <cell r="K514">
            <v>780.74105999999995</v>
          </cell>
          <cell r="L514">
            <v>5556.2704000000003</v>
          </cell>
          <cell r="M514">
            <v>5697.9308133972545</v>
          </cell>
          <cell r="O514">
            <v>36887</v>
          </cell>
          <cell r="P514">
            <v>1.0005795500000001</v>
          </cell>
          <cell r="Q514">
            <v>1.4654496639577883</v>
          </cell>
        </row>
        <row r="515">
          <cell r="J515">
            <v>44075</v>
          </cell>
          <cell r="K515">
            <v>783.47004000000004</v>
          </cell>
          <cell r="L515">
            <v>5571.1243999999997</v>
          </cell>
          <cell r="M515">
            <v>5713.1635249481897</v>
          </cell>
          <cell r="O515">
            <v>36888</v>
          </cell>
          <cell r="P515">
            <v>1.0005788600000001</v>
          </cell>
          <cell r="Q515">
            <v>1.466297954150267</v>
          </cell>
        </row>
        <row r="516">
          <cell r="J516">
            <v>44105</v>
          </cell>
          <cell r="K516">
            <v>786.20856000000003</v>
          </cell>
          <cell r="L516">
            <v>5599.7660999999998</v>
          </cell>
          <cell r="M516">
            <v>5742.5354620983471</v>
          </cell>
          <cell r="O516">
            <v>36889</v>
          </cell>
          <cell r="P516">
            <v>1.0005795500000001</v>
          </cell>
          <cell r="Q516">
            <v>1.4671477471295948</v>
          </cell>
        </row>
        <row r="517">
          <cell r="J517">
            <v>44136</v>
          </cell>
          <cell r="K517">
            <v>788.95664999999997</v>
          </cell>
          <cell r="L517">
            <v>5627.9793</v>
          </cell>
          <cell r="M517">
            <v>5771.4679743865427</v>
          </cell>
          <cell r="O517">
            <v>36893</v>
          </cell>
          <cell r="P517">
            <v>1.0005795500000001</v>
          </cell>
          <cell r="Q517">
            <v>1.4679980326064439</v>
          </cell>
        </row>
        <row r="518">
          <cell r="J518">
            <v>44166</v>
          </cell>
          <cell r="K518">
            <v>791.71433999999999</v>
          </cell>
          <cell r="L518">
            <v>5660.7712000000001</v>
          </cell>
          <cell r="M518">
            <v>5805.0959233502654</v>
          </cell>
          <cell r="O518">
            <v>36894</v>
          </cell>
          <cell r="P518">
            <v>1.00057989</v>
          </cell>
          <cell r="Q518">
            <v>1.4688493099855722</v>
          </cell>
        </row>
        <row r="519">
          <cell r="J519">
            <v>44197</v>
          </cell>
          <cell r="K519">
            <v>794.92772000000002</v>
          </cell>
          <cell r="L519">
            <v>5698.4106000000002</v>
          </cell>
          <cell r="M519">
            <v>5843.6949622051388</v>
          </cell>
          <cell r="O519">
            <v>36895</v>
          </cell>
          <cell r="P519">
            <v>1.0005788600000001</v>
          </cell>
          <cell r="Q519">
            <v>1.4696995680971505</v>
          </cell>
        </row>
        <row r="520">
          <cell r="J520">
            <v>44228</v>
          </cell>
          <cell r="K520">
            <v>798.15413999999998</v>
          </cell>
          <cell r="L520">
            <v>5728.6832000000004</v>
          </cell>
          <cell r="M520">
            <v>5874.7393801192939</v>
          </cell>
          <cell r="O520">
            <v>36896</v>
          </cell>
          <cell r="P520">
            <v>1.0005785199999999</v>
          </cell>
          <cell r="Q520">
            <v>1.470549818691286</v>
          </cell>
        </row>
        <row r="521">
          <cell r="J521">
            <v>44256</v>
          </cell>
          <cell r="K521">
            <v>801.39364999999998</v>
          </cell>
          <cell r="L521">
            <v>5743.8018000000002</v>
          </cell>
          <cell r="M521">
            <v>5890.2434378043608</v>
          </cell>
          <cell r="O521">
            <v>36899</v>
          </cell>
          <cell r="P521">
            <v>1.0005788600000001</v>
          </cell>
          <cell r="Q521">
            <v>1.4714010611593338</v>
          </cell>
        </row>
        <row r="522">
          <cell r="J522">
            <v>44287</v>
          </cell>
          <cell r="K522">
            <v>804.64631999999995</v>
          </cell>
          <cell r="L522">
            <v>5762.8975</v>
          </cell>
          <cell r="M522">
            <v>5909.8259940156977</v>
          </cell>
          <cell r="O522">
            <v>36900</v>
          </cell>
          <cell r="P522">
            <v>1.0005785199999999</v>
          </cell>
          <cell r="Q522">
            <v>1.4722522961012356</v>
          </cell>
        </row>
        <row r="523">
          <cell r="J523">
            <v>44317</v>
          </cell>
          <cell r="K523">
            <v>807.91218000000003</v>
          </cell>
          <cell r="L523">
            <v>5792.3191999999999</v>
          </cell>
          <cell r="M523">
            <v>5939.9978177290523</v>
          </cell>
          <cell r="O523">
            <v>36901</v>
          </cell>
          <cell r="P523">
            <v>1.0005785199999999</v>
          </cell>
          <cell r="Q523">
            <v>1.473104023499576</v>
          </cell>
        </row>
        <row r="524">
          <cell r="J524">
            <v>44348</v>
          </cell>
          <cell r="K524">
            <v>811.19129999999996</v>
          </cell>
          <cell r="L524">
            <v>5819.7079999999996</v>
          </cell>
          <cell r="M524">
            <v>5968.0849114496841</v>
          </cell>
          <cell r="O524">
            <v>36902</v>
          </cell>
          <cell r="P524">
            <v>1.00057646</v>
          </cell>
          <cell r="Q524">
            <v>1.4739532090449625</v>
          </cell>
        </row>
        <row r="525">
          <cell r="J525">
            <v>44378</v>
          </cell>
          <cell r="K525">
            <v>814.48373000000004</v>
          </cell>
          <cell r="L525">
            <v>5841.4434000000001</v>
          </cell>
          <cell r="M525">
            <v>5990.3744683800887</v>
          </cell>
          <cell r="O525">
            <v>36903</v>
          </cell>
          <cell r="P525">
            <v>1.00057577</v>
          </cell>
          <cell r="Q525">
            <v>1.4748018670841343</v>
          </cell>
        </row>
        <row r="526">
          <cell r="J526">
            <v>44409</v>
          </cell>
          <cell r="K526">
            <v>817.78953000000001</v>
          </cell>
          <cell r="L526">
            <v>5852.2515999999996</v>
          </cell>
          <cell r="M526">
            <v>6001.458229857456</v>
          </cell>
          <cell r="O526">
            <v>36906</v>
          </cell>
          <cell r="P526">
            <v>1.00057508</v>
          </cell>
          <cell r="Q526">
            <v>1.475649996141857</v>
          </cell>
        </row>
        <row r="527">
          <cell r="J527">
            <v>44440</v>
          </cell>
          <cell r="K527">
            <v>821.10874000000001</v>
          </cell>
          <cell r="L527">
            <v>5867.8923999999997</v>
          </cell>
          <cell r="M527">
            <v>6017.4978013416276</v>
          </cell>
          <cell r="O527">
            <v>36907</v>
          </cell>
          <cell r="P527">
            <v>1.00057474</v>
          </cell>
          <cell r="Q527">
            <v>1.4764981112206397</v>
          </cell>
        </row>
        <row r="528">
          <cell r="J528">
            <v>44470</v>
          </cell>
          <cell r="K528">
            <v>824.44141999999999</v>
          </cell>
          <cell r="L528">
            <v>5898.0510999999997</v>
          </cell>
          <cell r="M528">
            <v>6048.4254153076445</v>
          </cell>
          <cell r="O528">
            <v>36908</v>
          </cell>
          <cell r="P528">
            <v>1.00057508</v>
          </cell>
          <cell r="Q528">
            <v>1.4773472157544403</v>
          </cell>
        </row>
        <row r="529">
          <cell r="J529">
            <v>44501</v>
          </cell>
          <cell r="K529">
            <v>827.78763000000004</v>
          </cell>
          <cell r="L529">
            <v>5927.7586000000001</v>
          </cell>
          <cell r="M529">
            <v>6078.8903256617195</v>
          </cell>
          <cell r="O529">
            <v>36909</v>
          </cell>
          <cell r="P529">
            <v>1.0005644199999999</v>
          </cell>
          <cell r="Q529">
            <v>1.4781810600699563</v>
          </cell>
        </row>
        <row r="530">
          <cell r="J530">
            <v>44531</v>
          </cell>
          <cell r="K530">
            <v>831.14742000000001</v>
          </cell>
          <cell r="L530">
            <v>5962.2873</v>
          </cell>
          <cell r="M530">
            <v>6114.2993553728265</v>
          </cell>
          <cell r="O530">
            <v>36910</v>
          </cell>
          <cell r="P530">
            <v>1.00056166</v>
          </cell>
          <cell r="Q530">
            <v>1.4790112952441552</v>
          </cell>
        </row>
        <row r="531">
          <cell r="J531">
            <v>44562</v>
          </cell>
          <cell r="K531">
            <v>834.55511999999999</v>
          </cell>
          <cell r="L531">
            <v>6001.9201000000003</v>
          </cell>
          <cell r="M531">
            <v>6154.9426171444666</v>
          </cell>
          <cell r="O531">
            <v>36913</v>
          </cell>
          <cell r="P531">
            <v>1.00056166</v>
          </cell>
          <cell r="Q531">
            <v>1.4798419967282421</v>
          </cell>
        </row>
        <row r="532">
          <cell r="J532">
            <v>44593</v>
          </cell>
          <cell r="K532">
            <v>837.97680000000003</v>
          </cell>
          <cell r="L532">
            <v>6033.7960000000003</v>
          </cell>
          <cell r="M532">
            <v>6187.6312121442297</v>
          </cell>
          <cell r="O532">
            <v>36914</v>
          </cell>
          <cell r="P532">
            <v>1.00056097</v>
          </cell>
          <cell r="Q532">
            <v>1.4806721436931467</v>
          </cell>
        </row>
        <row r="533">
          <cell r="J533">
            <v>44621</v>
          </cell>
          <cell r="K533">
            <v>841.41250000000002</v>
          </cell>
          <cell r="L533">
            <v>6049.7151999999996</v>
          </cell>
          <cell r="M533">
            <v>6203.956281601726</v>
          </cell>
          <cell r="O533">
            <v>36915</v>
          </cell>
          <cell r="P533">
            <v>1.00055994</v>
          </cell>
          <cell r="Q533">
            <v>1.4815012312532863</v>
          </cell>
        </row>
        <row r="534">
          <cell r="J534">
            <v>44652</v>
          </cell>
          <cell r="K534">
            <v>844.86229000000003</v>
          </cell>
          <cell r="L534">
            <v>6069.8221999999996</v>
          </cell>
          <cell r="M534">
            <v>6224.5759215071157</v>
          </cell>
          <cell r="O534">
            <v>36916</v>
          </cell>
          <cell r="P534">
            <v>1.0005606300000001</v>
          </cell>
          <cell r="Q534">
            <v>1.4823318052885639</v>
          </cell>
        </row>
        <row r="535">
          <cell r="J535">
            <v>44682</v>
          </cell>
          <cell r="K535">
            <v>848.32623000000001</v>
          </cell>
          <cell r="L535">
            <v>6100.8109000000004</v>
          </cell>
          <cell r="M535">
            <v>6256.3546968160226</v>
          </cell>
          <cell r="O535">
            <v>36917</v>
          </cell>
          <cell r="P535">
            <v>1.00056097</v>
          </cell>
          <cell r="Q535">
            <v>1.4831633489613767</v>
          </cell>
        </row>
        <row r="536">
          <cell r="J536">
            <v>44713</v>
          </cell>
          <cell r="K536">
            <v>851.80436999999995</v>
          </cell>
          <cell r="L536">
            <v>6129.6583000000001</v>
          </cell>
          <cell r="M536">
            <v>6285.9375784098329</v>
          </cell>
          <cell r="O536">
            <v>36920</v>
          </cell>
          <cell r="P536">
            <v>1.0005589100000001</v>
          </cell>
          <cell r="Q536">
            <v>1.4839923037887448</v>
          </cell>
        </row>
        <row r="537">
          <cell r="J537">
            <v>44743</v>
          </cell>
          <cell r="K537">
            <v>855.29675999999995</v>
          </cell>
          <cell r="L537">
            <v>6152.5513000000001</v>
          </cell>
          <cell r="M537">
            <v>6309.414249039668</v>
          </cell>
          <cell r="O537">
            <v>36921</v>
          </cell>
          <cell r="P537">
            <v>1.00055787</v>
          </cell>
          <cell r="Q537">
            <v>1.4848201785752593</v>
          </cell>
        </row>
        <row r="538">
          <cell r="J538">
            <v>44774</v>
          </cell>
          <cell r="K538">
            <v>858.80348000000004</v>
          </cell>
          <cell r="L538">
            <v>6164.4232000000002</v>
          </cell>
          <cell r="M538">
            <v>6321.5888301802061</v>
          </cell>
          <cell r="O538">
            <v>36922</v>
          </cell>
          <cell r="P538">
            <v>1.00055753</v>
          </cell>
          <cell r="Q538">
            <v>1.4856480103694203</v>
          </cell>
        </row>
        <row r="539">
          <cell r="J539">
            <v>44805</v>
          </cell>
          <cell r="K539">
            <v>862.32456999999999</v>
          </cell>
          <cell r="L539">
            <v>6181.6045000000004</v>
          </cell>
          <cell r="M539">
            <v>6339.2081776266923</v>
          </cell>
          <cell r="O539">
            <v>36923</v>
          </cell>
          <cell r="P539">
            <v>1.00055615</v>
          </cell>
          <cell r="Q539">
            <v>1.4864742535103872</v>
          </cell>
        </row>
        <row r="540">
          <cell r="J540">
            <v>44835</v>
          </cell>
          <cell r="K540">
            <v>865.86009999999999</v>
          </cell>
          <cell r="L540">
            <v>6214.7376000000004</v>
          </cell>
          <cell r="M540">
            <v>6373.1860256870332</v>
          </cell>
          <cell r="O540">
            <v>36924</v>
          </cell>
          <cell r="P540">
            <v>1.0005558000000001</v>
          </cell>
          <cell r="Q540">
            <v>1.4873004359004884</v>
          </cell>
        </row>
        <row r="541">
          <cell r="J541">
            <v>44866</v>
          </cell>
          <cell r="K541">
            <v>869.41012999999998</v>
          </cell>
          <cell r="L541">
            <v>6247.3820999999998</v>
          </cell>
          <cell r="M541">
            <v>6406.6628166002229</v>
          </cell>
          <cell r="O541">
            <v>36927</v>
          </cell>
          <cell r="P541">
            <v>1.00055546</v>
          </cell>
          <cell r="Q541">
            <v>1.4881265718006136</v>
          </cell>
        </row>
        <row r="542">
          <cell r="J542">
            <v>44896</v>
          </cell>
          <cell r="K542">
            <v>872.97470999999996</v>
          </cell>
          <cell r="L542">
            <v>6285.3325000000004</v>
          </cell>
          <cell r="M542">
            <v>6445.5807845847821</v>
          </cell>
          <cell r="O542">
            <v>36928</v>
          </cell>
          <cell r="P542">
            <v>1.00055615</v>
          </cell>
          <cell r="Q542">
            <v>1.4889541933935204</v>
          </cell>
        </row>
        <row r="543">
          <cell r="J543">
            <v>44927</v>
          </cell>
          <cell r="K543">
            <v>877.12333000000001</v>
          </cell>
          <cell r="L543">
            <v>6328.9038</v>
          </cell>
          <cell r="M543">
            <v>6490.2629607527688</v>
          </cell>
          <cell r="O543">
            <v>36929</v>
          </cell>
          <cell r="P543">
            <v>1.0005564899999999</v>
          </cell>
          <cell r="Q543">
            <v>1.4897827815126019</v>
          </cell>
        </row>
        <row r="544">
          <cell r="J544">
            <v>44958</v>
          </cell>
          <cell r="K544">
            <v>881.29165999999998</v>
          </cell>
          <cell r="L544">
            <v>6363.9571999999998</v>
          </cell>
          <cell r="M544">
            <v>6526.2100680019657</v>
          </cell>
          <cell r="O544">
            <v>36930</v>
          </cell>
          <cell r="P544">
            <v>1.00055753</v>
          </cell>
          <cell r="Q544">
            <v>1.4906133801067787</v>
          </cell>
        </row>
        <row r="545">
          <cell r="J545">
            <v>44986</v>
          </cell>
          <cell r="K545">
            <v>885.47979999999995</v>
          </cell>
          <cell r="L545">
            <v>6381.4672</v>
          </cell>
          <cell r="M545">
            <v>6544.1664958501478</v>
          </cell>
          <cell r="O545">
            <v>36931</v>
          </cell>
          <cell r="P545">
            <v>1.0005582200000001</v>
          </cell>
          <cell r="Q545">
            <v>1.4914454703078219</v>
          </cell>
        </row>
        <row r="546">
          <cell r="J546">
            <v>45017</v>
          </cell>
          <cell r="K546">
            <v>889.68785000000003</v>
          </cell>
          <cell r="L546">
            <v>6403.5860000000002</v>
          </cell>
          <cell r="M546">
            <v>6566.849227791231</v>
          </cell>
          <cell r="O546">
            <v>36934</v>
          </cell>
          <cell r="P546">
            <v>1.0005589100000001</v>
          </cell>
          <cell r="Q546">
            <v>1.4922790540956319</v>
          </cell>
        </row>
        <row r="547">
          <cell r="J547">
            <v>45047</v>
          </cell>
          <cell r="K547">
            <v>893.91588999999999</v>
          </cell>
          <cell r="L547">
            <v>6438.598</v>
          </cell>
          <cell r="M547">
            <v>6602.753879522842</v>
          </cell>
          <cell r="O547">
            <v>36935</v>
          </cell>
          <cell r="P547">
            <v>1.0005582200000001</v>
          </cell>
          <cell r="Q547">
            <v>1.4931120741092092</v>
          </cell>
        </row>
        <row r="548">
          <cell r="J548">
            <v>45078</v>
          </cell>
          <cell r="K548">
            <v>898.16403000000003</v>
          </cell>
          <cell r="L548">
            <v>6471.2025000000003</v>
          </cell>
          <cell r="M548">
            <v>6636.1896506122794</v>
          </cell>
          <cell r="O548">
            <v>36936</v>
          </cell>
          <cell r="P548">
            <v>1.00055753</v>
          </cell>
          <cell r="Q548">
            <v>1.4939445288838873</v>
          </cell>
        </row>
        <row r="549">
          <cell r="J549">
            <v>45108</v>
          </cell>
          <cell r="K549">
            <v>902.43235000000004</v>
          </cell>
          <cell r="L549">
            <v>6497.0856999999996</v>
          </cell>
          <cell r="M549">
            <v>6662.7327581668214</v>
          </cell>
          <cell r="O549">
            <v>36937</v>
          </cell>
          <cell r="P549">
            <v>1.0005544200000001</v>
          </cell>
          <cell r="Q549">
            <v>1.4947728016095911</v>
          </cell>
        </row>
        <row r="550">
          <cell r="J550">
            <v>45139</v>
          </cell>
          <cell r="K550">
            <v>906.72095999999999</v>
          </cell>
          <cell r="L550">
            <v>6509.9597999999996</v>
          </cell>
          <cell r="M550">
            <v>6675.9350909915092</v>
          </cell>
          <cell r="O550">
            <v>36938</v>
          </cell>
          <cell r="P550">
            <v>1.0005606300000001</v>
          </cell>
          <cell r="Q550">
            <v>1.4956108160853576</v>
          </cell>
        </row>
        <row r="551">
          <cell r="J551">
            <v>45170</v>
          </cell>
          <cell r="K551">
            <v>911.02994999999999</v>
          </cell>
          <cell r="L551">
            <v>6528.5927000000001</v>
          </cell>
          <cell r="M551">
            <v>6695.0430478420158</v>
          </cell>
          <cell r="O551">
            <v>36941</v>
          </cell>
          <cell r="P551">
            <v>1.0005606300000001</v>
          </cell>
          <cell r="Q551">
            <v>1.4964493003771797</v>
          </cell>
        </row>
        <row r="552">
          <cell r="J552">
            <v>45200</v>
          </cell>
          <cell r="K552">
            <v>915.35941000000003</v>
          </cell>
          <cell r="L552">
            <v>6564.5276999999996</v>
          </cell>
          <cell r="M552">
            <v>6731.8942320067445</v>
          </cell>
          <cell r="O552">
            <v>36942</v>
          </cell>
          <cell r="P552">
            <v>1.0005596000000001</v>
          </cell>
          <cell r="Q552">
            <v>1.4972867134056709</v>
          </cell>
        </row>
        <row r="553">
          <cell r="J553">
            <v>45231</v>
          </cell>
          <cell r="K553">
            <v>919.70946000000004</v>
          </cell>
          <cell r="L553">
            <v>6599.9377999999997</v>
          </cell>
          <cell r="M553">
            <v>6768.2071335342644</v>
          </cell>
          <cell r="O553">
            <v>36943</v>
          </cell>
          <cell r="P553">
            <v>1.00055994</v>
          </cell>
          <cell r="Q553">
            <v>1.4981251041279753</v>
          </cell>
        </row>
        <row r="554">
          <cell r="J554">
            <v>45261</v>
          </cell>
          <cell r="K554">
            <v>924.08016999999995</v>
          </cell>
          <cell r="L554">
            <v>6641.1091999999999</v>
          </cell>
          <cell r="M554">
            <v>6810.4282228265893</v>
          </cell>
          <cell r="O554">
            <v>36944</v>
          </cell>
          <cell r="P554">
            <v>1.00055994</v>
          </cell>
          <cell r="Q554">
            <v>1.4989639642987806</v>
          </cell>
        </row>
        <row r="555">
          <cell r="J555">
            <v>45292</v>
          </cell>
          <cell r="K555">
            <v>928.48573999999996</v>
          </cell>
          <cell r="L555">
            <v>6688.3860999999997</v>
          </cell>
          <cell r="M555">
            <v>6858.9104754671198</v>
          </cell>
          <cell r="O555">
            <v>36945</v>
          </cell>
          <cell r="P555">
            <v>1.00055994</v>
          </cell>
          <cell r="Q555">
            <v>1.4998032941809503</v>
          </cell>
        </row>
        <row r="556">
          <cell r="J556">
            <v>45323</v>
          </cell>
          <cell r="K556">
            <v>932.91231000000005</v>
          </cell>
          <cell r="L556">
            <v>6726.4278000000004</v>
          </cell>
          <cell r="M556">
            <v>6897.9220711993976</v>
          </cell>
          <cell r="O556">
            <v>36950</v>
          </cell>
          <cell r="P556">
            <v>1.0005596000000001</v>
          </cell>
          <cell r="Q556">
            <v>1.500642584104374</v>
          </cell>
        </row>
        <row r="557">
          <cell r="J557">
            <v>45352</v>
          </cell>
          <cell r="K557">
            <v>937.35999000000004</v>
          </cell>
          <cell r="L557">
            <v>6745.4333999999999</v>
          </cell>
          <cell r="M557">
            <v>6917.4122302577289</v>
          </cell>
          <cell r="O557">
            <v>36951</v>
          </cell>
          <cell r="P557">
            <v>1.0005589100000001</v>
          </cell>
          <cell r="Q557">
            <v>1.5014813082510559</v>
          </cell>
        </row>
        <row r="558">
          <cell r="J558">
            <v>45383</v>
          </cell>
          <cell r="K558">
            <v>941.82887000000005</v>
          </cell>
          <cell r="L558">
            <v>6769.4431999999997</v>
          </cell>
          <cell r="M558">
            <v>6942.0341743667677</v>
          </cell>
          <cell r="O558">
            <v>36952</v>
          </cell>
          <cell r="P558">
            <v>1.00055787</v>
          </cell>
          <cell r="Q558">
            <v>1.5023189396284897</v>
          </cell>
        </row>
        <row r="559">
          <cell r="J559">
            <v>45413</v>
          </cell>
          <cell r="K559">
            <v>946.31906000000004</v>
          </cell>
          <cell r="L559">
            <v>6806.4555</v>
          </cell>
          <cell r="M559">
            <v>6979.990124934744</v>
          </cell>
          <cell r="O559">
            <v>36955</v>
          </cell>
          <cell r="P559">
            <v>1.00055787</v>
          </cell>
          <cell r="Q559">
            <v>1.5031570382953403</v>
          </cell>
        </row>
        <row r="560">
          <cell r="J560">
            <v>45444</v>
          </cell>
          <cell r="K560">
            <v>950.83064999999999</v>
          </cell>
          <cell r="L560">
            <v>6840.9227000000001</v>
          </cell>
          <cell r="M560">
            <v>7015.3360866668318</v>
          </cell>
          <cell r="O560">
            <v>36956</v>
          </cell>
          <cell r="P560">
            <v>1.00055787</v>
          </cell>
          <cell r="Q560">
            <v>1.503995604512294</v>
          </cell>
        </row>
        <row r="561">
          <cell r="J561">
            <v>45474</v>
          </cell>
          <cell r="K561">
            <v>955.36375999999996</v>
          </cell>
          <cell r="L561">
            <v>6868.2847000000002</v>
          </cell>
          <cell r="M561">
            <v>7043.3956971055486</v>
          </cell>
          <cell r="O561">
            <v>36957</v>
          </cell>
          <cell r="P561">
            <v>1.00055753</v>
          </cell>
          <cell r="Q561">
            <v>1.5048341271816779</v>
          </cell>
        </row>
        <row r="562">
          <cell r="J562">
            <v>45505</v>
          </cell>
          <cell r="K562">
            <v>959.91846999999996</v>
          </cell>
          <cell r="L562">
            <v>6883.0093999999999</v>
          </cell>
          <cell r="M562">
            <v>7058.4958120761994</v>
          </cell>
          <cell r="O562">
            <v>36958</v>
          </cell>
          <cell r="P562">
            <v>1.0005571799999999</v>
          </cell>
          <cell r="Q562">
            <v>1.5056725906606609</v>
          </cell>
        </row>
        <row r="563">
          <cell r="J563">
            <v>45536</v>
          </cell>
          <cell r="K563">
            <v>964.49490000000003</v>
          </cell>
          <cell r="L563">
            <v>6904.3239000000003</v>
          </cell>
          <cell r="M563">
            <v>7080.353737911154</v>
          </cell>
          <cell r="O563">
            <v>36959</v>
          </cell>
          <cell r="P563">
            <v>1.0005571799999999</v>
          </cell>
          <cell r="Q563">
            <v>1.5065115213147251</v>
          </cell>
        </row>
        <row r="564">
          <cell r="J564">
            <v>45566</v>
          </cell>
          <cell r="K564">
            <v>969.09315000000004</v>
          </cell>
          <cell r="L564">
            <v>6945.4403000000002</v>
          </cell>
          <cell r="M564">
            <v>7122.518424945818</v>
          </cell>
          <cell r="O564">
            <v>36962</v>
          </cell>
          <cell r="P564">
            <v>1.0005564899999999</v>
          </cell>
          <cell r="Q564">
            <v>1.5073498799112215</v>
          </cell>
        </row>
        <row r="565">
          <cell r="J565">
            <v>45597</v>
          </cell>
          <cell r="K565">
            <v>973.71331999999995</v>
          </cell>
          <cell r="L565">
            <v>6985.9742999999999</v>
          </cell>
          <cell r="M565">
            <v>7164.0858633466269</v>
          </cell>
          <cell r="O565">
            <v>36963</v>
          </cell>
          <cell r="P565">
            <v>1.0005564899999999</v>
          </cell>
          <cell r="Q565">
            <v>1.5081887050458931</v>
          </cell>
        </row>
        <row r="566">
          <cell r="J566">
            <v>45627</v>
          </cell>
          <cell r="K566">
            <v>978.35551999999996</v>
          </cell>
          <cell r="L566">
            <v>7033.1238999999996</v>
          </cell>
          <cell r="M566">
            <v>7212.4375703980604</v>
          </cell>
          <cell r="O566">
            <v>36964</v>
          </cell>
          <cell r="P566">
            <v>1.00055684</v>
          </cell>
          <cell r="Q566">
            <v>1.5090285248444109</v>
          </cell>
        </row>
        <row r="567">
          <cell r="J567">
            <v>45658</v>
          </cell>
          <cell r="K567">
            <v>983.33083999999997</v>
          </cell>
          <cell r="L567">
            <v>7087.2930999999999</v>
          </cell>
          <cell r="M567">
            <v>7267.9878463200312</v>
          </cell>
          <cell r="O567">
            <v>36965</v>
          </cell>
          <cell r="P567">
            <v>1.00055684</v>
          </cell>
          <cell r="Q567">
            <v>1.5098688122881851</v>
          </cell>
        </row>
        <row r="568">
          <cell r="J568">
            <v>45689</v>
          </cell>
          <cell r="K568">
            <v>988.33145000000002</v>
          </cell>
          <cell r="L568">
            <v>7130.9058999999997</v>
          </cell>
          <cell r="M568">
            <v>7312.7125805551641</v>
          </cell>
          <cell r="O568">
            <v>36966</v>
          </cell>
          <cell r="P568">
            <v>1.00055684</v>
          </cell>
          <cell r="Q568">
            <v>1.5107095676376197</v>
          </cell>
        </row>
        <row r="569">
          <cell r="J569">
            <v>45717</v>
          </cell>
          <cell r="K569">
            <v>993.35749999999996</v>
          </cell>
          <cell r="L569">
            <v>7152.7049999999999</v>
          </cell>
          <cell r="M569">
            <v>7335.067461554896</v>
          </cell>
          <cell r="O569">
            <v>36969</v>
          </cell>
          <cell r="P569">
            <v>1.0005589100000001</v>
          </cell>
          <cell r="Q569">
            <v>1.5115539183220681</v>
          </cell>
        </row>
        <row r="570">
          <cell r="J570">
            <v>45748</v>
          </cell>
          <cell r="K570">
            <v>998.40911000000006</v>
          </cell>
          <cell r="L570">
            <v>7180.2501000000002</v>
          </cell>
          <cell r="M570">
            <v>7363.3148402368461</v>
          </cell>
          <cell r="O570">
            <v>36970</v>
          </cell>
          <cell r="P570">
            <v>1.0005596000000001</v>
          </cell>
          <cell r="Q570">
            <v>1.5123997838947614</v>
          </cell>
        </row>
        <row r="571">
          <cell r="J571">
            <v>45778</v>
          </cell>
          <cell r="K571">
            <v>1003.48641</v>
          </cell>
          <cell r="L571">
            <v>7222.7245999999996</v>
          </cell>
          <cell r="M571">
            <v>7406.8722528375074</v>
          </cell>
          <cell r="O571">
            <v>36971</v>
          </cell>
          <cell r="P571">
            <v>1.00056097</v>
          </cell>
          <cell r="Q571">
            <v>1.5132481948015328</v>
          </cell>
        </row>
        <row r="572">
          <cell r="J572">
            <v>45809</v>
          </cell>
          <cell r="K572">
            <v>1008.58952</v>
          </cell>
          <cell r="L572">
            <v>7262.2960999999996</v>
          </cell>
          <cell r="M572">
            <v>7447.4526517292434</v>
          </cell>
          <cell r="O572">
            <v>36972</v>
          </cell>
          <cell r="P572">
            <v>1.00056097</v>
          </cell>
          <cell r="Q572">
            <v>1.5140970816413706</v>
          </cell>
        </row>
        <row r="573">
          <cell r="J573">
            <v>45839</v>
          </cell>
          <cell r="K573">
            <v>1013.7185899999999</v>
          </cell>
          <cell r="L573">
            <v>7293.7231000000002</v>
          </cell>
          <cell r="M573">
            <v>7479.6809017569303</v>
          </cell>
          <cell r="O573">
            <v>36973</v>
          </cell>
          <cell r="P573">
            <v>1.0005795500000001</v>
          </cell>
          <cell r="Q573">
            <v>1.514974576605036</v>
          </cell>
        </row>
        <row r="574">
          <cell r="J574">
            <v>45870</v>
          </cell>
          <cell r="K574">
            <v>1018.87374</v>
          </cell>
          <cell r="L574">
            <v>7309.3598000000002</v>
          </cell>
          <cell r="M574">
            <v>7495.7162687091659</v>
          </cell>
          <cell r="O574">
            <v>36976</v>
          </cell>
          <cell r="P574">
            <v>1.00057989</v>
          </cell>
          <cell r="Q574">
            <v>1.5158530952122635</v>
          </cell>
        </row>
        <row r="575">
          <cell r="J575">
            <v>45901</v>
          </cell>
          <cell r="K575">
            <v>1024.05511</v>
          </cell>
          <cell r="L575">
            <v>7331.9946</v>
          </cell>
          <cell r="M575">
            <v>7518.9281563766699</v>
          </cell>
          <cell r="O575">
            <v>36977</v>
          </cell>
          <cell r="P575">
            <v>1.0005795500000001</v>
          </cell>
          <cell r="Q575">
            <v>1.516731607873594</v>
          </cell>
        </row>
        <row r="576">
          <cell r="J576">
            <v>45931</v>
          </cell>
          <cell r="K576">
            <v>1029.2628299999999</v>
          </cell>
          <cell r="L576">
            <v>7375.6578</v>
          </cell>
          <cell r="M576">
            <v>7563.7045755897316</v>
          </cell>
          <cell r="O576">
            <v>36978</v>
          </cell>
          <cell r="P576">
            <v>1.0005795500000001</v>
          </cell>
          <cell r="Q576">
            <v>1.5176106296769372</v>
          </cell>
        </row>
        <row r="577">
          <cell r="J577">
            <v>45962</v>
          </cell>
          <cell r="K577">
            <v>1034.49703</v>
          </cell>
          <cell r="L577">
            <v>7418.7025999999996</v>
          </cell>
          <cell r="M577">
            <v>7607.8468283275615</v>
          </cell>
          <cell r="O577">
            <v>36979</v>
          </cell>
          <cell r="P577">
            <v>1.0005792</v>
          </cell>
          <cell r="Q577">
            <v>1.5184896297536461</v>
          </cell>
        </row>
        <row r="578">
          <cell r="J578">
            <v>45992</v>
          </cell>
          <cell r="K578">
            <v>1039.75785</v>
          </cell>
          <cell r="L578">
            <v>7468.7727999999997</v>
          </cell>
          <cell r="M578">
            <v>7659.193597810372</v>
          </cell>
          <cell r="O578">
            <v>36980</v>
          </cell>
          <cell r="P578">
            <v>1.0005792</v>
          </cell>
          <cell r="Q578">
            <v>1.5193691389471995</v>
          </cell>
        </row>
        <row r="579">
          <cell r="J579">
            <v>46023</v>
          </cell>
          <cell r="K579">
            <v>1045.0454199999999</v>
          </cell>
          <cell r="L579">
            <v>7526.2974000000004</v>
          </cell>
          <cell r="M579">
            <v>7718.1848216479229</v>
          </cell>
          <cell r="O579">
            <v>36983</v>
          </cell>
          <cell r="P579">
            <v>1.0005795500000001</v>
          </cell>
          <cell r="Q579">
            <v>1.5202496893316766</v>
          </cell>
        </row>
        <row r="580">
          <cell r="J580">
            <v>46054</v>
          </cell>
          <cell r="K580">
            <v>1050.35988</v>
          </cell>
          <cell r="L580">
            <v>7572.6117000000004</v>
          </cell>
          <cell r="M580">
            <v>7765.6799322298202</v>
          </cell>
          <cell r="O580">
            <v>36984</v>
          </cell>
          <cell r="P580">
            <v>1.0005795500000001</v>
          </cell>
          <cell r="Q580">
            <v>1.5211307500391289</v>
          </cell>
        </row>
        <row r="581">
          <cell r="J581">
            <v>46082</v>
          </cell>
          <cell r="K581">
            <v>1055.70136</v>
          </cell>
          <cell r="L581">
            <v>7595.7610000000004</v>
          </cell>
          <cell r="M581">
            <v>7789.4194373803566</v>
          </cell>
          <cell r="O581">
            <v>36985</v>
          </cell>
          <cell r="P581">
            <v>1.00057989</v>
          </cell>
          <cell r="Q581">
            <v>1.5220128385497691</v>
          </cell>
        </row>
        <row r="582">
          <cell r="J582">
            <v>46113</v>
          </cell>
          <cell r="K582">
            <v>1061.0700099999999</v>
          </cell>
          <cell r="L582">
            <v>7625.0123999999996</v>
          </cell>
          <cell r="M582">
            <v>7819.4166191940794</v>
          </cell>
          <cell r="O582">
            <v>36986</v>
          </cell>
          <cell r="P582">
            <v>1.0005795500000001</v>
          </cell>
          <cell r="Q582">
            <v>1.5228949210903509</v>
          </cell>
        </row>
        <row r="583">
          <cell r="J583">
            <v>46143</v>
          </cell>
          <cell r="K583">
            <v>1066.46597</v>
          </cell>
          <cell r="L583">
            <v>7670.1178</v>
          </cell>
          <cell r="M583">
            <v>7865.6720081525809</v>
          </cell>
          <cell r="O583">
            <v>36987</v>
          </cell>
          <cell r="P583">
            <v>1.0005792</v>
          </cell>
          <cell r="Q583">
            <v>1.5237769818286464</v>
          </cell>
        </row>
        <row r="584">
          <cell r="J584">
            <v>46174</v>
          </cell>
          <cell r="K584">
            <v>1071.8893599999999</v>
          </cell>
          <cell r="L584">
            <v>7712.1405000000004</v>
          </cell>
          <cell r="M584">
            <v>7908.7661018439439</v>
          </cell>
          <cell r="O584">
            <v>36990</v>
          </cell>
          <cell r="P584">
            <v>1.0005795500000001</v>
          </cell>
          <cell r="Q584">
            <v>1.5246600867784654</v>
          </cell>
        </row>
        <row r="585">
          <cell r="J585">
            <v>46204</v>
          </cell>
          <cell r="K585">
            <v>1077.34033</v>
          </cell>
          <cell r="L585">
            <v>7745.5141000000003</v>
          </cell>
          <cell r="M585">
            <v>7942.990581594604</v>
          </cell>
          <cell r="O585">
            <v>36991</v>
          </cell>
          <cell r="P585">
            <v>1.0005792</v>
          </cell>
          <cell r="Q585">
            <v>1.5255431699007276</v>
          </cell>
        </row>
        <row r="586">
          <cell r="J586">
            <v>46235</v>
          </cell>
          <cell r="K586">
            <v>1082.8190199999999</v>
          </cell>
          <cell r="L586">
            <v>7761.9638000000004</v>
          </cell>
          <cell r="M586">
            <v>7959.8596764646345</v>
          </cell>
          <cell r="O586">
            <v>36992</v>
          </cell>
          <cell r="P586">
            <v>1.00058023</v>
          </cell>
          <cell r="Q586">
            <v>1.526428335814199</v>
          </cell>
        </row>
        <row r="587">
          <cell r="J587">
            <v>46266</v>
          </cell>
          <cell r="K587">
            <v>1088.3255799999999</v>
          </cell>
          <cell r="L587">
            <v>7785.7749000000003</v>
          </cell>
          <cell r="M587">
            <v>7984.277854599176</v>
          </cell>
          <cell r="O587">
            <v>36993</v>
          </cell>
          <cell r="P587">
            <v>1.00057989</v>
          </cell>
          <cell r="Q587">
            <v>1.5273134963418544</v>
          </cell>
        </row>
        <row r="588">
          <cell r="J588">
            <v>46296</v>
          </cell>
          <cell r="K588">
            <v>1093.86013</v>
          </cell>
          <cell r="L588">
            <v>7831.7057999999997</v>
          </cell>
          <cell r="M588">
            <v>8031.3797901703938</v>
          </cell>
          <cell r="O588">
            <v>36997</v>
          </cell>
          <cell r="P588">
            <v>1.00057989</v>
          </cell>
          <cell r="Q588">
            <v>1.5281991701652482</v>
          </cell>
        </row>
        <row r="589">
          <cell r="J589">
            <v>46327</v>
          </cell>
          <cell r="K589">
            <v>1099.42284</v>
          </cell>
          <cell r="L589">
            <v>7876.9836999999998</v>
          </cell>
          <cell r="M589">
            <v>8077.8120771188333</v>
          </cell>
          <cell r="O589">
            <v>36998</v>
          </cell>
          <cell r="P589">
            <v>1.0005805800000001</v>
          </cell>
          <cell r="Q589">
            <v>1.5290864120394627</v>
          </cell>
        </row>
        <row r="590">
          <cell r="J590">
            <v>46357</v>
          </cell>
          <cell r="K590">
            <v>1105.0138300000001</v>
          </cell>
          <cell r="L590">
            <v>7929.6486999999997</v>
          </cell>
          <cell r="M590">
            <v>8131.819802568546</v>
          </cell>
          <cell r="O590">
            <v>36999</v>
          </cell>
          <cell r="P590">
            <v>1.0005805800000001</v>
          </cell>
          <cell r="Q590">
            <v>1.5299741690285646</v>
          </cell>
        </row>
        <row r="591">
          <cell r="J591">
            <v>46388</v>
          </cell>
          <cell r="K591">
            <v>1110.6332500000001</v>
          </cell>
          <cell r="L591">
            <v>7990.1504999999997</v>
          </cell>
          <cell r="M591">
            <v>8193.8641318880836</v>
          </cell>
          <cell r="O591">
            <v>37000</v>
          </cell>
          <cell r="P591">
            <v>1.0005829799999999</v>
          </cell>
          <cell r="Q591">
            <v>1.5308661133696249</v>
          </cell>
        </row>
        <row r="592">
          <cell r="J592">
            <v>46419</v>
          </cell>
          <cell r="K592">
            <v>1116.28125</v>
          </cell>
          <cell r="L592">
            <v>8038.8582999999999</v>
          </cell>
          <cell r="M592">
            <v>8243.8137661738438</v>
          </cell>
          <cell r="O592">
            <v>37001</v>
          </cell>
          <cell r="P592">
            <v>1.0005970099999999</v>
          </cell>
          <cell r="Q592">
            <v>1.5317800557479675</v>
          </cell>
        </row>
        <row r="593">
          <cell r="J593">
            <v>46447</v>
          </cell>
          <cell r="K593">
            <v>1121.9579699999999</v>
          </cell>
          <cell r="L593">
            <v>8063.2026999999998</v>
          </cell>
          <cell r="M593">
            <v>8268.7788411085821</v>
          </cell>
          <cell r="O593">
            <v>37004</v>
          </cell>
          <cell r="P593">
            <v>1.0005970099999999</v>
          </cell>
          <cell r="Q593">
            <v>1.5326945437590493</v>
          </cell>
        </row>
        <row r="594">
          <cell r="J594">
            <v>46478</v>
          </cell>
          <cell r="K594">
            <v>1127.66356</v>
          </cell>
          <cell r="L594">
            <v>8093.9629999999997</v>
          </cell>
          <cell r="M594">
            <v>8300.3233932238545</v>
          </cell>
          <cell r="O594">
            <v>37005</v>
          </cell>
          <cell r="P594">
            <v>1.0005970099999999</v>
          </cell>
          <cell r="Q594">
            <v>1.5336095777286187</v>
          </cell>
        </row>
        <row r="595">
          <cell r="J595">
            <v>46508</v>
          </cell>
          <cell r="K595">
            <v>1133.3981699999999</v>
          </cell>
          <cell r="L595">
            <v>8141.3937999999998</v>
          </cell>
          <cell r="M595">
            <v>8348.9634696362773</v>
          </cell>
          <cell r="O595">
            <v>37006</v>
          </cell>
          <cell r="P595">
            <v>1.0005970099999999</v>
          </cell>
          <cell r="Q595">
            <v>1.5345251579826182</v>
          </cell>
        </row>
        <row r="596">
          <cell r="J596">
            <v>46539</v>
          </cell>
          <cell r="K596">
            <v>1139.16194</v>
          </cell>
          <cell r="L596">
            <v>8185.5803999999998</v>
          </cell>
          <cell r="M596">
            <v>8394.2766332431547</v>
          </cell>
          <cell r="O596">
            <v>37007</v>
          </cell>
          <cell r="P596">
            <v>1.0005970099999999</v>
          </cell>
          <cell r="Q596">
            <v>1.5354412848471852</v>
          </cell>
        </row>
        <row r="597">
          <cell r="J597">
            <v>46569</v>
          </cell>
          <cell r="K597">
            <v>1144.9550200000001</v>
          </cell>
          <cell r="L597">
            <v>8220.6707999999999</v>
          </cell>
          <cell r="M597">
            <v>8430.2616838293234</v>
          </cell>
          <cell r="O597">
            <v>37008</v>
          </cell>
          <cell r="P597">
            <v>1.0005970099999999</v>
          </cell>
          <cell r="Q597">
            <v>1.5363579586486518</v>
          </cell>
        </row>
        <row r="598">
          <cell r="J598">
            <v>46600</v>
          </cell>
          <cell r="K598">
            <v>1150.77756</v>
          </cell>
          <cell r="L598">
            <v>8238.1296000000002</v>
          </cell>
          <cell r="M598">
            <v>8448.1656063030987</v>
          </cell>
          <cell r="O598">
            <v>37011</v>
          </cell>
          <cell r="P598">
            <v>1.00059769</v>
          </cell>
          <cell r="Q598">
            <v>1.5372762244369564</v>
          </cell>
        </row>
        <row r="599">
          <cell r="J599">
            <v>46631</v>
          </cell>
          <cell r="K599">
            <v>1156.6297099999999</v>
          </cell>
          <cell r="L599">
            <v>8263.4014000000006</v>
          </cell>
          <cell r="M599">
            <v>8474.0817258515672</v>
          </cell>
          <cell r="O599">
            <v>37013</v>
          </cell>
          <cell r="P599">
            <v>1.0005970099999999</v>
          </cell>
          <cell r="Q599">
            <v>1.5381939937157074</v>
          </cell>
        </row>
        <row r="600">
          <cell r="J600">
            <v>46661</v>
          </cell>
          <cell r="K600">
            <v>1162.51162</v>
          </cell>
          <cell r="L600">
            <v>8312.15</v>
          </cell>
          <cell r="M600">
            <v>8524.073200357554</v>
          </cell>
          <cell r="O600">
            <v>37014</v>
          </cell>
          <cell r="P600">
            <v>1.00059667</v>
          </cell>
          <cell r="Q600">
            <v>1.5391117879259377</v>
          </cell>
        </row>
        <row r="601">
          <cell r="J601">
            <v>46692</v>
          </cell>
          <cell r="K601">
            <v>1168.42344</v>
          </cell>
          <cell r="L601">
            <v>8360.2055</v>
          </cell>
          <cell r="M601">
            <v>8573.3539038674517</v>
          </cell>
          <cell r="O601">
            <v>37015</v>
          </cell>
          <cell r="P601">
            <v>1.0005963200000001</v>
          </cell>
          <cell r="Q601">
            <v>1.5400295910673139</v>
          </cell>
        </row>
        <row r="602">
          <cell r="J602">
            <v>46722</v>
          </cell>
          <cell r="K602">
            <v>1174.3653200000001</v>
          </cell>
          <cell r="L602">
            <v>8416.1011999999992</v>
          </cell>
          <cell r="M602">
            <v>8630.6746979321906</v>
          </cell>
          <cell r="O602">
            <v>37018</v>
          </cell>
          <cell r="P602">
            <v>1.0005970099999999</v>
          </cell>
          <cell r="Q602">
            <v>1.5409490041334768</v>
          </cell>
        </row>
        <row r="603">
          <cell r="J603">
            <v>46753</v>
          </cell>
          <cell r="K603">
            <v>1180.33743</v>
          </cell>
          <cell r="L603">
            <v>8480.3145999999997</v>
          </cell>
          <cell r="M603">
            <v>8696.5252566978343</v>
          </cell>
          <cell r="O603">
            <v>37019</v>
          </cell>
          <cell r="P603">
            <v>1.0005970099999999</v>
          </cell>
          <cell r="Q603">
            <v>1.5418689660984344</v>
          </cell>
        </row>
        <row r="604">
          <cell r="J604">
            <v>46784</v>
          </cell>
          <cell r="K604">
            <v>1186.3398999999999</v>
          </cell>
          <cell r="L604">
            <v>8532.0105000000003</v>
          </cell>
          <cell r="M604">
            <v>8749.5391743675555</v>
          </cell>
          <cell r="O604">
            <v>37020</v>
          </cell>
          <cell r="P604">
            <v>1.0005973500000001</v>
          </cell>
          <cell r="Q604">
            <v>1.5427900015253333</v>
          </cell>
        </row>
        <row r="605">
          <cell r="J605">
            <v>46813</v>
          </cell>
          <cell r="K605">
            <v>1192.3729000000001</v>
          </cell>
          <cell r="L605">
            <v>8557.8482000000004</v>
          </cell>
          <cell r="M605">
            <v>8776.0356218725774</v>
          </cell>
          <cell r="O605">
            <v>37021</v>
          </cell>
          <cell r="P605">
            <v>1.00059769</v>
          </cell>
          <cell r="Q605">
            <v>1.543712111681345</v>
          </cell>
        </row>
        <row r="606">
          <cell r="J606">
            <v>46844</v>
          </cell>
          <cell r="K606">
            <v>1198.43658</v>
          </cell>
          <cell r="L606">
            <v>8590.4956999999995</v>
          </cell>
          <cell r="M606">
            <v>8809.5154892725477</v>
          </cell>
          <cell r="O606">
            <v>37022</v>
          </cell>
          <cell r="P606">
            <v>1.00059769</v>
          </cell>
          <cell r="Q606">
            <v>1.5446347729733758</v>
          </cell>
        </row>
        <row r="607">
          <cell r="J607">
            <v>46874</v>
          </cell>
          <cell r="K607">
            <v>1204.5310899999999</v>
          </cell>
          <cell r="L607">
            <v>8640.8361000000004</v>
          </cell>
          <cell r="M607">
            <v>8861.1393476648154</v>
          </cell>
          <cell r="O607">
            <v>37025</v>
          </cell>
          <cell r="P607">
            <v>1.00059769</v>
          </cell>
          <cell r="Q607">
            <v>1.5455579857308341</v>
          </cell>
        </row>
        <row r="608">
          <cell r="J608">
            <v>46905</v>
          </cell>
          <cell r="K608">
            <v>1210.6566</v>
          </cell>
          <cell r="L608">
            <v>8687.7333999999992</v>
          </cell>
          <cell r="M608">
            <v>8909.2323221779225</v>
          </cell>
          <cell r="O608">
            <v>37026</v>
          </cell>
          <cell r="P608">
            <v>1.0005973500000001</v>
          </cell>
          <cell r="Q608">
            <v>1.5464812247936106</v>
          </cell>
        </row>
        <row r="609">
          <cell r="J609">
            <v>46935</v>
          </cell>
          <cell r="K609">
            <v>1216.8132499999999</v>
          </cell>
          <cell r="L609">
            <v>8724.9763999999996</v>
          </cell>
          <cell r="M609">
            <v>8947.424854579398</v>
          </cell>
          <cell r="O609">
            <v>37027</v>
          </cell>
          <cell r="P609">
            <v>1.00059769</v>
          </cell>
          <cell r="Q609">
            <v>1.5474055411568575</v>
          </cell>
        </row>
        <row r="610">
          <cell r="J610">
            <v>46966</v>
          </cell>
          <cell r="K610">
            <v>1223.0012200000001</v>
          </cell>
          <cell r="L610">
            <v>8743.1828000000005</v>
          </cell>
          <cell r="M610">
            <v>8966.0954375591318</v>
          </cell>
          <cell r="O610">
            <v>37028</v>
          </cell>
          <cell r="P610">
            <v>1.0005973500000001</v>
          </cell>
          <cell r="Q610">
            <v>1.5483298838568675</v>
          </cell>
        </row>
        <row r="611">
          <cell r="J611">
            <v>46997</v>
          </cell>
          <cell r="K611">
            <v>1229.22066</v>
          </cell>
          <cell r="L611">
            <v>8769.5357000000004</v>
          </cell>
          <cell r="M611">
            <v>8993.1202203941011</v>
          </cell>
          <cell r="O611">
            <v>37029</v>
          </cell>
          <cell r="P611">
            <v>1.00059769</v>
          </cell>
          <cell r="Q611">
            <v>1.5492553051451499</v>
          </cell>
        </row>
        <row r="612">
          <cell r="J612">
            <v>47027</v>
          </cell>
          <cell r="K612">
            <v>1235.47172</v>
          </cell>
          <cell r="L612">
            <v>8820.3670000000002</v>
          </cell>
          <cell r="M612">
            <v>9045.2474945733848</v>
          </cell>
          <cell r="O612">
            <v>37032</v>
          </cell>
          <cell r="P612">
            <v>1.00059769</v>
          </cell>
          <cell r="Q612">
            <v>1.5501812795484819</v>
          </cell>
        </row>
        <row r="613">
          <cell r="J613">
            <v>47058</v>
          </cell>
          <cell r="K613">
            <v>1241.7545700000001</v>
          </cell>
          <cell r="L613">
            <v>8870.4704999999994</v>
          </cell>
          <cell r="M613">
            <v>9096.6284130594704</v>
          </cell>
          <cell r="O613">
            <v>37033</v>
          </cell>
          <cell r="P613">
            <v>1.0005973500000001</v>
          </cell>
          <cell r="Q613">
            <v>1.5511072803358203</v>
          </cell>
        </row>
        <row r="614">
          <cell r="J614">
            <v>47088</v>
          </cell>
          <cell r="K614">
            <v>1248.0693699999999</v>
          </cell>
          <cell r="L614">
            <v>8928.7425000000003</v>
          </cell>
          <cell r="M614">
            <v>9156.3860923038592</v>
          </cell>
          <cell r="O614">
            <v>37034</v>
          </cell>
          <cell r="P614">
            <v>1.00059769</v>
          </cell>
          <cell r="Q614">
            <v>1.5520343616462042</v>
          </cell>
        </row>
        <row r="615">
          <cell r="J615">
            <v>47119</v>
          </cell>
          <cell r="K615">
            <v>1254.4162899999999</v>
          </cell>
          <cell r="L615">
            <v>8995.6779000000006</v>
          </cell>
          <cell r="M615">
            <v>9225.0280500759418</v>
          </cell>
          <cell r="O615">
            <v>37035</v>
          </cell>
          <cell r="P615">
            <v>1.00060997</v>
          </cell>
          <cell r="Q615">
            <v>1.5529810560457775</v>
          </cell>
        </row>
        <row r="616">
          <cell r="J616">
            <v>47150</v>
          </cell>
          <cell r="K616">
            <v>1260.79548</v>
          </cell>
          <cell r="L616">
            <v>9049.5581999999995</v>
          </cell>
          <cell r="M616">
            <v>9280.2820603208511</v>
          </cell>
          <cell r="O616">
            <v>37036</v>
          </cell>
          <cell r="P616">
            <v>1.0006137100000001</v>
          </cell>
          <cell r="Q616">
            <v>1.5539341360496834</v>
          </cell>
        </row>
        <row r="617">
          <cell r="J617">
            <v>47178</v>
          </cell>
          <cell r="K617">
            <v>1267.20712</v>
          </cell>
          <cell r="L617">
            <v>9076.4848000000002</v>
          </cell>
          <cell r="M617">
            <v>9307.89516997801</v>
          </cell>
          <cell r="O617">
            <v>37039</v>
          </cell>
          <cell r="P617">
            <v>1.0006147299999999</v>
          </cell>
          <cell r="Q617">
            <v>1.554889385981137</v>
          </cell>
        </row>
        <row r="618">
          <cell r="J618">
            <v>47209</v>
          </cell>
          <cell r="K618">
            <v>1273.6513500000001</v>
          </cell>
          <cell r="L618">
            <v>9110.5062999999991</v>
          </cell>
          <cell r="M618">
            <v>9342.784068323921</v>
          </cell>
          <cell r="O618">
            <v>37040</v>
          </cell>
          <cell r="P618">
            <v>1.0006150700000001</v>
          </cell>
          <cell r="Q618">
            <v>1.5558457517957724</v>
          </cell>
        </row>
        <row r="619">
          <cell r="J619">
            <v>47239</v>
          </cell>
          <cell r="K619">
            <v>1280.1283599999999</v>
          </cell>
          <cell r="L619">
            <v>9162.9621000000006</v>
          </cell>
          <cell r="M619">
            <v>9396.5772600954042</v>
          </cell>
          <cell r="O619">
            <v>37041</v>
          </cell>
          <cell r="P619">
            <v>1.00061541</v>
          </cell>
          <cell r="Q619">
            <v>1.556803234829885</v>
          </cell>
        </row>
        <row r="620">
          <cell r="J620">
            <v>47270</v>
          </cell>
          <cell r="K620">
            <v>1286.63831</v>
          </cell>
          <cell r="L620">
            <v>9211.8248999999996</v>
          </cell>
          <cell r="M620">
            <v>9446.6858461982065</v>
          </cell>
          <cell r="O620">
            <v>37042</v>
          </cell>
          <cell r="P620">
            <v>1.00061541</v>
          </cell>
          <cell r="Q620">
            <v>1.5577613071086316</v>
          </cell>
        </row>
        <row r="621">
          <cell r="J621">
            <v>47300</v>
          </cell>
          <cell r="K621">
            <v>1293.18137</v>
          </cell>
          <cell r="L621">
            <v>9250.6252999999997</v>
          </cell>
          <cell r="M621">
            <v>9486.4754854375315</v>
          </cell>
          <cell r="O621">
            <v>37043</v>
          </cell>
          <cell r="P621">
            <v>1.0006150700000001</v>
          </cell>
          <cell r="Q621">
            <v>1.558719439355795</v>
          </cell>
        </row>
        <row r="622">
          <cell r="J622">
            <v>47331</v>
          </cell>
          <cell r="K622">
            <v>1299.7577000000001</v>
          </cell>
          <cell r="L622">
            <v>9269.9285</v>
          </cell>
          <cell r="M622">
            <v>9506.2708319845897</v>
          </cell>
          <cell r="O622">
            <v>37046</v>
          </cell>
          <cell r="P622">
            <v>1.00061541</v>
          </cell>
          <cell r="Q622">
            <v>1.559678690885969</v>
          </cell>
        </row>
        <row r="623">
          <cell r="J623">
            <v>47362</v>
          </cell>
          <cell r="K623">
            <v>1306.3674699999999</v>
          </cell>
          <cell r="L623">
            <v>9297.8690999999999</v>
          </cell>
          <cell r="M623">
            <v>9534.9237941739048</v>
          </cell>
          <cell r="O623">
            <v>37047</v>
          </cell>
          <cell r="P623">
            <v>1.0006150700000001</v>
          </cell>
          <cell r="Q623">
            <v>1.5606380024583724</v>
          </cell>
        </row>
        <row r="624">
          <cell r="J624">
            <v>47392</v>
          </cell>
          <cell r="K624">
            <v>1313.0108499999999</v>
          </cell>
          <cell r="L624">
            <v>9351.7628999999997</v>
          </cell>
          <cell r="M624">
            <v>9590.1916486093305</v>
          </cell>
          <cell r="O624">
            <v>37048</v>
          </cell>
          <cell r="P624">
            <v>1.0006147299999999</v>
          </cell>
          <cell r="Q624">
            <v>1.5615973734576234</v>
          </cell>
        </row>
        <row r="625">
          <cell r="J625">
            <v>47423</v>
          </cell>
          <cell r="K625">
            <v>1319.6880200000001</v>
          </cell>
          <cell r="L625">
            <v>9404.8848999999991</v>
          </cell>
          <cell r="M625">
            <v>9644.6680255454285</v>
          </cell>
          <cell r="O625">
            <v>37049</v>
          </cell>
          <cell r="P625">
            <v>1.00061405</v>
          </cell>
          <cell r="Q625">
            <v>1.562556272324795</v>
          </cell>
        </row>
        <row r="626">
          <cell r="J626">
            <v>47453</v>
          </cell>
          <cell r="K626">
            <v>1326.39914</v>
          </cell>
          <cell r="L626">
            <v>9466.6676000000007</v>
          </cell>
          <cell r="M626">
            <v>9708.0259121711206</v>
          </cell>
          <cell r="O626">
            <v>37050</v>
          </cell>
          <cell r="P626">
            <v>1.0006133699999999</v>
          </cell>
          <cell r="Q626">
            <v>1.5635146974655507</v>
          </cell>
        </row>
        <row r="627">
          <cell r="J627">
            <v>47484</v>
          </cell>
          <cell r="K627">
            <v>1332.5691099999999</v>
          </cell>
          <cell r="L627">
            <v>9537.6355999999996</v>
          </cell>
          <cell r="M627">
            <v>9780.803283474932</v>
          </cell>
          <cell r="O627">
            <v>37053</v>
          </cell>
          <cell r="P627">
            <v>1.00061201</v>
          </cell>
          <cell r="Q627">
            <v>1.5644715840955465</v>
          </cell>
        </row>
        <row r="628">
          <cell r="J628">
            <v>47515</v>
          </cell>
          <cell r="K628">
            <v>1338.7677799999999</v>
          </cell>
          <cell r="L628">
            <v>9594.7620000000006</v>
          </cell>
          <cell r="M628">
            <v>9839.3861549670146</v>
          </cell>
          <cell r="O628">
            <v>37054</v>
          </cell>
          <cell r="P628">
            <v>1.00061099</v>
          </cell>
          <cell r="Q628">
            <v>1.5654274605887131</v>
          </cell>
        </row>
        <row r="629">
          <cell r="J629">
            <v>47543</v>
          </cell>
          <cell r="K629">
            <v>1344.9952900000001</v>
          </cell>
          <cell r="L629">
            <v>9623.3109000000004</v>
          </cell>
          <cell r="M629">
            <v>9868.6629261260641</v>
          </cell>
          <cell r="O629">
            <v>37055</v>
          </cell>
          <cell r="P629">
            <v>1.0006116700000001</v>
          </cell>
          <cell r="Q629">
            <v>1.5663849856035315</v>
          </cell>
        </row>
        <row r="630">
          <cell r="J630">
            <v>47574</v>
          </cell>
          <cell r="K630">
            <v>1351.2517600000001</v>
          </cell>
          <cell r="L630">
            <v>9659.3819999999996</v>
          </cell>
          <cell r="M630">
            <v>9905.6536802411138</v>
          </cell>
          <cell r="O630">
            <v>37057</v>
          </cell>
          <cell r="P630">
            <v>1.00061099</v>
          </cell>
          <cell r="Q630">
            <v>1.5673420311658852</v>
          </cell>
        </row>
        <row r="631">
          <cell r="J631">
            <v>47604</v>
          </cell>
          <cell r="K631">
            <v>1357.5373300000001</v>
          </cell>
          <cell r="L631">
            <v>9714.9979999999996</v>
          </cell>
          <cell r="M631">
            <v>9962.6876431882556</v>
          </cell>
          <cell r="O631">
            <v>37060</v>
          </cell>
          <cell r="P631">
            <v>1.00061201</v>
          </cell>
          <cell r="Q631">
            <v>1.5683012601623791</v>
          </cell>
        </row>
        <row r="632">
          <cell r="J632">
            <v>47635</v>
          </cell>
          <cell r="K632">
            <v>1363.8521499999999</v>
          </cell>
          <cell r="L632">
            <v>9766.8047000000006</v>
          </cell>
          <cell r="M632">
            <v>10015.815185769774</v>
          </cell>
          <cell r="O632">
            <v>37061</v>
          </cell>
          <cell r="P632">
            <v>1.0006147299999999</v>
          </cell>
          <cell r="Q632">
            <v>1.5692653419960385</v>
          </cell>
        </row>
        <row r="633">
          <cell r="J633">
            <v>47665</v>
          </cell>
          <cell r="K633">
            <v>1370.19634</v>
          </cell>
          <cell r="L633">
            <v>9807.9426999999996</v>
          </cell>
          <cell r="M633">
            <v>10058.002023509265</v>
          </cell>
          <cell r="O633">
            <v>37062</v>
          </cell>
          <cell r="P633">
            <v>1.0006157499999999</v>
          </cell>
          <cell r="Q633">
            <v>1.5702316171303725</v>
          </cell>
        </row>
        <row r="634">
          <cell r="J634">
            <v>47696</v>
          </cell>
          <cell r="K634">
            <v>1376.5700300000001</v>
          </cell>
          <cell r="L634">
            <v>9826.9950000000008</v>
          </cell>
          <cell r="M634">
            <v>10077.540073211831</v>
          </cell>
          <cell r="O634">
            <v>37063</v>
          </cell>
          <cell r="P634">
            <v>1.00063068</v>
          </cell>
          <cell r="Q634">
            <v>1.5712219308066644</v>
          </cell>
        </row>
        <row r="635">
          <cell r="J635">
            <v>47727</v>
          </cell>
          <cell r="K635">
            <v>1382.9733799999999</v>
          </cell>
          <cell r="L635">
            <v>9854.5684000000001</v>
          </cell>
          <cell r="M635">
            <v>10105.816473419085</v>
          </cell>
          <cell r="O635">
            <v>37064</v>
          </cell>
          <cell r="P635">
            <v>1.00066576</v>
          </cell>
          <cell r="Q635">
            <v>1.5722679875193182</v>
          </cell>
        </row>
        <row r="636">
          <cell r="J636">
            <v>47757</v>
          </cell>
          <cell r="K636">
            <v>1389.40652</v>
          </cell>
          <cell r="L636">
            <v>9907.7430000000004</v>
          </cell>
          <cell r="M636">
            <v>10160.346791423421</v>
          </cell>
          <cell r="O636">
            <v>37067</v>
          </cell>
          <cell r="P636">
            <v>1.00066609</v>
          </cell>
          <cell r="Q636">
            <v>1.5733152595031248</v>
          </cell>
        </row>
        <row r="637">
          <cell r="J637">
            <v>47788</v>
          </cell>
          <cell r="K637">
            <v>1395.8695700000001</v>
          </cell>
          <cell r="L637">
            <v>9960.1352000000006</v>
          </cell>
          <cell r="M637">
            <v>10214.074761675134</v>
          </cell>
          <cell r="O637">
            <v>37068</v>
          </cell>
          <cell r="P637">
            <v>1.00066609</v>
          </cell>
          <cell r="Q637">
            <v>1.5743632290643272</v>
          </cell>
        </row>
        <row r="638">
          <cell r="J638">
            <v>47818</v>
          </cell>
          <cell r="K638">
            <v>1402.3626999999999</v>
          </cell>
          <cell r="L638">
            <v>10021.0453</v>
          </cell>
          <cell r="M638">
            <v>10276.537800845637</v>
          </cell>
          <cell r="O638">
            <v>37069</v>
          </cell>
          <cell r="P638">
            <v>1.00066576</v>
          </cell>
          <cell r="Q638">
            <v>1.575411377127709</v>
          </cell>
        </row>
        <row r="639">
          <cell r="J639">
            <v>47849</v>
          </cell>
          <cell r="K639">
            <v>1408.8407999999999</v>
          </cell>
          <cell r="L639">
            <v>10090.979600000001</v>
          </cell>
          <cell r="M639">
            <v>10348.255117354094</v>
          </cell>
          <cell r="O639">
            <v>37070</v>
          </cell>
          <cell r="P639">
            <v>1.0006664300000001</v>
          </cell>
          <cell r="Q639">
            <v>1.5764612785317684</v>
          </cell>
        </row>
        <row r="640">
          <cell r="J640">
            <v>47880</v>
          </cell>
          <cell r="K640">
            <v>1415.3488199999999</v>
          </cell>
          <cell r="L640">
            <v>10147.2448</v>
          </cell>
          <cell r="M640">
            <v>10405.954832040759</v>
          </cell>
          <cell r="O640">
            <v>37071</v>
          </cell>
          <cell r="P640">
            <v>1.0006664300000001</v>
          </cell>
          <cell r="Q640">
            <v>1.5775118796216205</v>
          </cell>
        </row>
        <row r="641">
          <cell r="J641">
            <v>47908</v>
          </cell>
          <cell r="K641">
            <v>1421.8869099999999</v>
          </cell>
          <cell r="L641">
            <v>10175.3518</v>
          </cell>
          <cell r="M641">
            <v>10434.77843669689</v>
          </cell>
          <cell r="O641">
            <v>37074</v>
          </cell>
          <cell r="P641">
            <v>1.0006664300000001</v>
          </cell>
          <cell r="Q641">
            <v>1.578563180863557</v>
          </cell>
        </row>
        <row r="642">
          <cell r="J642">
            <v>47939</v>
          </cell>
          <cell r="K642">
            <v>1428.4552000000001</v>
          </cell>
          <cell r="L642">
            <v>10210.8573</v>
          </cell>
          <cell r="M642">
            <v>10471.189170504063</v>
          </cell>
          <cell r="O642">
            <v>37075</v>
          </cell>
          <cell r="P642">
            <v>1.00066677</v>
          </cell>
          <cell r="Q642">
            <v>1.5796157194356615</v>
          </cell>
        </row>
        <row r="643">
          <cell r="J643">
            <v>47969</v>
          </cell>
          <cell r="K643">
            <v>1435.0538300000001</v>
          </cell>
          <cell r="L643">
            <v>10265.587100000001</v>
          </cell>
          <cell r="M643">
            <v>10527.314339255943</v>
          </cell>
          <cell r="O643">
            <v>37076</v>
          </cell>
          <cell r="P643">
            <v>1.0006671</v>
          </cell>
          <cell r="Q643">
            <v>1.5806694810820971</v>
          </cell>
        </row>
        <row r="644">
          <cell r="J644">
            <v>48000</v>
          </cell>
          <cell r="K644">
            <v>1441.6829499999999</v>
          </cell>
          <cell r="L644">
            <v>10316.5481</v>
          </cell>
          <cell r="M644">
            <v>10579.574620213749</v>
          </cell>
          <cell r="O644">
            <v>37077</v>
          </cell>
          <cell r="P644">
            <v>1.0006671</v>
          </cell>
          <cell r="Q644">
            <v>1.5817239456929271</v>
          </cell>
        </row>
        <row r="645">
          <cell r="J645">
            <v>48030</v>
          </cell>
          <cell r="K645">
            <v>1448.34268</v>
          </cell>
          <cell r="L645">
            <v>10356.9997</v>
          </cell>
          <cell r="M645">
            <v>10621.057557777627</v>
          </cell>
          <cell r="O645">
            <v>37078</v>
          </cell>
          <cell r="P645">
            <v>1.0006671</v>
          </cell>
          <cell r="Q645">
            <v>1.5827791137370988</v>
          </cell>
        </row>
        <row r="646">
          <cell r="J646">
            <v>48061</v>
          </cell>
          <cell r="K646">
            <v>1455.0331900000001</v>
          </cell>
          <cell r="L646">
            <v>10377.1186</v>
          </cell>
          <cell r="M646">
            <v>10641.689401080583</v>
          </cell>
          <cell r="O646">
            <v>37081</v>
          </cell>
          <cell r="P646">
            <v>1.00066777</v>
          </cell>
          <cell r="Q646">
            <v>1.5838360461458789</v>
          </cell>
        </row>
        <row r="647">
          <cell r="J647">
            <v>48092</v>
          </cell>
          <cell r="K647">
            <v>1461.75459</v>
          </cell>
          <cell r="L647">
            <v>10406.2356</v>
          </cell>
          <cell r="M647">
            <v>10671.548756286493</v>
          </cell>
          <cell r="O647">
            <v>37082</v>
          </cell>
          <cell r="P647">
            <v>1.00066744</v>
          </cell>
          <cell r="Q647">
            <v>1.5848931616765185</v>
          </cell>
        </row>
        <row r="648">
          <cell r="J648">
            <v>48122</v>
          </cell>
          <cell r="K648">
            <v>1468.5070499999999</v>
          </cell>
          <cell r="L648">
            <v>10462.3869</v>
          </cell>
          <cell r="M648">
            <v>10729.131667025018</v>
          </cell>
          <cell r="O648">
            <v>37083</v>
          </cell>
          <cell r="P648">
            <v>1.0006681100000001</v>
          </cell>
          <cell r="Q648">
            <v>1.5859520446467663</v>
          </cell>
        </row>
        <row r="649">
          <cell r="J649">
            <v>48153</v>
          </cell>
          <cell r="K649">
            <v>1475.2907</v>
          </cell>
          <cell r="L649">
            <v>10517.712100000001</v>
          </cell>
          <cell r="M649">
            <v>10785.86741585347</v>
          </cell>
          <cell r="O649">
            <v>37084</v>
          </cell>
          <cell r="P649">
            <v>1.00067146</v>
          </cell>
          <cell r="Q649">
            <v>1.5870169480066647</v>
          </cell>
        </row>
        <row r="650">
          <cell r="J650">
            <v>48183</v>
          </cell>
          <cell r="K650">
            <v>1482.1056799999999</v>
          </cell>
          <cell r="L650">
            <v>10582.031999999999</v>
          </cell>
          <cell r="M650">
            <v>10851.827189899857</v>
          </cell>
          <cell r="O650">
            <v>37085</v>
          </cell>
          <cell r="P650">
            <v>1.00067314</v>
          </cell>
          <cell r="Q650">
            <v>1.5880852325950459</v>
          </cell>
        </row>
        <row r="651">
          <cell r="J651">
            <v>48214</v>
          </cell>
          <cell r="K651">
            <v>1488.9521500000001</v>
          </cell>
          <cell r="L651">
            <v>10655.8812</v>
          </cell>
          <cell r="M651">
            <v>10927.559219108649</v>
          </cell>
          <cell r="O651">
            <v>37088</v>
          </cell>
          <cell r="P651">
            <v>1.0006717999999999</v>
          </cell>
          <cell r="Q651">
            <v>1.589152108254303</v>
          </cell>
        </row>
        <row r="652">
          <cell r="J652">
            <v>48245</v>
          </cell>
          <cell r="K652">
            <v>1495.83024</v>
          </cell>
          <cell r="L652">
            <v>10715.2963</v>
          </cell>
          <cell r="M652">
            <v>10988.489142366359</v>
          </cell>
          <cell r="O652">
            <v>37089</v>
          </cell>
          <cell r="P652">
            <v>1.00067046</v>
          </cell>
          <cell r="Q652">
            <v>1.5902175711768032</v>
          </cell>
        </row>
        <row r="653">
          <cell r="J653">
            <v>48274</v>
          </cell>
          <cell r="K653">
            <v>1502.74011</v>
          </cell>
          <cell r="L653">
            <v>10744.976699999999</v>
          </cell>
          <cell r="M653">
            <v>11018.92626178984</v>
          </cell>
          <cell r="O653">
            <v>37090</v>
          </cell>
          <cell r="P653">
            <v>1.00066945</v>
          </cell>
          <cell r="Q653">
            <v>1.5912821423298273</v>
          </cell>
        </row>
        <row r="654">
          <cell r="J654">
            <v>48305</v>
          </cell>
          <cell r="K654">
            <v>1509.6819</v>
          </cell>
          <cell r="L654">
            <v>10782.4699</v>
          </cell>
          <cell r="M654">
            <v>11057.375373188896</v>
          </cell>
          <cell r="O654">
            <v>37091</v>
          </cell>
          <cell r="P654">
            <v>1.00068051</v>
          </cell>
          <cell r="Q654">
            <v>1.5923650257405042</v>
          </cell>
        </row>
        <row r="655">
          <cell r="J655">
            <v>48335</v>
          </cell>
          <cell r="K655">
            <v>1516.6557499999999</v>
          </cell>
          <cell r="L655">
            <v>10840.2634</v>
          </cell>
          <cell r="M655">
            <v>11116.642352791629</v>
          </cell>
          <cell r="O655">
            <v>37092</v>
          </cell>
          <cell r="P655">
            <v>1.0006888599999999</v>
          </cell>
          <cell r="Q655">
            <v>1.5934619423121357</v>
          </cell>
        </row>
        <row r="656">
          <cell r="J656">
            <v>48366</v>
          </cell>
          <cell r="K656">
            <v>1523.66182</v>
          </cell>
          <cell r="L656">
            <v>10894.077300000001</v>
          </cell>
          <cell r="M656">
            <v>11171.828270129108</v>
          </cell>
          <cell r="O656">
            <v>37095</v>
          </cell>
          <cell r="P656">
            <v>1.00068953</v>
          </cell>
          <cell r="Q656">
            <v>1.5945606821252183</v>
          </cell>
        </row>
        <row r="657">
          <cell r="J657">
            <v>48396</v>
          </cell>
          <cell r="K657">
            <v>1530.7002500000001</v>
          </cell>
          <cell r="L657">
            <v>10936.7934</v>
          </cell>
          <cell r="M657">
            <v>11215.633442465241</v>
          </cell>
          <cell r="O657">
            <v>37096</v>
          </cell>
          <cell r="P657">
            <v>1.0006885299999999</v>
          </cell>
          <cell r="Q657">
            <v>1.5956585849916818</v>
          </cell>
        </row>
        <row r="658">
          <cell r="J658">
            <v>48427</v>
          </cell>
          <cell r="K658">
            <v>1537.7711899999999</v>
          </cell>
          <cell r="L658">
            <v>10958.038500000001</v>
          </cell>
          <cell r="M658">
            <v>11237.420198905984</v>
          </cell>
          <cell r="O658">
            <v>37097</v>
          </cell>
          <cell r="P658">
            <v>1.0006888599999999</v>
          </cell>
          <cell r="Q658">
            <v>1.596757770364539</v>
          </cell>
        </row>
        <row r="659">
          <cell r="J659">
            <v>48458</v>
          </cell>
          <cell r="K659">
            <v>1544.8748000000001</v>
          </cell>
          <cell r="L659">
            <v>10988.7855</v>
          </cell>
          <cell r="M659">
            <v>11268.951111929859</v>
          </cell>
          <cell r="O659">
            <v>37098</v>
          </cell>
          <cell r="P659">
            <v>1.0006888599999999</v>
          </cell>
          <cell r="Q659">
            <v>1.5978577129222322</v>
          </cell>
        </row>
        <row r="660">
          <cell r="J660">
            <v>48488</v>
          </cell>
          <cell r="K660">
            <v>1552.0112300000001</v>
          </cell>
          <cell r="L660">
            <v>11048.0803</v>
          </cell>
          <cell r="M660">
            <v>11329.757668067627</v>
          </cell>
          <cell r="O660">
            <v>37099</v>
          </cell>
          <cell r="P660">
            <v>1.00068786</v>
          </cell>
          <cell r="Q660">
            <v>1.5989568153286429</v>
          </cell>
        </row>
        <row r="661">
          <cell r="J661">
            <v>48519</v>
          </cell>
          <cell r="K661">
            <v>1559.1806099999999</v>
          </cell>
          <cell r="L661">
            <v>11106.5026</v>
          </cell>
          <cell r="M661">
            <v>11389.669479299768</v>
          </cell>
          <cell r="O661">
            <v>37102</v>
          </cell>
          <cell r="P661">
            <v>1.0006891899999999</v>
          </cell>
          <cell r="Q661">
            <v>1.6000588003761991</v>
          </cell>
        </row>
        <row r="662">
          <cell r="J662">
            <v>48549</v>
          </cell>
          <cell r="K662">
            <v>1566.38312</v>
          </cell>
          <cell r="L662">
            <v>11174.423199999999</v>
          </cell>
          <cell r="M662">
            <v>11459.321755330902</v>
          </cell>
          <cell r="O662">
            <v>37103</v>
          </cell>
          <cell r="P662">
            <v>1.0006891899999999</v>
          </cell>
          <cell r="Q662">
            <v>1.6011615449008301</v>
          </cell>
        </row>
        <row r="663">
          <cell r="J663">
            <v>48580</v>
          </cell>
          <cell r="K663">
            <v>1573.6188999999999</v>
          </cell>
          <cell r="L663">
            <v>11252.4066</v>
          </cell>
          <cell r="M663">
            <v>11539.293388423757</v>
          </cell>
          <cell r="O663">
            <v>37104</v>
          </cell>
          <cell r="P663">
            <v>1.0006891899999999</v>
          </cell>
          <cell r="Q663">
            <v>1.60226504942596</v>
          </cell>
        </row>
        <row r="664">
          <cell r="J664">
            <v>48611</v>
          </cell>
          <cell r="K664">
            <v>1580.8881100000001</v>
          </cell>
          <cell r="L664">
            <v>11315.1477</v>
          </cell>
          <cell r="M664">
            <v>11603.634110026587</v>
          </cell>
          <cell r="O664">
            <v>37105</v>
          </cell>
          <cell r="P664">
            <v>1.00068953</v>
          </cell>
          <cell r="Q664">
            <v>1.6033698592454908</v>
          </cell>
        </row>
        <row r="665">
          <cell r="J665">
            <v>48639</v>
          </cell>
          <cell r="K665">
            <v>1588.1908900000001</v>
          </cell>
          <cell r="L665">
            <v>11346.4897</v>
          </cell>
          <cell r="M665">
            <v>11635.775192928799</v>
          </cell>
          <cell r="O665">
            <v>37106</v>
          </cell>
          <cell r="P665">
            <v>1.0006891899999999</v>
          </cell>
          <cell r="Q665">
            <v>1.604474885718784</v>
          </cell>
        </row>
        <row r="666">
          <cell r="J666">
            <v>48670</v>
          </cell>
          <cell r="K666">
            <v>1595.5274099999999</v>
          </cell>
          <cell r="L666">
            <v>11386.081700000001</v>
          </cell>
          <cell r="M666">
            <v>11676.37661448021</v>
          </cell>
          <cell r="O666">
            <v>37109</v>
          </cell>
          <cell r="P666">
            <v>1.00068953</v>
          </cell>
          <cell r="Q666">
            <v>1.6055812192867338</v>
          </cell>
        </row>
        <row r="667">
          <cell r="J667">
            <v>48700</v>
          </cell>
          <cell r="K667">
            <v>1602.8978199999999</v>
          </cell>
          <cell r="L667">
            <v>11447.110699999999</v>
          </cell>
          <cell r="M667">
            <v>11738.96158507682</v>
          </cell>
          <cell r="O667">
            <v>37110</v>
          </cell>
          <cell r="P667">
            <v>1.00068986</v>
          </cell>
          <cell r="Q667">
            <v>1.606688845546671</v>
          </cell>
        </row>
        <row r="668">
          <cell r="J668">
            <v>48731</v>
          </cell>
          <cell r="K668">
            <v>1610.3022699999999</v>
          </cell>
          <cell r="L668">
            <v>11503.937099999999</v>
          </cell>
          <cell r="M668">
            <v>11797.236807890749</v>
          </cell>
          <cell r="O668">
            <v>37111</v>
          </cell>
          <cell r="P668">
            <v>1.00069053</v>
          </cell>
          <cell r="Q668">
            <v>1.6077983123951862</v>
          </cell>
        </row>
        <row r="669">
          <cell r="J669">
            <v>48761</v>
          </cell>
          <cell r="K669">
            <v>1617.7409299999999</v>
          </cell>
          <cell r="L669">
            <v>11549.0445</v>
          </cell>
          <cell r="M669">
            <v>11843.494247840439</v>
          </cell>
          <cell r="O669">
            <v>37112</v>
          </cell>
          <cell r="P669">
            <v>1.00069053</v>
          </cell>
          <cell r="Q669">
            <v>1.6089085453638443</v>
          </cell>
        </row>
        <row r="670">
          <cell r="J670">
            <v>48792</v>
          </cell>
          <cell r="K670">
            <v>1625.21396</v>
          </cell>
          <cell r="L670">
            <v>11571.4789</v>
          </cell>
          <cell r="M670">
            <v>11866.500626190937</v>
          </cell>
          <cell r="O670">
            <v>37113</v>
          </cell>
          <cell r="P670">
            <v>1.00069053</v>
          </cell>
          <cell r="Q670">
            <v>1.6100195449816743</v>
          </cell>
        </row>
        <row r="671">
          <cell r="J671">
            <v>48823</v>
          </cell>
          <cell r="K671">
            <v>1632.7215000000001</v>
          </cell>
          <cell r="L671">
            <v>11603.947099999999</v>
          </cell>
          <cell r="M671">
            <v>11899.796622230931</v>
          </cell>
          <cell r="O671">
            <v>37116</v>
          </cell>
          <cell r="P671">
            <v>1.0006902</v>
          </cell>
          <cell r="Q671">
            <v>1.6111307804716206</v>
          </cell>
        </row>
        <row r="672">
          <cell r="J672">
            <v>48853</v>
          </cell>
          <cell r="K672">
            <v>1640.2637199999999</v>
          </cell>
          <cell r="L672">
            <v>11666.5612</v>
          </cell>
          <cell r="M672">
            <v>11964.007105893343</v>
          </cell>
          <cell r="O672">
            <v>37117</v>
          </cell>
          <cell r="P672">
            <v>1.00069086</v>
          </cell>
          <cell r="Q672">
            <v>1.6122438462826172</v>
          </cell>
        </row>
        <row r="673">
          <cell r="J673">
            <v>48884</v>
          </cell>
          <cell r="K673">
            <v>1647.84079</v>
          </cell>
          <cell r="L673">
            <v>11728.254199999999</v>
          </cell>
          <cell r="M673">
            <v>12027.273005564266</v>
          </cell>
          <cell r="O673">
            <v>37118</v>
          </cell>
          <cell r="P673">
            <v>1.00069086</v>
          </cell>
          <cell r="Q673">
            <v>1.61335768106626</v>
          </cell>
        </row>
        <row r="674">
          <cell r="J674">
            <v>48914</v>
          </cell>
          <cell r="K674">
            <v>1655.4528600000001</v>
          </cell>
          <cell r="L674">
            <v>11799.977000000001</v>
          </cell>
          <cell r="M674">
            <v>12100.82442094231</v>
          </cell>
          <cell r="O674">
            <v>37119</v>
          </cell>
          <cell r="P674">
            <v>1.00069086</v>
          </cell>
          <cell r="Q674">
            <v>1.6144722853538014</v>
          </cell>
        </row>
        <row r="675">
          <cell r="J675">
            <v>48945</v>
          </cell>
          <cell r="K675">
            <v>1663.1000899999999</v>
          </cell>
          <cell r="L675">
            <v>11882.3259</v>
          </cell>
          <cell r="M675">
            <v>12185.272855050081</v>
          </cell>
          <cell r="O675">
            <v>37120</v>
          </cell>
          <cell r="P675">
            <v>1.0006911999999999</v>
          </cell>
          <cell r="Q675">
            <v>1.6155882085974378</v>
          </cell>
        </row>
        <row r="676">
          <cell r="J676">
            <v>48976</v>
          </cell>
          <cell r="K676">
            <v>1670.7826399999999</v>
          </cell>
          <cell r="L676">
            <v>11948.579400000001</v>
          </cell>
          <cell r="M676">
            <v>12253.215527376724</v>
          </cell>
          <cell r="O676">
            <v>37123</v>
          </cell>
          <cell r="P676">
            <v>1.0006915300000001</v>
          </cell>
          <cell r="Q676">
            <v>1.6167054363113293</v>
          </cell>
        </row>
        <row r="677">
          <cell r="J677">
            <v>49004</v>
          </cell>
          <cell r="K677">
            <v>1678.5006900000001</v>
          </cell>
          <cell r="L677">
            <v>11981.6759</v>
          </cell>
          <cell r="M677">
            <v>12287.155842298331</v>
          </cell>
          <cell r="O677">
            <v>37124</v>
          </cell>
          <cell r="P677">
            <v>1.0006915300000001</v>
          </cell>
          <cell r="Q677">
            <v>1.6178234366217019</v>
          </cell>
        </row>
        <row r="678">
          <cell r="J678">
            <v>49035</v>
          </cell>
          <cell r="K678">
            <v>1686.2543800000001</v>
          </cell>
          <cell r="L678">
            <v>12023.4843</v>
          </cell>
          <cell r="M678">
            <v>12330.030172283934</v>
          </cell>
          <cell r="O678">
            <v>37125</v>
          </cell>
          <cell r="P678">
            <v>1.0006918600000001</v>
          </cell>
          <cell r="Q678">
            <v>1.6189427439445632</v>
          </cell>
        </row>
        <row r="679">
          <cell r="J679">
            <v>49065</v>
          </cell>
          <cell r="K679">
            <v>1694.0438999999999</v>
          </cell>
          <cell r="L679">
            <v>12087.929700000001</v>
          </cell>
          <cell r="M679">
            <v>12396.118646027351</v>
          </cell>
          <cell r="O679">
            <v>37126</v>
          </cell>
          <cell r="P679">
            <v>1.00069253</v>
          </cell>
          <cell r="Q679">
            <v>1.6200639103630272</v>
          </cell>
        </row>
        <row r="680">
          <cell r="J680">
            <v>49096</v>
          </cell>
          <cell r="K680">
            <v>1701.8694</v>
          </cell>
          <cell r="L680">
            <v>12147.9373</v>
          </cell>
          <cell r="M680">
            <v>12457.656175424412</v>
          </cell>
          <cell r="O680">
            <v>37127</v>
          </cell>
          <cell r="P680">
            <v>1.0006915300000001</v>
          </cell>
          <cell r="Q680">
            <v>1.6211842331589608</v>
          </cell>
        </row>
        <row r="681">
          <cell r="J681">
            <v>49126</v>
          </cell>
          <cell r="K681">
            <v>1709.7310399999999</v>
          </cell>
          <cell r="L681">
            <v>12195.5699</v>
          </cell>
          <cell r="M681">
            <v>12506.503196847672</v>
          </cell>
          <cell r="O681">
            <v>37130</v>
          </cell>
          <cell r="P681">
            <v>1.0006918600000001</v>
          </cell>
          <cell r="Q681">
            <v>1.6223058656825142</v>
          </cell>
        </row>
        <row r="682">
          <cell r="J682">
            <v>49157</v>
          </cell>
          <cell r="K682">
            <v>1717.6290100000001</v>
          </cell>
          <cell r="L682">
            <v>12219.260200000001</v>
          </cell>
          <cell r="M682">
            <v>12530.797495114479</v>
          </cell>
          <cell r="O682">
            <v>37131</v>
          </cell>
          <cell r="P682">
            <v>1.0006915300000001</v>
          </cell>
          <cell r="Q682">
            <v>1.6234277388578098</v>
          </cell>
        </row>
        <row r="683">
          <cell r="J683">
            <v>49188</v>
          </cell>
          <cell r="K683">
            <v>1725.5634500000001</v>
          </cell>
          <cell r="L683">
            <v>12253.546</v>
          </cell>
          <cell r="M683">
            <v>12565.957431945842</v>
          </cell>
          <cell r="O683">
            <v>37132</v>
          </cell>
          <cell r="P683">
            <v>1.0006911999999999</v>
          </cell>
          <cell r="Q683">
            <v>1.6245498521109081</v>
          </cell>
        </row>
        <row r="684">
          <cell r="J684">
            <v>49218</v>
          </cell>
          <cell r="K684">
            <v>1733.5345500000001</v>
          </cell>
          <cell r="L684">
            <v>12319.665300000001</v>
          </cell>
          <cell r="M684">
            <v>12633.762482763792</v>
          </cell>
          <cell r="O684">
            <v>37133</v>
          </cell>
          <cell r="P684">
            <v>1.00069053</v>
          </cell>
          <cell r="Q684">
            <v>1.6256716525202861</v>
          </cell>
        </row>
        <row r="685">
          <cell r="J685">
            <v>49249</v>
          </cell>
          <cell r="K685">
            <v>1741.5424800000001</v>
          </cell>
          <cell r="L685">
            <v>12384.811900000001</v>
          </cell>
          <cell r="M685">
            <v>12700.57003401761</v>
          </cell>
          <cell r="O685">
            <v>37134</v>
          </cell>
          <cell r="P685">
            <v>1.0006911999999999</v>
          </cell>
          <cell r="Q685">
            <v>1.6267953167665079</v>
          </cell>
        </row>
        <row r="686">
          <cell r="J686">
            <v>49279</v>
          </cell>
          <cell r="K686">
            <v>1749.5873899999999</v>
          </cell>
          <cell r="L686">
            <v>12460.549800000001</v>
          </cell>
          <cell r="M686">
            <v>12778.23891675449</v>
          </cell>
          <cell r="O686">
            <v>37137</v>
          </cell>
          <cell r="P686">
            <v>1.0006918600000001</v>
          </cell>
          <cell r="Q686">
            <v>1.6279208313743661</v>
          </cell>
        </row>
        <row r="687">
          <cell r="J687">
            <v>49310</v>
          </cell>
          <cell r="K687">
            <v>1757.66785</v>
          </cell>
          <cell r="L687">
            <v>12547.5087</v>
          </cell>
          <cell r="M687">
            <v>12867.414885549875</v>
          </cell>
          <cell r="O687">
            <v>37138</v>
          </cell>
          <cell r="P687">
            <v>1.0006918600000001</v>
          </cell>
          <cell r="Q687">
            <v>1.629047124680761</v>
          </cell>
        </row>
        <row r="688">
          <cell r="J688">
            <v>49341</v>
          </cell>
          <cell r="K688">
            <v>1765.7856400000001</v>
          </cell>
          <cell r="L688">
            <v>12617.471100000001</v>
          </cell>
          <cell r="M688">
            <v>12939.161018484519</v>
          </cell>
          <cell r="O688">
            <v>37139</v>
          </cell>
          <cell r="P688">
            <v>1.0006911999999999</v>
          </cell>
          <cell r="Q688">
            <v>1.6301731220533402</v>
          </cell>
        </row>
        <row r="689">
          <cell r="J689">
            <v>49369</v>
          </cell>
          <cell r="K689">
            <v>1773.94091</v>
          </cell>
          <cell r="L689">
            <v>12652.4203</v>
          </cell>
          <cell r="M689">
            <v>12975.001269092836</v>
          </cell>
          <cell r="O689">
            <v>37140</v>
          </cell>
          <cell r="P689">
            <v>1.0006911999999999</v>
          </cell>
          <cell r="Q689">
            <v>1.6312998977153033</v>
          </cell>
        </row>
        <row r="690">
          <cell r="J690">
            <v>49400</v>
          </cell>
          <cell r="K690">
            <v>1782.1338499999999</v>
          </cell>
          <cell r="L690">
            <v>12696.569299999999</v>
          </cell>
          <cell r="M690">
            <v>13020.275874065384</v>
          </cell>
          <cell r="O690">
            <v>37144</v>
          </cell>
          <cell r="P690">
            <v>1.0006911999999999</v>
          </cell>
          <cell r="Q690">
            <v>1.6324274522046038</v>
          </cell>
        </row>
        <row r="691">
          <cell r="J691">
            <v>49430</v>
          </cell>
          <cell r="K691">
            <v>1790.36463</v>
          </cell>
          <cell r="L691">
            <v>12774.0056</v>
          </cell>
          <cell r="M691">
            <v>13099.686458518849</v>
          </cell>
          <cell r="O691">
            <v>37145</v>
          </cell>
          <cell r="P691">
            <v>1.0006918600000001</v>
          </cell>
          <cell r="Q691">
            <v>1.6335568634616864</v>
          </cell>
        </row>
        <row r="692">
          <cell r="J692">
            <v>49461</v>
          </cell>
          <cell r="K692">
            <v>1798.6334300000001</v>
          </cell>
          <cell r="L692">
            <v>12846.1625</v>
          </cell>
          <cell r="M692">
            <v>13173.683041534179</v>
          </cell>
          <cell r="O692">
            <v>37146</v>
          </cell>
          <cell r="P692">
            <v>1.0006915300000001</v>
          </cell>
          <cell r="Q692">
            <v>1.6346865170394762</v>
          </cell>
        </row>
        <row r="693">
          <cell r="J693">
            <v>49491</v>
          </cell>
          <cell r="K693">
            <v>1806.9404099999999</v>
          </cell>
          <cell r="L693">
            <v>12903.477999999999</v>
          </cell>
          <cell r="M693">
            <v>13232.459834243055</v>
          </cell>
          <cell r="O693">
            <v>37147</v>
          </cell>
          <cell r="P693">
            <v>1.0006915300000001</v>
          </cell>
          <cell r="Q693">
            <v>1.6358169518066046</v>
          </cell>
        </row>
        <row r="694">
          <cell r="J694">
            <v>49522</v>
          </cell>
          <cell r="K694">
            <v>1815.28576</v>
          </cell>
          <cell r="L694">
            <v>12931.9995</v>
          </cell>
          <cell r="M694">
            <v>13261.708506822832</v>
          </cell>
          <cell r="O694">
            <v>37148</v>
          </cell>
          <cell r="P694">
            <v>1.0006911999999999</v>
          </cell>
          <cell r="Q694">
            <v>1.636947628483693</v>
          </cell>
        </row>
        <row r="695">
          <cell r="J695">
            <v>49553</v>
          </cell>
          <cell r="K695">
            <v>1823.66965</v>
          </cell>
          <cell r="L695">
            <v>12973.2883</v>
          </cell>
          <cell r="M695">
            <v>13304.049989297875</v>
          </cell>
          <cell r="O695">
            <v>37151</v>
          </cell>
          <cell r="P695">
            <v>1.0006918600000001</v>
          </cell>
          <cell r="Q695">
            <v>1.6380801670699359</v>
          </cell>
        </row>
        <row r="696">
          <cell r="J696">
            <v>49583</v>
          </cell>
          <cell r="K696">
            <v>1832.0922700000001</v>
          </cell>
          <cell r="L696">
            <v>13052.9434</v>
          </cell>
          <cell r="M696">
            <v>13385.735943374955</v>
          </cell>
          <cell r="O696">
            <v>37152</v>
          </cell>
          <cell r="P696">
            <v>1.0006918600000001</v>
          </cell>
          <cell r="Q696">
            <v>1.6392134892143251</v>
          </cell>
        </row>
        <row r="697">
          <cell r="J697">
            <v>49614</v>
          </cell>
          <cell r="K697">
            <v>1840.55378</v>
          </cell>
          <cell r="L697">
            <v>13131.4846</v>
          </cell>
          <cell r="M697">
            <v>13466.279597910054</v>
          </cell>
          <cell r="O697">
            <v>37153</v>
          </cell>
          <cell r="P697">
            <v>1.0006918600000001</v>
          </cell>
          <cell r="Q697">
            <v>1.640347595458973</v>
          </cell>
        </row>
        <row r="698">
          <cell r="J698">
            <v>49644</v>
          </cell>
          <cell r="K698">
            <v>1849.0543700000001</v>
          </cell>
          <cell r="L698">
            <v>13222.861199999999</v>
          </cell>
          <cell r="M698">
            <v>13559.985898590357</v>
          </cell>
          <cell r="O698">
            <v>37154</v>
          </cell>
          <cell r="P698">
            <v>1.0006915300000001</v>
          </cell>
          <cell r="Q698">
            <v>1.6414819450316609</v>
          </cell>
        </row>
        <row r="699">
          <cell r="J699">
            <v>49675</v>
          </cell>
          <cell r="K699">
            <v>1857.59422</v>
          </cell>
          <cell r="L699">
            <v>13327.863499999999</v>
          </cell>
          <cell r="M699">
            <v>13667.665294583681</v>
          </cell>
          <cell r="O699">
            <v>37155</v>
          </cell>
          <cell r="P699">
            <v>1.0006915300000001</v>
          </cell>
          <cell r="Q699">
            <v>1.6426170790411088</v>
          </cell>
        </row>
        <row r="700">
          <cell r="J700">
            <v>49706</v>
          </cell>
          <cell r="K700">
            <v>1866.1735200000001</v>
          </cell>
          <cell r="L700">
            <v>13412.4234</v>
          </cell>
          <cell r="M700">
            <v>13754.38109944944</v>
          </cell>
          <cell r="O700">
            <v>37158</v>
          </cell>
          <cell r="P700">
            <v>1.0006922</v>
          </cell>
          <cell r="Q700">
            <v>1.6437540985832211</v>
          </cell>
        </row>
        <row r="701">
          <cell r="J701">
            <v>49735</v>
          </cell>
          <cell r="K701">
            <v>1874.7924399999999</v>
          </cell>
          <cell r="L701">
            <v>13454.697099999999</v>
          </cell>
          <cell r="M701">
            <v>13797.732592534856</v>
          </cell>
          <cell r="O701">
            <v>37159</v>
          </cell>
          <cell r="P701">
            <v>1.0006918600000001</v>
          </cell>
          <cell r="Q701">
            <v>1.644891346293867</v>
          </cell>
        </row>
        <row r="702">
          <cell r="J702">
            <v>49766</v>
          </cell>
          <cell r="K702">
            <v>1883.4511600000001</v>
          </cell>
          <cell r="L702">
            <v>13508.1188</v>
          </cell>
          <cell r="M702">
            <v>13852.516310500429</v>
          </cell>
          <cell r="O702">
            <v>37160</v>
          </cell>
          <cell r="P702">
            <v>1.00069253</v>
          </cell>
          <cell r="Q702">
            <v>1.646030482897916</v>
          </cell>
        </row>
        <row r="703">
          <cell r="J703">
            <v>49796</v>
          </cell>
          <cell r="K703">
            <v>1892.14987</v>
          </cell>
          <cell r="L703">
            <v>13590.5047</v>
          </cell>
          <cell r="M703">
            <v>13937.002687945173</v>
          </cell>
          <cell r="O703">
            <v>37161</v>
          </cell>
          <cell r="P703">
            <v>1.0006931999999999</v>
          </cell>
          <cell r="Q703">
            <v>1.6471715112286607</v>
          </cell>
        </row>
        <row r="704">
          <cell r="J704">
            <v>49827</v>
          </cell>
          <cell r="K704">
            <v>1900.88876</v>
          </cell>
          <cell r="L704">
            <v>13667.273800000001</v>
          </cell>
          <cell r="M704">
            <v>14015.729061738424</v>
          </cell>
          <cell r="O704">
            <v>37162</v>
          </cell>
          <cell r="P704">
            <v>1.0006935299999999</v>
          </cell>
          <cell r="Q704">
            <v>1.648313874086843</v>
          </cell>
        </row>
        <row r="705">
          <cell r="J705">
            <v>49857</v>
          </cell>
          <cell r="K705">
            <v>1909.6680100000001</v>
          </cell>
          <cell r="L705">
            <v>13728.252899999999</v>
          </cell>
          <cell r="M705">
            <v>14078.2628601049</v>
          </cell>
          <cell r="O705">
            <v>37165</v>
          </cell>
          <cell r="P705">
            <v>1.0006935299999999</v>
          </cell>
          <cell r="Q705">
            <v>1.6494570292079385</v>
          </cell>
        </row>
        <row r="706">
          <cell r="J706">
            <v>49888</v>
          </cell>
          <cell r="K706">
            <v>1918.4878100000001</v>
          </cell>
          <cell r="L706">
            <v>13758.597400000001</v>
          </cell>
          <cell r="M706">
            <v>14109.381011152253</v>
          </cell>
          <cell r="O706">
            <v>37166</v>
          </cell>
          <cell r="P706">
            <v>1.0006938599999999</v>
          </cell>
          <cell r="Q706">
            <v>1.6506015214622245</v>
          </cell>
        </row>
        <row r="707">
          <cell r="J707">
            <v>49919</v>
          </cell>
          <cell r="K707">
            <v>1927.34834</v>
          </cell>
          <cell r="L707">
            <v>13802.5254</v>
          </cell>
          <cell r="M707">
            <v>14154.428981598563</v>
          </cell>
          <cell r="O707">
            <v>37167</v>
          </cell>
          <cell r="P707">
            <v>1.0006942000000001</v>
          </cell>
          <cell r="Q707">
            <v>1.6517473690384237</v>
          </cell>
        </row>
        <row r="708">
          <cell r="J708">
            <v>49949</v>
          </cell>
          <cell r="K708">
            <v>1936.2497900000001</v>
          </cell>
          <cell r="L708">
            <v>13887.2719</v>
          </cell>
          <cell r="M708">
            <v>14241.336143942131</v>
          </cell>
          <cell r="O708">
            <v>37168</v>
          </cell>
          <cell r="P708">
            <v>1.0006942000000001</v>
          </cell>
          <cell r="Q708">
            <v>1.6528940120620104</v>
          </cell>
        </row>
        <row r="709">
          <cell r="J709">
            <v>49980</v>
          </cell>
          <cell r="K709">
            <v>1945.19236</v>
          </cell>
          <cell r="L709">
            <v>13970.8334</v>
          </cell>
          <cell r="M709">
            <v>14327.028094006997</v>
          </cell>
          <cell r="O709">
            <v>37169</v>
          </cell>
          <cell r="P709">
            <v>1.0006935299999999</v>
          </cell>
          <cell r="Q709">
            <v>1.6540403436461957</v>
          </cell>
        </row>
        <row r="710">
          <cell r="J710">
            <v>50010</v>
          </cell>
          <cell r="K710">
            <v>1954.1762200000001</v>
          </cell>
          <cell r="L710">
            <v>14068.0506</v>
          </cell>
          <cell r="M710">
            <v>14426.7239042527</v>
          </cell>
          <cell r="O710">
            <v>37172</v>
          </cell>
          <cell r="P710">
            <v>1.0006931999999999</v>
          </cell>
          <cell r="Q710">
            <v>1.6551869244124111</v>
          </cell>
        </row>
        <row r="711">
          <cell r="J711">
            <v>50041</v>
          </cell>
          <cell r="K711">
            <v>1963.2015799999999</v>
          </cell>
          <cell r="L711">
            <v>14179.7646</v>
          </cell>
          <cell r="M711">
            <v>14541.286119023216</v>
          </cell>
          <cell r="O711">
            <v>37173</v>
          </cell>
          <cell r="P711">
            <v>1.00069286</v>
          </cell>
          <cell r="Q711">
            <v>1.6563337372248594</v>
          </cell>
        </row>
        <row r="712">
          <cell r="J712">
            <v>50072</v>
          </cell>
          <cell r="K712">
            <v>1972.2686200000001</v>
          </cell>
          <cell r="L712">
            <v>14269.7294</v>
          </cell>
          <cell r="M712">
            <v>14633.544625024133</v>
          </cell>
          <cell r="O712">
            <v>37174</v>
          </cell>
          <cell r="P712">
            <v>1.00069253</v>
          </cell>
          <cell r="Q712">
            <v>1.6574807980278998</v>
          </cell>
        </row>
        <row r="713">
          <cell r="J713">
            <v>50100</v>
          </cell>
          <cell r="K713">
            <v>1981.37754</v>
          </cell>
          <cell r="L713">
            <v>14314.7052</v>
          </cell>
          <cell r="M713">
            <v>14679.667109753673</v>
          </cell>
          <cell r="O713">
            <v>37175</v>
          </cell>
          <cell r="P713">
            <v>1.0006918600000001</v>
          </cell>
          <cell r="Q713">
            <v>1.6586275426928236</v>
          </cell>
        </row>
        <row r="714">
          <cell r="J714">
            <v>50131</v>
          </cell>
          <cell r="K714">
            <v>1990.5285200000001</v>
          </cell>
          <cell r="L714">
            <v>14371.541499999999</v>
          </cell>
          <cell r="M714">
            <v>14737.952484973979</v>
          </cell>
          <cell r="O714">
            <v>37179</v>
          </cell>
          <cell r="P714">
            <v>1.0006918600000001</v>
          </cell>
          <cell r="Q714">
            <v>1.6597750807445113</v>
          </cell>
        </row>
        <row r="715">
          <cell r="J715">
            <v>50161</v>
          </cell>
          <cell r="K715">
            <v>1999.7217700000001</v>
          </cell>
          <cell r="L715">
            <v>14459.193499999999</v>
          </cell>
          <cell r="M715">
            <v>14827.839224765459</v>
          </cell>
          <cell r="O715">
            <v>37180</v>
          </cell>
          <cell r="P715">
            <v>1.0006918600000001</v>
          </cell>
          <cell r="Q715">
            <v>1.6609234127318753</v>
          </cell>
        </row>
        <row r="716">
          <cell r="J716">
            <v>50192</v>
          </cell>
          <cell r="K716">
            <v>2008.95748</v>
          </cell>
          <cell r="L716">
            <v>14540.8696</v>
          </cell>
          <cell r="M716">
            <v>14911.597705437694</v>
          </cell>
          <cell r="O716">
            <v>37181</v>
          </cell>
          <cell r="P716">
            <v>1.0006915300000001</v>
          </cell>
          <cell r="Q716">
            <v>1.6620719910994819</v>
          </cell>
        </row>
        <row r="717">
          <cell r="O717">
            <v>37182</v>
          </cell>
          <cell r="P717">
            <v>1.0006911999999999</v>
          </cell>
          <cell r="Q717">
            <v>1.6632208152597296</v>
          </cell>
        </row>
        <row r="718">
          <cell r="O718">
            <v>37183</v>
          </cell>
          <cell r="P718">
            <v>1.0006918600000001</v>
          </cell>
          <cell r="Q718">
            <v>1.6643715312129754</v>
          </cell>
        </row>
        <row r="719">
          <cell r="O719">
            <v>37186</v>
          </cell>
          <cell r="P719">
            <v>1.0006915300000001</v>
          </cell>
          <cell r="Q719">
            <v>1.6655224940579554</v>
          </cell>
        </row>
        <row r="720">
          <cell r="O720">
            <v>37187</v>
          </cell>
          <cell r="P720">
            <v>1.0006915300000001</v>
          </cell>
          <cell r="Q720">
            <v>1.6666742528282714</v>
          </cell>
        </row>
        <row r="721">
          <cell r="O721">
            <v>37188</v>
          </cell>
          <cell r="P721">
            <v>1.0006918600000001</v>
          </cell>
          <cell r="Q721">
            <v>1.6678273580768332</v>
          </cell>
        </row>
        <row r="722">
          <cell r="O722">
            <v>37189</v>
          </cell>
          <cell r="P722">
            <v>1.0006918600000001</v>
          </cell>
          <cell r="Q722">
            <v>1.6689812611127925</v>
          </cell>
        </row>
        <row r="723">
          <cell r="O723">
            <v>37190</v>
          </cell>
          <cell r="P723">
            <v>1.0006915300000001</v>
          </cell>
          <cell r="Q723">
            <v>1.6701354117242901</v>
          </cell>
        </row>
        <row r="724">
          <cell r="O724">
            <v>37193</v>
          </cell>
          <cell r="P724">
            <v>1.0006911999999999</v>
          </cell>
          <cell r="Q724">
            <v>1.6712898093208739</v>
          </cell>
        </row>
        <row r="725">
          <cell r="O725">
            <v>37194</v>
          </cell>
          <cell r="P725">
            <v>1.0006918600000001</v>
          </cell>
          <cell r="Q725">
            <v>1.6724461078883508</v>
          </cell>
        </row>
        <row r="726">
          <cell r="O726">
            <v>37195</v>
          </cell>
          <cell r="P726">
            <v>1.0006915300000001</v>
          </cell>
          <cell r="Q726">
            <v>1.6736026545453391</v>
          </cell>
        </row>
        <row r="727">
          <cell r="O727">
            <v>37196</v>
          </cell>
          <cell r="P727">
            <v>1.0006915300000001</v>
          </cell>
          <cell r="Q727">
            <v>1.6747600009890371</v>
          </cell>
        </row>
        <row r="728">
          <cell r="O728">
            <v>37200</v>
          </cell>
          <cell r="P728">
            <v>1.0006915300000001</v>
          </cell>
          <cell r="Q728">
            <v>1.6759181477725211</v>
          </cell>
        </row>
        <row r="729">
          <cell r="O729">
            <v>37201</v>
          </cell>
          <cell r="P729">
            <v>1.0006918600000001</v>
          </cell>
          <cell r="Q729">
            <v>1.6770776485022392</v>
          </cell>
        </row>
        <row r="730">
          <cell r="O730">
            <v>37202</v>
          </cell>
          <cell r="P730">
            <v>1.0006918600000001</v>
          </cell>
          <cell r="Q730">
            <v>1.6782379514441321</v>
          </cell>
        </row>
        <row r="731">
          <cell r="O731">
            <v>37203</v>
          </cell>
          <cell r="P731">
            <v>1.0006922</v>
          </cell>
          <cell r="Q731">
            <v>1.6793996277541219</v>
          </cell>
        </row>
        <row r="732">
          <cell r="O732">
            <v>37204</v>
          </cell>
          <cell r="P732">
            <v>1.0006918600000001</v>
          </cell>
          <cell r="Q732">
            <v>1.68056153718058</v>
          </cell>
        </row>
        <row r="733">
          <cell r="O733">
            <v>37207</v>
          </cell>
          <cell r="P733">
            <v>1.0006922</v>
          </cell>
          <cell r="Q733">
            <v>1.6817248218766165</v>
          </cell>
        </row>
        <row r="734">
          <cell r="O734">
            <v>37208</v>
          </cell>
          <cell r="P734">
            <v>1.0006922</v>
          </cell>
          <cell r="Q734">
            <v>1.6828889117983197</v>
          </cell>
        </row>
        <row r="735">
          <cell r="O735">
            <v>37209</v>
          </cell>
          <cell r="P735">
            <v>1.0006918600000001</v>
          </cell>
          <cell r="Q735">
            <v>1.6840532353208366</v>
          </cell>
        </row>
        <row r="736">
          <cell r="O736">
            <v>37211</v>
          </cell>
          <cell r="P736">
            <v>1.0006922</v>
          </cell>
          <cell r="Q736">
            <v>1.6852189369703257</v>
          </cell>
        </row>
        <row r="737">
          <cell r="O737">
            <v>37214</v>
          </cell>
          <cell r="P737">
            <v>1.0006922</v>
          </cell>
          <cell r="Q737">
            <v>1.6863854455184966</v>
          </cell>
        </row>
        <row r="738">
          <cell r="O738">
            <v>37215</v>
          </cell>
          <cell r="P738">
            <v>1.0006922</v>
          </cell>
          <cell r="Q738">
            <v>1.6875527615238846</v>
          </cell>
        </row>
        <row r="739">
          <cell r="O739">
            <v>37216</v>
          </cell>
          <cell r="P739">
            <v>1.0006922</v>
          </cell>
          <cell r="Q739">
            <v>1.6887208855454114</v>
          </cell>
        </row>
        <row r="740">
          <cell r="O740">
            <v>37217</v>
          </cell>
          <cell r="P740">
            <v>1.0006915300000001</v>
          </cell>
          <cell r="Q740">
            <v>1.6898886866993927</v>
          </cell>
        </row>
        <row r="741">
          <cell r="O741">
            <v>37218</v>
          </cell>
          <cell r="P741">
            <v>1.0006922</v>
          </cell>
          <cell r="Q741">
            <v>1.691058427648326</v>
          </cell>
        </row>
        <row r="742">
          <cell r="O742">
            <v>37221</v>
          </cell>
          <cell r="P742">
            <v>1.0006922</v>
          </cell>
          <cell r="Q742">
            <v>1.6922289782919442</v>
          </cell>
        </row>
        <row r="743">
          <cell r="O743">
            <v>37222</v>
          </cell>
          <cell r="P743">
            <v>1.0006922</v>
          </cell>
          <cell r="Q743">
            <v>1.693400339190718</v>
          </cell>
        </row>
        <row r="744">
          <cell r="O744">
            <v>37223</v>
          </cell>
          <cell r="P744">
            <v>1.0006922</v>
          </cell>
          <cell r="Q744">
            <v>1.6945725109055059</v>
          </cell>
        </row>
        <row r="745">
          <cell r="O745">
            <v>37224</v>
          </cell>
          <cell r="P745">
            <v>1.0006922</v>
          </cell>
          <cell r="Q745">
            <v>1.6957454939975547</v>
          </cell>
        </row>
        <row r="746">
          <cell r="O746">
            <v>37225</v>
          </cell>
          <cell r="P746">
            <v>1.0006922</v>
          </cell>
          <cell r="Q746">
            <v>1.6969192890284999</v>
          </cell>
        </row>
        <row r="747">
          <cell r="O747">
            <v>37228</v>
          </cell>
          <cell r="P747">
            <v>1.00069253</v>
          </cell>
          <cell r="Q747">
            <v>1.6980944565437308</v>
          </cell>
        </row>
        <row r="748">
          <cell r="O748">
            <v>37229</v>
          </cell>
          <cell r="P748">
            <v>1.00069253</v>
          </cell>
          <cell r="Q748">
            <v>1.699270437897721</v>
          </cell>
        </row>
        <row r="749">
          <cell r="O749">
            <v>37230</v>
          </cell>
          <cell r="P749">
            <v>1.00069253</v>
          </cell>
          <cell r="Q749">
            <v>1.7004472336540783</v>
          </cell>
        </row>
        <row r="750">
          <cell r="O750">
            <v>37231</v>
          </cell>
          <cell r="P750">
            <v>1.0006931999999999</v>
          </cell>
          <cell r="Q750">
            <v>1.7016259836764474</v>
          </cell>
        </row>
        <row r="751">
          <cell r="O751">
            <v>37232</v>
          </cell>
          <cell r="P751">
            <v>1.00069286</v>
          </cell>
          <cell r="Q751">
            <v>1.7028049722554974</v>
          </cell>
        </row>
        <row r="752">
          <cell r="O752">
            <v>37235</v>
          </cell>
          <cell r="P752">
            <v>1.00069286</v>
          </cell>
          <cell r="Q752">
            <v>1.7039847777085744</v>
          </cell>
        </row>
        <row r="753">
          <cell r="O753">
            <v>37236</v>
          </cell>
          <cell r="P753">
            <v>1.00069253</v>
          </cell>
          <cell r="Q753">
            <v>1.7051648382866809</v>
          </cell>
        </row>
        <row r="754">
          <cell r="O754">
            <v>37237</v>
          </cell>
          <cell r="P754">
            <v>1.00069286</v>
          </cell>
          <cell r="Q754">
            <v>1.7063462787965362</v>
          </cell>
        </row>
        <row r="755">
          <cell r="O755">
            <v>37238</v>
          </cell>
          <cell r="P755">
            <v>1.00069253</v>
          </cell>
          <cell r="Q755">
            <v>1.7075279747849912</v>
          </cell>
        </row>
        <row r="756">
          <cell r="O756">
            <v>37239</v>
          </cell>
          <cell r="P756">
            <v>1.0006918600000001</v>
          </cell>
          <cell r="Q756">
            <v>1.708709345089626</v>
          </cell>
        </row>
        <row r="757">
          <cell r="O757">
            <v>37242</v>
          </cell>
          <cell r="P757">
            <v>1.0006918600000001</v>
          </cell>
          <cell r="Q757">
            <v>1.7098915327371198</v>
          </cell>
        </row>
        <row r="758">
          <cell r="O758">
            <v>37243</v>
          </cell>
          <cell r="P758">
            <v>1.0006922</v>
          </cell>
          <cell r="Q758">
            <v>1.7110751196560805</v>
          </cell>
        </row>
        <row r="759">
          <cell r="O759">
            <v>37244</v>
          </cell>
          <cell r="P759">
            <v>1.0006922</v>
          </cell>
          <cell r="Q759">
            <v>1.7122595258539064</v>
          </cell>
        </row>
        <row r="760">
          <cell r="O760">
            <v>37245</v>
          </cell>
          <cell r="P760">
            <v>1.0006922</v>
          </cell>
          <cell r="Q760">
            <v>1.7134447518977025</v>
          </cell>
        </row>
        <row r="761">
          <cell r="O761">
            <v>37246</v>
          </cell>
          <cell r="P761">
            <v>1.0006922</v>
          </cell>
          <cell r="Q761">
            <v>1.7146307983549662</v>
          </cell>
        </row>
        <row r="762">
          <cell r="O762">
            <v>37249</v>
          </cell>
          <cell r="P762">
            <v>1.00069253</v>
          </cell>
          <cell r="Q762">
            <v>1.715818231621751</v>
          </cell>
        </row>
        <row r="763">
          <cell r="O763">
            <v>37251</v>
          </cell>
          <cell r="P763">
            <v>1.00069253</v>
          </cell>
          <cell r="Q763">
            <v>1.7170064872216959</v>
          </cell>
        </row>
        <row r="764">
          <cell r="O764">
            <v>37252</v>
          </cell>
          <cell r="P764">
            <v>1.0006915300000001</v>
          </cell>
          <cell r="Q764">
            <v>1.7181938487178046</v>
          </cell>
        </row>
        <row r="765">
          <cell r="O765">
            <v>37253</v>
          </cell>
          <cell r="P765">
            <v>1.0006911999999999</v>
          </cell>
          <cell r="Q765">
            <v>1.7193814643060381</v>
          </cell>
        </row>
        <row r="766">
          <cell r="O766">
            <v>37256</v>
          </cell>
          <cell r="P766">
            <v>1.0006911999999999</v>
          </cell>
          <cell r="Q766">
            <v>1.7205699007741662</v>
          </cell>
        </row>
        <row r="767">
          <cell r="O767">
            <v>37258</v>
          </cell>
          <cell r="P767">
            <v>1.0006911999999999</v>
          </cell>
          <cell r="Q767">
            <v>1.7217591586895811</v>
          </cell>
        </row>
        <row r="768">
          <cell r="O768">
            <v>37259</v>
          </cell>
          <cell r="P768">
            <v>1.0006911999999999</v>
          </cell>
          <cell r="Q768">
            <v>1.7229492386200671</v>
          </cell>
        </row>
        <row r="769">
          <cell r="O769">
            <v>37260</v>
          </cell>
          <cell r="P769">
            <v>1.0006911999999999</v>
          </cell>
          <cell r="Q769">
            <v>1.7241401411338011</v>
          </cell>
        </row>
        <row r="770">
          <cell r="O770">
            <v>37263</v>
          </cell>
          <cell r="P770">
            <v>1.0006915300000001</v>
          </cell>
          <cell r="Q770">
            <v>1.7253324357655995</v>
          </cell>
        </row>
        <row r="771">
          <cell r="O771">
            <v>37264</v>
          </cell>
          <cell r="P771">
            <v>1.0006915300000001</v>
          </cell>
          <cell r="Q771">
            <v>1.7265255549049046</v>
          </cell>
        </row>
        <row r="772">
          <cell r="O772">
            <v>37265</v>
          </cell>
          <cell r="P772">
            <v>1.0006911999999999</v>
          </cell>
          <cell r="Q772">
            <v>1.7277189293684547</v>
          </cell>
        </row>
        <row r="773">
          <cell r="O773">
            <v>37266</v>
          </cell>
          <cell r="P773">
            <v>1.0006915300000001</v>
          </cell>
          <cell r="Q773">
            <v>1.7289136988396812</v>
          </cell>
        </row>
        <row r="774">
          <cell r="O774">
            <v>37267</v>
          </cell>
          <cell r="P774">
            <v>1.0006915300000001</v>
          </cell>
          <cell r="Q774">
            <v>1.73010929452984</v>
          </cell>
        </row>
        <row r="775">
          <cell r="O775">
            <v>37270</v>
          </cell>
          <cell r="P775">
            <v>1.0006911999999999</v>
          </cell>
          <cell r="Q775">
            <v>1.7313051460742188</v>
          </cell>
        </row>
        <row r="776">
          <cell r="O776">
            <v>37271</v>
          </cell>
          <cell r="P776">
            <v>1.0006911999999999</v>
          </cell>
          <cell r="Q776">
            <v>1.7325018241911851</v>
          </cell>
        </row>
        <row r="777">
          <cell r="O777">
            <v>37272</v>
          </cell>
          <cell r="P777">
            <v>1.0006911999999999</v>
          </cell>
          <cell r="Q777">
            <v>1.733699329452066</v>
          </cell>
        </row>
        <row r="778">
          <cell r="O778">
            <v>37273</v>
          </cell>
          <cell r="P778">
            <v>1.0006911999999999</v>
          </cell>
          <cell r="Q778">
            <v>1.734897662428583</v>
          </cell>
        </row>
        <row r="779">
          <cell r="O779">
            <v>37274</v>
          </cell>
          <cell r="P779">
            <v>1.0006911999999999</v>
          </cell>
          <cell r="Q779">
            <v>1.7360968236928536</v>
          </cell>
        </row>
        <row r="780">
          <cell r="O780">
            <v>37277</v>
          </cell>
          <cell r="P780">
            <v>1.0006911999999999</v>
          </cell>
          <cell r="Q780">
            <v>1.7372968138173899</v>
          </cell>
        </row>
        <row r="781">
          <cell r="O781">
            <v>37278</v>
          </cell>
          <cell r="P781">
            <v>1.0006915300000001</v>
          </cell>
          <cell r="Q781">
            <v>1.7384982066830492</v>
          </cell>
        </row>
        <row r="782">
          <cell r="O782">
            <v>37279</v>
          </cell>
          <cell r="P782">
            <v>1.0006911999999999</v>
          </cell>
          <cell r="Q782">
            <v>1.7396998566435085</v>
          </cell>
        </row>
        <row r="783">
          <cell r="O783">
            <v>37280</v>
          </cell>
          <cell r="P783">
            <v>1.00069086</v>
          </cell>
          <cell r="Q783">
            <v>1.740901745686469</v>
          </cell>
        </row>
        <row r="784">
          <cell r="O784">
            <v>37281</v>
          </cell>
          <cell r="P784">
            <v>1.0006911999999999</v>
          </cell>
          <cell r="Q784">
            <v>1.7421050569730874</v>
          </cell>
        </row>
        <row r="785">
          <cell r="O785">
            <v>37284</v>
          </cell>
          <cell r="P785">
            <v>1.0006911999999999</v>
          </cell>
          <cell r="Q785">
            <v>1.7433091999884669</v>
          </cell>
        </row>
        <row r="786">
          <cell r="O786">
            <v>37285</v>
          </cell>
          <cell r="P786">
            <v>1.0006911999999999</v>
          </cell>
          <cell r="Q786">
            <v>1.7445141753074986</v>
          </cell>
        </row>
        <row r="787">
          <cell r="O787">
            <v>37286</v>
          </cell>
          <cell r="P787">
            <v>1.0006911999999999</v>
          </cell>
          <cell r="Q787">
            <v>1.7457199835054711</v>
          </cell>
        </row>
        <row r="788">
          <cell r="O788">
            <v>37287</v>
          </cell>
          <cell r="P788">
            <v>1.0006911999999999</v>
          </cell>
          <cell r="Q788">
            <v>1.74692662515807</v>
          </cell>
        </row>
        <row r="789">
          <cell r="O789">
            <v>37288</v>
          </cell>
          <cell r="P789">
            <v>1.0006915300000001</v>
          </cell>
          <cell r="Q789">
            <v>1.7481346773271658</v>
          </cell>
        </row>
        <row r="790">
          <cell r="O790">
            <v>37291</v>
          </cell>
          <cell r="P790">
            <v>1.0006918600000001</v>
          </cell>
          <cell r="Q790">
            <v>1.7493441417850215</v>
          </cell>
        </row>
        <row r="791">
          <cell r="O791">
            <v>37292</v>
          </cell>
          <cell r="P791">
            <v>1.0006918600000001</v>
          </cell>
          <cell r="Q791">
            <v>1.7505544430229572</v>
          </cell>
        </row>
        <row r="792">
          <cell r="O792">
            <v>37293</v>
          </cell>
          <cell r="P792">
            <v>1.0006918600000001</v>
          </cell>
          <cell r="Q792">
            <v>1.7517655816199071</v>
          </cell>
        </row>
        <row r="793">
          <cell r="O793">
            <v>37294</v>
          </cell>
          <cell r="P793">
            <v>1.0006918600000001</v>
          </cell>
          <cell r="Q793">
            <v>1.7529775581552069</v>
          </cell>
        </row>
        <row r="794">
          <cell r="O794">
            <v>37295</v>
          </cell>
          <cell r="P794">
            <v>1.0006918600000001</v>
          </cell>
          <cell r="Q794">
            <v>1.7541903732085924</v>
          </cell>
        </row>
        <row r="795">
          <cell r="O795">
            <v>37300</v>
          </cell>
          <cell r="P795">
            <v>1.0006918600000001</v>
          </cell>
          <cell r="Q795">
            <v>1.7554040273602007</v>
          </cell>
        </row>
        <row r="796">
          <cell r="O796">
            <v>37301</v>
          </cell>
          <cell r="P796">
            <v>1.0006918600000001</v>
          </cell>
          <cell r="Q796">
            <v>1.7566185211905703</v>
          </cell>
        </row>
        <row r="797">
          <cell r="O797">
            <v>37302</v>
          </cell>
          <cell r="P797">
            <v>1.0006918600000001</v>
          </cell>
          <cell r="Q797">
            <v>1.7578338552806414</v>
          </cell>
        </row>
        <row r="798">
          <cell r="O798">
            <v>37305</v>
          </cell>
          <cell r="P798">
            <v>1.0006918600000001</v>
          </cell>
          <cell r="Q798">
            <v>1.759050030211756</v>
          </cell>
        </row>
        <row r="799">
          <cell r="O799">
            <v>37306</v>
          </cell>
          <cell r="P799">
            <v>1.0006918600000001</v>
          </cell>
          <cell r="Q799">
            <v>1.7602670465656585</v>
          </cell>
        </row>
        <row r="800">
          <cell r="O800">
            <v>37307</v>
          </cell>
          <cell r="P800">
            <v>1.0006915300000001</v>
          </cell>
          <cell r="Q800">
            <v>1.7614843240363702</v>
          </cell>
        </row>
        <row r="801">
          <cell r="O801">
            <v>37308</v>
          </cell>
          <cell r="P801">
            <v>1.0006911999999999</v>
          </cell>
          <cell r="Q801">
            <v>1.7627018620011439</v>
          </cell>
        </row>
        <row r="802">
          <cell r="O802">
            <v>37309</v>
          </cell>
          <cell r="P802">
            <v>1.00068318</v>
          </cell>
          <cell r="Q802">
            <v>1.7639061046592259</v>
          </cell>
        </row>
        <row r="803">
          <cell r="O803">
            <v>37312</v>
          </cell>
          <cell r="P803">
            <v>1.00068318</v>
          </cell>
          <cell r="Q803">
            <v>1.765111170031807</v>
          </cell>
        </row>
        <row r="804">
          <cell r="O804">
            <v>37313</v>
          </cell>
          <cell r="P804">
            <v>1.0006835199999999</v>
          </cell>
          <cell r="Q804">
            <v>1.766317658818747</v>
          </cell>
        </row>
        <row r="805">
          <cell r="O805">
            <v>37314</v>
          </cell>
          <cell r="P805">
            <v>1.00068318</v>
          </cell>
          <cell r="Q805">
            <v>1.7675243717168989</v>
          </cell>
        </row>
        <row r="806">
          <cell r="O806">
            <v>37315</v>
          </cell>
          <cell r="P806">
            <v>1.0006838499999999</v>
          </cell>
          <cell r="Q806">
            <v>1.7687330932584975</v>
          </cell>
        </row>
        <row r="807">
          <cell r="O807">
            <v>37316</v>
          </cell>
          <cell r="P807">
            <v>1.0006835199999999</v>
          </cell>
          <cell r="Q807">
            <v>1.7699420577024014</v>
          </cell>
        </row>
        <row r="808">
          <cell r="O808">
            <v>37319</v>
          </cell>
          <cell r="P808">
            <v>1.0006835199999999</v>
          </cell>
          <cell r="Q808">
            <v>1.771151848497682</v>
          </cell>
        </row>
        <row r="809">
          <cell r="O809">
            <v>37320</v>
          </cell>
          <cell r="P809">
            <v>1.0006835199999999</v>
          </cell>
          <cell r="Q809">
            <v>1.772362466209167</v>
          </cell>
        </row>
        <row r="810">
          <cell r="O810">
            <v>37321</v>
          </cell>
          <cell r="P810">
            <v>1.0006835199999999</v>
          </cell>
          <cell r="Q810">
            <v>1.7735739114020703</v>
          </cell>
        </row>
        <row r="811">
          <cell r="O811">
            <v>37322</v>
          </cell>
          <cell r="P811">
            <v>1.0006835199999999</v>
          </cell>
          <cell r="Q811">
            <v>1.7747861846419917</v>
          </cell>
        </row>
        <row r="812">
          <cell r="O812">
            <v>37323</v>
          </cell>
          <cell r="P812">
            <v>1.0006835199999999</v>
          </cell>
          <cell r="Q812">
            <v>1.7759992864949181</v>
          </cell>
        </row>
        <row r="813">
          <cell r="O813">
            <v>37326</v>
          </cell>
          <cell r="P813">
            <v>1.0006835199999999</v>
          </cell>
          <cell r="Q813">
            <v>1.7772132175272231</v>
          </cell>
        </row>
        <row r="814">
          <cell r="O814">
            <v>37327</v>
          </cell>
          <cell r="P814">
            <v>1.0006835199999999</v>
          </cell>
          <cell r="Q814">
            <v>1.7784279783056671</v>
          </cell>
        </row>
        <row r="815">
          <cell r="O815">
            <v>37328</v>
          </cell>
          <cell r="P815">
            <v>1.0006835199999999</v>
          </cell>
          <cell r="Q815">
            <v>1.7796435693973984</v>
          </cell>
        </row>
        <row r="816">
          <cell r="O816">
            <v>37329</v>
          </cell>
          <cell r="P816">
            <v>1.0006835199999999</v>
          </cell>
          <cell r="Q816">
            <v>1.7808599913699528</v>
          </cell>
        </row>
        <row r="817">
          <cell r="O817">
            <v>37330</v>
          </cell>
          <cell r="P817">
            <v>1.0006835199999999</v>
          </cell>
          <cell r="Q817">
            <v>1.7820772447912538</v>
          </cell>
        </row>
        <row r="818">
          <cell r="O818">
            <v>37333</v>
          </cell>
          <cell r="P818">
            <v>1.0006835199999999</v>
          </cell>
          <cell r="Q818">
            <v>1.7832953302296135</v>
          </cell>
        </row>
        <row r="819">
          <cell r="O819">
            <v>37334</v>
          </cell>
          <cell r="P819">
            <v>1.0006835199999999</v>
          </cell>
          <cell r="Q819">
            <v>1.7845142482537319</v>
          </cell>
        </row>
        <row r="820">
          <cell r="O820">
            <v>37335</v>
          </cell>
          <cell r="P820">
            <v>1.0006835199999999</v>
          </cell>
          <cell r="Q820">
            <v>1.7857339994326982</v>
          </cell>
        </row>
        <row r="821">
          <cell r="O821">
            <v>37336</v>
          </cell>
          <cell r="P821">
            <v>1.00067247</v>
          </cell>
          <cell r="Q821">
            <v>1.7869348519752968</v>
          </cell>
        </row>
        <row r="822">
          <cell r="O822">
            <v>37337</v>
          </cell>
          <cell r="P822">
            <v>1.00067515</v>
          </cell>
          <cell r="Q822">
            <v>1.7881413010406078</v>
          </cell>
        </row>
        <row r="823">
          <cell r="O823">
            <v>37340</v>
          </cell>
          <cell r="P823">
            <v>1.00067515</v>
          </cell>
          <cell r="Q823">
            <v>1.7893485646400054</v>
          </cell>
        </row>
        <row r="824">
          <cell r="O824">
            <v>37341</v>
          </cell>
          <cell r="P824">
            <v>1.00067548</v>
          </cell>
          <cell r="Q824">
            <v>1.7905572338084483</v>
          </cell>
        </row>
        <row r="825">
          <cell r="O825">
            <v>37342</v>
          </cell>
          <cell r="P825">
            <v>1.0006758200000001</v>
          </cell>
          <cell r="Q825">
            <v>1.7917673281982009</v>
          </cell>
        </row>
        <row r="826">
          <cell r="O826">
            <v>37343</v>
          </cell>
          <cell r="P826">
            <v>1.0006758200000001</v>
          </cell>
          <cell r="Q826">
            <v>1.792978240393944</v>
          </cell>
        </row>
        <row r="827">
          <cell r="O827">
            <v>37347</v>
          </cell>
          <cell r="P827">
            <v>1.00067548</v>
          </cell>
          <cell r="Q827">
            <v>1.7941893613357653</v>
          </cell>
        </row>
        <row r="828">
          <cell r="O828">
            <v>37348</v>
          </cell>
          <cell r="P828">
            <v>1.00067448</v>
          </cell>
          <cell r="Q828">
            <v>1.7953995061761991</v>
          </cell>
        </row>
        <row r="829">
          <cell r="O829">
            <v>37349</v>
          </cell>
          <cell r="P829">
            <v>1.00067247</v>
          </cell>
          <cell r="Q829">
            <v>1.7966068584821175</v>
          </cell>
        </row>
        <row r="830">
          <cell r="O830">
            <v>37350</v>
          </cell>
          <cell r="P830">
            <v>1.00067113</v>
          </cell>
          <cell r="Q830">
            <v>1.7978126152430505</v>
          </cell>
        </row>
        <row r="831">
          <cell r="O831">
            <v>37351</v>
          </cell>
          <cell r="P831">
            <v>1.00067079</v>
          </cell>
          <cell r="Q831">
            <v>1.7990185699672294</v>
          </cell>
        </row>
        <row r="832">
          <cell r="O832">
            <v>37354</v>
          </cell>
          <cell r="P832">
            <v>1.00067046</v>
          </cell>
          <cell r="Q832">
            <v>1.8002247399576496</v>
          </cell>
        </row>
        <row r="833">
          <cell r="O833">
            <v>37355</v>
          </cell>
          <cell r="P833">
            <v>1.0006701200000001</v>
          </cell>
          <cell r="Q833">
            <v>1.8014311065603903</v>
          </cell>
        </row>
        <row r="834">
          <cell r="O834">
            <v>37356</v>
          </cell>
          <cell r="P834">
            <v>1.0006701200000001</v>
          </cell>
          <cell r="Q834">
            <v>1.8026382815735187</v>
          </cell>
        </row>
        <row r="835">
          <cell r="O835">
            <v>37357</v>
          </cell>
          <cell r="P835">
            <v>1.0006701200000001</v>
          </cell>
          <cell r="Q835">
            <v>1.803846265538767</v>
          </cell>
        </row>
        <row r="836">
          <cell r="O836">
            <v>37358</v>
          </cell>
          <cell r="P836">
            <v>1.0006701200000001</v>
          </cell>
          <cell r="Q836">
            <v>1.8050550589982302</v>
          </cell>
        </row>
        <row r="837">
          <cell r="O837">
            <v>37361</v>
          </cell>
          <cell r="P837">
            <v>1.0006701200000001</v>
          </cell>
          <cell r="Q837">
            <v>1.8062646624943663</v>
          </cell>
        </row>
        <row r="838">
          <cell r="O838">
            <v>37362</v>
          </cell>
          <cell r="P838">
            <v>1.0006701200000001</v>
          </cell>
          <cell r="Q838">
            <v>1.8074750765699972</v>
          </cell>
        </row>
        <row r="839">
          <cell r="O839">
            <v>37363</v>
          </cell>
          <cell r="P839">
            <v>1.0006701200000001</v>
          </cell>
          <cell r="Q839">
            <v>1.8086863017683084</v>
          </cell>
        </row>
        <row r="840">
          <cell r="O840">
            <v>37364</v>
          </cell>
          <cell r="P840">
            <v>1.0006684400000001</v>
          </cell>
          <cell r="Q840">
            <v>1.8098953000398625</v>
          </cell>
        </row>
        <row r="841">
          <cell r="O841">
            <v>37365</v>
          </cell>
          <cell r="P841">
            <v>1.0006697899999999</v>
          </cell>
          <cell r="Q841">
            <v>1.8111075498128761</v>
          </cell>
        </row>
        <row r="842">
          <cell r="O842">
            <v>37368</v>
          </cell>
          <cell r="P842">
            <v>1.0006701200000001</v>
          </cell>
          <cell r="Q842">
            <v>1.812321209204157</v>
          </cell>
        </row>
        <row r="843">
          <cell r="O843">
            <v>37369</v>
          </cell>
          <cell r="P843">
            <v>1.00066878</v>
          </cell>
          <cell r="Q843">
            <v>1.8135332533824486</v>
          </cell>
        </row>
        <row r="844">
          <cell r="O844">
            <v>37370</v>
          </cell>
          <cell r="P844">
            <v>1.0006684400000001</v>
          </cell>
          <cell r="Q844">
            <v>1.8147454915503398</v>
          </cell>
        </row>
        <row r="845">
          <cell r="O845">
            <v>37371</v>
          </cell>
          <cell r="P845">
            <v>1.0006681100000001</v>
          </cell>
          <cell r="Q845">
            <v>1.8159579411606996</v>
          </cell>
        </row>
        <row r="846">
          <cell r="O846">
            <v>37372</v>
          </cell>
          <cell r="P846">
            <v>1.0006681100000001</v>
          </cell>
          <cell r="Q846">
            <v>1.8171712008207688</v>
          </cell>
        </row>
        <row r="847">
          <cell r="O847">
            <v>37375</v>
          </cell>
          <cell r="P847">
            <v>1.0006671</v>
          </cell>
          <cell r="Q847">
            <v>1.8183834357288364</v>
          </cell>
        </row>
        <row r="848">
          <cell r="O848">
            <v>37376</v>
          </cell>
          <cell r="P848">
            <v>1.00066542</v>
          </cell>
          <cell r="Q848">
            <v>1.8195934244346392</v>
          </cell>
        </row>
        <row r="849">
          <cell r="O849">
            <v>37378</v>
          </cell>
          <cell r="P849">
            <v>1.0006610600000001</v>
          </cell>
          <cell r="Q849">
            <v>1.8207962848637962</v>
          </cell>
        </row>
        <row r="850">
          <cell r="O850">
            <v>37379</v>
          </cell>
          <cell r="P850">
            <v>1.00066609</v>
          </cell>
          <cell r="Q850">
            <v>1.822009099061181</v>
          </cell>
        </row>
        <row r="851">
          <cell r="O851">
            <v>37382</v>
          </cell>
          <cell r="P851">
            <v>1.00066542</v>
          </cell>
          <cell r="Q851">
            <v>1.8232215003558783</v>
          </cell>
        </row>
        <row r="852">
          <cell r="O852">
            <v>37383</v>
          </cell>
          <cell r="P852">
            <v>1.00066408</v>
          </cell>
          <cell r="Q852">
            <v>1.8244322652898346</v>
          </cell>
        </row>
        <row r="853">
          <cell r="O853">
            <v>37384</v>
          </cell>
          <cell r="P853">
            <v>1.0006613900000001</v>
          </cell>
          <cell r="Q853">
            <v>1.8256389265457749</v>
          </cell>
        </row>
        <row r="854">
          <cell r="O854">
            <v>37385</v>
          </cell>
          <cell r="P854">
            <v>1.0006576899999999</v>
          </cell>
          <cell r="Q854">
            <v>1.8268396310113746</v>
          </cell>
        </row>
        <row r="855">
          <cell r="O855">
            <v>37386</v>
          </cell>
          <cell r="P855">
            <v>1.00066005</v>
          </cell>
          <cell r="Q855">
            <v>1.8280454365098238</v>
          </cell>
        </row>
        <row r="856">
          <cell r="O856">
            <v>37389</v>
          </cell>
          <cell r="P856">
            <v>1.00066341</v>
          </cell>
          <cell r="Q856">
            <v>1.8292581801328589</v>
          </cell>
        </row>
        <row r="857">
          <cell r="O857">
            <v>37390</v>
          </cell>
          <cell r="P857">
            <v>1.00066677</v>
          </cell>
          <cell r="Q857">
            <v>1.8304778746096262</v>
          </cell>
        </row>
        <row r="858">
          <cell r="O858">
            <v>37391</v>
          </cell>
          <cell r="P858">
            <v>1.0006684400000001</v>
          </cell>
          <cell r="Q858">
            <v>1.8317014392401305</v>
          </cell>
        </row>
        <row r="859">
          <cell r="O859">
            <v>37392</v>
          </cell>
          <cell r="P859">
            <v>1.00066878</v>
          </cell>
          <cell r="Q859">
            <v>1.8329264445286655</v>
          </cell>
        </row>
        <row r="860">
          <cell r="O860">
            <v>37393</v>
          </cell>
          <cell r="P860">
            <v>1.0006681100000001</v>
          </cell>
          <cell r="Q860">
            <v>1.8341510410155197</v>
          </cell>
        </row>
        <row r="861">
          <cell r="O861">
            <v>37396</v>
          </cell>
          <cell r="P861">
            <v>1.0006681100000001</v>
          </cell>
          <cell r="Q861">
            <v>1.8353764556675327</v>
          </cell>
        </row>
        <row r="862">
          <cell r="O862">
            <v>37397</v>
          </cell>
          <cell r="P862">
            <v>1.00066677</v>
          </cell>
          <cell r="Q862">
            <v>1.8366002296268782</v>
          </cell>
        </row>
        <row r="863">
          <cell r="O863">
            <v>37398</v>
          </cell>
          <cell r="P863">
            <v>1.0006613900000001</v>
          </cell>
          <cell r="Q863">
            <v>1.8378149386527514</v>
          </cell>
        </row>
        <row r="864">
          <cell r="O864">
            <v>37399</v>
          </cell>
          <cell r="P864">
            <v>1.00066206</v>
          </cell>
          <cell r="Q864">
            <v>1.8390316824110358</v>
          </cell>
        </row>
        <row r="865">
          <cell r="O865">
            <v>37400</v>
          </cell>
          <cell r="P865">
            <v>1.0006671</v>
          </cell>
          <cell r="Q865">
            <v>1.8402585004463723</v>
          </cell>
        </row>
        <row r="866">
          <cell r="O866">
            <v>37403</v>
          </cell>
          <cell r="P866">
            <v>1.0006684400000001</v>
          </cell>
          <cell r="Q866">
            <v>1.8414886028384108</v>
          </cell>
        </row>
        <row r="867">
          <cell r="O867">
            <v>37404</v>
          </cell>
          <cell r="P867">
            <v>1.00066744</v>
          </cell>
          <cell r="Q867">
            <v>1.8427176859914891</v>
          </cell>
        </row>
        <row r="868">
          <cell r="O868">
            <v>37405</v>
          </cell>
          <cell r="P868">
            <v>1.00066509</v>
          </cell>
          <cell r="Q868">
            <v>1.8439432590972653</v>
          </cell>
        </row>
        <row r="869">
          <cell r="O869">
            <v>37407</v>
          </cell>
          <cell r="P869">
            <v>1.0006590399999999</v>
          </cell>
          <cell r="Q869">
            <v>1.8451584914627406</v>
          </cell>
        </row>
        <row r="870">
          <cell r="O870">
            <v>37410</v>
          </cell>
          <cell r="P870">
            <v>1.00064792</v>
          </cell>
          <cell r="Q870">
            <v>1.8463540065525292</v>
          </cell>
        </row>
        <row r="871">
          <cell r="O871">
            <v>37411</v>
          </cell>
          <cell r="P871">
            <v>1.00061983</v>
          </cell>
          <cell r="Q871">
            <v>1.8474984321564107</v>
          </cell>
        </row>
        <row r="872">
          <cell r="O872">
            <v>37412</v>
          </cell>
          <cell r="P872">
            <v>1.0005092799999999</v>
          </cell>
          <cell r="Q872">
            <v>1.8484393261579393</v>
          </cell>
        </row>
        <row r="873">
          <cell r="O873">
            <v>37413</v>
          </cell>
          <cell r="P873">
            <v>1.0005959799999999</v>
          </cell>
          <cell r="Q873">
            <v>1.8495409590275427</v>
          </cell>
        </row>
        <row r="874">
          <cell r="O874">
            <v>37414</v>
          </cell>
          <cell r="P874">
            <v>1.00063339</v>
          </cell>
          <cell r="Q874">
            <v>1.850712439775581</v>
          </cell>
        </row>
        <row r="875">
          <cell r="O875">
            <v>37417</v>
          </cell>
          <cell r="P875">
            <v>1.0006516299999999</v>
          </cell>
          <cell r="Q875">
            <v>1.8519184195227119</v>
          </cell>
        </row>
        <row r="876">
          <cell r="O876">
            <v>37418</v>
          </cell>
          <cell r="P876">
            <v>1.0006597100000001</v>
          </cell>
          <cell r="Q876">
            <v>1.8531401486232553</v>
          </cell>
        </row>
        <row r="877">
          <cell r="O877">
            <v>37419</v>
          </cell>
          <cell r="P877">
            <v>1.0006613900000001</v>
          </cell>
          <cell r="Q877">
            <v>1.8543657969861533</v>
          </cell>
        </row>
        <row r="878">
          <cell r="O878">
            <v>37420</v>
          </cell>
          <cell r="P878">
            <v>1.0006590399999999</v>
          </cell>
          <cell r="Q878">
            <v>1.855587898220999</v>
          </cell>
        </row>
        <row r="879">
          <cell r="O879">
            <v>37421</v>
          </cell>
          <cell r="P879">
            <v>1.00065534</v>
          </cell>
          <cell r="Q879">
            <v>1.8568039391942193</v>
          </cell>
        </row>
        <row r="880">
          <cell r="O880">
            <v>37424</v>
          </cell>
          <cell r="P880">
            <v>1.00066542</v>
          </cell>
          <cell r="Q880">
            <v>1.8580394936714379</v>
          </cell>
        </row>
        <row r="881">
          <cell r="O881">
            <v>37425</v>
          </cell>
          <cell r="P881">
            <v>1.00066945</v>
          </cell>
          <cell r="Q881">
            <v>1.8592833582104762</v>
          </cell>
        </row>
        <row r="882">
          <cell r="O882">
            <v>37426</v>
          </cell>
          <cell r="P882">
            <v>1.0006684400000001</v>
          </cell>
          <cell r="Q882">
            <v>1.8605261775784385</v>
          </cell>
        </row>
        <row r="883">
          <cell r="O883">
            <v>37427</v>
          </cell>
          <cell r="P883">
            <v>1.0006697899999999</v>
          </cell>
          <cell r="Q883">
            <v>1.8617723394069186</v>
          </cell>
        </row>
        <row r="884">
          <cell r="O884">
            <v>37428</v>
          </cell>
          <cell r="P884">
            <v>1.00067046</v>
          </cell>
          <cell r="Q884">
            <v>1.8630205832895974</v>
          </cell>
        </row>
        <row r="885">
          <cell r="O885">
            <v>37431</v>
          </cell>
          <cell r="P885">
            <v>1.0006701200000001</v>
          </cell>
          <cell r="Q885">
            <v>1.8642690306428715</v>
          </cell>
        </row>
        <row r="886">
          <cell r="O886">
            <v>37432</v>
          </cell>
          <cell r="P886">
            <v>1.0006701200000001</v>
          </cell>
          <cell r="Q886">
            <v>1.8655183146056862</v>
          </cell>
        </row>
        <row r="887">
          <cell r="O887">
            <v>37433</v>
          </cell>
          <cell r="P887">
            <v>1.0006717999999999</v>
          </cell>
          <cell r="Q887">
            <v>1.866771569809438</v>
          </cell>
        </row>
        <row r="888">
          <cell r="O888">
            <v>37434</v>
          </cell>
          <cell r="P888">
            <v>1.0006721300000001</v>
          </cell>
          <cell r="Q888">
            <v>1.8680262829846543</v>
          </cell>
        </row>
        <row r="889">
          <cell r="O889">
            <v>37435</v>
          </cell>
          <cell r="P889">
            <v>1.00067113</v>
          </cell>
          <cell r="Q889">
            <v>1.8692799714639539</v>
          </cell>
        </row>
        <row r="890">
          <cell r="O890">
            <v>37438</v>
          </cell>
          <cell r="P890">
            <v>1.0006721300000001</v>
          </cell>
          <cell r="Q890">
            <v>1.8705363706111742</v>
          </cell>
        </row>
        <row r="891">
          <cell r="O891">
            <v>37439</v>
          </cell>
          <cell r="P891">
            <v>1.00067146</v>
          </cell>
          <cell r="Q891">
            <v>1.8717923609625846</v>
          </cell>
        </row>
        <row r="892">
          <cell r="O892">
            <v>37440</v>
          </cell>
          <cell r="P892">
            <v>1.00066912</v>
          </cell>
          <cell r="Q892">
            <v>1.8730448146671519</v>
          </cell>
        </row>
        <row r="893">
          <cell r="O893">
            <v>37441</v>
          </cell>
          <cell r="P893">
            <v>1.00066945</v>
          </cell>
          <cell r="Q893">
            <v>1.8742987245183307</v>
          </cell>
        </row>
        <row r="894">
          <cell r="O894">
            <v>37442</v>
          </cell>
          <cell r="P894">
            <v>1.0006671</v>
          </cell>
          <cell r="Q894">
            <v>1.875549069197457</v>
          </cell>
        </row>
        <row r="895">
          <cell r="O895">
            <v>37445</v>
          </cell>
          <cell r="P895">
            <v>1.0006697899999999</v>
          </cell>
          <cell r="Q895">
            <v>1.8768052932085146</v>
          </cell>
        </row>
        <row r="896">
          <cell r="O896">
            <v>37446</v>
          </cell>
          <cell r="P896">
            <v>1.00067146</v>
          </cell>
          <cell r="Q896">
            <v>1.8780654928906924</v>
          </cell>
        </row>
        <row r="897">
          <cell r="O897">
            <v>37447</v>
          </cell>
          <cell r="P897">
            <v>1.0006717999999999</v>
          </cell>
          <cell r="Q897">
            <v>1.879327177288816</v>
          </cell>
        </row>
        <row r="898">
          <cell r="O898">
            <v>37448</v>
          </cell>
          <cell r="P898">
            <v>1.00067046</v>
          </cell>
          <cell r="Q898">
            <v>1.8805871909881011</v>
          </cell>
        </row>
        <row r="899">
          <cell r="O899">
            <v>37449</v>
          </cell>
          <cell r="P899">
            <v>1.00066912</v>
          </cell>
          <cell r="Q899">
            <v>1.881845529489335</v>
          </cell>
        </row>
        <row r="900">
          <cell r="O900">
            <v>37452</v>
          </cell>
          <cell r="P900">
            <v>1.00066542</v>
          </cell>
          <cell r="Q900">
            <v>1.883097747141568</v>
          </cell>
        </row>
        <row r="901">
          <cell r="O901">
            <v>37453</v>
          </cell>
          <cell r="P901">
            <v>1.0006681100000001</v>
          </cell>
          <cell r="Q901">
            <v>1.8843558635774109</v>
          </cell>
        </row>
        <row r="902">
          <cell r="O902">
            <v>37454</v>
          </cell>
          <cell r="P902">
            <v>1.00066878</v>
          </cell>
          <cell r="Q902">
            <v>1.8856160830918542</v>
          </cell>
        </row>
        <row r="903">
          <cell r="O903">
            <v>37455</v>
          </cell>
          <cell r="P903">
            <v>1.0006647500000001</v>
          </cell>
          <cell r="Q903">
            <v>1.8868695463830898</v>
          </cell>
        </row>
        <row r="904">
          <cell r="O904">
            <v>37456</v>
          </cell>
          <cell r="P904">
            <v>1.0006533200000001</v>
          </cell>
          <cell r="Q904">
            <v>1.8881022759951329</v>
          </cell>
        </row>
        <row r="905">
          <cell r="O905">
            <v>37459</v>
          </cell>
          <cell r="P905">
            <v>1.00065231</v>
          </cell>
          <cell r="Q905">
            <v>1.8893339039907873</v>
          </cell>
        </row>
        <row r="906">
          <cell r="O906">
            <v>37460</v>
          </cell>
          <cell r="P906">
            <v>1.00065264</v>
          </cell>
          <cell r="Q906">
            <v>1.8905669588698877</v>
          </cell>
        </row>
        <row r="907">
          <cell r="O907">
            <v>37461</v>
          </cell>
          <cell r="P907">
            <v>1.0006516299999999</v>
          </cell>
          <cell r="Q907">
            <v>1.891798909017296</v>
          </cell>
        </row>
        <row r="908">
          <cell r="O908">
            <v>37462</v>
          </cell>
          <cell r="P908">
            <v>1.0006543299999999</v>
          </cell>
          <cell r="Q908">
            <v>1.8930367697974331</v>
          </cell>
        </row>
        <row r="909">
          <cell r="O909">
            <v>37463</v>
          </cell>
          <cell r="P909">
            <v>1.0006529799999999</v>
          </cell>
          <cell r="Q909">
            <v>1.8942728849473753</v>
          </cell>
        </row>
        <row r="910">
          <cell r="O910">
            <v>37466</v>
          </cell>
          <cell r="P910">
            <v>1.0006536500000001</v>
          </cell>
          <cell r="Q910">
            <v>1.8955110764186214</v>
          </cell>
        </row>
        <row r="911">
          <cell r="O911">
            <v>37467</v>
          </cell>
          <cell r="P911">
            <v>1.0006536500000001</v>
          </cell>
          <cell r="Q911">
            <v>1.8967500772337225</v>
          </cell>
        </row>
        <row r="912">
          <cell r="O912">
            <v>37468</v>
          </cell>
          <cell r="P912">
            <v>1.0006529799999999</v>
          </cell>
          <cell r="Q912">
            <v>1.8979886170991545</v>
          </cell>
        </row>
        <row r="913">
          <cell r="O913">
            <v>37469</v>
          </cell>
          <cell r="P913">
            <v>1.00065231</v>
          </cell>
          <cell r="Q913">
            <v>1.8992266940539744</v>
          </cell>
        </row>
        <row r="914">
          <cell r="O914">
            <v>37470</v>
          </cell>
          <cell r="P914">
            <v>1.0006519700000001</v>
          </cell>
          <cell r="Q914">
            <v>1.9004649328816969</v>
          </cell>
        </row>
        <row r="915">
          <cell r="O915">
            <v>37473</v>
          </cell>
          <cell r="P915">
            <v>1.0006529799999999</v>
          </cell>
          <cell r="Q915">
            <v>1.90170589847357</v>
          </cell>
        </row>
        <row r="916">
          <cell r="O916">
            <v>37474</v>
          </cell>
          <cell r="P916">
            <v>1.0006516299999999</v>
          </cell>
          <cell r="Q916">
            <v>1.9029451070881922</v>
          </cell>
        </row>
        <row r="917">
          <cell r="O917">
            <v>37475</v>
          </cell>
          <cell r="P917">
            <v>1.00065399</v>
          </cell>
          <cell r="Q917">
            <v>1.9041896141587769</v>
          </cell>
        </row>
        <row r="918">
          <cell r="O918">
            <v>37476</v>
          </cell>
          <cell r="P918">
            <v>1.0006536500000001</v>
          </cell>
          <cell r="Q918">
            <v>1.9054342877000718</v>
          </cell>
        </row>
        <row r="919">
          <cell r="O919">
            <v>37477</v>
          </cell>
          <cell r="P919">
            <v>1.0006533200000001</v>
          </cell>
          <cell r="Q919">
            <v>1.9066791460289121</v>
          </cell>
        </row>
        <row r="920">
          <cell r="O920">
            <v>37480</v>
          </cell>
          <cell r="P920">
            <v>1.0006533200000001</v>
          </cell>
          <cell r="Q920">
            <v>1.9079248176485959</v>
          </cell>
        </row>
        <row r="921">
          <cell r="O921">
            <v>37481</v>
          </cell>
          <cell r="P921">
            <v>1.0006516299999999</v>
          </cell>
          <cell r="Q921">
            <v>1.90916807869752</v>
          </cell>
        </row>
        <row r="922">
          <cell r="O922">
            <v>37482</v>
          </cell>
          <cell r="P922">
            <v>1.0006536500000001</v>
          </cell>
          <cell r="Q922">
            <v>1.9104160064121607</v>
          </cell>
        </row>
        <row r="923">
          <cell r="O923">
            <v>37483</v>
          </cell>
          <cell r="P923">
            <v>1.0006519700000001</v>
          </cell>
          <cell r="Q923">
            <v>1.9116615403358614</v>
          </cell>
        </row>
        <row r="924">
          <cell r="O924">
            <v>37484</v>
          </cell>
          <cell r="P924">
            <v>1.00065231</v>
          </cell>
          <cell r="Q924">
            <v>1.9129085362752378</v>
          </cell>
        </row>
        <row r="925">
          <cell r="O925">
            <v>37487</v>
          </cell>
          <cell r="P925">
            <v>1.0006529799999999</v>
          </cell>
          <cell r="Q925">
            <v>1.9141576272912546</v>
          </cell>
        </row>
        <row r="926">
          <cell r="O926">
            <v>37488</v>
          </cell>
          <cell r="P926">
            <v>1.0006533200000001</v>
          </cell>
          <cell r="Q926">
            <v>1.9154081847523166</v>
          </cell>
        </row>
        <row r="927">
          <cell r="O927">
            <v>37489</v>
          </cell>
          <cell r="P927">
            <v>1.0006533200000001</v>
          </cell>
          <cell r="Q927">
            <v>1.916659559227579</v>
          </cell>
        </row>
        <row r="928">
          <cell r="O928">
            <v>37490</v>
          </cell>
          <cell r="P928">
            <v>1.0006533200000001</v>
          </cell>
          <cell r="Q928">
            <v>1.9179117512508137</v>
          </cell>
        </row>
        <row r="929">
          <cell r="O929">
            <v>37491</v>
          </cell>
          <cell r="P929">
            <v>1.00064927</v>
          </cell>
          <cell r="Q929">
            <v>1.9191569938135484</v>
          </cell>
        </row>
        <row r="930">
          <cell r="O930">
            <v>37494</v>
          </cell>
          <cell r="P930">
            <v>1.00065096</v>
          </cell>
          <cell r="Q930">
            <v>1.9204062882502413</v>
          </cell>
        </row>
        <row r="931">
          <cell r="O931">
            <v>37495</v>
          </cell>
          <cell r="P931">
            <v>1.0006519700000001</v>
          </cell>
          <cell r="Q931">
            <v>1.9216583355379919</v>
          </cell>
        </row>
        <row r="932">
          <cell r="O932">
            <v>37496</v>
          </cell>
          <cell r="P932">
            <v>1.00065264</v>
          </cell>
          <cell r="Q932">
            <v>1.9229124866340974</v>
          </cell>
        </row>
        <row r="933">
          <cell r="O933">
            <v>37497</v>
          </cell>
          <cell r="P933">
            <v>1.0006529799999999</v>
          </cell>
          <cell r="Q933">
            <v>1.9241681100296195</v>
          </cell>
        </row>
        <row r="934">
          <cell r="O934">
            <v>37498</v>
          </cell>
          <cell r="P934">
            <v>1.0006529799999999</v>
          </cell>
          <cell r="Q934">
            <v>1.9254245533221066</v>
          </cell>
        </row>
        <row r="935">
          <cell r="O935">
            <v>37501</v>
          </cell>
          <cell r="P935">
            <v>1.00065264</v>
          </cell>
          <cell r="Q935">
            <v>1.9266811624025868</v>
          </cell>
        </row>
        <row r="936">
          <cell r="O936">
            <v>37502</v>
          </cell>
          <cell r="P936">
            <v>1.00065399</v>
          </cell>
          <cell r="Q936">
            <v>1.9279411926159864</v>
          </cell>
        </row>
        <row r="937">
          <cell r="O937">
            <v>37503</v>
          </cell>
          <cell r="P937">
            <v>1.0006543299999999</v>
          </cell>
          <cell r="Q937">
            <v>1.9292027023765508</v>
          </cell>
        </row>
        <row r="938">
          <cell r="O938">
            <v>37504</v>
          </cell>
          <cell r="P938">
            <v>1.00065231</v>
          </cell>
          <cell r="Q938">
            <v>1.9304611405913381</v>
          </cell>
        </row>
        <row r="939">
          <cell r="O939">
            <v>37505</v>
          </cell>
          <cell r="P939">
            <v>1.0006529799999999</v>
          </cell>
          <cell r="Q939">
            <v>1.9317216931069212</v>
          </cell>
        </row>
        <row r="940">
          <cell r="O940">
            <v>37508</v>
          </cell>
          <cell r="P940">
            <v>1.00065264</v>
          </cell>
          <cell r="Q940">
            <v>1.9329824119527106</v>
          </cell>
        </row>
        <row r="941">
          <cell r="O941">
            <v>37509</v>
          </cell>
          <cell r="P941">
            <v>1.0006529799999999</v>
          </cell>
          <cell r="Q941">
            <v>1.9342446108080673</v>
          </cell>
        </row>
        <row r="942">
          <cell r="O942">
            <v>37510</v>
          </cell>
          <cell r="P942">
            <v>1.0006533200000001</v>
          </cell>
          <cell r="Q942">
            <v>1.9355082914972006</v>
          </cell>
        </row>
        <row r="943">
          <cell r="O943">
            <v>37511</v>
          </cell>
          <cell r="P943">
            <v>1.0006533200000001</v>
          </cell>
          <cell r="Q943">
            <v>1.9367727977742017</v>
          </cell>
        </row>
        <row r="944">
          <cell r="O944">
            <v>37512</v>
          </cell>
          <cell r="P944">
            <v>1.0006529799999999</v>
          </cell>
          <cell r="Q944">
            <v>1.9380374716756923</v>
          </cell>
        </row>
        <row r="945">
          <cell r="O945">
            <v>37515</v>
          </cell>
          <cell r="P945">
            <v>1.0006529799999999</v>
          </cell>
          <cell r="Q945">
            <v>1.9393029713839469</v>
          </cell>
        </row>
        <row r="946">
          <cell r="O946">
            <v>37516</v>
          </cell>
          <cell r="P946">
            <v>1.0006533200000001</v>
          </cell>
          <cell r="Q946">
            <v>1.9405699568012116</v>
          </cell>
        </row>
        <row r="947">
          <cell r="O947">
            <v>37517</v>
          </cell>
          <cell r="P947">
            <v>1.0006529799999999</v>
          </cell>
          <cell r="Q947">
            <v>1.9418371101716034</v>
          </cell>
        </row>
        <row r="948">
          <cell r="O948">
            <v>37518</v>
          </cell>
          <cell r="P948">
            <v>1.0006536500000001</v>
          </cell>
          <cell r="Q948">
            <v>1.9431063919986673</v>
          </cell>
        </row>
        <row r="949">
          <cell r="O949">
            <v>37519</v>
          </cell>
          <cell r="P949">
            <v>1.0006533200000001</v>
          </cell>
          <cell r="Q949">
            <v>1.944375862266688</v>
          </cell>
        </row>
        <row r="950">
          <cell r="O950">
            <v>37522</v>
          </cell>
          <cell r="P950">
            <v>1.0006533200000001</v>
          </cell>
          <cell r="Q950">
            <v>1.9456461619050243</v>
          </cell>
        </row>
        <row r="951">
          <cell r="O951">
            <v>37523</v>
          </cell>
          <cell r="P951">
            <v>1.0006536500000001</v>
          </cell>
          <cell r="Q951">
            <v>1.9469179335187536</v>
          </cell>
        </row>
        <row r="952">
          <cell r="O952">
            <v>37524</v>
          </cell>
          <cell r="P952">
            <v>1.00065264</v>
          </cell>
          <cell r="Q952">
            <v>1.9481885700388852</v>
          </cell>
        </row>
        <row r="953">
          <cell r="O953">
            <v>37525</v>
          </cell>
          <cell r="P953">
            <v>1.0006529799999999</v>
          </cell>
          <cell r="Q953">
            <v>1.9494606982113492</v>
          </cell>
        </row>
        <row r="954">
          <cell r="O954">
            <v>37526</v>
          </cell>
          <cell r="P954">
            <v>1.0006529799999999</v>
          </cell>
          <cell r="Q954">
            <v>1.9507336570580671</v>
          </cell>
        </row>
        <row r="955">
          <cell r="O955">
            <v>37529</v>
          </cell>
          <cell r="P955">
            <v>1.0006533200000001</v>
          </cell>
          <cell r="Q955">
            <v>1.9520081103708964</v>
          </cell>
        </row>
        <row r="956">
          <cell r="O956">
            <v>37530</v>
          </cell>
          <cell r="P956">
            <v>1.0006536500000001</v>
          </cell>
          <cell r="Q956">
            <v>1.9532840404722405</v>
          </cell>
        </row>
        <row r="957">
          <cell r="O957">
            <v>37531</v>
          </cell>
          <cell r="P957">
            <v>1.0006533200000001</v>
          </cell>
          <cell r="Q957">
            <v>1.9545601600015619</v>
          </cell>
        </row>
        <row r="958">
          <cell r="O958">
            <v>37532</v>
          </cell>
          <cell r="P958">
            <v>1.0006536500000001</v>
          </cell>
          <cell r="Q958">
            <v>1.9558377582501469</v>
          </cell>
        </row>
        <row r="959">
          <cell r="O959">
            <v>37533</v>
          </cell>
          <cell r="P959">
            <v>1.0006533200000001</v>
          </cell>
          <cell r="Q959">
            <v>1.957115546174367</v>
          </cell>
        </row>
        <row r="960">
          <cell r="O960">
            <v>37536</v>
          </cell>
          <cell r="P960">
            <v>1.00065231</v>
          </cell>
          <cell r="Q960">
            <v>1.9583921922162919</v>
          </cell>
        </row>
        <row r="961">
          <cell r="O961">
            <v>37537</v>
          </cell>
          <cell r="P961">
            <v>1.0006519700000001</v>
          </cell>
          <cell r="Q961">
            <v>1.9596690051738512</v>
          </cell>
        </row>
        <row r="962">
          <cell r="O962">
            <v>37538</v>
          </cell>
          <cell r="P962">
            <v>1.0006516299999999</v>
          </cell>
          <cell r="Q962">
            <v>1.9609459842876924</v>
          </cell>
        </row>
        <row r="963">
          <cell r="O963">
            <v>37539</v>
          </cell>
          <cell r="P963">
            <v>1.0006516299999999</v>
          </cell>
          <cell r="Q963">
            <v>1.9622237955194335</v>
          </cell>
        </row>
        <row r="964">
          <cell r="O964">
            <v>37540</v>
          </cell>
          <cell r="P964">
            <v>1.0006519700000001</v>
          </cell>
          <cell r="Q964">
            <v>1.9635031065673985</v>
          </cell>
        </row>
        <row r="965">
          <cell r="O965">
            <v>37543</v>
          </cell>
          <cell r="P965">
            <v>1.0006516299999999</v>
          </cell>
          <cell r="Q965">
            <v>1.9647825840967308</v>
          </cell>
        </row>
        <row r="966">
          <cell r="O966">
            <v>37544</v>
          </cell>
          <cell r="P966">
            <v>1.0006529799999999</v>
          </cell>
          <cell r="Q966">
            <v>1.9660655478284941</v>
          </cell>
        </row>
        <row r="967">
          <cell r="O967">
            <v>37545</v>
          </cell>
          <cell r="P967">
            <v>1.00075245</v>
          </cell>
          <cell r="Q967">
            <v>1.9675449138499577</v>
          </cell>
        </row>
        <row r="968">
          <cell r="O968">
            <v>37546</v>
          </cell>
          <cell r="P968">
            <v>1.00075212</v>
          </cell>
          <cell r="Q968">
            <v>1.9690247437305626</v>
          </cell>
        </row>
        <row r="969">
          <cell r="O969">
            <v>37547</v>
          </cell>
          <cell r="P969">
            <v>1.00075146</v>
          </cell>
          <cell r="Q969">
            <v>1.9705043870644865</v>
          </cell>
        </row>
        <row r="970">
          <cell r="O970">
            <v>37550</v>
          </cell>
          <cell r="P970">
            <v>1.00075146</v>
          </cell>
          <cell r="Q970">
            <v>1.97198514229119</v>
          </cell>
        </row>
        <row r="971">
          <cell r="O971">
            <v>37551</v>
          </cell>
          <cell r="P971">
            <v>1.00075146</v>
          </cell>
          <cell r="Q971">
            <v>1.9734670102462162</v>
          </cell>
        </row>
        <row r="972">
          <cell r="O972">
            <v>37552</v>
          </cell>
          <cell r="P972">
            <v>1.00075113</v>
          </cell>
          <cell r="Q972">
            <v>1.9749493405216225</v>
          </cell>
        </row>
        <row r="973">
          <cell r="O973">
            <v>37553</v>
          </cell>
          <cell r="P973">
            <v>1.00075048</v>
          </cell>
          <cell r="Q973">
            <v>1.9764315005026971</v>
          </cell>
        </row>
        <row r="974">
          <cell r="O974">
            <v>37554</v>
          </cell>
          <cell r="P974">
            <v>1.0007508000000001</v>
          </cell>
          <cell r="Q974">
            <v>1.9779154052732746</v>
          </cell>
        </row>
        <row r="975">
          <cell r="O975">
            <v>37557</v>
          </cell>
          <cell r="P975">
            <v>1.00075048</v>
          </cell>
          <cell r="Q975">
            <v>1.9793997912266241</v>
          </cell>
        </row>
        <row r="976">
          <cell r="O976">
            <v>37558</v>
          </cell>
          <cell r="P976">
            <v>1.00075048</v>
          </cell>
          <cell r="Q976">
            <v>1.9808852911819439</v>
          </cell>
        </row>
        <row r="977">
          <cell r="O977">
            <v>37559</v>
          </cell>
          <cell r="P977">
            <v>1.00074982</v>
          </cell>
          <cell r="Q977">
            <v>1.9823705985909779</v>
          </cell>
        </row>
        <row r="978">
          <cell r="O978">
            <v>37560</v>
          </cell>
          <cell r="P978">
            <v>1.00075048</v>
          </cell>
          <cell r="Q978">
            <v>1.9838583280778084</v>
          </cell>
        </row>
        <row r="979">
          <cell r="O979">
            <v>37561</v>
          </cell>
          <cell r="P979">
            <v>1.00074982</v>
          </cell>
          <cell r="Q979">
            <v>1.9853458647293678</v>
          </cell>
        </row>
        <row r="980">
          <cell r="O980">
            <v>37564</v>
          </cell>
          <cell r="P980">
            <v>1.00075015</v>
          </cell>
          <cell r="Q980">
            <v>1.9868351719297945</v>
          </cell>
        </row>
        <row r="981">
          <cell r="O981">
            <v>37565</v>
          </cell>
          <cell r="P981">
            <v>1.00075048</v>
          </cell>
          <cell r="Q981">
            <v>1.9883262519896243</v>
          </cell>
        </row>
        <row r="982">
          <cell r="O982">
            <v>37566</v>
          </cell>
          <cell r="P982">
            <v>1.0007508000000001</v>
          </cell>
          <cell r="Q982">
            <v>1.9898190873396182</v>
          </cell>
        </row>
        <row r="983">
          <cell r="O983">
            <v>37567</v>
          </cell>
          <cell r="P983">
            <v>1.00075113</v>
          </cell>
          <cell r="Q983">
            <v>1.9913137001506918</v>
          </cell>
        </row>
        <row r="984">
          <cell r="O984">
            <v>37568</v>
          </cell>
          <cell r="P984">
            <v>1.00075113</v>
          </cell>
          <cell r="Q984">
            <v>1.9928094356102861</v>
          </cell>
        </row>
        <row r="985">
          <cell r="O985">
            <v>37571</v>
          </cell>
          <cell r="P985">
            <v>1.00075113</v>
          </cell>
          <cell r="Q985">
            <v>1.9943062945616561</v>
          </cell>
        </row>
        <row r="986">
          <cell r="O986">
            <v>37572</v>
          </cell>
          <cell r="P986">
            <v>1.0007508000000001</v>
          </cell>
          <cell r="Q986">
            <v>1.995803619727613</v>
          </cell>
        </row>
        <row r="987">
          <cell r="O987">
            <v>37573</v>
          </cell>
          <cell r="P987">
            <v>1.0007508000000001</v>
          </cell>
          <cell r="Q987">
            <v>1.9973020690853045</v>
          </cell>
        </row>
        <row r="988">
          <cell r="O988">
            <v>37574</v>
          </cell>
          <cell r="P988">
            <v>1.00074982</v>
          </cell>
          <cell r="Q988">
            <v>1.9987996861227462</v>
          </cell>
        </row>
        <row r="989">
          <cell r="O989">
            <v>37578</v>
          </cell>
          <cell r="P989">
            <v>1.00074982</v>
          </cell>
          <cell r="Q989">
            <v>2.0002984261033947</v>
          </cell>
        </row>
        <row r="990">
          <cell r="O990">
            <v>37579</v>
          </cell>
          <cell r="P990">
            <v>1.00074949</v>
          </cell>
          <cell r="Q990">
            <v>2.0017976297707749</v>
          </cell>
        </row>
        <row r="991">
          <cell r="O991">
            <v>37580</v>
          </cell>
          <cell r="P991">
            <v>1.00074949</v>
          </cell>
          <cell r="Q991">
            <v>2.0032979570763119</v>
          </cell>
        </row>
        <row r="992">
          <cell r="O992">
            <v>37581</v>
          </cell>
          <cell r="P992">
            <v>1.00074982</v>
          </cell>
          <cell r="Q992">
            <v>2.0048000699504867</v>
          </cell>
        </row>
        <row r="993">
          <cell r="O993">
            <v>37582</v>
          </cell>
          <cell r="P993">
            <v>1.0007763599999999</v>
          </cell>
          <cell r="Q993">
            <v>2.0063565165327932</v>
          </cell>
        </row>
        <row r="994">
          <cell r="O994">
            <v>37585</v>
          </cell>
          <cell r="P994">
            <v>1.0007796200000001</v>
          </cell>
          <cell r="Q994">
            <v>2.0079207122002125</v>
          </cell>
        </row>
        <row r="995">
          <cell r="O995">
            <v>37586</v>
          </cell>
          <cell r="P995">
            <v>1.0007819099999999</v>
          </cell>
          <cell r="Q995">
            <v>2.0094907254842886</v>
          </cell>
        </row>
        <row r="996">
          <cell r="O996">
            <v>37587</v>
          </cell>
          <cell r="P996">
            <v>1.00078354</v>
          </cell>
          <cell r="Q996">
            <v>2.0110652418473345</v>
          </cell>
        </row>
        <row r="997">
          <cell r="O997">
            <v>37588</v>
          </cell>
          <cell r="P997">
            <v>1.0007838600000001</v>
          </cell>
          <cell r="Q997">
            <v>2.0126416354478089</v>
          </cell>
        </row>
        <row r="998">
          <cell r="O998">
            <v>37589</v>
          </cell>
          <cell r="P998">
            <v>1.00078321</v>
          </cell>
          <cell r="Q998">
            <v>2.0142179565031082</v>
          </cell>
        </row>
        <row r="999">
          <cell r="O999">
            <v>37592</v>
          </cell>
          <cell r="P999">
            <v>1.0007812599999999</v>
          </cell>
          <cell r="Q999">
            <v>2.0157915844238055</v>
          </cell>
        </row>
        <row r="1000">
          <cell r="O1000">
            <v>37593</v>
          </cell>
          <cell r="P1000">
            <v>1.00078321</v>
          </cell>
          <cell r="Q1000">
            <v>2.017370372550642</v>
          </cell>
        </row>
        <row r="1001">
          <cell r="O1001">
            <v>37594</v>
          </cell>
          <cell r="P1001">
            <v>1.0007841900000001</v>
          </cell>
          <cell r="Q1001">
            <v>2.0189523742230926</v>
          </cell>
        </row>
        <row r="1002">
          <cell r="O1002">
            <v>37595</v>
          </cell>
          <cell r="P1002">
            <v>1.0007838600000001</v>
          </cell>
          <cell r="Q1002">
            <v>2.0205349502311512</v>
          </cell>
        </row>
        <row r="1003">
          <cell r="O1003">
            <v>37596</v>
          </cell>
          <cell r="P1003">
            <v>1.0007841900000001</v>
          </cell>
          <cell r="Q1003">
            <v>2.0221194335337729</v>
          </cell>
        </row>
        <row r="1004">
          <cell r="O1004">
            <v>37599</v>
          </cell>
          <cell r="P1004">
            <v>1.0007841900000001</v>
          </cell>
          <cell r="Q1004">
            <v>2.0237051593723558</v>
          </cell>
        </row>
        <row r="1005">
          <cell r="O1005">
            <v>37600</v>
          </cell>
          <cell r="P1005">
            <v>1.00078354</v>
          </cell>
          <cell r="Q1005">
            <v>2.0252908133129304</v>
          </cell>
        </row>
        <row r="1006">
          <cell r="O1006">
            <v>37601</v>
          </cell>
          <cell r="P1006">
            <v>1.00078289</v>
          </cell>
          <cell r="Q1006">
            <v>2.0268763932377647</v>
          </cell>
        </row>
        <row r="1007">
          <cell r="O1007">
            <v>37602</v>
          </cell>
          <cell r="P1007">
            <v>1.0007815799999999</v>
          </cell>
          <cell r="Q1007">
            <v>2.0284605592891913</v>
          </cell>
        </row>
        <row r="1008">
          <cell r="O1008">
            <v>37603</v>
          </cell>
          <cell r="P1008">
            <v>1.0007812599999999</v>
          </cell>
          <cell r="Q1008">
            <v>2.0300453143857413</v>
          </cell>
        </row>
        <row r="1009">
          <cell r="O1009">
            <v>37606</v>
          </cell>
          <cell r="P1009">
            <v>1.0007809299999999</v>
          </cell>
          <cell r="Q1009">
            <v>2.0316306376731044</v>
          </cell>
        </row>
        <row r="1010">
          <cell r="O1010">
            <v>37607</v>
          </cell>
          <cell r="P1010">
            <v>1.0007809299999999</v>
          </cell>
          <cell r="Q1010">
            <v>2.0332171989869821</v>
          </cell>
        </row>
        <row r="1011">
          <cell r="O1011">
            <v>37608</v>
          </cell>
          <cell r="P1011">
            <v>1.0007805999999999</v>
          </cell>
          <cell r="Q1011">
            <v>2.0348043283325112</v>
          </cell>
        </row>
        <row r="1012">
          <cell r="O1012">
            <v>37609</v>
          </cell>
          <cell r="P1012">
            <v>1.0007805999999999</v>
          </cell>
          <cell r="Q1012">
            <v>2.0363926965912076</v>
          </cell>
        </row>
        <row r="1013">
          <cell r="O1013">
            <v>37610</v>
          </cell>
          <cell r="P1013">
            <v>1.00087729</v>
          </cell>
          <cell r="Q1013">
            <v>2.0381792035399999</v>
          </cell>
        </row>
        <row r="1014">
          <cell r="O1014">
            <v>37613</v>
          </cell>
          <cell r="P1014">
            <v>1.0008779299999999</v>
          </cell>
          <cell r="Q1014">
            <v>2.0399685822081635</v>
          </cell>
        </row>
        <row r="1015">
          <cell r="O1015">
            <v>37614</v>
          </cell>
          <cell r="P1015">
            <v>1.00087825</v>
          </cell>
          <cell r="Q1015">
            <v>2.0417601846154878</v>
          </cell>
        </row>
        <row r="1016">
          <cell r="O1016">
            <v>37616</v>
          </cell>
          <cell r="P1016">
            <v>1.00087729</v>
          </cell>
          <cell r="Q1016">
            <v>2.043551400407849</v>
          </cell>
        </row>
        <row r="1017">
          <cell r="O1017">
            <v>37617</v>
          </cell>
          <cell r="P1017">
            <v>1.0008776100000001</v>
          </cell>
          <cell r="Q1017">
            <v>2.0453448415523612</v>
          </cell>
        </row>
        <row r="1018">
          <cell r="O1018">
            <v>37620</v>
          </cell>
          <cell r="P1018">
            <v>1.00087857</v>
          </cell>
          <cell r="Q1018">
            <v>2.0471418201698039</v>
          </cell>
        </row>
        <row r="1019">
          <cell r="O1019">
            <v>37621</v>
          </cell>
          <cell r="P1019">
            <v>1.0008798400000001</v>
          </cell>
          <cell r="Q1019">
            <v>2.0489429774288621</v>
          </cell>
        </row>
        <row r="1020">
          <cell r="O1020">
            <v>37623</v>
          </cell>
          <cell r="P1020">
            <v>1.00088048</v>
          </cell>
          <cell r="Q1020">
            <v>2.0507470307416287</v>
          </cell>
        </row>
        <row r="1021">
          <cell r="O1021">
            <v>37624</v>
          </cell>
          <cell r="P1021">
            <v>1.0008801599999999</v>
          </cell>
          <cell r="Q1021">
            <v>2.0525520162482058</v>
          </cell>
        </row>
        <row r="1022">
          <cell r="O1022">
            <v>37627</v>
          </cell>
          <cell r="P1022">
            <v>1.0008798400000001</v>
          </cell>
          <cell r="Q1022">
            <v>2.054357933614182</v>
          </cell>
        </row>
        <row r="1023">
          <cell r="O1023">
            <v>37628</v>
          </cell>
          <cell r="P1023">
            <v>1.00088048</v>
          </cell>
          <cell r="Q1023">
            <v>2.0561667546875704</v>
          </cell>
        </row>
        <row r="1024">
          <cell r="O1024">
            <v>37629</v>
          </cell>
          <cell r="P1024">
            <v>1.00088048</v>
          </cell>
          <cell r="Q1024">
            <v>2.0579771683917376</v>
          </cell>
        </row>
        <row r="1025">
          <cell r="O1025">
            <v>37630</v>
          </cell>
          <cell r="P1025">
            <v>1.0008801599999999</v>
          </cell>
          <cell r="Q1025">
            <v>2.0597885175762691</v>
          </cell>
        </row>
        <row r="1026">
          <cell r="O1026">
            <v>37631</v>
          </cell>
          <cell r="P1026">
            <v>1.0008798400000001</v>
          </cell>
          <cell r="Q1026">
            <v>2.0616008019055734</v>
          </cell>
        </row>
        <row r="1027">
          <cell r="O1027">
            <v>37634</v>
          </cell>
          <cell r="P1027">
            <v>1.0008798400000001</v>
          </cell>
          <cell r="Q1027">
            <v>2.0634146807551224</v>
          </cell>
        </row>
        <row r="1028">
          <cell r="O1028">
            <v>37635</v>
          </cell>
          <cell r="P1028">
            <v>1.00087952</v>
          </cell>
          <cell r="Q1028">
            <v>2.06522949523514</v>
          </cell>
        </row>
        <row r="1029">
          <cell r="O1029">
            <v>37636</v>
          </cell>
          <cell r="P1029">
            <v>1.0008798400000001</v>
          </cell>
          <cell r="Q1029">
            <v>2.0670465667542279</v>
          </cell>
        </row>
        <row r="1030">
          <cell r="O1030">
            <v>37637</v>
          </cell>
          <cell r="P1030">
            <v>1.00088048</v>
          </cell>
          <cell r="Q1030">
            <v>2.0688665599153238</v>
          </cell>
        </row>
        <row r="1031">
          <cell r="O1031">
            <v>37638</v>
          </cell>
          <cell r="P1031">
            <v>1.0008811099999999</v>
          </cell>
          <cell r="Q1031">
            <v>2.0706894589299307</v>
          </cell>
        </row>
        <row r="1032">
          <cell r="O1032">
            <v>37641</v>
          </cell>
          <cell r="P1032">
            <v>1.0008811099999999</v>
          </cell>
          <cell r="Q1032">
            <v>2.0725139641190884</v>
          </cell>
        </row>
        <row r="1033">
          <cell r="O1033">
            <v>37642</v>
          </cell>
          <cell r="P1033">
            <v>1.0008808</v>
          </cell>
          <cell r="Q1033">
            <v>2.0743394344186847</v>
          </cell>
        </row>
        <row r="1034">
          <cell r="O1034">
            <v>37643</v>
          </cell>
          <cell r="P1034">
            <v>1.0008808</v>
          </cell>
          <cell r="Q1034">
            <v>2.0761665125925206</v>
          </cell>
        </row>
        <row r="1035">
          <cell r="O1035">
            <v>37644</v>
          </cell>
          <cell r="P1035">
            <v>1.0008811099999999</v>
          </cell>
          <cell r="Q1035">
            <v>2.0779958436684307</v>
          </cell>
        </row>
        <row r="1036">
          <cell r="O1036">
            <v>37645</v>
          </cell>
          <cell r="P1036">
            <v>1.0008947699999999</v>
          </cell>
          <cell r="Q1036">
            <v>2.0798551720094696</v>
          </cell>
        </row>
        <row r="1037">
          <cell r="O1037">
            <v>37648</v>
          </cell>
          <cell r="P1037">
            <v>1.00089604</v>
          </cell>
          <cell r="Q1037">
            <v>2.0817188054377969</v>
          </cell>
        </row>
        <row r="1038">
          <cell r="O1038">
            <v>37649</v>
          </cell>
          <cell r="P1038">
            <v>1.0008963500000001</v>
          </cell>
          <cell r="Q1038">
            <v>2.0835847540890513</v>
          </cell>
        </row>
        <row r="1039">
          <cell r="O1039">
            <v>37650</v>
          </cell>
          <cell r="P1039">
            <v>1.0008928699999999</v>
          </cell>
          <cell r="Q1039">
            <v>2.0854451244084347</v>
          </cell>
        </row>
        <row r="1040">
          <cell r="O1040">
            <v>37651</v>
          </cell>
          <cell r="P1040">
            <v>1.0008957199999999</v>
          </cell>
          <cell r="Q1040">
            <v>2.0873130993152698</v>
          </cell>
        </row>
        <row r="1041">
          <cell r="O1041">
            <v>37652</v>
          </cell>
          <cell r="P1041">
            <v>1.0008963500000001</v>
          </cell>
          <cell r="Q1041">
            <v>2.0891840624118414</v>
          </cell>
        </row>
        <row r="1042">
          <cell r="O1042">
            <v>37655</v>
          </cell>
          <cell r="P1042">
            <v>1.0008947699999999</v>
          </cell>
          <cell r="Q1042">
            <v>2.0910534016353655</v>
          </cell>
        </row>
        <row r="1043">
          <cell r="O1043">
            <v>37656</v>
          </cell>
          <cell r="P1043">
            <v>1.0008963500000001</v>
          </cell>
          <cell r="Q1043">
            <v>2.0929277173519214</v>
          </cell>
        </row>
        <row r="1044">
          <cell r="O1044">
            <v>37657</v>
          </cell>
          <cell r="P1044">
            <v>1.00089699</v>
          </cell>
          <cell r="Q1044">
            <v>2.0948050525851087</v>
          </cell>
        </row>
        <row r="1045">
          <cell r="O1045">
            <v>37658</v>
          </cell>
          <cell r="P1045">
            <v>1.0008976199999999</v>
          </cell>
          <cell r="Q1045">
            <v>2.0966853914964099</v>
          </cell>
        </row>
        <row r="1046">
          <cell r="O1046">
            <v>37659</v>
          </cell>
          <cell r="P1046">
            <v>1.0008976199999999</v>
          </cell>
          <cell r="Q1046">
            <v>2.0985674182375247</v>
          </cell>
        </row>
        <row r="1047">
          <cell r="O1047">
            <v>37662</v>
          </cell>
          <cell r="P1047">
            <v>1.00089699</v>
          </cell>
          <cell r="Q1047">
            <v>2.1004498122260093</v>
          </cell>
        </row>
        <row r="1048">
          <cell r="O1048">
            <v>37663</v>
          </cell>
          <cell r="P1048">
            <v>1.0008966699999999</v>
          </cell>
          <cell r="Q1048">
            <v>2.102333222559138</v>
          </cell>
        </row>
        <row r="1049">
          <cell r="O1049">
            <v>37664</v>
          </cell>
          <cell r="P1049">
            <v>1.0008963500000001</v>
          </cell>
          <cell r="Q1049">
            <v>2.104217648943179</v>
          </cell>
        </row>
        <row r="1050">
          <cell r="O1050">
            <v>37665</v>
          </cell>
          <cell r="P1050">
            <v>1.0008947699999999</v>
          </cell>
          <cell r="Q1050">
            <v>2.1061004397689236</v>
          </cell>
        </row>
        <row r="1051">
          <cell r="O1051">
            <v>37666</v>
          </cell>
          <cell r="P1051">
            <v>1.0008944500000001</v>
          </cell>
          <cell r="Q1051">
            <v>2.1079842413072751</v>
          </cell>
        </row>
        <row r="1052">
          <cell r="O1052">
            <v>37669</v>
          </cell>
          <cell r="P1052">
            <v>1.00089509</v>
          </cell>
          <cell r="Q1052">
            <v>2.1098710769218267</v>
          </cell>
        </row>
        <row r="1053">
          <cell r="O1053">
            <v>37670</v>
          </cell>
          <cell r="P1053">
            <v>1.00089604</v>
          </cell>
          <cell r="Q1053">
            <v>2.1117616058015916</v>
          </cell>
        </row>
        <row r="1054">
          <cell r="O1054">
            <v>37671</v>
          </cell>
          <cell r="P1054">
            <v>1.00089509</v>
          </cell>
          <cell r="Q1054">
            <v>2.1136518224973284</v>
          </cell>
        </row>
        <row r="1055">
          <cell r="O1055">
            <v>37672</v>
          </cell>
          <cell r="P1055">
            <v>1.0008954000000001</v>
          </cell>
          <cell r="Q1055">
            <v>2.115544386339193</v>
          </cell>
        </row>
        <row r="1056">
          <cell r="O1056">
            <v>37673</v>
          </cell>
          <cell r="P1056">
            <v>1.0009197400000001</v>
          </cell>
          <cell r="Q1056">
            <v>2.1174901371330845</v>
          </cell>
        </row>
        <row r="1057">
          <cell r="O1057">
            <v>37676</v>
          </cell>
          <cell r="P1057">
            <v>1.00092352</v>
          </cell>
          <cell r="Q1057">
            <v>2.1194456816245295</v>
          </cell>
        </row>
        <row r="1058">
          <cell r="O1058">
            <v>37677</v>
          </cell>
          <cell r="P1058">
            <v>1.00092446</v>
          </cell>
          <cell r="Q1058">
            <v>2.1214050243793641</v>
          </cell>
        </row>
        <row r="1059">
          <cell r="O1059">
            <v>37678</v>
          </cell>
          <cell r="P1059">
            <v>1.0009247699999999</v>
          </cell>
          <cell r="Q1059">
            <v>2.123366836103759</v>
          </cell>
        </row>
        <row r="1060">
          <cell r="O1060">
            <v>37679</v>
          </cell>
          <cell r="P1060">
            <v>1.0009247699999999</v>
          </cell>
          <cell r="Q1060">
            <v>2.1253304620527826</v>
          </cell>
        </row>
        <row r="1061">
          <cell r="O1061">
            <v>37680</v>
          </cell>
          <cell r="P1061">
            <v>1.00092509</v>
          </cell>
          <cell r="Q1061">
            <v>2.1272965840099229</v>
          </cell>
        </row>
        <row r="1062">
          <cell r="O1062">
            <v>37685</v>
          </cell>
          <cell r="P1062">
            <v>1.0009263500000001</v>
          </cell>
          <cell r="Q1062">
            <v>2.1292672052005206</v>
          </cell>
        </row>
        <row r="1063">
          <cell r="O1063">
            <v>37686</v>
          </cell>
          <cell r="P1063">
            <v>1.00092698</v>
          </cell>
          <cell r="Q1063">
            <v>2.1312409933143974</v>
          </cell>
        </row>
        <row r="1064">
          <cell r="O1064">
            <v>37687</v>
          </cell>
          <cell r="P1064">
            <v>1.00092666</v>
          </cell>
          <cell r="Q1064">
            <v>2.1332159290932622</v>
          </cell>
        </row>
        <row r="1065">
          <cell r="O1065">
            <v>37690</v>
          </cell>
          <cell r="P1065">
            <v>1.00092666</v>
          </cell>
          <cell r="Q1065">
            <v>2.1351926949661157</v>
          </cell>
        </row>
        <row r="1066">
          <cell r="O1066">
            <v>37691</v>
          </cell>
          <cell r="P1066">
            <v>1.00092761</v>
          </cell>
          <cell r="Q1066">
            <v>2.1371733210618933</v>
          </cell>
        </row>
        <row r="1067">
          <cell r="O1067">
            <v>37692</v>
          </cell>
          <cell r="P1067">
            <v>1.00092698</v>
          </cell>
          <cell r="Q1067">
            <v>2.1391544379870511</v>
          </cell>
        </row>
        <row r="1068">
          <cell r="O1068">
            <v>37693</v>
          </cell>
          <cell r="P1068">
            <v>1.00092666</v>
          </cell>
          <cell r="Q1068">
            <v>2.1411367068385561</v>
          </cell>
        </row>
        <row r="1069">
          <cell r="O1069">
            <v>37694</v>
          </cell>
          <cell r="P1069">
            <v>1.00092603</v>
          </cell>
          <cell r="Q1069">
            <v>2.1431194636631896</v>
          </cell>
        </row>
        <row r="1070">
          <cell r="O1070">
            <v>37697</v>
          </cell>
          <cell r="P1070">
            <v>1.00092603</v>
          </cell>
          <cell r="Q1070">
            <v>2.1451040565801258</v>
          </cell>
        </row>
        <row r="1071">
          <cell r="O1071">
            <v>37698</v>
          </cell>
          <cell r="P1071">
            <v>1.00092603</v>
          </cell>
          <cell r="Q1071">
            <v>2.1470904872896406</v>
          </cell>
        </row>
        <row r="1072">
          <cell r="O1072">
            <v>37699</v>
          </cell>
          <cell r="P1072">
            <v>1.00092509</v>
          </cell>
          <cell r="Q1072">
            <v>2.1490767392285273</v>
          </cell>
        </row>
        <row r="1073">
          <cell r="O1073">
            <v>37700</v>
          </cell>
          <cell r="P1073">
            <v>1.0009247699999999</v>
          </cell>
          <cell r="Q1073">
            <v>2.1510641409246634</v>
          </cell>
        </row>
        <row r="1074">
          <cell r="O1074">
            <v>37701</v>
          </cell>
          <cell r="P1074">
            <v>1.00092509</v>
          </cell>
          <cell r="Q1074">
            <v>2.1530540688507913</v>
          </cell>
        </row>
        <row r="1075">
          <cell r="O1075">
            <v>37704</v>
          </cell>
          <cell r="P1075">
            <v>1.0009247699999999</v>
          </cell>
          <cell r="Q1075">
            <v>2.1550451486620421</v>
          </cell>
        </row>
        <row r="1076">
          <cell r="O1076">
            <v>37705</v>
          </cell>
          <cell r="P1076">
            <v>1.00092446</v>
          </cell>
          <cell r="Q1076">
            <v>2.1570374017001743</v>
          </cell>
        </row>
        <row r="1077">
          <cell r="O1077">
            <v>37706</v>
          </cell>
          <cell r="P1077">
            <v>1.00092352</v>
          </cell>
          <cell r="Q1077">
            <v>2.1590294688813922</v>
          </cell>
        </row>
        <row r="1078">
          <cell r="O1078">
            <v>37707</v>
          </cell>
          <cell r="P1078">
            <v>1.0009238300000001</v>
          </cell>
          <cell r="Q1078">
            <v>2.1610240450756293</v>
          </cell>
        </row>
        <row r="1079">
          <cell r="O1079">
            <v>37708</v>
          </cell>
          <cell r="P1079">
            <v>1.00092352</v>
          </cell>
          <cell r="Q1079">
            <v>2.1630197940017375</v>
          </cell>
        </row>
        <row r="1080">
          <cell r="O1080">
            <v>37711</v>
          </cell>
          <cell r="P1080">
            <v>1.00092446</v>
          </cell>
          <cell r="Q1080">
            <v>2.1650194192805006</v>
          </cell>
        </row>
        <row r="1081">
          <cell r="O1081">
            <v>37712</v>
          </cell>
          <cell r="P1081">
            <v>1.0009247699999999</v>
          </cell>
          <cell r="Q1081">
            <v>2.1670215642888686</v>
          </cell>
        </row>
        <row r="1082">
          <cell r="O1082">
            <v>37713</v>
          </cell>
          <cell r="P1082">
            <v>1.0009241499999999</v>
          </cell>
          <cell r="Q1082">
            <v>2.169024217267506</v>
          </cell>
        </row>
        <row r="1083">
          <cell r="O1083">
            <v>37714</v>
          </cell>
          <cell r="P1083">
            <v>1.0009241499999999</v>
          </cell>
          <cell r="Q1083">
            <v>2.1710287209978936</v>
          </cell>
        </row>
        <row r="1084">
          <cell r="O1084">
            <v>37715</v>
          </cell>
          <cell r="P1084">
            <v>1.0009241499999999</v>
          </cell>
          <cell r="Q1084">
            <v>2.1730350771904035</v>
          </cell>
        </row>
        <row r="1085">
          <cell r="O1085">
            <v>37718</v>
          </cell>
          <cell r="P1085">
            <v>1.0009241499999999</v>
          </cell>
          <cell r="Q1085">
            <v>2.1750432875569889</v>
          </cell>
        </row>
        <row r="1086">
          <cell r="O1086">
            <v>37719</v>
          </cell>
          <cell r="P1086">
            <v>1.00092446</v>
          </cell>
          <cell r="Q1086">
            <v>2.177054028074604</v>
          </cell>
        </row>
        <row r="1087">
          <cell r="O1087">
            <v>37720</v>
          </cell>
          <cell r="P1087">
            <v>1.00092446</v>
          </cell>
          <cell r="Q1087">
            <v>2.1790666274413981</v>
          </cell>
        </row>
        <row r="1088">
          <cell r="O1088">
            <v>37721</v>
          </cell>
          <cell r="P1088">
            <v>1.0009241499999999</v>
          </cell>
          <cell r="Q1088">
            <v>2.1810804118651479</v>
          </cell>
        </row>
        <row r="1089">
          <cell r="O1089">
            <v>37722</v>
          </cell>
          <cell r="P1089">
            <v>1.00092352</v>
          </cell>
          <cell r="Q1089">
            <v>2.1830946832471136</v>
          </cell>
        </row>
        <row r="1090">
          <cell r="O1090">
            <v>37725</v>
          </cell>
          <cell r="P1090">
            <v>1.0009238300000001</v>
          </cell>
          <cell r="Q1090">
            <v>2.1851114916083381</v>
          </cell>
        </row>
        <row r="1091">
          <cell r="O1091">
            <v>37726</v>
          </cell>
          <cell r="P1091">
            <v>1.0009238300000001</v>
          </cell>
          <cell r="Q1091">
            <v>2.1871301631576308</v>
          </cell>
        </row>
        <row r="1092">
          <cell r="O1092">
            <v>37727</v>
          </cell>
          <cell r="P1092">
            <v>1.0009241499999999</v>
          </cell>
          <cell r="Q1092">
            <v>2.1891513994979128</v>
          </cell>
        </row>
        <row r="1093">
          <cell r="O1093">
            <v>37728</v>
          </cell>
          <cell r="P1093">
            <v>1.00092603</v>
          </cell>
          <cell r="Q1093">
            <v>2.1911786193683898</v>
          </cell>
        </row>
        <row r="1094">
          <cell r="O1094">
            <v>37733</v>
          </cell>
          <cell r="P1094">
            <v>1.00092666</v>
          </cell>
          <cell r="Q1094">
            <v>2.1932090969478137</v>
          </cell>
        </row>
        <row r="1095">
          <cell r="O1095">
            <v>37734</v>
          </cell>
          <cell r="P1095">
            <v>1.0009263500000001</v>
          </cell>
          <cell r="Q1095">
            <v>2.1952407761947716</v>
          </cell>
        </row>
        <row r="1096">
          <cell r="O1096">
            <v>37735</v>
          </cell>
          <cell r="P1096">
            <v>1.0009263500000001</v>
          </cell>
          <cell r="Q1096">
            <v>2.1972743374877997</v>
          </cell>
        </row>
        <row r="1097">
          <cell r="O1097">
            <v>37736</v>
          </cell>
          <cell r="P1097">
            <v>1.0009254000000001</v>
          </cell>
          <cell r="Q1097">
            <v>2.1993076951597113</v>
          </cell>
        </row>
        <row r="1098">
          <cell r="O1098">
            <v>37739</v>
          </cell>
          <cell r="P1098">
            <v>1.00092446</v>
          </cell>
          <cell r="Q1098">
            <v>2.2013408671515786</v>
          </cell>
        </row>
        <row r="1099">
          <cell r="O1099">
            <v>37740</v>
          </cell>
          <cell r="P1099">
            <v>1.0009247699999999</v>
          </cell>
          <cell r="Q1099">
            <v>2.203376601145294</v>
          </cell>
        </row>
        <row r="1100">
          <cell r="O1100">
            <v>37741</v>
          </cell>
          <cell r="P1100">
            <v>1.0009247699999999</v>
          </cell>
          <cell r="Q1100">
            <v>2.2054142177247349</v>
          </cell>
        </row>
        <row r="1101">
          <cell r="O1101">
            <v>37743</v>
          </cell>
          <cell r="P1101">
            <v>1.0009263500000001</v>
          </cell>
          <cell r="Q1101">
            <v>2.2074572031853243</v>
          </cell>
        </row>
        <row r="1102">
          <cell r="O1102">
            <v>37746</v>
          </cell>
          <cell r="P1102">
            <v>1.00092666</v>
          </cell>
          <cell r="Q1102">
            <v>2.2095027654772279</v>
          </cell>
        </row>
        <row r="1103">
          <cell r="O1103">
            <v>37747</v>
          </cell>
          <cell r="P1103">
            <v>1.0009263500000001</v>
          </cell>
          <cell r="Q1103">
            <v>2.2115495383640278</v>
          </cell>
        </row>
        <row r="1104">
          <cell r="O1104">
            <v>37748</v>
          </cell>
          <cell r="P1104">
            <v>1.0009254000000001</v>
          </cell>
          <cell r="Q1104">
            <v>2.2135961063068299</v>
          </cell>
        </row>
        <row r="1105">
          <cell r="O1105">
            <v>37749</v>
          </cell>
          <cell r="P1105">
            <v>1.00092509</v>
          </cell>
          <cell r="Q1105">
            <v>2.2156438819288131</v>
          </cell>
        </row>
        <row r="1106">
          <cell r="O1106">
            <v>37750</v>
          </cell>
          <cell r="P1106">
            <v>1.0009247699999999</v>
          </cell>
          <cell r="Q1106">
            <v>2.2176928429215041</v>
          </cell>
        </row>
        <row r="1107">
          <cell r="O1107">
            <v>37753</v>
          </cell>
          <cell r="P1107">
            <v>1.0009247699999999</v>
          </cell>
          <cell r="Q1107">
            <v>2.2197436987318526</v>
          </cell>
        </row>
        <row r="1108">
          <cell r="O1108">
            <v>37754</v>
          </cell>
          <cell r="P1108">
            <v>1.00092446</v>
          </cell>
          <cell r="Q1108">
            <v>2.2217957629915821</v>
          </cell>
        </row>
        <row r="1109">
          <cell r="O1109">
            <v>37755</v>
          </cell>
          <cell r="P1109">
            <v>1.0009241499999999</v>
          </cell>
          <cell r="Q1109">
            <v>2.2238490355459506</v>
          </cell>
        </row>
        <row r="1110">
          <cell r="O1110">
            <v>37756</v>
          </cell>
          <cell r="P1110">
            <v>1.0009247699999999</v>
          </cell>
          <cell r="Q1110">
            <v>2.2259055844185522</v>
          </cell>
        </row>
        <row r="1111">
          <cell r="O1111">
            <v>37757</v>
          </cell>
          <cell r="P1111">
            <v>1.0009238300000001</v>
          </cell>
          <cell r="Q1111">
            <v>2.2279619427746056</v>
          </cell>
        </row>
        <row r="1112">
          <cell r="O1112">
            <v>37760</v>
          </cell>
          <cell r="P1112">
            <v>1.0009254000000001</v>
          </cell>
          <cell r="Q1112">
            <v>2.2300236987564492</v>
          </cell>
        </row>
        <row r="1113">
          <cell r="O1113">
            <v>37761</v>
          </cell>
          <cell r="P1113">
            <v>1.0009257199999999</v>
          </cell>
          <cell r="Q1113">
            <v>2.2320880762948621</v>
          </cell>
        </row>
        <row r="1114">
          <cell r="O1114">
            <v>37762</v>
          </cell>
          <cell r="P1114">
            <v>1.00092509</v>
          </cell>
          <cell r="Q1114">
            <v>2.2341529586533615</v>
          </cell>
        </row>
        <row r="1115">
          <cell r="O1115">
            <v>37763</v>
          </cell>
          <cell r="P1115">
            <v>1.0009238300000001</v>
          </cell>
          <cell r="Q1115">
            <v>2.2362169361811546</v>
          </cell>
        </row>
        <row r="1116">
          <cell r="O1116">
            <v>37764</v>
          </cell>
          <cell r="P1116">
            <v>1.0009231999999999</v>
          </cell>
          <cell r="Q1116">
            <v>2.238281411656637</v>
          </cell>
        </row>
        <row r="1117">
          <cell r="O1117">
            <v>37767</v>
          </cell>
          <cell r="P1117">
            <v>1.00092352</v>
          </cell>
          <cell r="Q1117">
            <v>2.2403485093059299</v>
          </cell>
        </row>
        <row r="1118">
          <cell r="O1118">
            <v>37768</v>
          </cell>
          <cell r="P1118">
            <v>1.00092352</v>
          </cell>
          <cell r="Q1118">
            <v>2.2424175159612441</v>
          </cell>
        </row>
        <row r="1119">
          <cell r="O1119">
            <v>37769</v>
          </cell>
          <cell r="P1119">
            <v>1.0009231999999999</v>
          </cell>
          <cell r="Q1119">
            <v>2.2444877158119794</v>
          </cell>
        </row>
        <row r="1120">
          <cell r="O1120">
            <v>37770</v>
          </cell>
          <cell r="P1120">
            <v>1.00092289</v>
          </cell>
          <cell r="Q1120">
            <v>2.246559131080025</v>
          </cell>
        </row>
        <row r="1121">
          <cell r="O1121">
            <v>37771</v>
          </cell>
          <cell r="P1121">
            <v>1.0009231999999999</v>
          </cell>
          <cell r="Q1121">
            <v>2.2486331544698377</v>
          </cell>
        </row>
        <row r="1122">
          <cell r="O1122">
            <v>37774</v>
          </cell>
          <cell r="P1122">
            <v>1.0009231999999999</v>
          </cell>
          <cell r="Q1122">
            <v>2.250709092598044</v>
          </cell>
        </row>
        <row r="1123">
          <cell r="O1123">
            <v>37775</v>
          </cell>
          <cell r="P1123">
            <v>1.00092352</v>
          </cell>
          <cell r="Q1123">
            <v>2.25278766745924</v>
          </cell>
        </row>
        <row r="1124">
          <cell r="O1124">
            <v>37776</v>
          </cell>
          <cell r="P1124">
            <v>1.0009238300000001</v>
          </cell>
          <cell r="Q1124">
            <v>2.2548688602900691</v>
          </cell>
        </row>
        <row r="1125">
          <cell r="O1125">
            <v>37777</v>
          </cell>
          <cell r="P1125">
            <v>1.0009231999999999</v>
          </cell>
          <cell r="Q1125">
            <v>2.2569505552218887</v>
          </cell>
        </row>
        <row r="1126">
          <cell r="O1126">
            <v>37778</v>
          </cell>
          <cell r="P1126">
            <v>1.00092352</v>
          </cell>
          <cell r="Q1126">
            <v>2.2590348941986473</v>
          </cell>
        </row>
        <row r="1127">
          <cell r="O1127">
            <v>37781</v>
          </cell>
          <cell r="P1127">
            <v>1.0009231999999999</v>
          </cell>
          <cell r="Q1127">
            <v>2.2611204352129715</v>
          </cell>
        </row>
        <row r="1128">
          <cell r="O1128">
            <v>37782</v>
          </cell>
          <cell r="P1128">
            <v>1.0009231999999999</v>
          </cell>
          <cell r="Q1128">
            <v>2.2632079015987601</v>
          </cell>
        </row>
        <row r="1129">
          <cell r="O1129">
            <v>37783</v>
          </cell>
          <cell r="P1129">
            <v>1.0009231999999999</v>
          </cell>
          <cell r="Q1129">
            <v>2.2652972951335157</v>
          </cell>
        </row>
        <row r="1130">
          <cell r="O1130">
            <v>37784</v>
          </cell>
          <cell r="P1130">
            <v>1.00092289</v>
          </cell>
          <cell r="Q1130">
            <v>2.2673879153542216</v>
          </cell>
        </row>
        <row r="1131">
          <cell r="O1131">
            <v>37785</v>
          </cell>
          <cell r="P1131">
            <v>1.00092257</v>
          </cell>
          <cell r="Q1131">
            <v>2.2694797394232897</v>
          </cell>
        </row>
        <row r="1132">
          <cell r="O1132">
            <v>37788</v>
          </cell>
          <cell r="P1132">
            <v>1.00092257</v>
          </cell>
          <cell r="Q1132">
            <v>2.2715734933464895</v>
          </cell>
        </row>
        <row r="1133">
          <cell r="O1133">
            <v>37789</v>
          </cell>
          <cell r="P1133">
            <v>1.00092257</v>
          </cell>
          <cell r="Q1133">
            <v>2.273669178904246</v>
          </cell>
        </row>
        <row r="1134">
          <cell r="O1134">
            <v>37790</v>
          </cell>
          <cell r="P1134">
            <v>1.00092257</v>
          </cell>
          <cell r="Q1134">
            <v>2.2757667978786276</v>
          </cell>
        </row>
        <row r="1135">
          <cell r="O1135">
            <v>37792</v>
          </cell>
          <cell r="P1135">
            <v>1.00092194</v>
          </cell>
          <cell r="Q1135">
            <v>2.2778649183202639</v>
          </cell>
        </row>
        <row r="1136">
          <cell r="O1136">
            <v>37795</v>
          </cell>
          <cell r="P1136">
            <v>1.0009068000000001</v>
          </cell>
          <cell r="Q1136">
            <v>2.2799304862281971</v>
          </cell>
        </row>
        <row r="1137">
          <cell r="O1137">
            <v>37796</v>
          </cell>
          <cell r="P1137">
            <v>1.00090648</v>
          </cell>
          <cell r="Q1137">
            <v>2.2819971976153535</v>
          </cell>
        </row>
        <row r="1138">
          <cell r="O1138">
            <v>37797</v>
          </cell>
          <cell r="P1138">
            <v>1.0009068000000001</v>
          </cell>
          <cell r="Q1138">
            <v>2.2840665126741513</v>
          </cell>
        </row>
        <row r="1139">
          <cell r="O1139">
            <v>37798</v>
          </cell>
          <cell r="P1139">
            <v>1.0009068000000001</v>
          </cell>
          <cell r="Q1139">
            <v>2.2861377041878446</v>
          </cell>
        </row>
        <row r="1140">
          <cell r="O1140">
            <v>37799</v>
          </cell>
          <cell r="P1140">
            <v>1.0009068000000001</v>
          </cell>
          <cell r="Q1140">
            <v>2.2882107738580024</v>
          </cell>
        </row>
        <row r="1141">
          <cell r="O1141">
            <v>37802</v>
          </cell>
          <cell r="P1141">
            <v>1.00090711</v>
          </cell>
          <cell r="Q1141">
            <v>2.2902864327330765</v>
          </cell>
        </row>
        <row r="1142">
          <cell r="O1142">
            <v>37803</v>
          </cell>
          <cell r="P1142">
            <v>1.00090743</v>
          </cell>
          <cell r="Q1142">
            <v>2.2923647073507314</v>
          </cell>
        </row>
        <row r="1143">
          <cell r="O1143">
            <v>37804</v>
          </cell>
          <cell r="P1143">
            <v>1.00090648</v>
          </cell>
          <cell r="Q1143">
            <v>2.2944426901106509</v>
          </cell>
        </row>
        <row r="1144">
          <cell r="O1144">
            <v>37805</v>
          </cell>
          <cell r="P1144">
            <v>1.00090648</v>
          </cell>
          <cell r="Q1144">
            <v>2.2965225565203826</v>
          </cell>
        </row>
        <row r="1145">
          <cell r="O1145">
            <v>37806</v>
          </cell>
          <cell r="P1145">
            <v>1.0009061699999999</v>
          </cell>
          <cell r="Q1145">
            <v>2.2986035963654246</v>
          </cell>
        </row>
        <row r="1146">
          <cell r="O1146">
            <v>37809</v>
          </cell>
          <cell r="P1146">
            <v>1.0009058500000001</v>
          </cell>
          <cell r="Q1146">
            <v>2.3006857864331924</v>
          </cell>
        </row>
        <row r="1147">
          <cell r="O1147">
            <v>37810</v>
          </cell>
          <cell r="P1147">
            <v>1.00090553</v>
          </cell>
          <cell r="Q1147">
            <v>2.3027691264333812</v>
          </cell>
        </row>
        <row r="1148">
          <cell r="O1148">
            <v>37811</v>
          </cell>
          <cell r="P1148">
            <v>1.0009058500000001</v>
          </cell>
          <cell r="Q1148">
            <v>2.3048550898465612</v>
          </cell>
        </row>
        <row r="1149">
          <cell r="O1149">
            <v>37812</v>
          </cell>
          <cell r="P1149">
            <v>1.0009058500000001</v>
          </cell>
          <cell r="Q1149">
            <v>2.306942942829699</v>
          </cell>
        </row>
        <row r="1150">
          <cell r="O1150">
            <v>37813</v>
          </cell>
          <cell r="P1150">
            <v>1.0009052199999999</v>
          </cell>
          <cell r="Q1150">
            <v>2.3090312337204071</v>
          </cell>
        </row>
        <row r="1151">
          <cell r="O1151">
            <v>37816</v>
          </cell>
          <cell r="P1151">
            <v>1.0009052199999999</v>
          </cell>
          <cell r="Q1151">
            <v>2.3111214149737953</v>
          </cell>
        </row>
        <row r="1152">
          <cell r="O1152">
            <v>37817</v>
          </cell>
          <cell r="P1152">
            <v>1.00090553</v>
          </cell>
          <cell r="Q1152">
            <v>2.3132142047486965</v>
          </cell>
        </row>
        <row r="1153">
          <cell r="O1153">
            <v>37818</v>
          </cell>
          <cell r="P1153">
            <v>1.0009058500000001</v>
          </cell>
          <cell r="Q1153">
            <v>2.3153096298360683</v>
          </cell>
        </row>
        <row r="1154">
          <cell r="O1154">
            <v>37819</v>
          </cell>
          <cell r="P1154">
            <v>1.00090553</v>
          </cell>
          <cell r="Q1154">
            <v>2.317406212165174</v>
          </cell>
        </row>
        <row r="1155">
          <cell r="O1155">
            <v>37820</v>
          </cell>
          <cell r="P1155">
            <v>1.0009049000000001</v>
          </cell>
          <cell r="Q1155">
            <v>2.3195032330465626</v>
          </cell>
        </row>
        <row r="1156">
          <cell r="O1156">
            <v>37823</v>
          </cell>
          <cell r="P1156">
            <v>1.0009058500000001</v>
          </cell>
          <cell r="Q1156">
            <v>2.3216043550502179</v>
          </cell>
        </row>
        <row r="1157">
          <cell r="O1157">
            <v>37824</v>
          </cell>
          <cell r="P1157">
            <v>1.0009049000000001</v>
          </cell>
          <cell r="Q1157">
            <v>2.3237051748311033</v>
          </cell>
        </row>
        <row r="1158">
          <cell r="O1158">
            <v>37825</v>
          </cell>
          <cell r="P1158">
            <v>1.0009042699999999</v>
          </cell>
          <cell r="Q1158">
            <v>2.3258064317095477</v>
          </cell>
        </row>
        <row r="1159">
          <cell r="O1159">
            <v>37826</v>
          </cell>
          <cell r="P1159">
            <v>1.00090364</v>
          </cell>
          <cell r="Q1159">
            <v>2.3279081234334975</v>
          </cell>
        </row>
        <row r="1160">
          <cell r="O1160">
            <v>37827</v>
          </cell>
          <cell r="P1160">
            <v>1.0008597400000001</v>
          </cell>
          <cell r="Q1160">
            <v>2.3299095191635386</v>
          </cell>
        </row>
        <row r="1161">
          <cell r="O1161">
            <v>37830</v>
          </cell>
          <cell r="P1161">
            <v>1.0008600599999999</v>
          </cell>
          <cell r="Q1161">
            <v>2.3319133811445902</v>
          </cell>
        </row>
        <row r="1162">
          <cell r="O1162">
            <v>37831</v>
          </cell>
          <cell r="P1162">
            <v>1.0008597400000001</v>
          </cell>
          <cell r="Q1162">
            <v>2.3339182203548958</v>
          </cell>
        </row>
        <row r="1163">
          <cell r="O1163">
            <v>37832</v>
          </cell>
          <cell r="P1163">
            <v>1.0008597400000001</v>
          </cell>
          <cell r="Q1163">
            <v>2.3359247832056642</v>
          </cell>
        </row>
        <row r="1164">
          <cell r="O1164">
            <v>37833</v>
          </cell>
          <cell r="P1164">
            <v>1.0008600599999999</v>
          </cell>
          <cell r="Q1164">
            <v>2.3379338186747081</v>
          </cell>
        </row>
        <row r="1165">
          <cell r="O1165">
            <v>37834</v>
          </cell>
          <cell r="P1165">
            <v>1.0008607</v>
          </cell>
          <cell r="Q1165">
            <v>2.3399460783124413</v>
          </cell>
        </row>
        <row r="1166">
          <cell r="O1166">
            <v>37837</v>
          </cell>
          <cell r="P1166">
            <v>1.0008607</v>
          </cell>
          <cell r="Q1166">
            <v>2.3419600699020449</v>
          </cell>
        </row>
        <row r="1167">
          <cell r="O1167">
            <v>37838</v>
          </cell>
          <cell r="P1167">
            <v>1.00086166</v>
          </cell>
          <cell r="Q1167">
            <v>2.3439780432158765</v>
          </cell>
        </row>
        <row r="1168">
          <cell r="O1168">
            <v>37839</v>
          </cell>
          <cell r="P1168">
            <v>1.00086166</v>
          </cell>
          <cell r="Q1168">
            <v>2.3459977553365938</v>
          </cell>
        </row>
        <row r="1169">
          <cell r="O1169">
            <v>37840</v>
          </cell>
          <cell r="P1169">
            <v>1.00086166</v>
          </cell>
          <cell r="Q1169">
            <v>2.3480192077624573</v>
          </cell>
        </row>
        <row r="1170">
          <cell r="O1170">
            <v>37841</v>
          </cell>
          <cell r="P1170">
            <v>1.0008610200000001</v>
          </cell>
          <cell r="Q1170">
            <v>2.3500408992607253</v>
          </cell>
        </row>
        <row r="1171">
          <cell r="O1171">
            <v>37844</v>
          </cell>
          <cell r="P1171">
            <v>1.00086166</v>
          </cell>
          <cell r="Q1171">
            <v>2.3520658355019823</v>
          </cell>
        </row>
        <row r="1172">
          <cell r="O1172">
            <v>37845</v>
          </cell>
          <cell r="P1172">
            <v>1.00086198</v>
          </cell>
          <cell r="Q1172">
            <v>2.3540932692108685</v>
          </cell>
        </row>
        <row r="1173">
          <cell r="O1173">
            <v>37846</v>
          </cell>
          <cell r="P1173">
            <v>1.00086198</v>
          </cell>
          <cell r="Q1173">
            <v>2.3561224505270628</v>
          </cell>
        </row>
        <row r="1174">
          <cell r="O1174">
            <v>37847</v>
          </cell>
          <cell r="P1174">
            <v>1.0008613399999999</v>
          </cell>
          <cell r="Q1174">
            <v>2.3581518730385995</v>
          </cell>
        </row>
        <row r="1175">
          <cell r="O1175">
            <v>37848</v>
          </cell>
          <cell r="P1175">
            <v>1.00086038</v>
          </cell>
          <cell r="Q1175">
            <v>2.3601807797471244</v>
          </cell>
        </row>
        <row r="1176">
          <cell r="O1176">
            <v>37851</v>
          </cell>
          <cell r="P1176">
            <v>1.00086038</v>
          </cell>
          <cell r="Q1176">
            <v>2.3622114320864034</v>
          </cell>
        </row>
        <row r="1177">
          <cell r="O1177">
            <v>37852</v>
          </cell>
          <cell r="P1177">
            <v>1.0008607</v>
          </cell>
          <cell r="Q1177">
            <v>2.3642445874660001</v>
          </cell>
        </row>
        <row r="1178">
          <cell r="O1178">
            <v>37853</v>
          </cell>
          <cell r="P1178">
            <v>1.00086038</v>
          </cell>
          <cell r="Q1178">
            <v>2.3662787362241642</v>
          </cell>
        </row>
        <row r="1179">
          <cell r="O1179">
            <v>37854</v>
          </cell>
          <cell r="P1179">
            <v>1.00084982</v>
          </cell>
          <cell r="Q1179">
            <v>2.3682896472197821</v>
          </cell>
        </row>
        <row r="1180">
          <cell r="O1180">
            <v>37855</v>
          </cell>
          <cell r="P1180">
            <v>1.0007799500000001</v>
          </cell>
          <cell r="Q1180">
            <v>2.3701367947301315</v>
          </cell>
        </row>
        <row r="1181">
          <cell r="O1181">
            <v>37858</v>
          </cell>
          <cell r="P1181">
            <v>1.00077897</v>
          </cell>
          <cell r="Q1181">
            <v>2.3719830601891227</v>
          </cell>
        </row>
        <row r="1182">
          <cell r="O1182">
            <v>37859</v>
          </cell>
          <cell r="P1182">
            <v>1.00077865</v>
          </cell>
          <cell r="Q1182">
            <v>2.3738300047989389</v>
          </cell>
        </row>
        <row r="1183">
          <cell r="O1183">
            <v>37860</v>
          </cell>
          <cell r="P1183">
            <v>1.00077832</v>
          </cell>
          <cell r="Q1183">
            <v>2.3756776041682741</v>
          </cell>
        </row>
        <row r="1184">
          <cell r="O1184">
            <v>37861</v>
          </cell>
          <cell r="P1184">
            <v>1.0007793</v>
          </cell>
          <cell r="Q1184">
            <v>2.3775289697252027</v>
          </cell>
        </row>
        <row r="1185">
          <cell r="O1185">
            <v>37862</v>
          </cell>
          <cell r="P1185">
            <v>1.0007796200000001</v>
          </cell>
          <cell r="Q1185">
            <v>2.3793825388605803</v>
          </cell>
        </row>
        <row r="1186">
          <cell r="O1186">
            <v>37865</v>
          </cell>
          <cell r="P1186">
            <v>1.0007793</v>
          </cell>
          <cell r="Q1186">
            <v>2.3812367916731145</v>
          </cell>
        </row>
        <row r="1187">
          <cell r="O1187">
            <v>37866</v>
          </cell>
          <cell r="P1187">
            <v>1.0007793</v>
          </cell>
          <cell r="Q1187">
            <v>2.3830924895048655</v>
          </cell>
        </row>
        <row r="1188">
          <cell r="O1188">
            <v>37867</v>
          </cell>
          <cell r="P1188">
            <v>1.0007793</v>
          </cell>
          <cell r="Q1188">
            <v>2.3849496334819369</v>
          </cell>
        </row>
        <row r="1189">
          <cell r="O1189">
            <v>37868</v>
          </cell>
          <cell r="P1189">
            <v>1.0007796200000001</v>
          </cell>
          <cell r="Q1189">
            <v>2.3868089879151921</v>
          </cell>
        </row>
        <row r="1190">
          <cell r="O1190">
            <v>37869</v>
          </cell>
          <cell r="P1190">
            <v>1.0007796200000001</v>
          </cell>
          <cell r="Q1190">
            <v>2.3886697919383506</v>
          </cell>
        </row>
        <row r="1191">
          <cell r="O1191">
            <v>37872</v>
          </cell>
          <cell r="P1191">
            <v>1.0007799500000001</v>
          </cell>
          <cell r="Q1191">
            <v>2.3905328349425732</v>
          </cell>
        </row>
        <row r="1192">
          <cell r="O1192">
            <v>37873</v>
          </cell>
          <cell r="P1192">
            <v>1.0007799500000001</v>
          </cell>
          <cell r="Q1192">
            <v>2.3923973310271869</v>
          </cell>
        </row>
        <row r="1193">
          <cell r="O1193">
            <v>37874</v>
          </cell>
          <cell r="P1193">
            <v>1.0007802800000001</v>
          </cell>
          <cell r="Q1193">
            <v>2.3942640708166412</v>
          </cell>
        </row>
        <row r="1194">
          <cell r="O1194">
            <v>37875</v>
          </cell>
          <cell r="P1194">
            <v>1.0007802800000001</v>
          </cell>
          <cell r="Q1194">
            <v>2.3961322671858181</v>
          </cell>
        </row>
        <row r="1195">
          <cell r="O1195">
            <v>37876</v>
          </cell>
          <cell r="P1195">
            <v>1.0007802800000001</v>
          </cell>
          <cell r="Q1195">
            <v>2.3980019212712582</v>
          </cell>
        </row>
        <row r="1196">
          <cell r="O1196">
            <v>37879</v>
          </cell>
          <cell r="P1196">
            <v>1.0007805999999999</v>
          </cell>
          <cell r="Q1196">
            <v>2.3998738015710024</v>
          </cell>
        </row>
        <row r="1197">
          <cell r="O1197">
            <v>37880</v>
          </cell>
          <cell r="P1197">
            <v>1.0007799500000001</v>
          </cell>
          <cell r="Q1197">
            <v>2.4017455831425378</v>
          </cell>
        </row>
        <row r="1198">
          <cell r="O1198">
            <v>37881</v>
          </cell>
          <cell r="P1198">
            <v>1.00077865</v>
          </cell>
          <cell r="Q1198">
            <v>2.4036157023408515</v>
          </cell>
        </row>
        <row r="1199">
          <cell r="O1199">
            <v>37882</v>
          </cell>
          <cell r="P1199">
            <v>1.0007760299999999</v>
          </cell>
          <cell r="Q1199">
            <v>2.4054809802343389</v>
          </cell>
        </row>
        <row r="1200">
          <cell r="O1200">
            <v>37883</v>
          </cell>
          <cell r="P1200">
            <v>1.0007134900000001</v>
          </cell>
          <cell r="Q1200">
            <v>2.4071972668589265</v>
          </cell>
        </row>
        <row r="1201">
          <cell r="O1201">
            <v>37886</v>
          </cell>
          <cell r="P1201">
            <v>1.0007131600000001</v>
          </cell>
          <cell r="Q1201">
            <v>2.4089139836617597</v>
          </cell>
        </row>
        <row r="1202">
          <cell r="O1202">
            <v>37887</v>
          </cell>
          <cell r="P1202">
            <v>1.0007138200000001</v>
          </cell>
          <cell r="Q1202">
            <v>2.4106335146415772</v>
          </cell>
        </row>
        <row r="1203">
          <cell r="O1203">
            <v>37888</v>
          </cell>
          <cell r="P1203">
            <v>1.0007144800000001</v>
          </cell>
          <cell r="Q1203">
            <v>2.4123558640751184</v>
          </cell>
        </row>
        <row r="1204">
          <cell r="O1204">
            <v>37889</v>
          </cell>
          <cell r="P1204">
            <v>1.0007144800000001</v>
          </cell>
          <cell r="Q1204">
            <v>2.414079444092883</v>
          </cell>
        </row>
        <row r="1205">
          <cell r="O1205">
            <v>37890</v>
          </cell>
          <cell r="P1205">
            <v>1.0007141500000001</v>
          </cell>
          <cell r="Q1205">
            <v>2.4158034589278823</v>
          </cell>
        </row>
        <row r="1206">
          <cell r="O1206">
            <v>37893</v>
          </cell>
          <cell r="P1206">
            <v>1.0007141500000001</v>
          </cell>
          <cell r="Q1206">
            <v>2.4175287049680758</v>
          </cell>
        </row>
        <row r="1207">
          <cell r="O1207">
            <v>37894</v>
          </cell>
          <cell r="P1207">
            <v>1.0007141500000001</v>
          </cell>
          <cell r="Q1207">
            <v>2.4192551830927291</v>
          </cell>
        </row>
        <row r="1208">
          <cell r="O1208">
            <v>37895</v>
          </cell>
          <cell r="P1208">
            <v>1.0007141500000001</v>
          </cell>
          <cell r="Q1208">
            <v>2.4209828941817348</v>
          </cell>
        </row>
        <row r="1209">
          <cell r="O1209">
            <v>37896</v>
          </cell>
          <cell r="P1209">
            <v>1.0007144800000001</v>
          </cell>
          <cell r="Q1209">
            <v>2.4227126380399699</v>
          </cell>
        </row>
        <row r="1210">
          <cell r="O1210">
            <v>37897</v>
          </cell>
          <cell r="P1210">
            <v>1.0007148100000001</v>
          </cell>
          <cell r="Q1210">
            <v>2.4244444172607675</v>
          </cell>
        </row>
        <row r="1211">
          <cell r="O1211">
            <v>37900</v>
          </cell>
          <cell r="P1211">
            <v>1.0007148100000001</v>
          </cell>
          <cell r="Q1211">
            <v>2.42617743437467</v>
          </cell>
        </row>
        <row r="1212">
          <cell r="O1212">
            <v>37901</v>
          </cell>
          <cell r="P1212">
            <v>1.0007144800000001</v>
          </cell>
          <cell r="Q1212">
            <v>2.4279108896279822</v>
          </cell>
        </row>
        <row r="1213">
          <cell r="O1213">
            <v>37902</v>
          </cell>
          <cell r="P1213">
            <v>1.0007144800000001</v>
          </cell>
          <cell r="Q1213">
            <v>2.4296455834004038</v>
          </cell>
        </row>
        <row r="1214">
          <cell r="O1214">
            <v>37903</v>
          </cell>
          <cell r="P1214">
            <v>1.0007144800000001</v>
          </cell>
          <cell r="Q1214">
            <v>2.431381516576832</v>
          </cell>
        </row>
        <row r="1215">
          <cell r="O1215">
            <v>37904</v>
          </cell>
          <cell r="P1215">
            <v>1.0007141500000001</v>
          </cell>
          <cell r="Q1215">
            <v>2.4331178876868957</v>
          </cell>
        </row>
        <row r="1216">
          <cell r="O1216">
            <v>37907</v>
          </cell>
          <cell r="P1216">
            <v>1.0007148100000001</v>
          </cell>
          <cell r="Q1216">
            <v>2.4348571046841934</v>
          </cell>
        </row>
        <row r="1217">
          <cell r="O1217">
            <v>37908</v>
          </cell>
          <cell r="P1217">
            <v>1.00071515</v>
          </cell>
          <cell r="Q1217">
            <v>2.4365983927426083</v>
          </cell>
        </row>
        <row r="1218">
          <cell r="O1218">
            <v>37909</v>
          </cell>
          <cell r="P1218">
            <v>1.00071515</v>
          </cell>
          <cell r="Q1218">
            <v>2.4383409260831783</v>
          </cell>
        </row>
        <row r="1219">
          <cell r="O1219">
            <v>37910</v>
          </cell>
          <cell r="P1219">
            <v>1.00071515</v>
          </cell>
          <cell r="Q1219">
            <v>2.4400847055964667</v>
          </cell>
        </row>
        <row r="1220">
          <cell r="O1220">
            <v>37911</v>
          </cell>
          <cell r="P1220">
            <v>1.00071548</v>
          </cell>
          <cell r="Q1220">
            <v>2.4418305374016267</v>
          </cell>
        </row>
        <row r="1221">
          <cell r="O1221">
            <v>37914</v>
          </cell>
          <cell r="P1221">
            <v>1.00071581</v>
          </cell>
          <cell r="Q1221">
            <v>2.4435784241186043</v>
          </cell>
        </row>
        <row r="1222">
          <cell r="O1222">
            <v>37915</v>
          </cell>
          <cell r="P1222">
            <v>1.00071548</v>
          </cell>
          <cell r="Q1222">
            <v>2.4453267556094924</v>
          </cell>
        </row>
        <row r="1223">
          <cell r="O1223">
            <v>37916</v>
          </cell>
          <cell r="P1223">
            <v>1.0007148100000001</v>
          </cell>
          <cell r="Q1223">
            <v>2.4470746996276698</v>
          </cell>
        </row>
        <row r="1224">
          <cell r="O1224">
            <v>37917</v>
          </cell>
          <cell r="P1224">
            <v>1.0007134900000001</v>
          </cell>
          <cell r="Q1224">
            <v>2.4488206629551073</v>
          </cell>
        </row>
        <row r="1225">
          <cell r="O1225">
            <v>37918</v>
          </cell>
          <cell r="P1225">
            <v>1.00068117</v>
          </cell>
          <cell r="Q1225">
            <v>2.4504887261260926</v>
          </cell>
        </row>
        <row r="1226">
          <cell r="O1226">
            <v>37921</v>
          </cell>
          <cell r="P1226">
            <v>1.00068051</v>
          </cell>
          <cell r="Q1226">
            <v>2.4521563082091089</v>
          </cell>
        </row>
        <row r="1227">
          <cell r="O1227">
            <v>37922</v>
          </cell>
          <cell r="P1227">
            <v>1.00068051</v>
          </cell>
          <cell r="Q1227">
            <v>2.4538250250984084</v>
          </cell>
        </row>
        <row r="1228">
          <cell r="O1228">
            <v>37923</v>
          </cell>
          <cell r="P1228">
            <v>1.00068051</v>
          </cell>
          <cell r="Q1228">
            <v>2.4554948775662382</v>
          </cell>
        </row>
        <row r="1229">
          <cell r="O1229">
            <v>37924</v>
          </cell>
          <cell r="P1229">
            <v>1.0006818399999999</v>
          </cell>
          <cell r="Q1229">
            <v>2.4571691321935578</v>
          </cell>
        </row>
        <row r="1230">
          <cell r="O1230">
            <v>37925</v>
          </cell>
          <cell r="P1230">
            <v>1.0006818399999999</v>
          </cell>
          <cell r="Q1230">
            <v>2.4588445283946525</v>
          </cell>
        </row>
        <row r="1231">
          <cell r="O1231">
            <v>37928</v>
          </cell>
          <cell r="P1231">
            <v>1.0006821800000001</v>
          </cell>
          <cell r="Q1231">
            <v>2.4605219029550329</v>
          </cell>
        </row>
        <row r="1232">
          <cell r="O1232">
            <v>37929</v>
          </cell>
          <cell r="P1232">
            <v>1.0006818399999999</v>
          </cell>
          <cell r="Q1232">
            <v>2.4621995852093437</v>
          </cell>
        </row>
        <row r="1233">
          <cell r="O1233">
            <v>37930</v>
          </cell>
          <cell r="P1233">
            <v>1.0006821800000001</v>
          </cell>
          <cell r="Q1233">
            <v>2.4638792485223822</v>
          </cell>
        </row>
        <row r="1234">
          <cell r="O1234">
            <v>37931</v>
          </cell>
          <cell r="P1234">
            <v>1.0006825100000001</v>
          </cell>
          <cell r="Q1234">
            <v>2.4655608707482912</v>
          </cell>
        </row>
        <row r="1235">
          <cell r="O1235">
            <v>37932</v>
          </cell>
          <cell r="P1235">
            <v>1.0006825100000001</v>
          </cell>
          <cell r="Q1235">
            <v>2.4672436406981859</v>
          </cell>
        </row>
        <row r="1236">
          <cell r="O1236">
            <v>37935</v>
          </cell>
          <cell r="P1236">
            <v>1.0006821800000001</v>
          </cell>
          <cell r="Q1236">
            <v>2.4689267449649974</v>
          </cell>
        </row>
        <row r="1237">
          <cell r="O1237">
            <v>37936</v>
          </cell>
          <cell r="P1237">
            <v>1.0006821800000001</v>
          </cell>
          <cell r="Q1237">
            <v>2.4706109974118777</v>
          </cell>
        </row>
        <row r="1238">
          <cell r="O1238">
            <v>37937</v>
          </cell>
          <cell r="P1238">
            <v>1.0006821800000001</v>
          </cell>
          <cell r="Q1238">
            <v>2.4722963988220923</v>
          </cell>
        </row>
        <row r="1239">
          <cell r="O1239">
            <v>37938</v>
          </cell>
          <cell r="P1239">
            <v>1.0006825100000001</v>
          </cell>
          <cell r="Q1239">
            <v>2.4739837658372528</v>
          </cell>
        </row>
        <row r="1240">
          <cell r="O1240">
            <v>37939</v>
          </cell>
          <cell r="P1240">
            <v>1.0006825100000001</v>
          </cell>
          <cell r="Q1240">
            <v>2.4756722844972745</v>
          </cell>
        </row>
        <row r="1241">
          <cell r="O1241">
            <v>37942</v>
          </cell>
          <cell r="P1241">
            <v>1.0006825100000001</v>
          </cell>
          <cell r="Q1241">
            <v>2.477361955588167</v>
          </cell>
        </row>
        <row r="1242">
          <cell r="O1242">
            <v>37943</v>
          </cell>
          <cell r="P1242">
            <v>1.0006825100000001</v>
          </cell>
          <cell r="Q1242">
            <v>2.4790527798964757</v>
          </cell>
        </row>
        <row r="1243">
          <cell r="O1243">
            <v>37944</v>
          </cell>
          <cell r="P1243">
            <v>1.0006821800000001</v>
          </cell>
          <cell r="Q1243">
            <v>2.4807439401218656</v>
          </cell>
        </row>
        <row r="1244">
          <cell r="O1244">
            <v>37945</v>
          </cell>
          <cell r="P1244">
            <v>1.0006815099999999</v>
          </cell>
          <cell r="Q1244">
            <v>2.4824345919244979</v>
          </cell>
        </row>
        <row r="1245">
          <cell r="O1245">
            <v>37946</v>
          </cell>
          <cell r="P1245">
            <v>1.00063305</v>
          </cell>
          <cell r="Q1245">
            <v>2.4840060971429159</v>
          </cell>
        </row>
        <row r="1246">
          <cell r="O1246">
            <v>37949</v>
          </cell>
          <cell r="P1246">
            <v>1.00063272</v>
          </cell>
          <cell r="Q1246">
            <v>2.4855777774807004</v>
          </cell>
        </row>
        <row r="1247">
          <cell r="O1247">
            <v>37950</v>
          </cell>
          <cell r="P1247">
            <v>1.00063305</v>
          </cell>
          <cell r="Q1247">
            <v>2.4871512724927345</v>
          </cell>
        </row>
        <row r="1248">
          <cell r="O1248">
            <v>37951</v>
          </cell>
          <cell r="P1248">
            <v>1.0006323800000001</v>
          </cell>
          <cell r="Q1248">
            <v>2.4887240972144338</v>
          </cell>
        </row>
        <row r="1249">
          <cell r="O1249">
            <v>37952</v>
          </cell>
          <cell r="P1249">
            <v>1.0006323800000001</v>
          </cell>
          <cell r="Q1249">
            <v>2.4902979165590304</v>
          </cell>
        </row>
        <row r="1250">
          <cell r="O1250">
            <v>37953</v>
          </cell>
          <cell r="P1250">
            <v>1.0006320399999999</v>
          </cell>
          <cell r="Q1250">
            <v>2.4918718844542123</v>
          </cell>
        </row>
        <row r="1251">
          <cell r="O1251">
            <v>37956</v>
          </cell>
          <cell r="P1251">
            <v>1.0006317</v>
          </cell>
          <cell r="Q1251">
            <v>2.493445999923622</v>
          </cell>
        </row>
        <row r="1252">
          <cell r="O1252">
            <v>37957</v>
          </cell>
          <cell r="P1252">
            <v>1.0006310199999999</v>
          </cell>
          <cell r="Q1252">
            <v>2.4950194142184938</v>
          </cell>
        </row>
        <row r="1253">
          <cell r="O1253">
            <v>37958</v>
          </cell>
          <cell r="P1253">
            <v>1.00063035</v>
          </cell>
          <cell r="Q1253">
            <v>2.4965921497062467</v>
          </cell>
        </row>
        <row r="1254">
          <cell r="O1254">
            <v>37959</v>
          </cell>
          <cell r="P1254">
            <v>1.00063068</v>
          </cell>
          <cell r="Q1254">
            <v>2.4981667004432233</v>
          </cell>
        </row>
        <row r="1255">
          <cell r="O1255">
            <v>37960</v>
          </cell>
          <cell r="P1255">
            <v>1.00063068</v>
          </cell>
          <cell r="Q1255">
            <v>2.4997422442178587</v>
          </cell>
        </row>
        <row r="1256">
          <cell r="O1256">
            <v>37963</v>
          </cell>
          <cell r="P1256">
            <v>1.00063068</v>
          </cell>
          <cell r="Q1256">
            <v>2.5013187816564422</v>
          </cell>
        </row>
        <row r="1257">
          <cell r="O1257">
            <v>37964</v>
          </cell>
          <cell r="P1257">
            <v>1.0006310199999999</v>
          </cell>
          <cell r="Q1257">
            <v>2.5028971638340427</v>
          </cell>
        </row>
        <row r="1258">
          <cell r="O1258">
            <v>37965</v>
          </cell>
          <cell r="P1258">
            <v>1.00063068</v>
          </cell>
          <cell r="Q1258">
            <v>2.5044756910173294</v>
          </cell>
        </row>
        <row r="1259">
          <cell r="O1259">
            <v>37966</v>
          </cell>
          <cell r="P1259">
            <v>1.0006310199999999</v>
          </cell>
          <cell r="Q1259">
            <v>2.5060560652678747</v>
          </cell>
        </row>
        <row r="1260">
          <cell r="O1260">
            <v>37967</v>
          </cell>
          <cell r="P1260">
            <v>1.00063035</v>
          </cell>
          <cell r="Q1260">
            <v>2.5076357577086164</v>
          </cell>
        </row>
        <row r="1261">
          <cell r="O1261">
            <v>37970</v>
          </cell>
          <cell r="P1261">
            <v>1.0006300100000001</v>
          </cell>
          <cell r="Q1261">
            <v>2.5092155933123306</v>
          </cell>
        </row>
        <row r="1262">
          <cell r="O1262">
            <v>37971</v>
          </cell>
          <cell r="P1262">
            <v>1.0006300100000001</v>
          </cell>
          <cell r="Q1262">
            <v>2.5107964242282734</v>
          </cell>
        </row>
        <row r="1263">
          <cell r="O1263">
            <v>37972</v>
          </cell>
          <cell r="P1263">
            <v>1.0006296699999999</v>
          </cell>
          <cell r="Q1263">
            <v>2.5123773974127168</v>
          </cell>
        </row>
        <row r="1264">
          <cell r="O1264">
            <v>37973</v>
          </cell>
          <cell r="P1264">
            <v>1.00062933</v>
          </cell>
          <cell r="Q1264">
            <v>2.5139585118802303</v>
          </cell>
        </row>
        <row r="1265">
          <cell r="O1265">
            <v>37974</v>
          </cell>
          <cell r="P1265">
            <v>1.0005959799999999</v>
          </cell>
          <cell r="Q1265">
            <v>2.5154567808741404</v>
          </cell>
        </row>
        <row r="1266">
          <cell r="O1266">
            <v>37977</v>
          </cell>
          <cell r="P1266">
            <v>1.0005970099999999</v>
          </cell>
          <cell r="Q1266">
            <v>2.5169585337268896</v>
          </cell>
        </row>
        <row r="1267">
          <cell r="O1267">
            <v>37978</v>
          </cell>
          <cell r="P1267">
            <v>1.0005970099999999</v>
          </cell>
          <cell r="Q1267">
            <v>2.5184611831411097</v>
          </cell>
        </row>
        <row r="1268">
          <cell r="O1268">
            <v>37979</v>
          </cell>
          <cell r="P1268">
            <v>1.0005973500000001</v>
          </cell>
          <cell r="Q1268">
            <v>2.5199655859288592</v>
          </cell>
        </row>
        <row r="1269">
          <cell r="O1269">
            <v>37981</v>
          </cell>
          <cell r="P1269">
            <v>1.0005970099999999</v>
          </cell>
          <cell r="Q1269">
            <v>2.5214700305833144</v>
          </cell>
        </row>
        <row r="1270">
          <cell r="O1270">
            <v>37984</v>
          </cell>
          <cell r="P1270">
            <v>1.00059667</v>
          </cell>
          <cell r="Q1270">
            <v>2.5229745161064625</v>
          </cell>
        </row>
        <row r="1271">
          <cell r="O1271">
            <v>37985</v>
          </cell>
          <cell r="P1271">
            <v>1.0005970099999999</v>
          </cell>
          <cell r="Q1271">
            <v>2.5244807571223231</v>
          </cell>
        </row>
        <row r="1272">
          <cell r="O1272">
            <v>37986</v>
          </cell>
          <cell r="P1272">
            <v>1.0005973500000001</v>
          </cell>
          <cell r="Q1272">
            <v>2.5259887557025902</v>
          </cell>
        </row>
        <row r="1273">
          <cell r="O1273">
            <v>37988</v>
          </cell>
          <cell r="P1273">
            <v>1.0005983700000001</v>
          </cell>
          <cell r="Q1273">
            <v>2.52750023159434</v>
          </cell>
        </row>
        <row r="1274">
          <cell r="O1274">
            <v>37991</v>
          </cell>
          <cell r="P1274">
            <v>1.0005980299999999</v>
          </cell>
          <cell r="Q1274">
            <v>2.5290117525578402</v>
          </cell>
        </row>
        <row r="1275">
          <cell r="O1275">
            <v>37992</v>
          </cell>
          <cell r="P1275">
            <v>1.00059769</v>
          </cell>
          <cell r="Q1275">
            <v>2.5305233175922264</v>
          </cell>
        </row>
        <row r="1276">
          <cell r="O1276">
            <v>37993</v>
          </cell>
          <cell r="P1276">
            <v>1.0005973500000001</v>
          </cell>
          <cell r="Q1276">
            <v>2.5320349256959904</v>
          </cell>
        </row>
        <row r="1277">
          <cell r="O1277">
            <v>37994</v>
          </cell>
          <cell r="P1277">
            <v>1.0005970099999999</v>
          </cell>
          <cell r="Q1277">
            <v>2.5335465758669797</v>
          </cell>
        </row>
        <row r="1278">
          <cell r="O1278">
            <v>37995</v>
          </cell>
          <cell r="P1278">
            <v>1.00059667</v>
          </cell>
          <cell r="Q1278">
            <v>2.5350582671024022</v>
          </cell>
        </row>
        <row r="1279">
          <cell r="O1279">
            <v>37998</v>
          </cell>
          <cell r="P1279">
            <v>1.00059667</v>
          </cell>
          <cell r="Q1279">
            <v>2.5365708603186343</v>
          </cell>
        </row>
        <row r="1280">
          <cell r="O1280">
            <v>37999</v>
          </cell>
          <cell r="P1280">
            <v>1.00059667</v>
          </cell>
          <cell r="Q1280">
            <v>2.5380843560538606</v>
          </cell>
        </row>
        <row r="1281">
          <cell r="O1281">
            <v>38000</v>
          </cell>
          <cell r="P1281">
            <v>1.00059667</v>
          </cell>
          <cell r="Q1281">
            <v>2.5395987548465873</v>
          </cell>
        </row>
        <row r="1282">
          <cell r="O1282">
            <v>38001</v>
          </cell>
          <cell r="P1282">
            <v>1.00059667</v>
          </cell>
          <cell r="Q1282">
            <v>2.5411140572356414</v>
          </cell>
        </row>
        <row r="1283">
          <cell r="O1283">
            <v>38002</v>
          </cell>
          <cell r="P1283">
            <v>1.0005963200000001</v>
          </cell>
          <cell r="Q1283">
            <v>2.5426293743702524</v>
          </cell>
        </row>
        <row r="1284">
          <cell r="O1284">
            <v>38005</v>
          </cell>
          <cell r="P1284">
            <v>1.0005959799999999</v>
          </cell>
          <cell r="Q1284">
            <v>2.5441447306247893</v>
          </cell>
        </row>
        <row r="1285">
          <cell r="O1285">
            <v>38006</v>
          </cell>
          <cell r="P1285">
            <v>1.0005959799999999</v>
          </cell>
          <cell r="Q1285">
            <v>2.5456609900013469</v>
          </cell>
        </row>
        <row r="1286">
          <cell r="O1286">
            <v>38007</v>
          </cell>
          <cell r="P1286">
            <v>1.0005959799999999</v>
          </cell>
          <cell r="Q1286">
            <v>2.5471781530381676</v>
          </cell>
        </row>
        <row r="1287">
          <cell r="O1287">
            <v>38008</v>
          </cell>
          <cell r="P1287">
            <v>1.0005959799999999</v>
          </cell>
          <cell r="Q1287">
            <v>2.5486962202738153</v>
          </cell>
        </row>
        <row r="1288">
          <cell r="O1288">
            <v>38009</v>
          </cell>
          <cell r="P1288">
            <v>1.0005970099999999</v>
          </cell>
          <cell r="Q1288">
            <v>2.5502178174042807</v>
          </cell>
        </row>
        <row r="1289">
          <cell r="O1289">
            <v>38012</v>
          </cell>
          <cell r="P1289">
            <v>1.0005973500000001</v>
          </cell>
          <cell r="Q1289">
            <v>2.5517411900175073</v>
          </cell>
        </row>
        <row r="1290">
          <cell r="O1290">
            <v>38013</v>
          </cell>
          <cell r="P1290">
            <v>1.0005970099999999</v>
          </cell>
          <cell r="Q1290">
            <v>2.5532646050253596</v>
          </cell>
        </row>
        <row r="1291">
          <cell r="O1291">
            <v>38014</v>
          </cell>
          <cell r="P1291">
            <v>1.0005970099999999</v>
          </cell>
          <cell r="Q1291">
            <v>2.5547889295272057</v>
          </cell>
        </row>
        <row r="1292">
          <cell r="O1292">
            <v>38015</v>
          </cell>
          <cell r="P1292">
            <v>1.0005963200000001</v>
          </cell>
          <cell r="Q1292">
            <v>2.5563124012616618</v>
          </cell>
        </row>
        <row r="1293">
          <cell r="O1293">
            <v>38016</v>
          </cell>
          <cell r="P1293">
            <v>1.00059564</v>
          </cell>
          <cell r="Q1293">
            <v>2.5578350431803494</v>
          </cell>
        </row>
        <row r="1294">
          <cell r="O1294">
            <v>38019</v>
          </cell>
          <cell r="P1294">
            <v>1.00059667</v>
          </cell>
          <cell r="Q1294">
            <v>2.5593612266155636</v>
          </cell>
        </row>
        <row r="1295">
          <cell r="O1295">
            <v>38020</v>
          </cell>
          <cell r="P1295">
            <v>1.00059667</v>
          </cell>
          <cell r="Q1295">
            <v>2.5608883206786484</v>
          </cell>
        </row>
        <row r="1296">
          <cell r="O1296">
            <v>38021</v>
          </cell>
          <cell r="P1296">
            <v>1.00059667</v>
          </cell>
          <cell r="Q1296">
            <v>2.5624163259129475</v>
          </cell>
        </row>
        <row r="1297">
          <cell r="O1297">
            <v>38022</v>
          </cell>
          <cell r="P1297">
            <v>1.00059667</v>
          </cell>
          <cell r="Q1297">
            <v>2.5639452428621299</v>
          </cell>
        </row>
        <row r="1298">
          <cell r="O1298">
            <v>38023</v>
          </cell>
          <cell r="P1298">
            <v>1.00059667</v>
          </cell>
          <cell r="Q1298">
            <v>2.5654750720701882</v>
          </cell>
        </row>
        <row r="1299">
          <cell r="O1299">
            <v>38026</v>
          </cell>
          <cell r="P1299">
            <v>1.0005963200000001</v>
          </cell>
          <cell r="Q1299">
            <v>2.5670049161651654</v>
          </cell>
        </row>
        <row r="1300">
          <cell r="O1300">
            <v>38027</v>
          </cell>
          <cell r="P1300">
            <v>1.0005959799999999</v>
          </cell>
          <cell r="Q1300">
            <v>2.5685347997551013</v>
          </cell>
        </row>
        <row r="1301">
          <cell r="O1301">
            <v>38028</v>
          </cell>
          <cell r="P1301">
            <v>1.00059564</v>
          </cell>
          <cell r="Q1301">
            <v>2.5700647218232273</v>
          </cell>
        </row>
        <row r="1302">
          <cell r="O1302">
            <v>38029</v>
          </cell>
          <cell r="P1302">
            <v>1.0005953000000001</v>
          </cell>
          <cell r="Q1302">
            <v>2.5715946813521291</v>
          </cell>
        </row>
        <row r="1303">
          <cell r="O1303">
            <v>38030</v>
          </cell>
          <cell r="P1303">
            <v>1.0005959799999999</v>
          </cell>
          <cell r="Q1303">
            <v>2.573127300350321</v>
          </cell>
        </row>
        <row r="1304">
          <cell r="O1304">
            <v>38033</v>
          </cell>
          <cell r="P1304">
            <v>1.0005970099999999</v>
          </cell>
          <cell r="Q1304">
            <v>2.5746634830799029</v>
          </cell>
        </row>
        <row r="1305">
          <cell r="O1305">
            <v>38034</v>
          </cell>
          <cell r="P1305">
            <v>1.0005973500000001</v>
          </cell>
          <cell r="Q1305">
            <v>2.5762014583115209</v>
          </cell>
        </row>
        <row r="1306">
          <cell r="O1306">
            <v>38035</v>
          </cell>
          <cell r="P1306">
            <v>1.0005973500000001</v>
          </cell>
          <cell r="Q1306">
            <v>2.5777403522526434</v>
          </cell>
        </row>
        <row r="1307">
          <cell r="O1307">
            <v>38036</v>
          </cell>
          <cell r="P1307">
            <v>1.0005973500000001</v>
          </cell>
          <cell r="Q1307">
            <v>2.5792801654520616</v>
          </cell>
        </row>
        <row r="1308">
          <cell r="O1308">
            <v>38037</v>
          </cell>
          <cell r="P1308">
            <v>1.0005970099999999</v>
          </cell>
          <cell r="Q1308">
            <v>2.5808200215036381</v>
          </cell>
        </row>
        <row r="1309">
          <cell r="O1309">
            <v>38042</v>
          </cell>
          <cell r="P1309">
            <v>1.00059769</v>
          </cell>
          <cell r="Q1309">
            <v>2.5823625518222904</v>
          </cell>
        </row>
        <row r="1310">
          <cell r="O1310">
            <v>38043</v>
          </cell>
          <cell r="P1310">
            <v>1.0005973500000001</v>
          </cell>
          <cell r="Q1310">
            <v>2.5839051260926214</v>
          </cell>
        </row>
        <row r="1311">
          <cell r="O1311">
            <v>38044</v>
          </cell>
          <cell r="P1311">
            <v>1.0005973500000001</v>
          </cell>
          <cell r="Q1311">
            <v>2.585448621819693</v>
          </cell>
        </row>
        <row r="1312">
          <cell r="O1312">
            <v>38047</v>
          </cell>
          <cell r="P1312">
            <v>1.0005973500000001</v>
          </cell>
          <cell r="Q1312">
            <v>2.5869930395539371</v>
          </cell>
        </row>
        <row r="1313">
          <cell r="O1313">
            <v>38048</v>
          </cell>
          <cell r="P1313">
            <v>1.0005970099999999</v>
          </cell>
          <cell r="Q1313">
            <v>2.588537500268481</v>
          </cell>
        </row>
        <row r="1314">
          <cell r="O1314">
            <v>38049</v>
          </cell>
          <cell r="P1314">
            <v>1.0005970099999999</v>
          </cell>
          <cell r="Q1314">
            <v>2.5900828830415161</v>
          </cell>
        </row>
        <row r="1315">
          <cell r="O1315">
            <v>38050</v>
          </cell>
          <cell r="P1315">
            <v>1.00059667</v>
          </cell>
          <cell r="Q1315">
            <v>2.5916283077953404</v>
          </cell>
        </row>
        <row r="1316">
          <cell r="O1316">
            <v>38051</v>
          </cell>
          <cell r="P1316">
            <v>1.0005963200000001</v>
          </cell>
          <cell r="Q1316">
            <v>2.5931737475878451</v>
          </cell>
        </row>
        <row r="1317">
          <cell r="O1317">
            <v>38054</v>
          </cell>
          <cell r="P1317">
            <v>1.00059667</v>
          </cell>
          <cell r="Q1317">
            <v>2.5947210165678185</v>
          </cell>
        </row>
        <row r="1318">
          <cell r="O1318">
            <v>38055</v>
          </cell>
          <cell r="P1318">
            <v>1.0005970099999999</v>
          </cell>
          <cell r="Q1318">
            <v>2.5962700909619194</v>
          </cell>
        </row>
        <row r="1319">
          <cell r="O1319">
            <v>38056</v>
          </cell>
          <cell r="P1319">
            <v>1.00059667</v>
          </cell>
          <cell r="Q1319">
            <v>2.5978192074370936</v>
          </cell>
        </row>
        <row r="1320">
          <cell r="O1320">
            <v>38057</v>
          </cell>
          <cell r="P1320">
            <v>1.0005970099999999</v>
          </cell>
          <cell r="Q1320">
            <v>2.5993701314821251</v>
          </cell>
        </row>
        <row r="1321">
          <cell r="O1321">
            <v>38058</v>
          </cell>
          <cell r="P1321">
            <v>1.0005963200000001</v>
          </cell>
          <cell r="Q1321">
            <v>2.600920187878931</v>
          </cell>
        </row>
        <row r="1322">
          <cell r="O1322">
            <v>38061</v>
          </cell>
          <cell r="P1322">
            <v>1.0005963200000001</v>
          </cell>
          <cell r="Q1322">
            <v>2.602471168605367</v>
          </cell>
        </row>
        <row r="1323">
          <cell r="O1323">
            <v>38062</v>
          </cell>
          <cell r="P1323">
            <v>1.0005959799999999</v>
          </cell>
          <cell r="Q1323">
            <v>2.6040221893724325</v>
          </cell>
        </row>
        <row r="1324">
          <cell r="O1324">
            <v>38063</v>
          </cell>
          <cell r="P1324">
            <v>1.0005959799999999</v>
          </cell>
          <cell r="Q1324">
            <v>2.6055741345168544</v>
          </cell>
        </row>
        <row r="1325">
          <cell r="O1325">
            <v>38064</v>
          </cell>
          <cell r="P1325">
            <v>1.0005959799999999</v>
          </cell>
          <cell r="Q1325">
            <v>2.6071270045895436</v>
          </cell>
        </row>
        <row r="1326">
          <cell r="O1326">
            <v>38065</v>
          </cell>
          <cell r="P1326">
            <v>1.0005888000000001</v>
          </cell>
          <cell r="Q1326">
            <v>2.6086620809698462</v>
          </cell>
        </row>
        <row r="1327">
          <cell r="O1327">
            <v>38068</v>
          </cell>
          <cell r="P1327">
            <v>1.0005894799999999</v>
          </cell>
          <cell r="Q1327">
            <v>2.610199835093336</v>
          </cell>
        </row>
        <row r="1328">
          <cell r="O1328">
            <v>38069</v>
          </cell>
          <cell r="P1328">
            <v>1.00059085</v>
          </cell>
          <cell r="Q1328">
            <v>2.6117420716659008</v>
          </cell>
        </row>
        <row r="1329">
          <cell r="O1329">
            <v>38070</v>
          </cell>
          <cell r="P1329">
            <v>1.00059188</v>
          </cell>
          <cell r="Q1329">
            <v>2.6132879095632782</v>
          </cell>
        </row>
        <row r="1330">
          <cell r="O1330">
            <v>38071</v>
          </cell>
          <cell r="P1330">
            <v>1.0005905100000001</v>
          </cell>
          <cell r="Q1330">
            <v>2.6148310822067544</v>
          </cell>
        </row>
        <row r="1331">
          <cell r="O1331">
            <v>38072</v>
          </cell>
          <cell r="P1331">
            <v>1.00058983</v>
          </cell>
          <cell r="Q1331">
            <v>2.6163733880239723</v>
          </cell>
        </row>
        <row r="1332">
          <cell r="O1332">
            <v>38075</v>
          </cell>
          <cell r="P1332">
            <v>1.00058983</v>
          </cell>
          <cell r="Q1332">
            <v>2.6179166035394306</v>
          </cell>
        </row>
        <row r="1333">
          <cell r="O1333">
            <v>38076</v>
          </cell>
          <cell r="P1333">
            <v>1.0005894799999999</v>
          </cell>
          <cell r="Q1333">
            <v>2.6194598130188846</v>
          </cell>
        </row>
        <row r="1334">
          <cell r="O1334">
            <v>38077</v>
          </cell>
          <cell r="P1334">
            <v>1.00058914</v>
          </cell>
          <cell r="Q1334">
            <v>2.6210030415731267</v>
          </cell>
        </row>
        <row r="1335">
          <cell r="O1335">
            <v>38078</v>
          </cell>
          <cell r="P1335">
            <v>1.00058983</v>
          </cell>
          <cell r="Q1335">
            <v>2.622548987797138</v>
          </cell>
        </row>
        <row r="1336">
          <cell r="O1336">
            <v>38079</v>
          </cell>
          <cell r="P1336">
            <v>1.0005901699999999</v>
          </cell>
          <cell r="Q1336">
            <v>2.6240967375332662</v>
          </cell>
        </row>
        <row r="1337">
          <cell r="O1337">
            <v>38082</v>
          </cell>
          <cell r="P1337">
            <v>1.0005901699999999</v>
          </cell>
          <cell r="Q1337">
            <v>2.625645400704856</v>
          </cell>
        </row>
        <row r="1338">
          <cell r="O1338">
            <v>38083</v>
          </cell>
          <cell r="P1338">
            <v>1.0005901699999999</v>
          </cell>
          <cell r="Q1338">
            <v>2.6271949778509898</v>
          </cell>
        </row>
        <row r="1339">
          <cell r="O1339">
            <v>38084</v>
          </cell>
          <cell r="P1339">
            <v>1.00058983</v>
          </cell>
          <cell r="Q1339">
            <v>2.6287445762647756</v>
          </cell>
        </row>
        <row r="1340">
          <cell r="O1340">
            <v>38085</v>
          </cell>
          <cell r="P1340">
            <v>1.0005894799999999</v>
          </cell>
          <cell r="Q1340">
            <v>2.630294168617592</v>
          </cell>
        </row>
        <row r="1341">
          <cell r="O1341">
            <v>38089</v>
          </cell>
          <cell r="P1341">
            <v>1.0005894799999999</v>
          </cell>
          <cell r="Q1341">
            <v>2.6318446744241086</v>
          </cell>
        </row>
        <row r="1342">
          <cell r="O1342">
            <v>38090</v>
          </cell>
          <cell r="P1342">
            <v>1.00058914</v>
          </cell>
          <cell r="Q1342">
            <v>2.6333951993955989</v>
          </cell>
        </row>
        <row r="1343">
          <cell r="O1343">
            <v>38091</v>
          </cell>
          <cell r="P1343">
            <v>1.00058914</v>
          </cell>
          <cell r="Q1343">
            <v>2.6349466378433708</v>
          </cell>
        </row>
        <row r="1344">
          <cell r="O1344">
            <v>38092</v>
          </cell>
          <cell r="P1344">
            <v>1.0005877700000001</v>
          </cell>
          <cell r="Q1344">
            <v>2.6364953804286961</v>
          </cell>
        </row>
        <row r="1345">
          <cell r="O1345">
            <v>38093</v>
          </cell>
          <cell r="P1345">
            <v>1.00058092</v>
          </cell>
          <cell r="Q1345">
            <v>2.6380269733250947</v>
          </cell>
        </row>
        <row r="1346">
          <cell r="O1346">
            <v>38096</v>
          </cell>
          <cell r="P1346">
            <v>1.0005795500000001</v>
          </cell>
          <cell r="Q1346">
            <v>2.6395558418574856</v>
          </cell>
        </row>
        <row r="1347">
          <cell r="O1347">
            <v>38097</v>
          </cell>
          <cell r="P1347">
            <v>1.00057989</v>
          </cell>
          <cell r="Q1347">
            <v>2.6410864938946204</v>
          </cell>
        </row>
        <row r="1348">
          <cell r="O1348">
            <v>38099</v>
          </cell>
          <cell r="P1348">
            <v>1.00057989</v>
          </cell>
          <cell r="Q1348">
            <v>2.6426180335415648</v>
          </cell>
        </row>
        <row r="1349">
          <cell r="O1349">
            <v>38100</v>
          </cell>
          <cell r="P1349">
            <v>1.0005795500000001</v>
          </cell>
          <cell r="Q1349">
            <v>2.6441495628229039</v>
          </cell>
        </row>
        <row r="1350">
          <cell r="O1350">
            <v>38103</v>
          </cell>
          <cell r="P1350">
            <v>1.0005795500000001</v>
          </cell>
          <cell r="Q1350">
            <v>2.6456819797020383</v>
          </cell>
        </row>
        <row r="1351">
          <cell r="O1351">
            <v>38104</v>
          </cell>
          <cell r="P1351">
            <v>1.0005795500000001</v>
          </cell>
          <cell r="Q1351">
            <v>2.6472152846933747</v>
          </cell>
        </row>
        <row r="1352">
          <cell r="O1352">
            <v>38105</v>
          </cell>
          <cell r="P1352">
            <v>1.0005792</v>
          </cell>
          <cell r="Q1352">
            <v>2.648748551786269</v>
          </cell>
        </row>
        <row r="1353">
          <cell r="O1353">
            <v>38106</v>
          </cell>
          <cell r="P1353">
            <v>1.0005792</v>
          </cell>
          <cell r="Q1353">
            <v>2.6502827069474635</v>
          </cell>
        </row>
        <row r="1354">
          <cell r="O1354">
            <v>38107</v>
          </cell>
          <cell r="P1354">
            <v>1.0005788600000001</v>
          </cell>
          <cell r="Q1354">
            <v>2.6518168495952072</v>
          </cell>
        </row>
        <row r="1355">
          <cell r="O1355">
            <v>38110</v>
          </cell>
          <cell r="P1355">
            <v>1.00058023</v>
          </cell>
          <cell r="Q1355">
            <v>2.653355513285848</v>
          </cell>
        </row>
        <row r="1356">
          <cell r="O1356">
            <v>38111</v>
          </cell>
          <cell r="P1356">
            <v>1.0005795500000001</v>
          </cell>
          <cell r="Q1356">
            <v>2.6548932654735728</v>
          </cell>
        </row>
        <row r="1357">
          <cell r="O1357">
            <v>38112</v>
          </cell>
          <cell r="P1357">
            <v>1.00057989</v>
          </cell>
          <cell r="Q1357">
            <v>2.6564328115292883</v>
          </cell>
        </row>
        <row r="1358">
          <cell r="O1358">
            <v>38113</v>
          </cell>
          <cell r="P1358">
            <v>1.0005792</v>
          </cell>
          <cell r="Q1358">
            <v>2.6579714174137261</v>
          </cell>
        </row>
        <row r="1359">
          <cell r="O1359">
            <v>38114</v>
          </cell>
          <cell r="P1359">
            <v>1.0005795500000001</v>
          </cell>
          <cell r="Q1359">
            <v>2.6595118447486885</v>
          </cell>
        </row>
        <row r="1360">
          <cell r="O1360">
            <v>38117</v>
          </cell>
          <cell r="P1360">
            <v>1.0005792</v>
          </cell>
          <cell r="Q1360">
            <v>2.6610522340091669</v>
          </cell>
        </row>
        <row r="1361">
          <cell r="O1361">
            <v>38118</v>
          </cell>
          <cell r="P1361">
            <v>1.0005788600000001</v>
          </cell>
          <cell r="Q1361">
            <v>2.6625926107053455</v>
          </cell>
        </row>
        <row r="1362">
          <cell r="O1362">
            <v>38119</v>
          </cell>
          <cell r="P1362">
            <v>1.0005788600000001</v>
          </cell>
          <cell r="Q1362">
            <v>2.6641338790639786</v>
          </cell>
        </row>
        <row r="1363">
          <cell r="O1363">
            <v>38120</v>
          </cell>
          <cell r="P1363">
            <v>1.0005788600000001</v>
          </cell>
          <cell r="Q1363">
            <v>2.6656760396012138</v>
          </cell>
        </row>
        <row r="1364">
          <cell r="O1364">
            <v>38121</v>
          </cell>
          <cell r="P1364">
            <v>1.0005788600000001</v>
          </cell>
          <cell r="Q1364">
            <v>2.6672190928334976</v>
          </cell>
        </row>
        <row r="1365">
          <cell r="O1365">
            <v>38124</v>
          </cell>
          <cell r="P1365">
            <v>1.0005795500000001</v>
          </cell>
          <cell r="Q1365">
            <v>2.6687648796587493</v>
          </cell>
        </row>
        <row r="1366">
          <cell r="O1366">
            <v>38125</v>
          </cell>
          <cell r="P1366">
            <v>1.0005792</v>
          </cell>
          <cell r="Q1366">
            <v>2.6703106282770475</v>
          </cell>
        </row>
        <row r="1367">
          <cell r="O1367">
            <v>38126</v>
          </cell>
          <cell r="P1367">
            <v>1.0005792</v>
          </cell>
          <cell r="Q1367">
            <v>2.6718572721929457</v>
          </cell>
        </row>
        <row r="1368">
          <cell r="O1368">
            <v>38127</v>
          </cell>
          <cell r="P1368">
            <v>1.0005788600000001</v>
          </cell>
          <cell r="Q1368">
            <v>2.6734039034935275</v>
          </cell>
        </row>
        <row r="1369">
          <cell r="O1369">
            <v>38128</v>
          </cell>
          <cell r="P1369">
            <v>1.0005792</v>
          </cell>
          <cell r="Q1369">
            <v>2.674952339034431</v>
          </cell>
        </row>
        <row r="1370">
          <cell r="O1370">
            <v>38131</v>
          </cell>
          <cell r="P1370">
            <v>1.00057989</v>
          </cell>
          <cell r="Q1370">
            <v>2.6765035171463136</v>
          </cell>
        </row>
        <row r="1371">
          <cell r="O1371">
            <v>38132</v>
          </cell>
          <cell r="P1371">
            <v>1.00057989</v>
          </cell>
          <cell r="Q1371">
            <v>2.6780555947708717</v>
          </cell>
        </row>
        <row r="1372">
          <cell r="O1372">
            <v>38133</v>
          </cell>
          <cell r="P1372">
            <v>1.0005795500000001</v>
          </cell>
          <cell r="Q1372">
            <v>2.6796076618908216</v>
          </cell>
        </row>
        <row r="1373">
          <cell r="O1373">
            <v>38134</v>
          </cell>
          <cell r="P1373">
            <v>1.0005812599999999</v>
          </cell>
          <cell r="Q1373">
            <v>2.6811652106403718</v>
          </cell>
        </row>
        <row r="1374">
          <cell r="O1374">
            <v>38135</v>
          </cell>
          <cell r="P1374">
            <v>1.00058263</v>
          </cell>
          <cell r="Q1374">
            <v>2.6827273379270471</v>
          </cell>
        </row>
        <row r="1375">
          <cell r="O1375">
            <v>38138</v>
          </cell>
          <cell r="P1375">
            <v>1.0005829799999999</v>
          </cell>
          <cell r="Q1375">
            <v>2.6842913143105114</v>
          </cell>
        </row>
        <row r="1376">
          <cell r="O1376">
            <v>38139</v>
          </cell>
          <cell r="P1376">
            <v>1.00058263</v>
          </cell>
          <cell r="Q1376">
            <v>2.685855262958968</v>
          </cell>
        </row>
        <row r="1377">
          <cell r="O1377">
            <v>38140</v>
          </cell>
          <cell r="P1377">
            <v>1.0005805800000001</v>
          </cell>
          <cell r="Q1377">
            <v>2.687414616807537</v>
          </cell>
        </row>
        <row r="1378">
          <cell r="O1378">
            <v>38141</v>
          </cell>
          <cell r="P1378">
            <v>1.00058023</v>
          </cell>
          <cell r="Q1378">
            <v>2.688973935390647</v>
          </cell>
        </row>
        <row r="1379">
          <cell r="O1379">
            <v>38142</v>
          </cell>
          <cell r="P1379">
            <v>1.0005792</v>
          </cell>
          <cell r="Q1379">
            <v>2.6905313890940254</v>
          </cell>
        </row>
        <row r="1380">
          <cell r="O1380">
            <v>38145</v>
          </cell>
          <cell r="P1380">
            <v>1.0005805800000001</v>
          </cell>
          <cell r="Q1380">
            <v>2.6920934578079057</v>
          </cell>
        </row>
        <row r="1381">
          <cell r="O1381">
            <v>38146</v>
          </cell>
          <cell r="P1381">
            <v>1.00057989</v>
          </cell>
          <cell r="Q1381">
            <v>2.693654575883154</v>
          </cell>
        </row>
        <row r="1382">
          <cell r="O1382">
            <v>38147</v>
          </cell>
          <cell r="P1382">
            <v>1.0005792</v>
          </cell>
          <cell r="Q1382">
            <v>2.6952147406135056</v>
          </cell>
        </row>
        <row r="1383">
          <cell r="O1383">
            <v>38149</v>
          </cell>
          <cell r="P1383">
            <v>1.0005788600000001</v>
          </cell>
          <cell r="Q1383">
            <v>2.6967748926182575</v>
          </cell>
        </row>
        <row r="1384">
          <cell r="O1384">
            <v>38152</v>
          </cell>
          <cell r="P1384">
            <v>1.0005788600000001</v>
          </cell>
          <cell r="Q1384">
            <v>2.6983359477325988</v>
          </cell>
        </row>
        <row r="1385">
          <cell r="O1385">
            <v>38153</v>
          </cell>
          <cell r="P1385">
            <v>1.0005788600000001</v>
          </cell>
          <cell r="Q1385">
            <v>2.6998979064793036</v>
          </cell>
        </row>
        <row r="1386">
          <cell r="O1386">
            <v>38154</v>
          </cell>
          <cell r="P1386">
            <v>1.0005792</v>
          </cell>
          <cell r="Q1386">
            <v>2.7014616873467365</v>
          </cell>
        </row>
        <row r="1387">
          <cell r="O1387">
            <v>38155</v>
          </cell>
          <cell r="P1387">
            <v>1.0005792</v>
          </cell>
          <cell r="Q1387">
            <v>2.7030263739560478</v>
          </cell>
        </row>
        <row r="1388">
          <cell r="O1388">
            <v>38156</v>
          </cell>
          <cell r="P1388">
            <v>1.0005792</v>
          </cell>
          <cell r="Q1388">
            <v>2.7045919668318432</v>
          </cell>
        </row>
        <row r="1389">
          <cell r="O1389">
            <v>38159</v>
          </cell>
          <cell r="P1389">
            <v>1.0005788600000001</v>
          </cell>
          <cell r="Q1389">
            <v>2.7061575469377637</v>
          </cell>
        </row>
        <row r="1390">
          <cell r="O1390">
            <v>38160</v>
          </cell>
          <cell r="P1390">
            <v>1.0005795500000001</v>
          </cell>
          <cell r="Q1390">
            <v>2.7077259005440917</v>
          </cell>
        </row>
        <row r="1391">
          <cell r="O1391">
            <v>38161</v>
          </cell>
          <cell r="P1391">
            <v>1.0005792</v>
          </cell>
          <cell r="Q1391">
            <v>2.7092942153856869</v>
          </cell>
        </row>
        <row r="1392">
          <cell r="O1392">
            <v>38162</v>
          </cell>
          <cell r="P1392">
            <v>1.0005788600000001</v>
          </cell>
          <cell r="Q1392">
            <v>2.7108625174352055</v>
          </cell>
        </row>
        <row r="1393">
          <cell r="O1393">
            <v>38163</v>
          </cell>
          <cell r="P1393">
            <v>1.0005788600000001</v>
          </cell>
          <cell r="Q1393">
            <v>2.7124317273120484</v>
          </cell>
        </row>
        <row r="1394">
          <cell r="O1394">
            <v>38166</v>
          </cell>
          <cell r="P1394">
            <v>1.0005785199999999</v>
          </cell>
          <cell r="Q1394">
            <v>2.7140009233149329</v>
          </cell>
        </row>
        <row r="1395">
          <cell r="O1395">
            <v>38167</v>
          </cell>
          <cell r="P1395">
            <v>1.0005788600000001</v>
          </cell>
          <cell r="Q1395">
            <v>2.7155719498894033</v>
          </cell>
        </row>
        <row r="1396">
          <cell r="O1396">
            <v>38168</v>
          </cell>
          <cell r="P1396">
            <v>1.0005788600000001</v>
          </cell>
          <cell r="Q1396">
            <v>2.7171438858683166</v>
          </cell>
        </row>
        <row r="1397">
          <cell r="O1397">
            <v>38169</v>
          </cell>
          <cell r="P1397">
            <v>1.0005795500000001</v>
          </cell>
          <cell r="Q1397">
            <v>2.7187186066073719</v>
          </cell>
        </row>
        <row r="1398">
          <cell r="O1398">
            <v>38170</v>
          </cell>
          <cell r="P1398">
            <v>1.0005792</v>
          </cell>
          <cell r="Q1398">
            <v>2.7202932884243189</v>
          </cell>
        </row>
        <row r="1399">
          <cell r="O1399">
            <v>38173</v>
          </cell>
          <cell r="P1399">
            <v>1.0005785199999999</v>
          </cell>
          <cell r="Q1399">
            <v>2.721867032497538</v>
          </cell>
        </row>
        <row r="1400">
          <cell r="O1400">
            <v>38174</v>
          </cell>
          <cell r="P1400">
            <v>1.0005785199999999</v>
          </cell>
          <cell r="Q1400">
            <v>2.7234416870131781</v>
          </cell>
        </row>
        <row r="1401">
          <cell r="O1401">
            <v>38175</v>
          </cell>
          <cell r="P1401">
            <v>1.0005788600000001</v>
          </cell>
          <cell r="Q1401">
            <v>2.7250181784681229</v>
          </cell>
        </row>
        <row r="1402">
          <cell r="O1402">
            <v>38176</v>
          </cell>
          <cell r="P1402">
            <v>1.0005785199999999</v>
          </cell>
          <cell r="Q1402">
            <v>2.7265946559847301</v>
          </cell>
        </row>
        <row r="1403">
          <cell r="O1403">
            <v>38177</v>
          </cell>
          <cell r="P1403">
            <v>1.00057989</v>
          </cell>
          <cell r="Q1403">
            <v>2.7281757809597891</v>
          </cell>
        </row>
        <row r="1404">
          <cell r="O1404">
            <v>38180</v>
          </cell>
          <cell r="P1404">
            <v>1.0005812599999999</v>
          </cell>
          <cell r="Q1404">
            <v>2.7297615604142296</v>
          </cell>
        </row>
        <row r="1405">
          <cell r="O1405">
            <v>38181</v>
          </cell>
          <cell r="P1405">
            <v>1.0005792</v>
          </cell>
          <cell r="Q1405">
            <v>2.7313426383100214</v>
          </cell>
        </row>
        <row r="1406">
          <cell r="O1406">
            <v>38182</v>
          </cell>
          <cell r="P1406">
            <v>1.0005792</v>
          </cell>
          <cell r="Q1406">
            <v>2.7329246319661307</v>
          </cell>
        </row>
        <row r="1407">
          <cell r="O1407">
            <v>38183</v>
          </cell>
          <cell r="P1407">
            <v>1.0005785199999999</v>
          </cell>
          <cell r="Q1407">
            <v>2.7345056835242154</v>
          </cell>
        </row>
        <row r="1408">
          <cell r="O1408">
            <v>38184</v>
          </cell>
          <cell r="P1408">
            <v>1.0005792</v>
          </cell>
          <cell r="Q1408">
            <v>2.7360895092161126</v>
          </cell>
        </row>
        <row r="1409">
          <cell r="O1409">
            <v>38187</v>
          </cell>
          <cell r="P1409">
            <v>1.0005788600000001</v>
          </cell>
          <cell r="Q1409">
            <v>2.7376733219894178</v>
          </cell>
        </row>
        <row r="1410">
          <cell r="O1410">
            <v>38188</v>
          </cell>
          <cell r="P1410">
            <v>1.0005788600000001</v>
          </cell>
          <cell r="Q1410">
            <v>2.7392580515685849</v>
          </cell>
        </row>
        <row r="1411">
          <cell r="O1411">
            <v>38189</v>
          </cell>
          <cell r="P1411">
            <v>1.0005788600000001</v>
          </cell>
          <cell r="Q1411">
            <v>2.7408436984843161</v>
          </cell>
        </row>
        <row r="1412">
          <cell r="O1412">
            <v>38190</v>
          </cell>
          <cell r="P1412">
            <v>1.0005792</v>
          </cell>
          <cell r="Q1412">
            <v>2.7424311951544782</v>
          </cell>
        </row>
        <row r="1413">
          <cell r="O1413">
            <v>38191</v>
          </cell>
          <cell r="P1413">
            <v>1.0005785199999999</v>
          </cell>
          <cell r="Q1413">
            <v>2.7440177464494986</v>
          </cell>
        </row>
        <row r="1414">
          <cell r="O1414">
            <v>38194</v>
          </cell>
          <cell r="P1414">
            <v>1.0005788600000001</v>
          </cell>
          <cell r="Q1414">
            <v>2.7456061485622087</v>
          </cell>
        </row>
        <row r="1415">
          <cell r="O1415">
            <v>38195</v>
          </cell>
          <cell r="P1415">
            <v>1.0005792</v>
          </cell>
          <cell r="Q1415">
            <v>2.7471964036434562</v>
          </cell>
        </row>
        <row r="1416">
          <cell r="O1416">
            <v>38196</v>
          </cell>
          <cell r="P1416">
            <v>1.0005788600000001</v>
          </cell>
          <cell r="Q1416">
            <v>2.7487866457536696</v>
          </cell>
        </row>
        <row r="1417">
          <cell r="O1417">
            <v>38197</v>
          </cell>
          <cell r="P1417">
            <v>1.0005788600000001</v>
          </cell>
          <cell r="Q1417">
            <v>2.750377808391431</v>
          </cell>
        </row>
        <row r="1418">
          <cell r="O1418">
            <v>38198</v>
          </cell>
          <cell r="P1418">
            <v>1.0005788600000001</v>
          </cell>
          <cell r="Q1418">
            <v>2.7519698920895967</v>
          </cell>
        </row>
        <row r="1419">
          <cell r="O1419">
            <v>38201</v>
          </cell>
          <cell r="P1419">
            <v>1.00058023</v>
          </cell>
          <cell r="Q1419">
            <v>2.7535666675800838</v>
          </cell>
        </row>
        <row r="1420">
          <cell r="O1420">
            <v>38202</v>
          </cell>
          <cell r="P1420">
            <v>1.0005805800000001</v>
          </cell>
          <cell r="Q1420">
            <v>2.7551653333159476</v>
          </cell>
        </row>
        <row r="1421">
          <cell r="O1421">
            <v>38203</v>
          </cell>
          <cell r="P1421">
            <v>1.00058092</v>
          </cell>
          <cell r="Q1421">
            <v>2.7567658639613772</v>
          </cell>
        </row>
        <row r="1422">
          <cell r="O1422">
            <v>38204</v>
          </cell>
          <cell r="P1422">
            <v>1.0005812599999999</v>
          </cell>
          <cell r="Q1422">
            <v>2.7583682616874632</v>
          </cell>
        </row>
        <row r="1423">
          <cell r="O1423">
            <v>38205</v>
          </cell>
          <cell r="P1423">
            <v>1.0005816000000001</v>
          </cell>
          <cell r="Q1423">
            <v>2.7599725286684609</v>
          </cell>
        </row>
        <row r="1424">
          <cell r="O1424">
            <v>38208</v>
          </cell>
          <cell r="P1424">
            <v>1.0005812599999999</v>
          </cell>
          <cell r="Q1424">
            <v>2.7615767903004746</v>
          </cell>
        </row>
        <row r="1425">
          <cell r="O1425">
            <v>38209</v>
          </cell>
          <cell r="P1425">
            <v>1.0005812599999999</v>
          </cell>
          <cell r="Q1425">
            <v>2.7631819844256045</v>
          </cell>
        </row>
        <row r="1426">
          <cell r="O1426">
            <v>38210</v>
          </cell>
          <cell r="P1426">
            <v>1.00058092</v>
          </cell>
          <cell r="Q1426">
            <v>2.7647871721039969</v>
          </cell>
        </row>
        <row r="1427">
          <cell r="O1427">
            <v>38211</v>
          </cell>
          <cell r="P1427">
            <v>1.0005812599999999</v>
          </cell>
          <cell r="Q1427">
            <v>2.7663942322956538</v>
          </cell>
        </row>
        <row r="1428">
          <cell r="O1428">
            <v>38212</v>
          </cell>
          <cell r="P1428">
            <v>1.00058092</v>
          </cell>
          <cell r="Q1428">
            <v>2.7680012860330789</v>
          </cell>
        </row>
        <row r="1429">
          <cell r="O1429">
            <v>38215</v>
          </cell>
          <cell r="P1429">
            <v>1.0005805800000001</v>
          </cell>
          <cell r="Q1429">
            <v>2.769608332219724</v>
          </cell>
        </row>
        <row r="1430">
          <cell r="O1430">
            <v>38216</v>
          </cell>
          <cell r="P1430">
            <v>1.00058092</v>
          </cell>
          <cell r="Q1430">
            <v>2.7712172530920771</v>
          </cell>
        </row>
        <row r="1431">
          <cell r="O1431">
            <v>38217</v>
          </cell>
          <cell r="P1431">
            <v>1.0005805800000001</v>
          </cell>
          <cell r="Q1431">
            <v>2.7728261664048777</v>
          </cell>
        </row>
        <row r="1432">
          <cell r="O1432">
            <v>38218</v>
          </cell>
          <cell r="P1432">
            <v>1.00057989</v>
          </cell>
          <cell r="Q1432">
            <v>2.7744341005705144</v>
          </cell>
        </row>
        <row r="1433">
          <cell r="O1433">
            <v>38219</v>
          </cell>
          <cell r="P1433">
            <v>1.00058023</v>
          </cell>
          <cell r="Q1433">
            <v>2.7760439104686885</v>
          </cell>
        </row>
        <row r="1434">
          <cell r="O1434">
            <v>38222</v>
          </cell>
          <cell r="P1434">
            <v>1.00058023</v>
          </cell>
          <cell r="Q1434">
            <v>2.7776546544268594</v>
          </cell>
        </row>
        <row r="1435">
          <cell r="O1435">
            <v>38223</v>
          </cell>
          <cell r="P1435">
            <v>1.0005812599999999</v>
          </cell>
          <cell r="Q1435">
            <v>2.7792691939712912</v>
          </cell>
        </row>
        <row r="1436">
          <cell r="O1436">
            <v>38224</v>
          </cell>
          <cell r="P1436">
            <v>1.0005812599999999</v>
          </cell>
          <cell r="Q1436">
            <v>2.780884671982979</v>
          </cell>
        </row>
        <row r="1437">
          <cell r="O1437">
            <v>38225</v>
          </cell>
          <cell r="P1437">
            <v>1.00058023</v>
          </cell>
          <cell r="Q1437">
            <v>2.7824982246962033</v>
          </cell>
        </row>
        <row r="1438">
          <cell r="O1438">
            <v>38226</v>
          </cell>
          <cell r="P1438">
            <v>1.00058023</v>
          </cell>
          <cell r="Q1438">
            <v>2.7841127136411186</v>
          </cell>
        </row>
        <row r="1439">
          <cell r="O1439">
            <v>38229</v>
          </cell>
          <cell r="P1439">
            <v>1.0005816000000001</v>
          </cell>
          <cell r="Q1439">
            <v>2.7857319535953726</v>
          </cell>
        </row>
        <row r="1440">
          <cell r="O1440">
            <v>38230</v>
          </cell>
          <cell r="P1440">
            <v>1.00058263</v>
          </cell>
          <cell r="Q1440">
            <v>2.7873550046034961</v>
          </cell>
        </row>
        <row r="1441">
          <cell r="O1441">
            <v>38231</v>
          </cell>
          <cell r="P1441">
            <v>1.0005829799999999</v>
          </cell>
          <cell r="Q1441">
            <v>2.7889799768240797</v>
          </cell>
        </row>
        <row r="1442">
          <cell r="O1442">
            <v>38232</v>
          </cell>
          <cell r="P1442">
            <v>1.0005819499999999</v>
          </cell>
          <cell r="Q1442">
            <v>2.7906030237215922</v>
          </cell>
        </row>
        <row r="1443">
          <cell r="O1443">
            <v>38233</v>
          </cell>
          <cell r="P1443">
            <v>1.00058263</v>
          </cell>
          <cell r="Q1443">
            <v>2.7922289127613031</v>
          </cell>
        </row>
        <row r="1444">
          <cell r="O1444">
            <v>38236</v>
          </cell>
          <cell r="P1444">
            <v>1.0005816000000001</v>
          </cell>
          <cell r="Q1444">
            <v>2.7938528730969652</v>
          </cell>
        </row>
        <row r="1445">
          <cell r="O1445">
            <v>38238</v>
          </cell>
          <cell r="P1445">
            <v>1.0005819499999999</v>
          </cell>
          <cell r="Q1445">
            <v>2.7954787557764638</v>
          </cell>
        </row>
        <row r="1446">
          <cell r="O1446">
            <v>38239</v>
          </cell>
          <cell r="P1446">
            <v>1.0005822900000001</v>
          </cell>
          <cell r="Q1446">
            <v>2.797106535101165</v>
          </cell>
        </row>
        <row r="1447">
          <cell r="O1447">
            <v>38240</v>
          </cell>
          <cell r="P1447">
            <v>1.0005816000000001</v>
          </cell>
          <cell r="Q1447">
            <v>2.7987333322619801</v>
          </cell>
        </row>
        <row r="1448">
          <cell r="O1448">
            <v>38243</v>
          </cell>
          <cell r="P1448">
            <v>1.00058263</v>
          </cell>
          <cell r="Q1448">
            <v>2.8003639582633562</v>
          </cell>
        </row>
        <row r="1449">
          <cell r="O1449">
            <v>38244</v>
          </cell>
          <cell r="P1449">
            <v>1.00058435</v>
          </cell>
          <cell r="Q1449">
            <v>2.8020003509423672</v>
          </cell>
        </row>
        <row r="1450">
          <cell r="O1450">
            <v>38245</v>
          </cell>
          <cell r="P1450">
            <v>1.0005846899999999</v>
          </cell>
          <cell r="Q1450">
            <v>2.8036386525275594</v>
          </cell>
        </row>
        <row r="1451">
          <cell r="O1451">
            <v>38246</v>
          </cell>
          <cell r="P1451">
            <v>1.00058537</v>
          </cell>
          <cell r="Q1451">
            <v>2.8052798184855896</v>
          </cell>
        </row>
        <row r="1452">
          <cell r="O1452">
            <v>38247</v>
          </cell>
          <cell r="P1452">
            <v>1.0005946100000001</v>
          </cell>
          <cell r="Q1452">
            <v>2.8069478659184597</v>
          </cell>
        </row>
        <row r="1453">
          <cell r="O1453">
            <v>38250</v>
          </cell>
          <cell r="P1453">
            <v>1.0005942699999999</v>
          </cell>
          <cell r="Q1453">
            <v>2.8086159508267388</v>
          </cell>
        </row>
        <row r="1454">
          <cell r="O1454">
            <v>38251</v>
          </cell>
          <cell r="P1454">
            <v>1.0005949599999999</v>
          </cell>
          <cell r="Q1454">
            <v>2.8102869649728426</v>
          </cell>
        </row>
        <row r="1455">
          <cell r="O1455">
            <v>38252</v>
          </cell>
          <cell r="P1455">
            <v>1.0005932500000001</v>
          </cell>
          <cell r="Q1455">
            <v>2.8119541677148132</v>
          </cell>
        </row>
        <row r="1456">
          <cell r="O1456">
            <v>38253</v>
          </cell>
          <cell r="P1456">
            <v>1.0005942699999999</v>
          </cell>
          <cell r="Q1456">
            <v>2.8136252277180609</v>
          </cell>
        </row>
        <row r="1457">
          <cell r="O1457">
            <v>38254</v>
          </cell>
          <cell r="P1457">
            <v>1.00059393</v>
          </cell>
          <cell r="Q1457">
            <v>2.8152963241495592</v>
          </cell>
        </row>
        <row r="1458">
          <cell r="O1458">
            <v>38257</v>
          </cell>
          <cell r="P1458">
            <v>1.0005949599999999</v>
          </cell>
          <cell r="Q1458">
            <v>2.8169713128505749</v>
          </cell>
        </row>
        <row r="1459">
          <cell r="O1459">
            <v>38258</v>
          </cell>
          <cell r="P1459">
            <v>1.0005949599999999</v>
          </cell>
          <cell r="Q1459">
            <v>2.8186472981028681</v>
          </cell>
        </row>
        <row r="1460">
          <cell r="O1460">
            <v>38259</v>
          </cell>
          <cell r="P1460">
            <v>1.0005949599999999</v>
          </cell>
          <cell r="Q1460">
            <v>2.8203242804993471</v>
          </cell>
        </row>
        <row r="1461">
          <cell r="O1461">
            <v>38260</v>
          </cell>
          <cell r="P1461">
            <v>1.00059393</v>
          </cell>
          <cell r="Q1461">
            <v>2.8219993556992642</v>
          </cell>
        </row>
        <row r="1462">
          <cell r="O1462">
            <v>38261</v>
          </cell>
          <cell r="P1462">
            <v>1.0005949599999999</v>
          </cell>
          <cell r="Q1462">
            <v>2.8236783324359309</v>
          </cell>
        </row>
        <row r="1463">
          <cell r="O1463">
            <v>38264</v>
          </cell>
          <cell r="P1463">
            <v>1.0005953000000001</v>
          </cell>
          <cell r="Q1463">
            <v>2.8253592681472304</v>
          </cell>
        </row>
        <row r="1464">
          <cell r="O1464">
            <v>38265</v>
          </cell>
          <cell r="P1464">
            <v>1.0005946100000001</v>
          </cell>
          <cell r="Q1464">
            <v>2.8270392550216634</v>
          </cell>
        </row>
        <row r="1465">
          <cell r="O1465">
            <v>38266</v>
          </cell>
          <cell r="P1465">
            <v>1.0005942699999999</v>
          </cell>
          <cell r="Q1465">
            <v>2.8287192796397447</v>
          </cell>
        </row>
        <row r="1466">
          <cell r="O1466">
            <v>38267</v>
          </cell>
          <cell r="P1466">
            <v>1.0005942699999999</v>
          </cell>
          <cell r="Q1466">
            <v>2.8304003026460558</v>
          </cell>
        </row>
        <row r="1467">
          <cell r="O1467">
            <v>38268</v>
          </cell>
          <cell r="P1467">
            <v>1.0005942699999999</v>
          </cell>
          <cell r="Q1467">
            <v>2.8320823246339089</v>
          </cell>
        </row>
        <row r="1468">
          <cell r="O1468">
            <v>38271</v>
          </cell>
          <cell r="P1468">
            <v>1.0005942699999999</v>
          </cell>
          <cell r="Q1468">
            <v>2.833765346196969</v>
          </cell>
        </row>
        <row r="1469">
          <cell r="O1469">
            <v>38273</v>
          </cell>
          <cell r="P1469">
            <v>1.0005942699999999</v>
          </cell>
          <cell r="Q1469">
            <v>2.835449367929253</v>
          </cell>
        </row>
        <row r="1470">
          <cell r="O1470">
            <v>38274</v>
          </cell>
          <cell r="P1470">
            <v>1.0005949599999999</v>
          </cell>
          <cell r="Q1470">
            <v>2.8371363468851958</v>
          </cell>
        </row>
        <row r="1471">
          <cell r="O1471">
            <v>38275</v>
          </cell>
          <cell r="P1471">
            <v>1.0005946100000001</v>
          </cell>
          <cell r="Q1471">
            <v>2.8388233365284172</v>
          </cell>
        </row>
        <row r="1472">
          <cell r="O1472">
            <v>38278</v>
          </cell>
          <cell r="P1472">
            <v>1.0005946100000001</v>
          </cell>
          <cell r="Q1472">
            <v>2.8405113292725503</v>
          </cell>
        </row>
        <row r="1473">
          <cell r="O1473">
            <v>38279</v>
          </cell>
          <cell r="P1473">
            <v>1.0005946100000001</v>
          </cell>
          <cell r="Q1473">
            <v>2.8422003257140491</v>
          </cell>
        </row>
        <row r="1474">
          <cell r="O1474">
            <v>38280</v>
          </cell>
          <cell r="P1474">
            <v>1.0005942699999999</v>
          </cell>
          <cell r="Q1474">
            <v>2.8438893601016111</v>
          </cell>
        </row>
        <row r="1475">
          <cell r="O1475">
            <v>38281</v>
          </cell>
          <cell r="P1475">
            <v>1.0005942699999999</v>
          </cell>
          <cell r="Q1475">
            <v>2.8455793982316382</v>
          </cell>
        </row>
        <row r="1476">
          <cell r="O1476">
            <v>38282</v>
          </cell>
          <cell r="P1476">
            <v>1.00061065</v>
          </cell>
          <cell r="Q1476">
            <v>2.8473170512911685</v>
          </cell>
        </row>
        <row r="1477">
          <cell r="O1477">
            <v>38285</v>
          </cell>
          <cell r="P1477">
            <v>1.00061201</v>
          </cell>
          <cell r="Q1477">
            <v>2.849059637799729</v>
          </cell>
        </row>
        <row r="1478">
          <cell r="O1478">
            <v>38286</v>
          </cell>
          <cell r="P1478">
            <v>1.0006126900000001</v>
          </cell>
          <cell r="Q1478">
            <v>2.8508052281492127</v>
          </cell>
        </row>
        <row r="1479">
          <cell r="O1479">
            <v>38287</v>
          </cell>
          <cell r="P1479">
            <v>1.0006126900000001</v>
          </cell>
          <cell r="Q1479">
            <v>2.8525518880044478</v>
          </cell>
        </row>
        <row r="1480">
          <cell r="O1480">
            <v>38288</v>
          </cell>
          <cell r="P1480">
            <v>1.00061201</v>
          </cell>
          <cell r="Q1480">
            <v>2.8542976782854255</v>
          </cell>
        </row>
        <row r="1481">
          <cell r="O1481">
            <v>38289</v>
          </cell>
          <cell r="P1481">
            <v>1.00061201</v>
          </cell>
          <cell r="Q1481">
            <v>2.8560445370075129</v>
          </cell>
        </row>
        <row r="1482">
          <cell r="O1482">
            <v>38292</v>
          </cell>
          <cell r="P1482">
            <v>1.0006116700000001</v>
          </cell>
          <cell r="Q1482">
            <v>2.8577914937694646</v>
          </cell>
        </row>
        <row r="1483">
          <cell r="O1483">
            <v>38294</v>
          </cell>
          <cell r="P1483">
            <v>1.00061201</v>
          </cell>
          <cell r="Q1483">
            <v>2.8595404907415665</v>
          </cell>
        </row>
        <row r="1484">
          <cell r="O1484">
            <v>38295</v>
          </cell>
          <cell r="P1484">
            <v>1.00061303</v>
          </cell>
          <cell r="Q1484">
            <v>2.8612934748486056</v>
          </cell>
        </row>
        <row r="1485">
          <cell r="O1485">
            <v>38296</v>
          </cell>
          <cell r="P1485">
            <v>1.00061303</v>
          </cell>
          <cell r="Q1485">
            <v>2.8630475335874923</v>
          </cell>
        </row>
        <row r="1486">
          <cell r="O1486">
            <v>38299</v>
          </cell>
          <cell r="P1486">
            <v>1.0006133699999999</v>
          </cell>
          <cell r="Q1486">
            <v>2.8648036410531685</v>
          </cell>
        </row>
        <row r="1487">
          <cell r="O1487">
            <v>38300</v>
          </cell>
          <cell r="P1487">
            <v>1.0006133699999999</v>
          </cell>
          <cell r="Q1487">
            <v>2.8665608256624813</v>
          </cell>
        </row>
        <row r="1488">
          <cell r="O1488">
            <v>38301</v>
          </cell>
          <cell r="P1488">
            <v>1.0006133699999999</v>
          </cell>
          <cell r="Q1488">
            <v>2.8683190880761176</v>
          </cell>
        </row>
        <row r="1489">
          <cell r="O1489">
            <v>38302</v>
          </cell>
          <cell r="P1489">
            <v>1.0006133699999999</v>
          </cell>
          <cell r="Q1489">
            <v>2.8700784289551708</v>
          </cell>
        </row>
        <row r="1490">
          <cell r="O1490">
            <v>38303</v>
          </cell>
          <cell r="P1490">
            <v>1.0006133699999999</v>
          </cell>
          <cell r="Q1490">
            <v>2.8718388489611391</v>
          </cell>
        </row>
        <row r="1491">
          <cell r="O1491">
            <v>38307</v>
          </cell>
          <cell r="P1491">
            <v>1.0006137100000001</v>
          </cell>
          <cell r="Q1491">
            <v>2.8736013251811352</v>
          </cell>
        </row>
        <row r="1492">
          <cell r="O1492">
            <v>38308</v>
          </cell>
          <cell r="P1492">
            <v>1.00061405</v>
          </cell>
          <cell r="Q1492">
            <v>2.8753658600748628</v>
          </cell>
        </row>
        <row r="1493">
          <cell r="O1493">
            <v>38309</v>
          </cell>
          <cell r="P1493">
            <v>1.0006137100000001</v>
          </cell>
          <cell r="Q1493">
            <v>2.8771305008568495</v>
          </cell>
        </row>
        <row r="1494">
          <cell r="O1494">
            <v>38310</v>
          </cell>
          <cell r="P1494">
            <v>1.00063035</v>
          </cell>
          <cell r="Q1494">
            <v>2.8789441000680647</v>
          </cell>
        </row>
        <row r="1495">
          <cell r="O1495">
            <v>38313</v>
          </cell>
          <cell r="P1495">
            <v>1.00063035</v>
          </cell>
          <cell r="Q1495">
            <v>2.8807588424815425</v>
          </cell>
        </row>
        <row r="1496">
          <cell r="O1496">
            <v>38314</v>
          </cell>
          <cell r="P1496">
            <v>1.00063035</v>
          </cell>
          <cell r="Q1496">
            <v>2.8825747288179007</v>
          </cell>
        </row>
        <row r="1497">
          <cell r="O1497">
            <v>38315</v>
          </cell>
          <cell r="P1497">
            <v>1.0006296699999999</v>
          </cell>
          <cell r="Q1497">
            <v>2.8843897996473951</v>
          </cell>
        </row>
        <row r="1498">
          <cell r="O1498">
            <v>38316</v>
          </cell>
          <cell r="P1498">
            <v>1.0006296699999999</v>
          </cell>
          <cell r="Q1498">
            <v>2.8862060133725387</v>
          </cell>
        </row>
        <row r="1499">
          <cell r="O1499">
            <v>38317</v>
          </cell>
          <cell r="P1499">
            <v>1.0006289900000001</v>
          </cell>
          <cell r="Q1499">
            <v>2.8880214080928899</v>
          </cell>
        </row>
        <row r="1500">
          <cell r="O1500">
            <v>38320</v>
          </cell>
          <cell r="P1500">
            <v>1.0006289900000001</v>
          </cell>
          <cell r="Q1500">
            <v>2.8898379446783662</v>
          </cell>
        </row>
        <row r="1501">
          <cell r="O1501">
            <v>38321</v>
          </cell>
          <cell r="P1501">
            <v>1.00062933</v>
          </cell>
          <cell r="Q1501">
            <v>2.8916566063920905</v>
          </cell>
        </row>
        <row r="1502">
          <cell r="O1502">
            <v>38322</v>
          </cell>
          <cell r="P1502">
            <v>1.0006300100000001</v>
          </cell>
          <cell r="Q1502">
            <v>2.8934783789706837</v>
          </cell>
        </row>
        <row r="1503">
          <cell r="O1503">
            <v>38323</v>
          </cell>
          <cell r="P1503">
            <v>1.00063068</v>
          </cell>
          <cell r="Q1503">
            <v>2.895303237914733</v>
          </cell>
        </row>
        <row r="1504">
          <cell r="O1504">
            <v>38324</v>
          </cell>
          <cell r="P1504">
            <v>1.00063035</v>
          </cell>
          <cell r="Q1504">
            <v>2.8971282923107524</v>
          </cell>
        </row>
        <row r="1505">
          <cell r="O1505">
            <v>38327</v>
          </cell>
          <cell r="P1505">
            <v>1.0006300100000001</v>
          </cell>
          <cell r="Q1505">
            <v>2.8989535121061913</v>
          </cell>
        </row>
        <row r="1506">
          <cell r="O1506">
            <v>38328</v>
          </cell>
          <cell r="P1506">
            <v>1.0006296699999999</v>
          </cell>
          <cell r="Q1506">
            <v>2.9007788961641592</v>
          </cell>
        </row>
        <row r="1507">
          <cell r="O1507">
            <v>38329</v>
          </cell>
          <cell r="P1507">
            <v>1.0006296699999999</v>
          </cell>
          <cell r="Q1507">
            <v>2.9026054296117065</v>
          </cell>
        </row>
        <row r="1508">
          <cell r="O1508">
            <v>38330</v>
          </cell>
          <cell r="P1508">
            <v>1.0006289900000001</v>
          </cell>
          <cell r="Q1508">
            <v>2.9044311394008782</v>
          </cell>
        </row>
        <row r="1509">
          <cell r="O1509">
            <v>38331</v>
          </cell>
          <cell r="P1509">
            <v>1.0006289900000001</v>
          </cell>
          <cell r="Q1509">
            <v>2.9062579975432499</v>
          </cell>
        </row>
        <row r="1510">
          <cell r="O1510">
            <v>38334</v>
          </cell>
          <cell r="P1510">
            <v>1.0006296699999999</v>
          </cell>
          <cell r="Q1510">
            <v>2.9080879810165627</v>
          </cell>
        </row>
        <row r="1511">
          <cell r="O1511">
            <v>38335</v>
          </cell>
          <cell r="P1511">
            <v>1.0006296699999999</v>
          </cell>
          <cell r="Q1511">
            <v>2.9099191167755691</v>
          </cell>
        </row>
        <row r="1512">
          <cell r="O1512">
            <v>38336</v>
          </cell>
          <cell r="P1512">
            <v>1.0006300100000001</v>
          </cell>
          <cell r="Q1512">
            <v>2.911752394918329</v>
          </cell>
        </row>
        <row r="1513">
          <cell r="O1513">
            <v>38337</v>
          </cell>
          <cell r="P1513">
            <v>1.0006300100000001</v>
          </cell>
          <cell r="Q1513">
            <v>2.913586828044652</v>
          </cell>
        </row>
        <row r="1514">
          <cell r="O1514">
            <v>38338</v>
          </cell>
          <cell r="P1514">
            <v>1.00064657</v>
          </cell>
          <cell r="Q1514">
            <v>2.9154706658800609</v>
          </cell>
        </row>
        <row r="1515">
          <cell r="O1515">
            <v>38341</v>
          </cell>
          <cell r="P1515">
            <v>1.00064657</v>
          </cell>
          <cell r="Q1515">
            <v>2.9173557217484989</v>
          </cell>
        </row>
        <row r="1516">
          <cell r="O1516">
            <v>38342</v>
          </cell>
          <cell r="P1516">
            <v>1.0006469099999999</v>
          </cell>
          <cell r="Q1516">
            <v>2.9192429883384552</v>
          </cell>
        </row>
        <row r="1517">
          <cell r="O1517">
            <v>38343</v>
          </cell>
          <cell r="P1517">
            <v>1.00064657</v>
          </cell>
          <cell r="Q1517">
            <v>2.9211304832774254</v>
          </cell>
        </row>
        <row r="1518">
          <cell r="O1518">
            <v>38344</v>
          </cell>
          <cell r="P1518">
            <v>1.0006469099999999</v>
          </cell>
          <cell r="Q1518">
            <v>2.9230201917983623</v>
          </cell>
        </row>
        <row r="1519">
          <cell r="O1519">
            <v>38345</v>
          </cell>
          <cell r="P1519">
            <v>1.0006472500000001</v>
          </cell>
          <cell r="Q1519">
            <v>2.9249121166175041</v>
          </cell>
        </row>
        <row r="1520">
          <cell r="O1520">
            <v>38348</v>
          </cell>
          <cell r="P1520">
            <v>1.0006472500000001</v>
          </cell>
          <cell r="Q1520">
            <v>2.926805265984985</v>
          </cell>
        </row>
        <row r="1521">
          <cell r="O1521">
            <v>38349</v>
          </cell>
          <cell r="P1521">
            <v>1.0006472500000001</v>
          </cell>
          <cell r="Q1521">
            <v>2.9286996406933943</v>
          </cell>
        </row>
        <row r="1522">
          <cell r="O1522">
            <v>38350</v>
          </cell>
          <cell r="P1522">
            <v>1.0006469099999999</v>
          </cell>
          <cell r="Q1522">
            <v>2.930594245777955</v>
          </cell>
        </row>
        <row r="1523">
          <cell r="O1523">
            <v>38351</v>
          </cell>
          <cell r="P1523">
            <v>1.00064759</v>
          </cell>
          <cell r="Q1523">
            <v>2.9324920693055785</v>
          </cell>
        </row>
        <row r="1524">
          <cell r="O1524">
            <v>38352</v>
          </cell>
          <cell r="P1524">
            <v>1.0006486000000001</v>
          </cell>
          <cell r="Q1524">
            <v>2.9343940836617306</v>
          </cell>
        </row>
        <row r="1525">
          <cell r="O1525">
            <v>38355</v>
          </cell>
          <cell r="P1525">
            <v>1.0006489300000001</v>
          </cell>
          <cell r="Q1525">
            <v>2.9362983000144416</v>
          </cell>
        </row>
        <row r="1526">
          <cell r="O1526">
            <v>38356</v>
          </cell>
          <cell r="P1526">
            <v>1.0006489300000001</v>
          </cell>
          <cell r="Q1526">
            <v>2.9382037520702702</v>
          </cell>
        </row>
        <row r="1527">
          <cell r="O1527">
            <v>38357</v>
          </cell>
          <cell r="P1527">
            <v>1.00064759</v>
          </cell>
          <cell r="Q1527">
            <v>2.9401065034380736</v>
          </cell>
        </row>
        <row r="1528">
          <cell r="O1528">
            <v>38358</v>
          </cell>
          <cell r="P1528">
            <v>1.00064759</v>
          </cell>
          <cell r="Q1528">
            <v>2.942010487008635</v>
          </cell>
        </row>
        <row r="1529">
          <cell r="O1529">
            <v>38359</v>
          </cell>
          <cell r="P1529">
            <v>1.00064759</v>
          </cell>
          <cell r="Q1529">
            <v>2.9439157035799171</v>
          </cell>
        </row>
        <row r="1530">
          <cell r="O1530">
            <v>38362</v>
          </cell>
          <cell r="P1530">
            <v>1.0006472500000001</v>
          </cell>
          <cell r="Q1530">
            <v>2.9458211530190597</v>
          </cell>
        </row>
        <row r="1531">
          <cell r="O1531">
            <v>38363</v>
          </cell>
          <cell r="P1531">
            <v>1.0006472500000001</v>
          </cell>
          <cell r="Q1531">
            <v>2.9477278357603516</v>
          </cell>
        </row>
        <row r="1532">
          <cell r="O1532">
            <v>38364</v>
          </cell>
          <cell r="P1532">
            <v>1.0006469099999999</v>
          </cell>
          <cell r="Q1532">
            <v>2.949634750374583</v>
          </cell>
        </row>
        <row r="1533">
          <cell r="O1533">
            <v>38365</v>
          </cell>
          <cell r="P1533">
            <v>1.00064759</v>
          </cell>
          <cell r="Q1533">
            <v>2.9515449043425783</v>
          </cell>
        </row>
        <row r="1534">
          <cell r="O1534">
            <v>38366</v>
          </cell>
          <cell r="P1534">
            <v>1.0006469099999999</v>
          </cell>
          <cell r="Q1534">
            <v>2.9534542882566464</v>
          </cell>
        </row>
        <row r="1535">
          <cell r="O1535">
            <v>38369</v>
          </cell>
          <cell r="P1535">
            <v>1.00064759</v>
          </cell>
          <cell r="Q1535">
            <v>2.9553669157191784</v>
          </cell>
        </row>
        <row r="1536">
          <cell r="O1536">
            <v>38370</v>
          </cell>
          <cell r="P1536">
            <v>1.00064826</v>
          </cell>
          <cell r="Q1536">
            <v>2.9572827618759625</v>
          </cell>
        </row>
        <row r="1537">
          <cell r="O1537">
            <v>38371</v>
          </cell>
          <cell r="P1537">
            <v>1.00064792</v>
          </cell>
          <cell r="Q1537">
            <v>2.9591988445230371</v>
          </cell>
        </row>
        <row r="1538">
          <cell r="O1538">
            <v>38372</v>
          </cell>
          <cell r="P1538">
            <v>1.00064792</v>
          </cell>
          <cell r="Q1538">
            <v>2.9611161686383807</v>
          </cell>
        </row>
        <row r="1539">
          <cell r="O1539">
            <v>38373</v>
          </cell>
          <cell r="P1539">
            <v>1.0006644200000001</v>
          </cell>
          <cell r="Q1539">
            <v>2.9630835934431476</v>
          </cell>
        </row>
        <row r="1540">
          <cell r="O1540">
            <v>38376</v>
          </cell>
          <cell r="P1540">
            <v>1.0006647500000001</v>
          </cell>
          <cell r="Q1540">
            <v>2.9650533032618891</v>
          </cell>
        </row>
        <row r="1541">
          <cell r="O1541">
            <v>38377</v>
          </cell>
          <cell r="P1541">
            <v>1.00066509</v>
          </cell>
          <cell r="Q1541">
            <v>2.9670253305633558</v>
          </cell>
        </row>
        <row r="1542">
          <cell r="O1542">
            <v>38378</v>
          </cell>
          <cell r="P1542">
            <v>1.00066509</v>
          </cell>
          <cell r="Q1542">
            <v>2.9689986694404604</v>
          </cell>
        </row>
        <row r="1543">
          <cell r="O1543">
            <v>38379</v>
          </cell>
          <cell r="P1543">
            <v>1.0006644200000001</v>
          </cell>
          <cell r="Q1543">
            <v>2.9709713315364104</v>
          </cell>
        </row>
        <row r="1544">
          <cell r="O1544">
            <v>38380</v>
          </cell>
          <cell r="P1544">
            <v>1.0006647500000001</v>
          </cell>
          <cell r="Q1544">
            <v>2.9729462847290495</v>
          </cell>
        </row>
        <row r="1545">
          <cell r="O1545">
            <v>38383</v>
          </cell>
          <cell r="P1545">
            <v>1.0006644200000001</v>
          </cell>
          <cell r="Q1545">
            <v>2.9749215696995495</v>
          </cell>
        </row>
        <row r="1546">
          <cell r="O1546">
            <v>38384</v>
          </cell>
          <cell r="P1546">
            <v>1.00066542</v>
          </cell>
          <cell r="Q1546">
            <v>2.9769011420104592</v>
          </cell>
        </row>
        <row r="1547">
          <cell r="O1547">
            <v>38385</v>
          </cell>
          <cell r="P1547">
            <v>1.00066542</v>
          </cell>
          <cell r="Q1547">
            <v>2.9788820315683759</v>
          </cell>
        </row>
        <row r="1548">
          <cell r="O1548">
            <v>38386</v>
          </cell>
          <cell r="P1548">
            <v>1.00066576</v>
          </cell>
          <cell r="Q1548">
            <v>2.9808652520697128</v>
          </cell>
        </row>
        <row r="1549">
          <cell r="O1549">
            <v>38387</v>
          </cell>
          <cell r="P1549">
            <v>1.00066542</v>
          </cell>
          <cell r="Q1549">
            <v>2.982848779425745</v>
          </cell>
        </row>
        <row r="1550">
          <cell r="O1550">
            <v>38392</v>
          </cell>
          <cell r="P1550">
            <v>1.00066542</v>
          </cell>
          <cell r="Q1550">
            <v>2.9848336266605506</v>
          </cell>
        </row>
        <row r="1551">
          <cell r="O1551">
            <v>38393</v>
          </cell>
          <cell r="P1551">
            <v>1.00066542</v>
          </cell>
          <cell r="Q1551">
            <v>2.9868197946524031</v>
          </cell>
        </row>
        <row r="1552">
          <cell r="O1552">
            <v>38394</v>
          </cell>
          <cell r="P1552">
            <v>1.0006647500000001</v>
          </cell>
          <cell r="Q1552">
            <v>2.9888052831108984</v>
          </cell>
        </row>
        <row r="1553">
          <cell r="O1553">
            <v>38397</v>
          </cell>
          <cell r="P1553">
            <v>1.0006647500000001</v>
          </cell>
          <cell r="Q1553">
            <v>2.9907920914228465</v>
          </cell>
        </row>
        <row r="1554">
          <cell r="O1554">
            <v>38398</v>
          </cell>
          <cell r="P1554">
            <v>1.0006644200000001</v>
          </cell>
          <cell r="Q1554">
            <v>2.9927792335042298</v>
          </cell>
        </row>
        <row r="1555">
          <cell r="O1555">
            <v>38399</v>
          </cell>
          <cell r="P1555">
            <v>1.0006644200000001</v>
          </cell>
          <cell r="Q1555">
            <v>2.9947676958825551</v>
          </cell>
        </row>
        <row r="1556">
          <cell r="O1556">
            <v>38400</v>
          </cell>
          <cell r="P1556">
            <v>1.00066374</v>
          </cell>
          <cell r="Q1556">
            <v>2.9967554429930203</v>
          </cell>
        </row>
        <row r="1557">
          <cell r="O1557">
            <v>38401</v>
          </cell>
          <cell r="P1557">
            <v>1.00068051</v>
          </cell>
          <cell r="Q1557">
            <v>2.9987947650395315</v>
          </cell>
        </row>
        <row r="1558">
          <cell r="O1558">
            <v>38404</v>
          </cell>
          <cell r="P1558">
            <v>1.0006801700000001</v>
          </cell>
          <cell r="Q1558">
            <v>3.0008344552748687</v>
          </cell>
        </row>
        <row r="1559">
          <cell r="O1559">
            <v>38405</v>
          </cell>
          <cell r="P1559">
            <v>1.0006801700000001</v>
          </cell>
          <cell r="Q1559">
            <v>3.0028755328463133</v>
          </cell>
        </row>
        <row r="1560">
          <cell r="O1560">
            <v>38406</v>
          </cell>
          <cell r="P1560">
            <v>1.0006801700000001</v>
          </cell>
          <cell r="Q1560">
            <v>3.0049179986974894</v>
          </cell>
        </row>
        <row r="1561">
          <cell r="O1561">
            <v>38407</v>
          </cell>
          <cell r="P1561">
            <v>1.0006798400000001</v>
          </cell>
          <cell r="Q1561">
            <v>3.0069608621497244</v>
          </cell>
        </row>
        <row r="1562">
          <cell r="O1562">
            <v>38408</v>
          </cell>
          <cell r="P1562">
            <v>1.0006798400000001</v>
          </cell>
          <cell r="Q1562">
            <v>3.0090051144222487</v>
          </cell>
        </row>
        <row r="1563">
          <cell r="O1563">
            <v>38411</v>
          </cell>
          <cell r="P1563">
            <v>1.0006798400000001</v>
          </cell>
          <cell r="Q1563">
            <v>3.0110507564592379</v>
          </cell>
        </row>
        <row r="1564">
          <cell r="O1564">
            <v>38412</v>
          </cell>
          <cell r="P1564">
            <v>1.0006798400000001</v>
          </cell>
          <cell r="Q1564">
            <v>3.0130977892055095</v>
          </cell>
        </row>
        <row r="1565">
          <cell r="O1565">
            <v>38413</v>
          </cell>
          <cell r="P1565">
            <v>1.0006794999999999</v>
          </cell>
          <cell r="Q1565">
            <v>3.0151451891532743</v>
          </cell>
        </row>
        <row r="1566">
          <cell r="O1566">
            <v>38414</v>
          </cell>
          <cell r="P1566">
            <v>1.00067883</v>
          </cell>
          <cell r="Q1566">
            <v>3.0171919601620272</v>
          </cell>
        </row>
        <row r="1567">
          <cell r="O1567">
            <v>38415</v>
          </cell>
          <cell r="P1567">
            <v>1.00067883</v>
          </cell>
          <cell r="Q1567">
            <v>3.0192401205803439</v>
          </cell>
        </row>
        <row r="1568">
          <cell r="O1568">
            <v>38418</v>
          </cell>
          <cell r="P1568">
            <v>1.0006785</v>
          </cell>
          <cell r="Q1568">
            <v>3.0212886750021579</v>
          </cell>
        </row>
        <row r="1569">
          <cell r="O1569">
            <v>38419</v>
          </cell>
          <cell r="P1569">
            <v>1.00067917</v>
          </cell>
          <cell r="Q1569">
            <v>3.0233406436315589</v>
          </cell>
        </row>
        <row r="1570">
          <cell r="O1570">
            <v>38420</v>
          </cell>
          <cell r="P1570">
            <v>1.0006785</v>
          </cell>
          <cell r="Q1570">
            <v>3.0253919802582629</v>
          </cell>
        </row>
        <row r="1571">
          <cell r="O1571">
            <v>38421</v>
          </cell>
          <cell r="P1571">
            <v>1.0006781600000001</v>
          </cell>
          <cell r="Q1571">
            <v>3.0274436800835951</v>
          </cell>
        </row>
        <row r="1572">
          <cell r="O1572">
            <v>38422</v>
          </cell>
          <cell r="P1572">
            <v>1.0006778300000001</v>
          </cell>
          <cell r="Q1572">
            <v>3.0294957722332665</v>
          </cell>
        </row>
        <row r="1573">
          <cell r="O1573">
            <v>38425</v>
          </cell>
          <cell r="P1573">
            <v>1.0006778300000001</v>
          </cell>
          <cell r="Q1573">
            <v>3.0315492553525596</v>
          </cell>
        </row>
        <row r="1574">
          <cell r="O1574">
            <v>38426</v>
          </cell>
          <cell r="P1574">
            <v>1.0006778300000001</v>
          </cell>
          <cell r="Q1574">
            <v>3.0336041303843153</v>
          </cell>
        </row>
        <row r="1575">
          <cell r="O1575">
            <v>38427</v>
          </cell>
          <cell r="P1575">
            <v>1.0006781600000001</v>
          </cell>
          <cell r="Q1575">
            <v>3.035661399361377</v>
          </cell>
        </row>
        <row r="1576">
          <cell r="O1576">
            <v>38428</v>
          </cell>
          <cell r="P1576">
            <v>1.0006785</v>
          </cell>
          <cell r="Q1576">
            <v>3.0377210956208436</v>
          </cell>
        </row>
        <row r="1577">
          <cell r="O1577">
            <v>38429</v>
          </cell>
          <cell r="P1577">
            <v>1.00069553</v>
          </cell>
          <cell r="Q1577">
            <v>3.0398339217744805</v>
          </cell>
        </row>
        <row r="1578">
          <cell r="O1578">
            <v>38432</v>
          </cell>
          <cell r="P1578">
            <v>1.0006961999999999</v>
          </cell>
          <cell r="Q1578">
            <v>3.0419502541508199</v>
          </cell>
        </row>
        <row r="1579">
          <cell r="O1579">
            <v>38433</v>
          </cell>
          <cell r="P1579">
            <v>1.0006965299999999</v>
          </cell>
          <cell r="Q1579">
            <v>3.0440690637613432</v>
          </cell>
        </row>
        <row r="1580">
          <cell r="O1580">
            <v>38434</v>
          </cell>
          <cell r="P1580">
            <v>1.0006968599999999</v>
          </cell>
          <cell r="Q1580">
            <v>3.0461903537291155</v>
          </cell>
        </row>
        <row r="1581">
          <cell r="O1581">
            <v>38435</v>
          </cell>
          <cell r="P1581">
            <v>1.0006972000000001</v>
          </cell>
          <cell r="Q1581">
            <v>3.0483141576437358</v>
          </cell>
        </row>
        <row r="1582">
          <cell r="O1582">
            <v>38439</v>
          </cell>
          <cell r="P1582">
            <v>1.0006975300000001</v>
          </cell>
          <cell r="Q1582">
            <v>3.0504404482181173</v>
          </cell>
        </row>
        <row r="1583">
          <cell r="O1583">
            <v>38440</v>
          </cell>
          <cell r="P1583">
            <v>1.0006972000000001</v>
          </cell>
          <cell r="Q1583">
            <v>3.0525672152986152</v>
          </cell>
        </row>
        <row r="1584">
          <cell r="O1584">
            <v>38441</v>
          </cell>
          <cell r="P1584">
            <v>1.0006972000000001</v>
          </cell>
          <cell r="Q1584">
            <v>3.0546954651611218</v>
          </cell>
        </row>
        <row r="1585">
          <cell r="O1585">
            <v>38442</v>
          </cell>
          <cell r="P1585">
            <v>1.0006968599999999</v>
          </cell>
          <cell r="Q1585">
            <v>3.0568241602429738</v>
          </cell>
        </row>
        <row r="1586">
          <cell r="O1586">
            <v>38443</v>
          </cell>
          <cell r="P1586">
            <v>1.0006975300000001</v>
          </cell>
          <cell r="Q1586">
            <v>3.0589563867994682</v>
          </cell>
        </row>
        <row r="1587">
          <cell r="O1587">
            <v>38446</v>
          </cell>
          <cell r="P1587">
            <v>1.0006975300000001</v>
          </cell>
          <cell r="Q1587">
            <v>3.0610901006479527</v>
          </cell>
        </row>
        <row r="1588">
          <cell r="O1588">
            <v>38447</v>
          </cell>
          <cell r="P1588">
            <v>1.0006975300000001</v>
          </cell>
          <cell r="Q1588">
            <v>3.0632253028258578</v>
          </cell>
        </row>
        <row r="1589">
          <cell r="O1589">
            <v>38448</v>
          </cell>
          <cell r="P1589">
            <v>1.0006978600000001</v>
          </cell>
          <cell r="Q1589">
            <v>3.0653630052356879</v>
          </cell>
        </row>
        <row r="1590">
          <cell r="O1590">
            <v>38449</v>
          </cell>
          <cell r="P1590">
            <v>1.0006975300000001</v>
          </cell>
          <cell r="Q1590">
            <v>3.0675011878927303</v>
          </cell>
        </row>
        <row r="1591">
          <cell r="O1591">
            <v>38450</v>
          </cell>
          <cell r="P1591">
            <v>1.0006975300000001</v>
          </cell>
          <cell r="Q1591">
            <v>3.0696408619963211</v>
          </cell>
        </row>
        <row r="1592">
          <cell r="O1592">
            <v>38453</v>
          </cell>
          <cell r="P1592">
            <v>1.0006972000000001</v>
          </cell>
          <cell r="Q1592">
            <v>3.0717810156053051</v>
          </cell>
        </row>
        <row r="1593">
          <cell r="O1593">
            <v>38454</v>
          </cell>
          <cell r="P1593">
            <v>1.0006972000000001</v>
          </cell>
          <cell r="Q1593">
            <v>3.0739226613293855</v>
          </cell>
        </row>
        <row r="1594">
          <cell r="O1594">
            <v>38455</v>
          </cell>
          <cell r="P1594">
            <v>1.0006965299999999</v>
          </cell>
          <cell r="Q1594">
            <v>3.0760637406806812</v>
          </cell>
        </row>
        <row r="1595">
          <cell r="O1595">
            <v>38456</v>
          </cell>
          <cell r="P1595">
            <v>1.0006968599999999</v>
          </cell>
          <cell r="Q1595">
            <v>3.0782073264590117</v>
          </cell>
        </row>
        <row r="1596">
          <cell r="O1596">
            <v>38457</v>
          </cell>
          <cell r="P1596">
            <v>1.0006968599999999</v>
          </cell>
          <cell r="Q1596">
            <v>3.0803524060165275</v>
          </cell>
        </row>
        <row r="1597">
          <cell r="O1597">
            <v>38460</v>
          </cell>
          <cell r="P1597">
            <v>1.0006965299999999</v>
          </cell>
          <cell r="Q1597">
            <v>3.08249796387789</v>
          </cell>
        </row>
        <row r="1598">
          <cell r="O1598">
            <v>38461</v>
          </cell>
          <cell r="P1598">
            <v>1.0006965299999999</v>
          </cell>
          <cell r="Q1598">
            <v>3.0846450161846697</v>
          </cell>
        </row>
        <row r="1599">
          <cell r="O1599">
            <v>38462</v>
          </cell>
          <cell r="P1599">
            <v>1.0006968599999999</v>
          </cell>
          <cell r="Q1599">
            <v>3.0867945819106479</v>
          </cell>
        </row>
        <row r="1600">
          <cell r="O1600">
            <v>38464</v>
          </cell>
          <cell r="P1600">
            <v>1.0006965299999999</v>
          </cell>
          <cell r="Q1600">
            <v>3.0889446269407861</v>
          </cell>
        </row>
        <row r="1601">
          <cell r="O1601">
            <v>38467</v>
          </cell>
          <cell r="P1601">
            <v>1.0007035200000001</v>
          </cell>
          <cell r="Q1601">
            <v>3.0911177612647318</v>
          </cell>
        </row>
        <row r="1602">
          <cell r="O1602">
            <v>38468</v>
          </cell>
          <cell r="P1602">
            <v>1.00070419</v>
          </cell>
          <cell r="Q1602">
            <v>3.0932944954810369</v>
          </cell>
        </row>
        <row r="1603">
          <cell r="O1603">
            <v>38469</v>
          </cell>
          <cell r="P1603">
            <v>1.00070419</v>
          </cell>
          <cell r="Q1603">
            <v>3.0954727625318097</v>
          </cell>
        </row>
        <row r="1604">
          <cell r="O1604">
            <v>38470</v>
          </cell>
          <cell r="P1604">
            <v>1.00070485</v>
          </cell>
          <cell r="Q1604">
            <v>3.0976546065084802</v>
          </cell>
        </row>
        <row r="1605">
          <cell r="O1605">
            <v>38471</v>
          </cell>
          <cell r="P1605">
            <v>1.00070518</v>
          </cell>
          <cell r="Q1605">
            <v>3.099839010583898</v>
          </cell>
        </row>
        <row r="1606">
          <cell r="O1606">
            <v>38474</v>
          </cell>
          <cell r="P1606">
            <v>1.0007058499999999</v>
          </cell>
          <cell r="Q1606">
            <v>3.1020270319495182</v>
          </cell>
        </row>
        <row r="1607">
          <cell r="O1607">
            <v>38475</v>
          </cell>
          <cell r="P1607">
            <v>1.0007065100000001</v>
          </cell>
          <cell r="Q1607">
            <v>3.1042186450678613</v>
          </cell>
        </row>
        <row r="1608">
          <cell r="O1608">
            <v>38476</v>
          </cell>
          <cell r="P1608">
            <v>1.0007065100000001</v>
          </cell>
          <cell r="Q1608">
            <v>3.1064118065827886</v>
          </cell>
        </row>
        <row r="1609">
          <cell r="O1609">
            <v>38477</v>
          </cell>
          <cell r="P1609">
            <v>1.0007065100000001</v>
          </cell>
          <cell r="Q1609">
            <v>3.1086065175882576</v>
          </cell>
        </row>
        <row r="1610">
          <cell r="O1610">
            <v>38478</v>
          </cell>
          <cell r="P1610">
            <v>1.0007065100000001</v>
          </cell>
          <cell r="Q1610">
            <v>3.1108027791789992</v>
          </cell>
        </row>
        <row r="1611">
          <cell r="O1611">
            <v>38481</v>
          </cell>
          <cell r="P1611">
            <v>1.00070685</v>
          </cell>
          <cell r="Q1611">
            <v>3.1130016501234619</v>
          </cell>
        </row>
        <row r="1612">
          <cell r="O1612">
            <v>38482</v>
          </cell>
          <cell r="P1612">
            <v>1.0007061799999999</v>
          </cell>
          <cell r="Q1612">
            <v>3.1151999896287457</v>
          </cell>
        </row>
        <row r="1613">
          <cell r="O1613">
            <v>38483</v>
          </cell>
          <cell r="P1613">
            <v>1.0007061799999999</v>
          </cell>
          <cell r="Q1613">
            <v>3.1173998815574215</v>
          </cell>
        </row>
        <row r="1614">
          <cell r="O1614">
            <v>38484</v>
          </cell>
          <cell r="P1614">
            <v>1.0007061799999999</v>
          </cell>
          <cell r="Q1614">
            <v>3.1196013270057796</v>
          </cell>
        </row>
        <row r="1615">
          <cell r="O1615">
            <v>38485</v>
          </cell>
          <cell r="P1615">
            <v>1.0007061799999999</v>
          </cell>
          <cell r="Q1615">
            <v>3.1218043270708842</v>
          </cell>
        </row>
        <row r="1616">
          <cell r="O1616">
            <v>38488</v>
          </cell>
          <cell r="P1616">
            <v>1.0007058499999999</v>
          </cell>
          <cell r="Q1616">
            <v>3.1240078526551467</v>
          </cell>
        </row>
        <row r="1617">
          <cell r="O1617">
            <v>38489</v>
          </cell>
          <cell r="P1617">
            <v>1.0007065100000001</v>
          </cell>
          <cell r="Q1617">
            <v>3.1262149954431262</v>
          </cell>
        </row>
        <row r="1618">
          <cell r="O1618">
            <v>38490</v>
          </cell>
          <cell r="P1618">
            <v>1.0007065100000001</v>
          </cell>
          <cell r="Q1618">
            <v>3.128423697599557</v>
          </cell>
        </row>
        <row r="1619">
          <cell r="O1619">
            <v>38491</v>
          </cell>
          <cell r="P1619">
            <v>1.0007061799999999</v>
          </cell>
          <cell r="Q1619">
            <v>3.1306329278463276</v>
          </cell>
        </row>
        <row r="1620">
          <cell r="O1620">
            <v>38492</v>
          </cell>
          <cell r="P1620">
            <v>1.0007141500000001</v>
          </cell>
          <cell r="Q1620">
            <v>3.1328686693517493</v>
          </cell>
        </row>
        <row r="1621">
          <cell r="O1621">
            <v>38495</v>
          </cell>
          <cell r="P1621">
            <v>1.0007141500000001</v>
          </cell>
          <cell r="Q1621">
            <v>3.135106007511967</v>
          </cell>
        </row>
        <row r="1622">
          <cell r="O1622">
            <v>38496</v>
          </cell>
          <cell r="P1622">
            <v>1.0007141500000001</v>
          </cell>
          <cell r="Q1622">
            <v>3.137344943467232</v>
          </cell>
        </row>
        <row r="1623">
          <cell r="O1623">
            <v>38497</v>
          </cell>
          <cell r="P1623">
            <v>1.0007141500000001</v>
          </cell>
          <cell r="Q1623">
            <v>3.1395854783586095</v>
          </cell>
        </row>
        <row r="1624">
          <cell r="O1624">
            <v>38499</v>
          </cell>
          <cell r="P1624">
            <v>1.0007138200000001</v>
          </cell>
          <cell r="Q1624">
            <v>3.1418265772647715</v>
          </cell>
        </row>
        <row r="1625">
          <cell r="O1625">
            <v>38502</v>
          </cell>
          <cell r="P1625">
            <v>1.0007141500000001</v>
          </cell>
          <cell r="Q1625">
            <v>3.1440703127149257</v>
          </cell>
        </row>
        <row r="1626">
          <cell r="O1626">
            <v>38503</v>
          </cell>
          <cell r="P1626">
            <v>1.0007148100000001</v>
          </cell>
          <cell r="Q1626">
            <v>3.1463177256151575</v>
          </cell>
        </row>
        <row r="1627">
          <cell r="O1627">
            <v>38504</v>
          </cell>
          <cell r="P1627">
            <v>1.00071614</v>
          </cell>
          <cell r="Q1627">
            <v>3.1485709295911795</v>
          </cell>
        </row>
        <row r="1628">
          <cell r="O1628">
            <v>38505</v>
          </cell>
          <cell r="P1628">
            <v>1.00071614</v>
          </cell>
          <cell r="Q1628">
            <v>3.1508257471766967</v>
          </cell>
        </row>
        <row r="1629">
          <cell r="O1629">
            <v>38506</v>
          </cell>
          <cell r="P1629">
            <v>1.00071548</v>
          </cell>
          <cell r="Q1629">
            <v>3.1530800999822866</v>
          </cell>
        </row>
        <row r="1630">
          <cell r="O1630">
            <v>38509</v>
          </cell>
          <cell r="P1630">
            <v>1.00071515</v>
          </cell>
          <cell r="Q1630">
            <v>3.155335025215789</v>
          </cell>
        </row>
        <row r="1631">
          <cell r="O1631">
            <v>38510</v>
          </cell>
          <cell r="P1631">
            <v>1.0007148100000001</v>
          </cell>
          <cell r="Q1631">
            <v>3.1575904902451639</v>
          </cell>
        </row>
        <row r="1632">
          <cell r="O1632">
            <v>38511</v>
          </cell>
          <cell r="P1632">
            <v>1.0007148100000001</v>
          </cell>
          <cell r="Q1632">
            <v>3.1598475675034963</v>
          </cell>
        </row>
        <row r="1633">
          <cell r="O1633">
            <v>38512</v>
          </cell>
          <cell r="P1633">
            <v>1.0007141500000001</v>
          </cell>
          <cell r="Q1633">
            <v>3.1621041726438293</v>
          </cell>
        </row>
        <row r="1634">
          <cell r="O1634">
            <v>38513</v>
          </cell>
          <cell r="P1634">
            <v>1.0007141500000001</v>
          </cell>
          <cell r="Q1634">
            <v>3.1643623893387232</v>
          </cell>
        </row>
        <row r="1635">
          <cell r="O1635">
            <v>38516</v>
          </cell>
          <cell r="P1635">
            <v>1.0007144800000001</v>
          </cell>
          <cell r="Q1635">
            <v>3.1666232629786579</v>
          </cell>
        </row>
        <row r="1636">
          <cell r="O1636">
            <v>38517</v>
          </cell>
          <cell r="P1636">
            <v>1.0007148100000001</v>
          </cell>
          <cell r="Q1636">
            <v>3.1688867969532679</v>
          </cell>
        </row>
        <row r="1637">
          <cell r="O1637">
            <v>38518</v>
          </cell>
          <cell r="P1637">
            <v>1.0007148100000001</v>
          </cell>
          <cell r="Q1637">
            <v>3.1711519489245985</v>
          </cell>
        </row>
        <row r="1638">
          <cell r="O1638">
            <v>38519</v>
          </cell>
          <cell r="P1638">
            <v>1.0007148100000001</v>
          </cell>
          <cell r="Q1638">
            <v>3.1734187200492094</v>
          </cell>
        </row>
        <row r="1639">
          <cell r="O1639">
            <v>38520</v>
          </cell>
          <cell r="P1639">
            <v>1.0007144800000001</v>
          </cell>
          <cell r="Q1639">
            <v>3.1756860642563103</v>
          </cell>
        </row>
        <row r="1640">
          <cell r="O1640">
            <v>38523</v>
          </cell>
          <cell r="P1640">
            <v>1.0007148100000001</v>
          </cell>
          <cell r="Q1640">
            <v>3.1779560764119017</v>
          </cell>
        </row>
        <row r="1641">
          <cell r="O1641">
            <v>38524</v>
          </cell>
          <cell r="P1641">
            <v>1.0007144800000001</v>
          </cell>
          <cell r="Q1641">
            <v>3.1802266624693769</v>
          </cell>
        </row>
        <row r="1642">
          <cell r="O1642">
            <v>38525</v>
          </cell>
          <cell r="P1642">
            <v>1.0007141500000001</v>
          </cell>
          <cell r="Q1642">
            <v>3.1824978213403798</v>
          </cell>
        </row>
        <row r="1643">
          <cell r="O1643">
            <v>38526</v>
          </cell>
          <cell r="P1643">
            <v>1.0007144800000001</v>
          </cell>
          <cell r="Q1643">
            <v>3.1847716523837715</v>
          </cell>
        </row>
        <row r="1644">
          <cell r="O1644">
            <v>38527</v>
          </cell>
          <cell r="P1644">
            <v>1.0007144800000001</v>
          </cell>
          <cell r="Q1644">
            <v>3.1870471080339668</v>
          </cell>
        </row>
        <row r="1645">
          <cell r="O1645">
            <v>38530</v>
          </cell>
          <cell r="P1645">
            <v>1.0007148100000001</v>
          </cell>
          <cell r="Q1645">
            <v>3.189325241177261</v>
          </cell>
        </row>
        <row r="1646">
          <cell r="O1646">
            <v>38531</v>
          </cell>
          <cell r="P1646">
            <v>1.00071515</v>
          </cell>
          <cell r="Q1646">
            <v>3.191606087123489</v>
          </cell>
        </row>
        <row r="1647">
          <cell r="O1647">
            <v>38532</v>
          </cell>
          <cell r="P1647">
            <v>1.00071515</v>
          </cell>
          <cell r="Q1647">
            <v>3.1938885642166954</v>
          </cell>
        </row>
        <row r="1648">
          <cell r="O1648">
            <v>38533</v>
          </cell>
          <cell r="P1648">
            <v>1.00071515</v>
          </cell>
          <cell r="Q1648">
            <v>3.1961726736233951</v>
          </cell>
        </row>
        <row r="1649">
          <cell r="O1649">
            <v>38534</v>
          </cell>
          <cell r="P1649">
            <v>1.00071515</v>
          </cell>
          <cell r="Q1649">
            <v>3.1984584165109369</v>
          </cell>
        </row>
        <row r="1650">
          <cell r="O1650">
            <v>38537</v>
          </cell>
          <cell r="P1650">
            <v>1.0007148100000001</v>
          </cell>
          <cell r="Q1650">
            <v>3.2007447065716432</v>
          </cell>
        </row>
        <row r="1651">
          <cell r="O1651">
            <v>38538</v>
          </cell>
          <cell r="P1651">
            <v>1.00071515</v>
          </cell>
          <cell r="Q1651">
            <v>3.2030337191485478</v>
          </cell>
        </row>
        <row r="1652">
          <cell r="O1652">
            <v>38539</v>
          </cell>
          <cell r="P1652">
            <v>1.0007144800000001</v>
          </cell>
          <cell r="Q1652">
            <v>3.2053222226802052</v>
          </cell>
        </row>
        <row r="1653">
          <cell r="O1653">
            <v>38540</v>
          </cell>
          <cell r="P1653">
            <v>1.0007144800000001</v>
          </cell>
          <cell r="Q1653">
            <v>3.2076123613018659</v>
          </cell>
        </row>
        <row r="1654">
          <cell r="O1654">
            <v>38541</v>
          </cell>
          <cell r="P1654">
            <v>1.0007141500000001</v>
          </cell>
          <cell r="Q1654">
            <v>3.20990307766969</v>
          </cell>
        </row>
        <row r="1655">
          <cell r="O1655">
            <v>38544</v>
          </cell>
          <cell r="P1655">
            <v>1.0007134900000001</v>
          </cell>
          <cell r="Q1655">
            <v>3.2121933114165766</v>
          </cell>
        </row>
        <row r="1656">
          <cell r="O1656">
            <v>38545</v>
          </cell>
          <cell r="P1656">
            <v>1.0007141500000001</v>
          </cell>
          <cell r="Q1656">
            <v>3.2144872992699249</v>
          </cell>
        </row>
        <row r="1657">
          <cell r="O1657">
            <v>38546</v>
          </cell>
          <cell r="P1657">
            <v>1.0007138200000001</v>
          </cell>
          <cell r="Q1657">
            <v>3.2167818645938899</v>
          </cell>
        </row>
        <row r="1658">
          <cell r="O1658">
            <v>38547</v>
          </cell>
          <cell r="P1658">
            <v>1.0007138200000001</v>
          </cell>
          <cell r="Q1658">
            <v>3.2190780678244746</v>
          </cell>
        </row>
        <row r="1659">
          <cell r="O1659">
            <v>38548</v>
          </cell>
          <cell r="P1659">
            <v>1.0007141500000001</v>
          </cell>
          <cell r="Q1659">
            <v>3.2213769724266115</v>
          </cell>
        </row>
        <row r="1660">
          <cell r="O1660">
            <v>38551</v>
          </cell>
          <cell r="P1660">
            <v>1.0007141500000001</v>
          </cell>
          <cell r="Q1660">
            <v>3.2236775187914701</v>
          </cell>
        </row>
        <row r="1661">
          <cell r="O1661">
            <v>38552</v>
          </cell>
          <cell r="P1661">
            <v>1.0007138200000001</v>
          </cell>
          <cell r="Q1661">
            <v>3.2259786442779341</v>
          </cell>
        </row>
        <row r="1662">
          <cell r="O1662">
            <v>38553</v>
          </cell>
          <cell r="P1662">
            <v>1.0007138200000001</v>
          </cell>
          <cell r="Q1662">
            <v>3.2282814123537928</v>
          </cell>
        </row>
        <row r="1663">
          <cell r="O1663">
            <v>38554</v>
          </cell>
          <cell r="P1663">
            <v>1.0007134900000001</v>
          </cell>
          <cell r="Q1663">
            <v>3.2305847588586936</v>
          </cell>
        </row>
        <row r="1664">
          <cell r="O1664">
            <v>38555</v>
          </cell>
          <cell r="P1664">
            <v>1.0007134900000001</v>
          </cell>
          <cell r="Q1664">
            <v>3.2328897487782919</v>
          </cell>
        </row>
        <row r="1665">
          <cell r="O1665">
            <v>38558</v>
          </cell>
          <cell r="P1665">
            <v>1.0007134900000001</v>
          </cell>
          <cell r="Q1665">
            <v>3.2351963832851482</v>
          </cell>
        </row>
        <row r="1666">
          <cell r="O1666">
            <v>38559</v>
          </cell>
          <cell r="P1666">
            <v>1.0007134900000001</v>
          </cell>
          <cell r="Q1666">
            <v>3.2375046635526585</v>
          </cell>
        </row>
        <row r="1667">
          <cell r="O1667">
            <v>38560</v>
          </cell>
          <cell r="P1667">
            <v>1.0007131600000001</v>
          </cell>
          <cell r="Q1667">
            <v>3.2398135223785181</v>
          </cell>
        </row>
        <row r="1668">
          <cell r="O1668">
            <v>38561</v>
          </cell>
          <cell r="P1668">
            <v>1.0007128199999999</v>
          </cell>
          <cell r="Q1668">
            <v>3.2421229262535398</v>
          </cell>
        </row>
        <row r="1669">
          <cell r="O1669">
            <v>38562</v>
          </cell>
          <cell r="P1669">
            <v>1.0007128199999999</v>
          </cell>
          <cell r="Q1669">
            <v>3.2444339763178318</v>
          </cell>
        </row>
        <row r="1670">
          <cell r="O1670">
            <v>38565</v>
          </cell>
          <cell r="P1670">
            <v>1.0007131600000001</v>
          </cell>
          <cell r="Q1670">
            <v>3.2467477768523829</v>
          </cell>
        </row>
        <row r="1671">
          <cell r="O1671">
            <v>38566</v>
          </cell>
          <cell r="P1671">
            <v>1.0007134900000001</v>
          </cell>
          <cell r="Q1671">
            <v>3.2490642989236895</v>
          </cell>
        </row>
        <row r="1672">
          <cell r="O1672">
            <v>38567</v>
          </cell>
          <cell r="P1672">
            <v>1.0007138200000001</v>
          </cell>
          <cell r="Q1672">
            <v>3.2513835460015477</v>
          </cell>
        </row>
        <row r="1673">
          <cell r="O1673">
            <v>38568</v>
          </cell>
          <cell r="P1673">
            <v>1.0007138200000001</v>
          </cell>
          <cell r="Q1673">
            <v>3.2537044486043549</v>
          </cell>
        </row>
        <row r="1674">
          <cell r="O1674">
            <v>38569</v>
          </cell>
          <cell r="P1674">
            <v>1.0007138200000001</v>
          </cell>
          <cell r="Q1674">
            <v>3.256027007913858</v>
          </cell>
        </row>
        <row r="1675">
          <cell r="O1675">
            <v>38572</v>
          </cell>
          <cell r="P1675">
            <v>1.0007134900000001</v>
          </cell>
          <cell r="Q1675">
            <v>3.2583501506237349</v>
          </cell>
        </row>
        <row r="1676">
          <cell r="O1676">
            <v>38573</v>
          </cell>
          <cell r="P1676">
            <v>1.0007134900000001</v>
          </cell>
          <cell r="Q1676">
            <v>3.2606749508727035</v>
          </cell>
        </row>
        <row r="1677">
          <cell r="O1677">
            <v>38574</v>
          </cell>
          <cell r="P1677">
            <v>1.0007131600000001</v>
          </cell>
          <cell r="Q1677">
            <v>3.2630003338206683</v>
          </cell>
        </row>
        <row r="1678">
          <cell r="O1678">
            <v>38575</v>
          </cell>
          <cell r="P1678">
            <v>1.0007131600000001</v>
          </cell>
          <cell r="Q1678">
            <v>3.2653273751387362</v>
          </cell>
        </row>
        <row r="1679">
          <cell r="O1679">
            <v>38576</v>
          </cell>
          <cell r="P1679">
            <v>1.0007131600000001</v>
          </cell>
          <cell r="Q1679">
            <v>3.2676560760095903</v>
          </cell>
        </row>
        <row r="1680">
          <cell r="O1680">
            <v>38579</v>
          </cell>
          <cell r="P1680">
            <v>1.0007131600000001</v>
          </cell>
          <cell r="Q1680">
            <v>3.2699864376167578</v>
          </cell>
        </row>
        <row r="1681">
          <cell r="O1681">
            <v>38580</v>
          </cell>
          <cell r="P1681">
            <v>1.0007128199999999</v>
          </cell>
          <cell r="Q1681">
            <v>3.2723173493492195</v>
          </cell>
        </row>
        <row r="1682">
          <cell r="O1682">
            <v>38581</v>
          </cell>
          <cell r="P1682">
            <v>1.00071249</v>
          </cell>
          <cell r="Q1682">
            <v>3.2746488427374572</v>
          </cell>
        </row>
        <row r="1683">
          <cell r="O1683">
            <v>38582</v>
          </cell>
          <cell r="P1683">
            <v>1.00071183</v>
          </cell>
          <cell r="Q1683">
            <v>3.276979836023183</v>
          </cell>
        </row>
        <row r="1684">
          <cell r="O1684">
            <v>38583</v>
          </cell>
          <cell r="P1684">
            <v>1.00071116</v>
          </cell>
          <cell r="Q1684">
            <v>3.2793102930033693</v>
          </cell>
        </row>
        <row r="1685">
          <cell r="O1685">
            <v>38586</v>
          </cell>
          <cell r="P1685">
            <v>1.00071216</v>
          </cell>
          <cell r="Q1685">
            <v>3.2816456866216344</v>
          </cell>
        </row>
        <row r="1686">
          <cell r="O1686">
            <v>38587</v>
          </cell>
          <cell r="P1686">
            <v>1.00071249</v>
          </cell>
          <cell r="Q1686">
            <v>3.2839838263568955</v>
          </cell>
        </row>
        <row r="1687">
          <cell r="O1687">
            <v>38588</v>
          </cell>
          <cell r="P1687">
            <v>1.00071249</v>
          </cell>
          <cell r="Q1687">
            <v>3.2863236319933362</v>
          </cell>
        </row>
        <row r="1688">
          <cell r="O1688">
            <v>38589</v>
          </cell>
          <cell r="P1688">
            <v>1.0007128199999999</v>
          </cell>
          <cell r="Q1688">
            <v>3.2886661892046933</v>
          </cell>
        </row>
        <row r="1689">
          <cell r="O1689">
            <v>38590</v>
          </cell>
          <cell r="P1689">
            <v>1.0007128199999999</v>
          </cell>
          <cell r="Q1689">
            <v>3.2910104162376821</v>
          </cell>
        </row>
        <row r="1690">
          <cell r="O1690">
            <v>38593</v>
          </cell>
          <cell r="P1690">
            <v>1.00071249</v>
          </cell>
          <cell r="Q1690">
            <v>3.2933552282491472</v>
          </cell>
        </row>
        <row r="1691">
          <cell r="O1691">
            <v>38594</v>
          </cell>
          <cell r="P1691">
            <v>1.0007134900000001</v>
          </cell>
          <cell r="Q1691">
            <v>3.295705004270951</v>
          </cell>
        </row>
        <row r="1692">
          <cell r="O1692">
            <v>38595</v>
          </cell>
          <cell r="P1692">
            <v>1.0007134900000001</v>
          </cell>
          <cell r="Q1692">
            <v>3.2980564568344488</v>
          </cell>
        </row>
        <row r="1693">
          <cell r="O1693">
            <v>38596</v>
          </cell>
          <cell r="P1693">
            <v>1.0007141500000001</v>
          </cell>
          <cell r="Q1693">
            <v>3.3004117638530972</v>
          </cell>
        </row>
        <row r="1694">
          <cell r="O1694">
            <v>38597</v>
          </cell>
          <cell r="P1694">
            <v>1.0007144800000001</v>
          </cell>
          <cell r="Q1694">
            <v>3.302769842050135</v>
          </cell>
        </row>
        <row r="1695">
          <cell r="O1695">
            <v>38600</v>
          </cell>
          <cell r="P1695">
            <v>1.0007144800000001</v>
          </cell>
          <cell r="Q1695">
            <v>3.3051296050468832</v>
          </cell>
        </row>
        <row r="1696">
          <cell r="O1696">
            <v>38601</v>
          </cell>
          <cell r="P1696">
            <v>1.0007144800000001</v>
          </cell>
          <cell r="Q1696">
            <v>3.3074910540470972</v>
          </cell>
        </row>
        <row r="1697">
          <cell r="O1697">
            <v>38603</v>
          </cell>
          <cell r="P1697">
            <v>1.0007141500000001</v>
          </cell>
          <cell r="Q1697">
            <v>3.309853098783345</v>
          </cell>
        </row>
        <row r="1698">
          <cell r="O1698">
            <v>38604</v>
          </cell>
          <cell r="P1698">
            <v>1.0007134900000001</v>
          </cell>
          <cell r="Q1698">
            <v>3.3122146458707964</v>
          </cell>
        </row>
        <row r="1699">
          <cell r="O1699">
            <v>38607</v>
          </cell>
          <cell r="P1699">
            <v>1.0007134900000001</v>
          </cell>
          <cell r="Q1699">
            <v>3.3145778778984791</v>
          </cell>
        </row>
        <row r="1700">
          <cell r="O1700">
            <v>38608</v>
          </cell>
          <cell r="P1700">
            <v>1.0007138200000001</v>
          </cell>
          <cell r="Q1700">
            <v>3.3169438898792811</v>
          </cell>
        </row>
        <row r="1701">
          <cell r="O1701">
            <v>38609</v>
          </cell>
          <cell r="P1701">
            <v>1.0007134900000001</v>
          </cell>
          <cell r="Q1701">
            <v>3.3193104961752713</v>
          </cell>
        </row>
        <row r="1702">
          <cell r="O1702">
            <v>38610</v>
          </cell>
          <cell r="P1702">
            <v>1.0007134900000001</v>
          </cell>
          <cell r="Q1702">
            <v>3.3216787910211876</v>
          </cell>
        </row>
        <row r="1703">
          <cell r="O1703">
            <v>38611</v>
          </cell>
          <cell r="P1703">
            <v>1.0007058499999999</v>
          </cell>
          <cell r="Q1703">
            <v>3.3240233979958296</v>
          </cell>
        </row>
        <row r="1704">
          <cell r="O1704">
            <v>38614</v>
          </cell>
          <cell r="P1704">
            <v>1.0007058499999999</v>
          </cell>
          <cell r="Q1704">
            <v>3.3263696599113044</v>
          </cell>
        </row>
        <row r="1705">
          <cell r="O1705">
            <v>38615</v>
          </cell>
          <cell r="P1705">
            <v>1.0007058499999999</v>
          </cell>
          <cell r="Q1705">
            <v>3.3287175779357523</v>
          </cell>
        </row>
        <row r="1706">
          <cell r="O1706">
            <v>38616</v>
          </cell>
          <cell r="P1706">
            <v>1.0007055199999999</v>
          </cell>
          <cell r="Q1706">
            <v>3.3310660547613371</v>
          </cell>
        </row>
        <row r="1707">
          <cell r="O1707">
            <v>38617</v>
          </cell>
          <cell r="P1707">
            <v>1.00070452</v>
          </cell>
          <cell r="Q1707">
            <v>3.3334128574182373</v>
          </cell>
        </row>
        <row r="1708">
          <cell r="O1708">
            <v>38618</v>
          </cell>
          <cell r="P1708">
            <v>1.00070485</v>
          </cell>
          <cell r="Q1708">
            <v>3.3357624134707886</v>
          </cell>
        </row>
        <row r="1709">
          <cell r="O1709">
            <v>38621</v>
          </cell>
          <cell r="P1709">
            <v>1.00070452</v>
          </cell>
          <cell r="Q1709">
            <v>3.338112524806327</v>
          </cell>
        </row>
        <row r="1710">
          <cell r="O1710">
            <v>38622</v>
          </cell>
          <cell r="P1710">
            <v>1.00070518</v>
          </cell>
          <cell r="Q1710">
            <v>3.3404664949965697</v>
          </cell>
        </row>
        <row r="1711">
          <cell r="O1711">
            <v>38623</v>
          </cell>
          <cell r="P1711">
            <v>1.00070485</v>
          </cell>
          <cell r="Q1711">
            <v>3.3428210228055679</v>
          </cell>
        </row>
        <row r="1712">
          <cell r="O1712">
            <v>38624</v>
          </cell>
          <cell r="P1712">
            <v>1.00070518</v>
          </cell>
          <cell r="Q1712">
            <v>3.3451783133344297</v>
          </cell>
        </row>
        <row r="1713">
          <cell r="O1713">
            <v>38625</v>
          </cell>
          <cell r="P1713">
            <v>1.0007055199999999</v>
          </cell>
          <cell r="Q1713">
            <v>3.3475384035380533</v>
          </cell>
        </row>
        <row r="1714">
          <cell r="O1714">
            <v>38628</v>
          </cell>
          <cell r="P1714">
            <v>1.00070751</v>
          </cell>
          <cell r="Q1714">
            <v>3.3499068204339406</v>
          </cell>
        </row>
        <row r="1715">
          <cell r="O1715">
            <v>38629</v>
          </cell>
          <cell r="P1715">
            <v>1.0007061799999999</v>
          </cell>
          <cell r="Q1715">
            <v>3.3522724576323943</v>
          </cell>
        </row>
        <row r="1716">
          <cell r="O1716">
            <v>38630</v>
          </cell>
          <cell r="P1716">
            <v>1.00070485</v>
          </cell>
          <cell r="Q1716">
            <v>3.3546353068741563</v>
          </cell>
        </row>
        <row r="1717">
          <cell r="O1717">
            <v>38631</v>
          </cell>
          <cell r="P1717">
            <v>1.00070452</v>
          </cell>
          <cell r="Q1717">
            <v>3.3569987145405551</v>
          </cell>
        </row>
        <row r="1718">
          <cell r="O1718">
            <v>38632</v>
          </cell>
          <cell r="P1718">
            <v>1.0007038500000001</v>
          </cell>
          <cell r="Q1718">
            <v>3.3593615380857846</v>
          </cell>
        </row>
        <row r="1719">
          <cell r="O1719">
            <v>38635</v>
          </cell>
          <cell r="P1719">
            <v>1.00070419</v>
          </cell>
          <cell r="Q1719">
            <v>3.3617271668872895</v>
          </cell>
        </row>
        <row r="1720">
          <cell r="O1720">
            <v>38636</v>
          </cell>
          <cell r="P1720">
            <v>1.0007038500000001</v>
          </cell>
          <cell r="Q1720">
            <v>3.3640933185537034</v>
          </cell>
        </row>
        <row r="1721">
          <cell r="O1721">
            <v>38638</v>
          </cell>
          <cell r="P1721">
            <v>1.00070419</v>
          </cell>
          <cell r="Q1721">
            <v>3.3664622794276959</v>
          </cell>
        </row>
        <row r="1722">
          <cell r="O1722">
            <v>38639</v>
          </cell>
          <cell r="P1722">
            <v>1.0007031900000001</v>
          </cell>
          <cell r="Q1722">
            <v>3.3688295420379668</v>
          </cell>
        </row>
        <row r="1723">
          <cell r="O1723">
            <v>38642</v>
          </cell>
          <cell r="P1723">
            <v>1.0007031900000001</v>
          </cell>
          <cell r="Q1723">
            <v>3.3711984692836325</v>
          </cell>
        </row>
        <row r="1724">
          <cell r="O1724">
            <v>38643</v>
          </cell>
          <cell r="P1724">
            <v>1.0007025199999999</v>
          </cell>
          <cell r="Q1724">
            <v>3.3735668036322735</v>
          </cell>
        </row>
        <row r="1725">
          <cell r="O1725">
            <v>38644</v>
          </cell>
          <cell r="P1725">
            <v>1.0007028600000001</v>
          </cell>
          <cell r="Q1725">
            <v>3.3759379487958747</v>
          </cell>
        </row>
        <row r="1726">
          <cell r="O1726">
            <v>38645</v>
          </cell>
          <cell r="P1726">
            <v>1.0007028600000001</v>
          </cell>
          <cell r="Q1726">
            <v>3.3783107605425657</v>
          </cell>
        </row>
        <row r="1727">
          <cell r="O1727">
            <v>38646</v>
          </cell>
          <cell r="P1727">
            <v>1.0006871900000001</v>
          </cell>
          <cell r="Q1727">
            <v>3.3806323019141034</v>
          </cell>
        </row>
        <row r="1728">
          <cell r="O1728">
            <v>38649</v>
          </cell>
          <cell r="P1728">
            <v>1.0006868600000001</v>
          </cell>
          <cell r="Q1728">
            <v>3.3829543230169965</v>
          </cell>
        </row>
        <row r="1729">
          <cell r="O1729">
            <v>38650</v>
          </cell>
          <cell r="P1729">
            <v>1.0006865199999999</v>
          </cell>
          <cell r="Q1729">
            <v>3.385276788818834</v>
          </cell>
        </row>
        <row r="1730">
          <cell r="O1730">
            <v>38651</v>
          </cell>
          <cell r="P1730">
            <v>1.0006868600000001</v>
          </cell>
          <cell r="Q1730">
            <v>3.3876020000340024</v>
          </cell>
        </row>
        <row r="1731">
          <cell r="O1731">
            <v>38652</v>
          </cell>
          <cell r="P1731">
            <v>1.0006861899999999</v>
          </cell>
          <cell r="Q1731">
            <v>3.3899265386504056</v>
          </cell>
        </row>
        <row r="1732">
          <cell r="O1732">
            <v>38653</v>
          </cell>
          <cell r="P1732">
            <v>1.0006865199999999</v>
          </cell>
          <cell r="Q1732">
            <v>3.3922537910177195</v>
          </cell>
        </row>
        <row r="1733">
          <cell r="O1733">
            <v>38656</v>
          </cell>
          <cell r="P1733">
            <v>1.0006861899999999</v>
          </cell>
          <cell r="Q1733">
            <v>3.3945815216465776</v>
          </cell>
        </row>
        <row r="1734">
          <cell r="O1734">
            <v>38657</v>
          </cell>
          <cell r="P1734">
            <v>1.00068786</v>
          </cell>
          <cell r="Q1734">
            <v>3.3969165184920573</v>
          </cell>
        </row>
        <row r="1735">
          <cell r="O1735">
            <v>38659</v>
          </cell>
          <cell r="P1735">
            <v>1.0006891899999999</v>
          </cell>
          <cell r="Q1735">
            <v>3.3992576393874363</v>
          </cell>
        </row>
        <row r="1736">
          <cell r="O1736">
            <v>38660</v>
          </cell>
          <cell r="P1736">
            <v>1.00068819</v>
          </cell>
          <cell r="Q1736">
            <v>3.4015969745022865</v>
          </cell>
        </row>
        <row r="1737">
          <cell r="O1737">
            <v>38663</v>
          </cell>
          <cell r="P1737">
            <v>1.0006888599999999</v>
          </cell>
          <cell r="Q1737">
            <v>3.403940198594142</v>
          </cell>
        </row>
        <row r="1738">
          <cell r="O1738">
            <v>38664</v>
          </cell>
          <cell r="P1738">
            <v>1.0006888599999999</v>
          </cell>
          <cell r="Q1738">
            <v>3.4062850368393454</v>
          </cell>
        </row>
        <row r="1739">
          <cell r="O1739">
            <v>38665</v>
          </cell>
          <cell r="P1739">
            <v>1.0006885299999999</v>
          </cell>
          <cell r="Q1739">
            <v>3.40863036627576</v>
          </cell>
        </row>
        <row r="1740">
          <cell r="O1740">
            <v>38666</v>
          </cell>
          <cell r="P1740">
            <v>1.0006888599999999</v>
          </cell>
          <cell r="Q1740">
            <v>3.4109784353898722</v>
          </cell>
        </row>
        <row r="1741">
          <cell r="O1741">
            <v>38667</v>
          </cell>
          <cell r="P1741">
            <v>1.0006888599999999</v>
          </cell>
          <cell r="Q1741">
            <v>3.4133281219948746</v>
          </cell>
        </row>
        <row r="1742">
          <cell r="O1742">
            <v>38670</v>
          </cell>
          <cell r="P1742">
            <v>1.0006885299999999</v>
          </cell>
          <cell r="Q1742">
            <v>3.4156783008067113</v>
          </cell>
        </row>
        <row r="1743">
          <cell r="O1743">
            <v>38672</v>
          </cell>
          <cell r="P1743">
            <v>1.0006888599999999</v>
          </cell>
          <cell r="Q1743">
            <v>3.4180312249610045</v>
          </cell>
        </row>
        <row r="1744">
          <cell r="O1744">
            <v>38673</v>
          </cell>
          <cell r="P1744">
            <v>1.00068786</v>
          </cell>
          <cell r="Q1744">
            <v>3.4203823519194061</v>
          </cell>
        </row>
        <row r="1745">
          <cell r="O1745">
            <v>38674</v>
          </cell>
          <cell r="P1745">
            <v>1.00068786</v>
          </cell>
          <cell r="Q1745">
            <v>3.4227350961239975</v>
          </cell>
        </row>
        <row r="1746">
          <cell r="O1746">
            <v>38677</v>
          </cell>
          <cell r="P1746">
            <v>1.00068786</v>
          </cell>
          <cell r="Q1746">
            <v>3.4250894586872174</v>
          </cell>
        </row>
        <row r="1747">
          <cell r="O1747">
            <v>38678</v>
          </cell>
          <cell r="P1747">
            <v>1.0006868600000001</v>
          </cell>
          <cell r="Q1747">
            <v>3.4274420156328116</v>
          </cell>
        </row>
        <row r="1748">
          <cell r="O1748">
            <v>38679</v>
          </cell>
          <cell r="P1748">
            <v>1.0006868600000001</v>
          </cell>
          <cell r="Q1748">
            <v>3.4297961884556694</v>
          </cell>
        </row>
        <row r="1749">
          <cell r="O1749">
            <v>38680</v>
          </cell>
          <cell r="P1749">
            <v>1.00068585</v>
          </cell>
          <cell r="Q1749">
            <v>3.4321485141715216</v>
          </cell>
        </row>
        <row r="1750">
          <cell r="O1750">
            <v>38681</v>
          </cell>
          <cell r="P1750">
            <v>1.0006697899999999</v>
          </cell>
          <cell r="Q1750">
            <v>3.4344473329248282</v>
          </cell>
        </row>
        <row r="1751">
          <cell r="O1751">
            <v>38684</v>
          </cell>
          <cell r="P1751">
            <v>1.0006701200000001</v>
          </cell>
          <cell r="Q1751">
            <v>3.4367488247715681</v>
          </cell>
        </row>
        <row r="1752">
          <cell r="O1752">
            <v>38685</v>
          </cell>
          <cell r="P1752">
            <v>1.0006701200000001</v>
          </cell>
          <cell r="Q1752">
            <v>3.4390518588940244</v>
          </cell>
        </row>
        <row r="1753">
          <cell r="O1753">
            <v>38686</v>
          </cell>
          <cell r="P1753">
            <v>1.00067079</v>
          </cell>
          <cell r="Q1753">
            <v>3.4413587404904522</v>
          </cell>
        </row>
        <row r="1754">
          <cell r="O1754">
            <v>38687</v>
          </cell>
          <cell r="P1754">
            <v>1.00067146</v>
          </cell>
          <cell r="Q1754">
            <v>3.4436694752303416</v>
          </cell>
        </row>
        <row r="1755">
          <cell r="O1755">
            <v>38688</v>
          </cell>
          <cell r="P1755">
            <v>1.00067146</v>
          </cell>
          <cell r="Q1755">
            <v>3.4459817615361796</v>
          </cell>
        </row>
        <row r="1756">
          <cell r="O1756">
            <v>38691</v>
          </cell>
          <cell r="P1756">
            <v>1.00067113</v>
          </cell>
          <cell r="Q1756">
            <v>3.4482944632757992</v>
          </cell>
        </row>
        <row r="1757">
          <cell r="O1757">
            <v>38692</v>
          </cell>
          <cell r="P1757">
            <v>1.00067146</v>
          </cell>
          <cell r="Q1757">
            <v>3.4506098550761104</v>
          </cell>
        </row>
        <row r="1758">
          <cell r="O1758">
            <v>38693</v>
          </cell>
          <cell r="P1758">
            <v>1.00067113</v>
          </cell>
          <cell r="Q1758">
            <v>3.4529256628681475</v>
          </cell>
        </row>
        <row r="1759">
          <cell r="O1759">
            <v>38694</v>
          </cell>
          <cell r="P1759">
            <v>1.00067113</v>
          </cell>
          <cell r="Q1759">
            <v>3.4552430248682682</v>
          </cell>
        </row>
        <row r="1760">
          <cell r="O1760">
            <v>38695</v>
          </cell>
          <cell r="P1760">
            <v>1.0006701200000001</v>
          </cell>
          <cell r="Q1760">
            <v>3.4575584523240934</v>
          </cell>
        </row>
        <row r="1761">
          <cell r="O1761">
            <v>38698</v>
          </cell>
          <cell r="P1761">
            <v>1.0006701200000001</v>
          </cell>
          <cell r="Q1761">
            <v>3.4598754313941651</v>
          </cell>
        </row>
        <row r="1762">
          <cell r="O1762">
            <v>38699</v>
          </cell>
          <cell r="P1762">
            <v>1.0006701200000001</v>
          </cell>
          <cell r="Q1762">
            <v>3.4621939631182514</v>
          </cell>
        </row>
        <row r="1763">
          <cell r="O1763">
            <v>38700</v>
          </cell>
          <cell r="P1763">
            <v>1.0006697899999999</v>
          </cell>
          <cell r="Q1763">
            <v>3.4645129060128079</v>
          </cell>
        </row>
        <row r="1764">
          <cell r="O1764">
            <v>38701</v>
          </cell>
          <cell r="P1764">
            <v>1.00066912</v>
          </cell>
          <cell r="Q1764">
            <v>3.466831080888479</v>
          </cell>
        </row>
        <row r="1765">
          <cell r="O1765">
            <v>38702</v>
          </cell>
          <cell r="P1765">
            <v>1.0006536500000001</v>
          </cell>
          <cell r="Q1765">
            <v>3.4690971750245021</v>
          </cell>
        </row>
        <row r="1766">
          <cell r="O1766">
            <v>38705</v>
          </cell>
          <cell r="P1766">
            <v>1.00065399</v>
          </cell>
          <cell r="Q1766">
            <v>3.4713659298859962</v>
          </cell>
        </row>
        <row r="1767">
          <cell r="O1767">
            <v>38706</v>
          </cell>
          <cell r="P1767">
            <v>1.0006546599999999</v>
          </cell>
          <cell r="Q1767">
            <v>3.4736384943056553</v>
          </cell>
        </row>
        <row r="1768">
          <cell r="O1768">
            <v>38707</v>
          </cell>
          <cell r="P1768">
            <v>1.0006550000000001</v>
          </cell>
          <cell r="Q1768">
            <v>3.4759137275194258</v>
          </cell>
        </row>
        <row r="1769">
          <cell r="O1769">
            <v>38708</v>
          </cell>
          <cell r="P1769">
            <v>1.00065534</v>
          </cell>
          <cell r="Q1769">
            <v>3.4781916328216185</v>
          </cell>
        </row>
        <row r="1770">
          <cell r="O1770">
            <v>38709</v>
          </cell>
          <cell r="P1770">
            <v>1.00065534</v>
          </cell>
          <cell r="Q1770">
            <v>3.4804710309262719</v>
          </cell>
        </row>
        <row r="1771">
          <cell r="O1771">
            <v>38712</v>
          </cell>
          <cell r="P1771">
            <v>1.00065534</v>
          </cell>
          <cell r="Q1771">
            <v>3.482751922811679</v>
          </cell>
        </row>
        <row r="1772">
          <cell r="O1772">
            <v>38713</v>
          </cell>
          <cell r="P1772">
            <v>1.0006550000000001</v>
          </cell>
          <cell r="Q1772">
            <v>3.4850331253211211</v>
          </cell>
        </row>
        <row r="1773">
          <cell r="O1773">
            <v>38714</v>
          </cell>
          <cell r="P1773">
            <v>1.0006550000000001</v>
          </cell>
          <cell r="Q1773">
            <v>3.4873158220182066</v>
          </cell>
        </row>
        <row r="1774">
          <cell r="O1774">
            <v>38715</v>
          </cell>
          <cell r="P1774">
            <v>1.0006546599999999</v>
          </cell>
          <cell r="Q1774">
            <v>3.4895988281942487</v>
          </cell>
        </row>
        <row r="1775">
          <cell r="O1775">
            <v>38716</v>
          </cell>
          <cell r="P1775">
            <v>1.0006563500000001</v>
          </cell>
          <cell r="Q1775">
            <v>3.4918892263851342</v>
          </cell>
        </row>
        <row r="1776">
          <cell r="O1776">
            <v>38719</v>
          </cell>
          <cell r="P1776">
            <v>1.0006566800000001</v>
          </cell>
          <cell r="Q1776">
            <v>3.4941822802023172</v>
          </cell>
        </row>
        <row r="1777">
          <cell r="O1777">
            <v>38720</v>
          </cell>
          <cell r="P1777">
            <v>1.0006550000000001</v>
          </cell>
          <cell r="Q1777">
            <v>3.4964709695958498</v>
          </cell>
        </row>
        <row r="1778">
          <cell r="O1778">
            <v>38721</v>
          </cell>
          <cell r="P1778">
            <v>1.0006550000000001</v>
          </cell>
          <cell r="Q1778">
            <v>3.4987611580809355</v>
          </cell>
        </row>
        <row r="1779">
          <cell r="O1779">
            <v>38722</v>
          </cell>
          <cell r="P1779">
            <v>1.0006546599999999</v>
          </cell>
          <cell r="Q1779">
            <v>3.5010516570606844</v>
          </cell>
        </row>
        <row r="1780">
          <cell r="O1780">
            <v>38723</v>
          </cell>
          <cell r="P1780">
            <v>1.0006543299999999</v>
          </cell>
          <cell r="Q1780">
            <v>3.5033425001914487</v>
          </cell>
        </row>
        <row r="1781">
          <cell r="O1781">
            <v>38726</v>
          </cell>
          <cell r="P1781">
            <v>1.0006543299999999</v>
          </cell>
          <cell r="Q1781">
            <v>3.5056348422895987</v>
          </cell>
        </row>
        <row r="1782">
          <cell r="O1782">
            <v>38727</v>
          </cell>
          <cell r="P1782">
            <v>1.00065399</v>
          </cell>
          <cell r="Q1782">
            <v>3.5079274924201078</v>
          </cell>
        </row>
        <row r="1783">
          <cell r="O1783">
            <v>38728</v>
          </cell>
          <cell r="P1783">
            <v>1.0006533200000001</v>
          </cell>
          <cell r="Q1783">
            <v>3.5102192916094559</v>
          </cell>
        </row>
        <row r="1784">
          <cell r="O1784">
            <v>38729</v>
          </cell>
          <cell r="P1784">
            <v>1.0006533200000001</v>
          </cell>
          <cell r="Q1784">
            <v>3.5125125880770502</v>
          </cell>
        </row>
        <row r="1785">
          <cell r="O1785">
            <v>38730</v>
          </cell>
          <cell r="P1785">
            <v>1.0006536500000001</v>
          </cell>
          <cell r="Q1785">
            <v>3.5148085419302468</v>
          </cell>
        </row>
        <row r="1786">
          <cell r="O1786">
            <v>38733</v>
          </cell>
          <cell r="P1786">
            <v>1.0006533200000001</v>
          </cell>
          <cell r="Q1786">
            <v>3.5171048366468609</v>
          </cell>
        </row>
        <row r="1787">
          <cell r="O1787">
            <v>38734</v>
          </cell>
          <cell r="P1787">
            <v>1.0006533200000001</v>
          </cell>
          <cell r="Q1787">
            <v>3.5194026315787394</v>
          </cell>
        </row>
        <row r="1788">
          <cell r="O1788">
            <v>38735</v>
          </cell>
          <cell r="P1788">
            <v>1.0006529799999999</v>
          </cell>
          <cell r="Q1788">
            <v>3.5217007311091075</v>
          </cell>
        </row>
        <row r="1789">
          <cell r="O1789">
            <v>38736</v>
          </cell>
          <cell r="P1789">
            <v>1.0006529799999999</v>
          </cell>
          <cell r="Q1789">
            <v>3.5240003312525068</v>
          </cell>
        </row>
        <row r="1790">
          <cell r="O1790">
            <v>38737</v>
          </cell>
          <cell r="P1790">
            <v>1.00062696</v>
          </cell>
          <cell r="Q1790">
            <v>3.5262097385001887</v>
          </cell>
        </row>
        <row r="1791">
          <cell r="O1791">
            <v>38740</v>
          </cell>
          <cell r="P1791">
            <v>1.0006273000000001</v>
          </cell>
          <cell r="Q1791">
            <v>3.5284217298691503</v>
          </cell>
        </row>
        <row r="1792">
          <cell r="O1792">
            <v>38741</v>
          </cell>
          <cell r="P1792">
            <v>1.0006286499999999</v>
          </cell>
          <cell r="Q1792">
            <v>3.5306398721896319</v>
          </cell>
        </row>
        <row r="1793">
          <cell r="O1793">
            <v>38742</v>
          </cell>
          <cell r="P1793">
            <v>1.0006296699999999</v>
          </cell>
          <cell r="Q1793">
            <v>3.5328630101979535</v>
          </cell>
        </row>
        <row r="1794">
          <cell r="O1794">
            <v>38743</v>
          </cell>
          <cell r="P1794">
            <v>1.00063035</v>
          </cell>
          <cell r="Q1794">
            <v>3.5350899503964319</v>
          </cell>
        </row>
        <row r="1795">
          <cell r="O1795">
            <v>38744</v>
          </cell>
          <cell r="P1795">
            <v>1.00063272</v>
          </cell>
          <cell r="Q1795">
            <v>3.5373266725098467</v>
          </cell>
        </row>
        <row r="1796">
          <cell r="O1796">
            <v>38747</v>
          </cell>
          <cell r="P1796">
            <v>1.0006300100000001</v>
          </cell>
          <cell r="Q1796">
            <v>3.5395552236867949</v>
          </cell>
        </row>
        <row r="1797">
          <cell r="O1797">
            <v>38748</v>
          </cell>
          <cell r="P1797">
            <v>1.0006276300000001</v>
          </cell>
          <cell r="Q1797">
            <v>3.541776754731838</v>
          </cell>
        </row>
        <row r="1798">
          <cell r="O1798">
            <v>38749</v>
          </cell>
          <cell r="P1798">
            <v>1.00062662</v>
          </cell>
          <cell r="Q1798">
            <v>3.5439961028818883</v>
          </cell>
        </row>
        <row r="1799">
          <cell r="O1799">
            <v>38750</v>
          </cell>
          <cell r="P1799">
            <v>1.00062831</v>
          </cell>
          <cell r="Q1799">
            <v>3.5462228310732899</v>
          </cell>
        </row>
        <row r="1800">
          <cell r="O1800">
            <v>38751</v>
          </cell>
          <cell r="P1800">
            <v>1.00062933</v>
          </cell>
          <cell r="Q1800">
            <v>3.5484545754875692</v>
          </cell>
        </row>
        <row r="1801">
          <cell r="O1801">
            <v>38754</v>
          </cell>
          <cell r="P1801">
            <v>1.00062933</v>
          </cell>
          <cell r="Q1801">
            <v>3.5506877244055608</v>
          </cell>
        </row>
        <row r="1802">
          <cell r="O1802">
            <v>38755</v>
          </cell>
          <cell r="P1802">
            <v>1.00062933</v>
          </cell>
          <cell r="Q1802">
            <v>3.552922278711161</v>
          </cell>
        </row>
        <row r="1803">
          <cell r="O1803">
            <v>38756</v>
          </cell>
          <cell r="P1803">
            <v>1.00062933</v>
          </cell>
          <cell r="Q1803">
            <v>3.5551582392888221</v>
          </cell>
        </row>
        <row r="1804">
          <cell r="O1804">
            <v>38757</v>
          </cell>
          <cell r="P1804">
            <v>1.00062933</v>
          </cell>
          <cell r="Q1804">
            <v>3.5573956070235537</v>
          </cell>
        </row>
        <row r="1805">
          <cell r="O1805">
            <v>38758</v>
          </cell>
          <cell r="P1805">
            <v>1.00062933</v>
          </cell>
          <cell r="Q1805">
            <v>3.5596343828009216</v>
          </cell>
        </row>
        <row r="1806">
          <cell r="O1806">
            <v>38761</v>
          </cell>
          <cell r="P1806">
            <v>1.0006289900000001</v>
          </cell>
          <cell r="Q1806">
            <v>3.5618733572313599</v>
          </cell>
        </row>
        <row r="1807">
          <cell r="O1807">
            <v>38762</v>
          </cell>
          <cell r="P1807">
            <v>1.0006286499999999</v>
          </cell>
          <cell r="Q1807">
            <v>3.5641125289173829</v>
          </cell>
        </row>
        <row r="1808">
          <cell r="O1808">
            <v>38763</v>
          </cell>
          <cell r="P1808">
            <v>1.0006289900000001</v>
          </cell>
          <cell r="Q1808">
            <v>3.5663543200569467</v>
          </cell>
        </row>
        <row r="1809">
          <cell r="O1809">
            <v>38764</v>
          </cell>
          <cell r="P1809">
            <v>1.00063068</v>
          </cell>
          <cell r="Q1809">
            <v>3.5686035483995204</v>
          </cell>
        </row>
        <row r="1810">
          <cell r="O1810">
            <v>38765</v>
          </cell>
          <cell r="P1810">
            <v>1.00063035</v>
          </cell>
          <cell r="Q1810">
            <v>3.5708530176462543</v>
          </cell>
        </row>
        <row r="1811">
          <cell r="O1811">
            <v>38768</v>
          </cell>
          <cell r="P1811">
            <v>1.00063068</v>
          </cell>
          <cell r="Q1811">
            <v>3.5731050832274236</v>
          </cell>
        </row>
        <row r="1812">
          <cell r="O1812">
            <v>38769</v>
          </cell>
          <cell r="P1812">
            <v>1.00063068</v>
          </cell>
          <cell r="Q1812">
            <v>3.5753585691413132</v>
          </cell>
        </row>
        <row r="1813">
          <cell r="O1813">
            <v>38770</v>
          </cell>
          <cell r="P1813">
            <v>1.00063068</v>
          </cell>
          <cell r="Q1813">
            <v>3.5776134762836991</v>
          </cell>
        </row>
        <row r="1814">
          <cell r="O1814">
            <v>38771</v>
          </cell>
          <cell r="P1814">
            <v>1.0006313600000001</v>
          </cell>
          <cell r="Q1814">
            <v>3.5798722383280857</v>
          </cell>
        </row>
        <row r="1815">
          <cell r="O1815">
            <v>38772</v>
          </cell>
          <cell r="P1815">
            <v>1.0006313600000001</v>
          </cell>
          <cell r="Q1815">
            <v>3.5821324264644767</v>
          </cell>
        </row>
        <row r="1816">
          <cell r="O1816">
            <v>38777</v>
          </cell>
          <cell r="P1816">
            <v>1.00063305</v>
          </cell>
          <cell r="Q1816">
            <v>3.5844000953970503</v>
          </cell>
        </row>
        <row r="1817">
          <cell r="O1817">
            <v>38778</v>
          </cell>
          <cell r="P1817">
            <v>1.00063305</v>
          </cell>
          <cell r="Q1817">
            <v>3.5866691998774414</v>
          </cell>
        </row>
        <row r="1818">
          <cell r="O1818">
            <v>38779</v>
          </cell>
          <cell r="P1818">
            <v>1.00063305</v>
          </cell>
          <cell r="Q1818">
            <v>3.5889397408144239</v>
          </cell>
        </row>
        <row r="1819">
          <cell r="O1819">
            <v>38782</v>
          </cell>
          <cell r="P1819">
            <v>1.00063272</v>
          </cell>
          <cell r="Q1819">
            <v>3.5912105347672321</v>
          </cell>
        </row>
        <row r="1820">
          <cell r="O1820">
            <v>38783</v>
          </cell>
          <cell r="P1820">
            <v>1.0006323800000001</v>
          </cell>
          <cell r="Q1820">
            <v>3.5934815444852086</v>
          </cell>
        </row>
        <row r="1821">
          <cell r="O1821">
            <v>38784</v>
          </cell>
          <cell r="P1821">
            <v>1.0006320399999999</v>
          </cell>
          <cell r="Q1821">
            <v>3.595752768560585</v>
          </cell>
        </row>
        <row r="1822">
          <cell r="O1822">
            <v>38785</v>
          </cell>
          <cell r="P1822">
            <v>1.0006313600000001</v>
          </cell>
          <cell r="Q1822">
            <v>3.5980229830285437</v>
          </cell>
        </row>
        <row r="1823">
          <cell r="O1823">
            <v>38786</v>
          </cell>
          <cell r="P1823">
            <v>1.00060656</v>
          </cell>
          <cell r="Q1823">
            <v>3.6002053998491297</v>
          </cell>
        </row>
        <row r="1824">
          <cell r="O1824">
            <v>38789</v>
          </cell>
          <cell r="P1824">
            <v>1.0006058799999999</v>
          </cell>
          <cell r="Q1824">
            <v>3.6023866922967902</v>
          </cell>
        </row>
        <row r="1825">
          <cell r="O1825">
            <v>38790</v>
          </cell>
          <cell r="P1825">
            <v>1.0006058799999999</v>
          </cell>
          <cell r="Q1825">
            <v>3.604569306345919</v>
          </cell>
        </row>
        <row r="1826">
          <cell r="O1826">
            <v>38791</v>
          </cell>
          <cell r="P1826">
            <v>1.00060554</v>
          </cell>
          <cell r="Q1826">
            <v>3.6067520172436836</v>
          </cell>
        </row>
        <row r="1827">
          <cell r="O1827">
            <v>38792</v>
          </cell>
          <cell r="P1827">
            <v>1.0006052000000001</v>
          </cell>
          <cell r="Q1827">
            <v>3.6089348235645198</v>
          </cell>
        </row>
        <row r="1828">
          <cell r="O1828">
            <v>38793</v>
          </cell>
          <cell r="P1828">
            <v>1.0006048599999999</v>
          </cell>
          <cell r="Q1828">
            <v>3.6111177238819008</v>
          </cell>
        </row>
        <row r="1829">
          <cell r="O1829">
            <v>38796</v>
          </cell>
          <cell r="P1829">
            <v>1.0006048599999999</v>
          </cell>
          <cell r="Q1829">
            <v>3.6133019445483678</v>
          </cell>
        </row>
        <row r="1830">
          <cell r="O1830">
            <v>38797</v>
          </cell>
          <cell r="P1830">
            <v>1.0006048599999999</v>
          </cell>
          <cell r="Q1830">
            <v>3.615487486362547</v>
          </cell>
        </row>
        <row r="1831">
          <cell r="O1831">
            <v>38798</v>
          </cell>
          <cell r="P1831">
            <v>1.0006048599999999</v>
          </cell>
          <cell r="Q1831">
            <v>3.617674350123548</v>
          </cell>
        </row>
        <row r="1832">
          <cell r="O1832">
            <v>38799</v>
          </cell>
          <cell r="P1832">
            <v>1.0006052000000001</v>
          </cell>
          <cell r="Q1832">
            <v>3.6198637666402429</v>
          </cell>
        </row>
        <row r="1833">
          <cell r="O1833">
            <v>38800</v>
          </cell>
          <cell r="P1833">
            <v>1.0006058799999999</v>
          </cell>
          <cell r="Q1833">
            <v>3.6220569696991749</v>
          </cell>
        </row>
        <row r="1834">
          <cell r="O1834">
            <v>38803</v>
          </cell>
          <cell r="P1834">
            <v>1.0006052000000001</v>
          </cell>
          <cell r="Q1834">
            <v>3.6242490385772372</v>
          </cell>
        </row>
        <row r="1835">
          <cell r="O1835">
            <v>38804</v>
          </cell>
          <cell r="P1835">
            <v>1.0006052000000001</v>
          </cell>
          <cell r="Q1835">
            <v>3.6264424340953845</v>
          </cell>
        </row>
        <row r="1836">
          <cell r="O1836">
            <v>38805</v>
          </cell>
          <cell r="P1836">
            <v>1.00060554</v>
          </cell>
          <cell r="Q1836">
            <v>3.6286383900469268</v>
          </cell>
        </row>
        <row r="1837">
          <cell r="O1837">
            <v>38806</v>
          </cell>
          <cell r="P1837">
            <v>1.00060554</v>
          </cell>
          <cell r="Q1837">
            <v>3.6308356757376359</v>
          </cell>
        </row>
        <row r="1838">
          <cell r="O1838">
            <v>38807</v>
          </cell>
          <cell r="P1838">
            <v>1.0006058799999999</v>
          </cell>
          <cell r="Q1838">
            <v>3.6330355264568515</v>
          </cell>
        </row>
        <row r="1839">
          <cell r="O1839">
            <v>38810</v>
          </cell>
          <cell r="P1839">
            <v>1.00060656</v>
          </cell>
          <cell r="Q1839">
            <v>3.6352391804857791</v>
          </cell>
        </row>
        <row r="1840">
          <cell r="O1840">
            <v>38811</v>
          </cell>
          <cell r="P1840">
            <v>1.00060452</v>
          </cell>
          <cell r="Q1840">
            <v>3.6374367552751665</v>
          </cell>
        </row>
        <row r="1841">
          <cell r="O1841">
            <v>38812</v>
          </cell>
          <cell r="P1841">
            <v>1.00060383</v>
          </cell>
          <cell r="Q1841">
            <v>3.6396331487111042</v>
          </cell>
        </row>
        <row r="1842">
          <cell r="O1842">
            <v>38813</v>
          </cell>
          <cell r="P1842">
            <v>1.00060349</v>
          </cell>
          <cell r="Q1842">
            <v>3.6418296309200202</v>
          </cell>
        </row>
        <row r="1843">
          <cell r="O1843">
            <v>38814</v>
          </cell>
          <cell r="P1843">
            <v>1.0006031500000001</v>
          </cell>
          <cell r="Q1843">
            <v>3.6440262004619099</v>
          </cell>
        </row>
        <row r="1844">
          <cell r="O1844">
            <v>38817</v>
          </cell>
          <cell r="P1844">
            <v>1.00060281</v>
          </cell>
          <cell r="Q1844">
            <v>3.6462228558958101</v>
          </cell>
        </row>
        <row r="1845">
          <cell r="O1845">
            <v>38818</v>
          </cell>
          <cell r="P1845">
            <v>1.00060281</v>
          </cell>
          <cell r="Q1845">
            <v>3.6484208354955725</v>
          </cell>
        </row>
        <row r="1846">
          <cell r="O1846">
            <v>38819</v>
          </cell>
          <cell r="P1846">
            <v>1.00060281</v>
          </cell>
          <cell r="Q1846">
            <v>3.6506201400594174</v>
          </cell>
        </row>
        <row r="1847">
          <cell r="O1847">
            <v>38820</v>
          </cell>
          <cell r="P1847">
            <v>1.00060281</v>
          </cell>
          <cell r="Q1847">
            <v>3.6528207703860462</v>
          </cell>
        </row>
        <row r="1848">
          <cell r="O1848">
            <v>38824</v>
          </cell>
          <cell r="P1848">
            <v>1.00060281</v>
          </cell>
          <cell r="Q1848">
            <v>3.6550227272746425</v>
          </cell>
        </row>
        <row r="1849">
          <cell r="O1849">
            <v>38825</v>
          </cell>
          <cell r="P1849">
            <v>1.00060281</v>
          </cell>
          <cell r="Q1849">
            <v>3.6572260115248709</v>
          </cell>
        </row>
        <row r="1850">
          <cell r="O1850">
            <v>38826</v>
          </cell>
          <cell r="P1850">
            <v>1.00060281</v>
          </cell>
          <cell r="Q1850">
            <v>3.6594306239368781</v>
          </cell>
        </row>
        <row r="1851">
          <cell r="O1851">
            <v>38827</v>
          </cell>
          <cell r="P1851">
            <v>1.00060281</v>
          </cell>
          <cell r="Q1851">
            <v>3.6616365653112934</v>
          </cell>
        </row>
        <row r="1852">
          <cell r="O1852">
            <v>38831</v>
          </cell>
          <cell r="P1852">
            <v>1.0005771400000001</v>
          </cell>
          <cell r="Q1852">
            <v>3.6637498422385977</v>
          </cell>
        </row>
        <row r="1853">
          <cell r="O1853">
            <v>38832</v>
          </cell>
          <cell r="P1853">
            <v>1.0005767999999999</v>
          </cell>
          <cell r="Q1853">
            <v>3.6658630931476006</v>
          </cell>
        </row>
        <row r="1854">
          <cell r="O1854">
            <v>38833</v>
          </cell>
          <cell r="P1854">
            <v>1.00057646</v>
          </cell>
          <cell r="Q1854">
            <v>3.6679763165862767</v>
          </cell>
        </row>
        <row r="1855">
          <cell r="O1855">
            <v>38834</v>
          </cell>
          <cell r="P1855">
            <v>1.0005761099999999</v>
          </cell>
          <cell r="Q1855">
            <v>3.6700894744220247</v>
          </cell>
        </row>
        <row r="1856">
          <cell r="O1856">
            <v>38835</v>
          </cell>
          <cell r="P1856">
            <v>1.00057646</v>
          </cell>
          <cell r="Q1856">
            <v>3.6722051342004502</v>
          </cell>
        </row>
        <row r="1857">
          <cell r="O1857">
            <v>38839</v>
          </cell>
          <cell r="P1857">
            <v>1.0005788600000001</v>
          </cell>
          <cell r="Q1857">
            <v>3.6743308268644337</v>
          </cell>
        </row>
        <row r="1858">
          <cell r="O1858">
            <v>38840</v>
          </cell>
          <cell r="P1858">
            <v>1.0005785199999999</v>
          </cell>
          <cell r="Q1858">
            <v>3.6764565007343908</v>
          </cell>
        </row>
        <row r="1859">
          <cell r="O1859">
            <v>38841</v>
          </cell>
          <cell r="P1859">
            <v>1.0005785199999999</v>
          </cell>
          <cell r="Q1859">
            <v>3.6785834043491952</v>
          </cell>
        </row>
        <row r="1860">
          <cell r="O1860">
            <v>38842</v>
          </cell>
          <cell r="P1860">
            <v>1.0005778299999999</v>
          </cell>
          <cell r="Q1860">
            <v>3.6807090001977301</v>
          </cell>
        </row>
        <row r="1861">
          <cell r="O1861">
            <v>38845</v>
          </cell>
          <cell r="P1861">
            <v>1.0005785199999999</v>
          </cell>
          <cell r="Q1861">
            <v>3.682838363968524</v>
          </cell>
        </row>
        <row r="1862">
          <cell r="O1862">
            <v>38846</v>
          </cell>
          <cell r="P1862">
            <v>1.0005788600000001</v>
          </cell>
          <cell r="Q1862">
            <v>3.6849702117838912</v>
          </cell>
        </row>
        <row r="1863">
          <cell r="O1863">
            <v>38847</v>
          </cell>
          <cell r="P1863">
            <v>1.00057817</v>
          </cell>
          <cell r="Q1863">
            <v>3.6871007510112386</v>
          </cell>
        </row>
        <row r="1864">
          <cell r="O1864">
            <v>38848</v>
          </cell>
          <cell r="P1864">
            <v>1.00057749</v>
          </cell>
          <cell r="Q1864">
            <v>3.6892300148239401</v>
          </cell>
        </row>
        <row r="1865">
          <cell r="O1865">
            <v>38849</v>
          </cell>
          <cell r="P1865">
            <v>1.0005771400000001</v>
          </cell>
          <cell r="Q1865">
            <v>3.6913592170346958</v>
          </cell>
        </row>
        <row r="1866">
          <cell r="O1866">
            <v>38852</v>
          </cell>
          <cell r="P1866">
            <v>1.00057749</v>
          </cell>
          <cell r="Q1866">
            <v>3.6934909400689411</v>
          </cell>
        </row>
        <row r="1867">
          <cell r="O1867">
            <v>38853</v>
          </cell>
          <cell r="P1867">
            <v>1.0005785199999999</v>
          </cell>
          <cell r="Q1867">
            <v>3.6956276984475895</v>
          </cell>
        </row>
        <row r="1868">
          <cell r="O1868">
            <v>38854</v>
          </cell>
          <cell r="P1868">
            <v>1.0005792</v>
          </cell>
          <cell r="Q1868">
            <v>3.6977682060105304</v>
          </cell>
        </row>
        <row r="1869">
          <cell r="O1869">
            <v>38855</v>
          </cell>
          <cell r="P1869">
            <v>1.00057749</v>
          </cell>
          <cell r="Q1869">
            <v>3.6999036301718191</v>
          </cell>
        </row>
        <row r="1870">
          <cell r="O1870">
            <v>38856</v>
          </cell>
          <cell r="P1870">
            <v>1.0005771400000001</v>
          </cell>
          <cell r="Q1870">
            <v>3.7020389925529367</v>
          </cell>
        </row>
        <row r="1871">
          <cell r="O1871">
            <v>38859</v>
          </cell>
          <cell r="P1871">
            <v>1.0005767999999999</v>
          </cell>
          <cell r="Q1871">
            <v>3.7041743286438411</v>
          </cell>
        </row>
        <row r="1872">
          <cell r="O1872">
            <v>38860</v>
          </cell>
          <cell r="P1872">
            <v>1.00057646</v>
          </cell>
          <cell r="Q1872">
            <v>3.706309636977331</v>
          </cell>
        </row>
        <row r="1873">
          <cell r="O1873">
            <v>38861</v>
          </cell>
          <cell r="P1873">
            <v>1.00057646</v>
          </cell>
          <cell r="Q1873">
            <v>3.7084461762306629</v>
          </cell>
        </row>
        <row r="1874">
          <cell r="O1874">
            <v>38862</v>
          </cell>
          <cell r="P1874">
            <v>1.00057646</v>
          </cell>
          <cell r="Q1874">
            <v>3.7105839471134128</v>
          </cell>
        </row>
        <row r="1875">
          <cell r="O1875">
            <v>38863</v>
          </cell>
          <cell r="P1875">
            <v>1.0005767999999999</v>
          </cell>
          <cell r="Q1875">
            <v>3.7127242119341077</v>
          </cell>
        </row>
        <row r="1876">
          <cell r="O1876">
            <v>38866</v>
          </cell>
          <cell r="P1876">
            <v>1.00057646</v>
          </cell>
          <cell r="Q1876">
            <v>3.7148644489333194</v>
          </cell>
        </row>
        <row r="1877">
          <cell r="O1877">
            <v>38867</v>
          </cell>
          <cell r="P1877">
            <v>1.00057646</v>
          </cell>
          <cell r="Q1877">
            <v>3.7170059196935514</v>
          </cell>
        </row>
        <row r="1878">
          <cell r="O1878">
            <v>38868</v>
          </cell>
          <cell r="P1878">
            <v>1.0005767999999999</v>
          </cell>
          <cell r="Q1878">
            <v>3.7191498887080305</v>
          </cell>
        </row>
        <row r="1879">
          <cell r="O1879">
            <v>38869</v>
          </cell>
          <cell r="P1879">
            <v>1.0005771400000001</v>
          </cell>
          <cell r="Q1879">
            <v>3.7212963588747998</v>
          </cell>
        </row>
        <row r="1880">
          <cell r="O1880">
            <v>38870</v>
          </cell>
          <cell r="P1880">
            <v>1.00055994</v>
          </cell>
          <cell r="Q1880">
            <v>3.7233800615579882</v>
          </cell>
        </row>
        <row r="1881">
          <cell r="O1881">
            <v>38873</v>
          </cell>
          <cell r="P1881">
            <v>1.0005606300000001</v>
          </cell>
          <cell r="Q1881">
            <v>3.7254675001218995</v>
          </cell>
        </row>
        <row r="1882">
          <cell r="O1882">
            <v>38874</v>
          </cell>
          <cell r="P1882">
            <v>1.00056097</v>
          </cell>
          <cell r="Q1882">
            <v>3.7275573756254428</v>
          </cell>
        </row>
        <row r="1883">
          <cell r="O1883">
            <v>38875</v>
          </cell>
          <cell r="P1883">
            <v>1.00055994</v>
          </cell>
          <cell r="Q1883">
            <v>3.7296445841023504</v>
          </cell>
        </row>
        <row r="1884">
          <cell r="O1884">
            <v>38876</v>
          </cell>
          <cell r="P1884">
            <v>1.0005596000000001</v>
          </cell>
          <cell r="Q1884">
            <v>3.7317316932116147</v>
          </cell>
        </row>
        <row r="1885">
          <cell r="O1885">
            <v>38877</v>
          </cell>
          <cell r="P1885">
            <v>1.0005596000000001</v>
          </cell>
          <cell r="Q1885">
            <v>3.7338199702671364</v>
          </cell>
        </row>
        <row r="1886">
          <cell r="O1886">
            <v>38880</v>
          </cell>
          <cell r="P1886">
            <v>1.0005596000000001</v>
          </cell>
          <cell r="Q1886">
            <v>3.7359094159224981</v>
          </cell>
        </row>
        <row r="1887">
          <cell r="O1887">
            <v>38881</v>
          </cell>
          <cell r="P1887">
            <v>1.00055994</v>
          </cell>
          <cell r="Q1887">
            <v>3.7380013010408497</v>
          </cell>
        </row>
        <row r="1888">
          <cell r="O1888">
            <v>38882</v>
          </cell>
          <cell r="P1888">
            <v>1.00055994</v>
          </cell>
          <cell r="Q1888">
            <v>3.7400943574893546</v>
          </cell>
        </row>
        <row r="1889">
          <cell r="O1889">
            <v>38884</v>
          </cell>
          <cell r="P1889">
            <v>1.0005596000000001</v>
          </cell>
          <cell r="Q1889">
            <v>3.7421873142918058</v>
          </cell>
        </row>
        <row r="1890">
          <cell r="O1890">
            <v>38887</v>
          </cell>
          <cell r="P1890">
            <v>1.0005596000000001</v>
          </cell>
          <cell r="Q1890">
            <v>3.7442814423128841</v>
          </cell>
        </row>
        <row r="1891">
          <cell r="O1891">
            <v>38888</v>
          </cell>
          <cell r="P1891">
            <v>1.0005596000000001</v>
          </cell>
          <cell r="Q1891">
            <v>3.7463767422080028</v>
          </cell>
        </row>
        <row r="1892">
          <cell r="O1892">
            <v>38889</v>
          </cell>
          <cell r="P1892">
            <v>1.0005596000000001</v>
          </cell>
          <cell r="Q1892">
            <v>3.7484732146329427</v>
          </cell>
        </row>
        <row r="1893">
          <cell r="O1893">
            <v>38890</v>
          </cell>
          <cell r="P1893">
            <v>1.00055994</v>
          </cell>
          <cell r="Q1893">
            <v>3.7505721347247443</v>
          </cell>
        </row>
        <row r="1894">
          <cell r="O1894">
            <v>38891</v>
          </cell>
          <cell r="P1894">
            <v>1.0005596000000001</v>
          </cell>
          <cell r="Q1894">
            <v>3.7526709548913368</v>
          </cell>
        </row>
        <row r="1895">
          <cell r="O1895">
            <v>38894</v>
          </cell>
          <cell r="P1895">
            <v>1.0005596000000001</v>
          </cell>
          <cell r="Q1895">
            <v>3.7547709495576944</v>
          </cell>
        </row>
        <row r="1896">
          <cell r="O1896">
            <v>38895</v>
          </cell>
          <cell r="P1896">
            <v>1.0005596000000001</v>
          </cell>
          <cell r="Q1896">
            <v>3.7568721193810672</v>
          </cell>
        </row>
        <row r="1897">
          <cell r="O1897">
            <v>38896</v>
          </cell>
          <cell r="P1897">
            <v>1.00055925</v>
          </cell>
          <cell r="Q1897">
            <v>3.7589731501138313</v>
          </cell>
        </row>
        <row r="1898">
          <cell r="O1898">
            <v>38897</v>
          </cell>
          <cell r="P1898">
            <v>1.00055925</v>
          </cell>
          <cell r="Q1898">
            <v>3.7610753558480323</v>
          </cell>
        </row>
        <row r="1899">
          <cell r="O1899">
            <v>38898</v>
          </cell>
          <cell r="P1899">
            <v>1.0005589100000001</v>
          </cell>
          <cell r="Q1899">
            <v>3.7631774584751696</v>
          </cell>
        </row>
        <row r="1900">
          <cell r="O1900">
            <v>38901</v>
          </cell>
          <cell r="P1900">
            <v>1.00056097</v>
          </cell>
          <cell r="Q1900">
            <v>3.7652884881340505</v>
          </cell>
        </row>
        <row r="1901">
          <cell r="O1901">
            <v>38902</v>
          </cell>
          <cell r="P1901">
            <v>1.00056097</v>
          </cell>
          <cell r="Q1901">
            <v>3.7674007020172389</v>
          </cell>
        </row>
        <row r="1902">
          <cell r="O1902">
            <v>38903</v>
          </cell>
          <cell r="P1902">
            <v>1.00056028</v>
          </cell>
          <cell r="Q1902">
            <v>3.7695115012825648</v>
          </cell>
        </row>
        <row r="1903">
          <cell r="O1903">
            <v>38904</v>
          </cell>
          <cell r="P1903">
            <v>1.00056028</v>
          </cell>
          <cell r="Q1903">
            <v>3.7716234831865032</v>
          </cell>
        </row>
        <row r="1904">
          <cell r="O1904">
            <v>38905</v>
          </cell>
          <cell r="P1904">
            <v>1.00055994</v>
          </cell>
          <cell r="Q1904">
            <v>3.7737353660396789</v>
          </cell>
        </row>
        <row r="1905">
          <cell r="O1905">
            <v>38908</v>
          </cell>
          <cell r="P1905">
            <v>1.0005596000000001</v>
          </cell>
          <cell r="Q1905">
            <v>3.7758471483505152</v>
          </cell>
        </row>
        <row r="1906">
          <cell r="O1906">
            <v>38909</v>
          </cell>
          <cell r="P1906">
            <v>1.0005596000000001</v>
          </cell>
          <cell r="Q1906">
            <v>3.7779601124147324</v>
          </cell>
        </row>
        <row r="1907">
          <cell r="O1907">
            <v>38910</v>
          </cell>
          <cell r="P1907">
            <v>1.00055925</v>
          </cell>
          <cell r="Q1907">
            <v>3.7800729366076005</v>
          </cell>
        </row>
        <row r="1908">
          <cell r="O1908">
            <v>38911</v>
          </cell>
          <cell r="P1908">
            <v>1.0005596000000001</v>
          </cell>
          <cell r="Q1908">
            <v>3.7821882654229264</v>
          </cell>
        </row>
        <row r="1909">
          <cell r="O1909">
            <v>38912</v>
          </cell>
          <cell r="P1909">
            <v>1.00055925</v>
          </cell>
          <cell r="Q1909">
            <v>3.7843034542103644</v>
          </cell>
        </row>
        <row r="1910">
          <cell r="O1910">
            <v>38915</v>
          </cell>
          <cell r="P1910">
            <v>1.0005589100000001</v>
          </cell>
          <cell r="Q1910">
            <v>3.7864185392539573</v>
          </cell>
        </row>
        <row r="1911">
          <cell r="O1911">
            <v>38916</v>
          </cell>
          <cell r="P1911">
            <v>1.00055925</v>
          </cell>
          <cell r="Q1911">
            <v>3.7885360938220352</v>
          </cell>
        </row>
        <row r="1912">
          <cell r="O1912">
            <v>38917</v>
          </cell>
          <cell r="P1912">
            <v>1.00055925</v>
          </cell>
          <cell r="Q1912">
            <v>3.7906548326325051</v>
          </cell>
        </row>
        <row r="1913">
          <cell r="O1913">
            <v>38918</v>
          </cell>
          <cell r="P1913">
            <v>1.0005589100000001</v>
          </cell>
          <cell r="Q1913">
            <v>3.792773467525012</v>
          </cell>
        </row>
        <row r="1914">
          <cell r="O1914">
            <v>38919</v>
          </cell>
          <cell r="P1914">
            <v>1.00054197</v>
          </cell>
          <cell r="Q1914">
            <v>3.7948290369612065</v>
          </cell>
        </row>
        <row r="1915">
          <cell r="O1915">
            <v>38922</v>
          </cell>
          <cell r="P1915">
            <v>1.0005416199999999</v>
          </cell>
          <cell r="Q1915">
            <v>3.796884392264205</v>
          </cell>
        </row>
        <row r="1916">
          <cell r="O1916">
            <v>38923</v>
          </cell>
          <cell r="P1916">
            <v>1.00054128</v>
          </cell>
          <cell r="Q1916">
            <v>3.7989395698480499</v>
          </cell>
        </row>
        <row r="1917">
          <cell r="O1917">
            <v>38924</v>
          </cell>
          <cell r="P1917">
            <v>1.00054128</v>
          </cell>
          <cell r="Q1917">
            <v>3.8009958598584173</v>
          </cell>
        </row>
        <row r="1918">
          <cell r="O1918">
            <v>38925</v>
          </cell>
          <cell r="P1918">
            <v>1.0005409300000001</v>
          </cell>
          <cell r="Q1918">
            <v>3.803051932548891</v>
          </cell>
        </row>
        <row r="1919">
          <cell r="O1919">
            <v>38926</v>
          </cell>
          <cell r="P1919">
            <v>1.00054058</v>
          </cell>
          <cell r="Q1919">
            <v>3.8051077863625884</v>
          </cell>
        </row>
        <row r="1920">
          <cell r="O1920">
            <v>38929</v>
          </cell>
          <cell r="P1920">
            <v>1.00054058</v>
          </cell>
          <cell r="Q1920">
            <v>3.8071647515297404</v>
          </cell>
        </row>
        <row r="1921">
          <cell r="O1921">
            <v>38930</v>
          </cell>
          <cell r="P1921">
            <v>1.00054197</v>
          </cell>
          <cell r="Q1921">
            <v>3.8092281206101268</v>
          </cell>
        </row>
        <row r="1922">
          <cell r="O1922">
            <v>38931</v>
          </cell>
          <cell r="P1922">
            <v>1.00054128</v>
          </cell>
          <cell r="Q1922">
            <v>3.8112899796072508</v>
          </cell>
        </row>
        <row r="1923">
          <cell r="O1923">
            <v>38932</v>
          </cell>
          <cell r="P1923">
            <v>1.00054128</v>
          </cell>
          <cell r="Q1923">
            <v>3.8133529546474123</v>
          </cell>
        </row>
        <row r="1924">
          <cell r="O1924">
            <v>38933</v>
          </cell>
          <cell r="P1924">
            <v>1.00054128</v>
          </cell>
          <cell r="Q1924">
            <v>3.8154170463347037</v>
          </cell>
        </row>
        <row r="1925">
          <cell r="O1925">
            <v>38936</v>
          </cell>
          <cell r="P1925">
            <v>1.00054128</v>
          </cell>
          <cell r="Q1925">
            <v>3.8174822552735437</v>
          </cell>
        </row>
        <row r="1926">
          <cell r="O1926">
            <v>38937</v>
          </cell>
          <cell r="P1926">
            <v>1.0005409300000001</v>
          </cell>
          <cell r="Q1926">
            <v>3.8195472459498894</v>
          </cell>
        </row>
        <row r="1927">
          <cell r="O1927">
            <v>38938</v>
          </cell>
          <cell r="P1927">
            <v>1.00054128</v>
          </cell>
          <cell r="Q1927">
            <v>3.8216146904831771</v>
          </cell>
        </row>
        <row r="1928">
          <cell r="O1928">
            <v>38939</v>
          </cell>
          <cell r="P1928">
            <v>1.00054128</v>
          </cell>
          <cell r="Q1928">
            <v>3.8236832540828418</v>
          </cell>
        </row>
        <row r="1929">
          <cell r="O1929">
            <v>38940</v>
          </cell>
          <cell r="P1929">
            <v>1.0005409300000001</v>
          </cell>
          <cell r="Q1929">
            <v>3.8257515990654731</v>
          </cell>
        </row>
        <row r="1930">
          <cell r="O1930">
            <v>38943</v>
          </cell>
          <cell r="P1930">
            <v>1.0005416199999999</v>
          </cell>
          <cell r="Q1930">
            <v>3.8278237026465587</v>
          </cell>
        </row>
        <row r="1931">
          <cell r="O1931">
            <v>38944</v>
          </cell>
          <cell r="P1931">
            <v>1.00054197</v>
          </cell>
          <cell r="Q1931">
            <v>3.829898268258682</v>
          </cell>
        </row>
        <row r="1932">
          <cell r="O1932">
            <v>38945</v>
          </cell>
          <cell r="P1932">
            <v>1.0005423200000001</v>
          </cell>
          <cell r="Q1932">
            <v>3.8319752986875244</v>
          </cell>
        </row>
        <row r="1933">
          <cell r="O1933">
            <v>38946</v>
          </cell>
          <cell r="P1933">
            <v>1.0005423200000001</v>
          </cell>
          <cell r="Q1933">
            <v>3.8340534555315089</v>
          </cell>
        </row>
        <row r="1934">
          <cell r="O1934">
            <v>38947</v>
          </cell>
          <cell r="P1934">
            <v>1.00054197</v>
          </cell>
          <cell r="Q1934">
            <v>3.8361313974828035</v>
          </cell>
        </row>
        <row r="1935">
          <cell r="O1935">
            <v>38950</v>
          </cell>
          <cell r="P1935">
            <v>1.0005423200000001</v>
          </cell>
          <cell r="Q1935">
            <v>3.8382118082622867</v>
          </cell>
        </row>
        <row r="1936">
          <cell r="O1936">
            <v>38951</v>
          </cell>
          <cell r="P1936">
            <v>1.0005423200000001</v>
          </cell>
          <cell r="Q1936">
            <v>3.8402933472901437</v>
          </cell>
        </row>
        <row r="1937">
          <cell r="O1937">
            <v>38952</v>
          </cell>
          <cell r="P1937">
            <v>1.0005423200000001</v>
          </cell>
          <cell r="Q1937">
            <v>3.8423760151782465</v>
          </cell>
        </row>
        <row r="1938">
          <cell r="O1938">
            <v>38953</v>
          </cell>
          <cell r="P1938">
            <v>1.00054197</v>
          </cell>
          <cell r="Q1938">
            <v>3.8444584677071925</v>
          </cell>
        </row>
        <row r="1939">
          <cell r="O1939">
            <v>38954</v>
          </cell>
          <cell r="P1939">
            <v>1.0005416199999999</v>
          </cell>
          <cell r="Q1939">
            <v>3.8465407033024719</v>
          </cell>
        </row>
        <row r="1940">
          <cell r="O1940">
            <v>38957</v>
          </cell>
          <cell r="P1940">
            <v>1.0005416199999999</v>
          </cell>
          <cell r="Q1940">
            <v>3.8486240666781941</v>
          </cell>
        </row>
        <row r="1941">
          <cell r="O1941">
            <v>38958</v>
          </cell>
          <cell r="P1941">
            <v>1.00054128</v>
          </cell>
          <cell r="Q1941">
            <v>3.8507072499130057</v>
          </cell>
        </row>
        <row r="1942">
          <cell r="O1942">
            <v>38959</v>
          </cell>
          <cell r="P1942">
            <v>1.00054128</v>
          </cell>
          <cell r="Q1942">
            <v>3.8527915607332384</v>
          </cell>
        </row>
        <row r="1943">
          <cell r="O1943">
            <v>38960</v>
          </cell>
          <cell r="P1943">
            <v>1.00054058</v>
          </cell>
          <cell r="Q1943">
            <v>3.8548743027951398</v>
          </cell>
        </row>
        <row r="1944">
          <cell r="O1944">
            <v>38961</v>
          </cell>
          <cell r="P1944">
            <v>1.00052392</v>
          </cell>
          <cell r="Q1944">
            <v>3.8568939485398603</v>
          </cell>
        </row>
        <row r="1945">
          <cell r="O1945">
            <v>38964</v>
          </cell>
          <cell r="P1945">
            <v>1.00052461</v>
          </cell>
          <cell r="Q1945">
            <v>3.8589173136742039</v>
          </cell>
        </row>
        <row r="1946">
          <cell r="O1946">
            <v>38965</v>
          </cell>
          <cell r="P1946">
            <v>1.00052461</v>
          </cell>
          <cell r="Q1946">
            <v>3.8609417402861306</v>
          </cell>
        </row>
        <row r="1947">
          <cell r="O1947">
            <v>38966</v>
          </cell>
          <cell r="P1947">
            <v>1.0005242700000001</v>
          </cell>
          <cell r="Q1947">
            <v>3.8629659162123109</v>
          </cell>
        </row>
        <row r="1948">
          <cell r="O1948">
            <v>38968</v>
          </cell>
          <cell r="P1948">
            <v>1.00052461</v>
          </cell>
          <cell r="Q1948">
            <v>3.8649924667616151</v>
          </cell>
        </row>
        <row r="1949">
          <cell r="O1949">
            <v>38971</v>
          </cell>
          <cell r="P1949">
            <v>1.0005242700000001</v>
          </cell>
          <cell r="Q1949">
            <v>3.8670187663621647</v>
          </cell>
        </row>
        <row r="1950">
          <cell r="O1950">
            <v>38972</v>
          </cell>
          <cell r="P1950">
            <v>1.00052392</v>
          </cell>
          <cell r="Q1950">
            <v>3.8690447748342374</v>
          </cell>
        </row>
        <row r="1951">
          <cell r="O1951">
            <v>38973</v>
          </cell>
          <cell r="P1951">
            <v>1.00052322</v>
          </cell>
          <cell r="Q1951">
            <v>3.8710691364413261</v>
          </cell>
        </row>
        <row r="1952">
          <cell r="O1952">
            <v>38974</v>
          </cell>
          <cell r="P1952">
            <v>1.0005235699999999</v>
          </cell>
          <cell r="Q1952">
            <v>3.8730959121090924</v>
          </cell>
        </row>
        <row r="1953">
          <cell r="O1953">
            <v>38975</v>
          </cell>
          <cell r="P1953">
            <v>1.0005235699999999</v>
          </cell>
          <cell r="Q1953">
            <v>3.875123748935795</v>
          </cell>
        </row>
        <row r="1954">
          <cell r="O1954">
            <v>38978</v>
          </cell>
          <cell r="P1954">
            <v>1.00052322</v>
          </cell>
          <cell r="Q1954">
            <v>3.8771512911837136</v>
          </cell>
        </row>
        <row r="1955">
          <cell r="O1955">
            <v>38979</v>
          </cell>
          <cell r="P1955">
            <v>1.00052322</v>
          </cell>
          <cell r="Q1955">
            <v>3.879179894282287</v>
          </cell>
        </row>
        <row r="1956">
          <cell r="O1956">
            <v>38980</v>
          </cell>
          <cell r="P1956">
            <v>1.0005235699999999</v>
          </cell>
          <cell r="Q1956">
            <v>3.8812109164995361</v>
          </cell>
        </row>
        <row r="1957">
          <cell r="O1957">
            <v>38981</v>
          </cell>
          <cell r="P1957">
            <v>1.00052322</v>
          </cell>
          <cell r="Q1957">
            <v>3.8832416436752673</v>
          </cell>
        </row>
        <row r="1958">
          <cell r="O1958">
            <v>38982</v>
          </cell>
          <cell r="P1958">
            <v>1.00052322</v>
          </cell>
          <cell r="Q1958">
            <v>3.8852734333680714</v>
          </cell>
        </row>
        <row r="1959">
          <cell r="O1959">
            <v>38985</v>
          </cell>
          <cell r="P1959">
            <v>1.00052322</v>
          </cell>
          <cell r="Q1959">
            <v>3.8873062861338785</v>
          </cell>
        </row>
        <row r="1960">
          <cell r="O1960">
            <v>38986</v>
          </cell>
          <cell r="P1960">
            <v>1.00052392</v>
          </cell>
          <cell r="Q1960">
            <v>3.8893429236433099</v>
          </cell>
        </row>
        <row r="1961">
          <cell r="O1961">
            <v>38987</v>
          </cell>
          <cell r="P1961">
            <v>1.0005235699999999</v>
          </cell>
          <cell r="Q1961">
            <v>3.8913792669178413</v>
          </cell>
        </row>
        <row r="1962">
          <cell r="O1962">
            <v>38988</v>
          </cell>
          <cell r="P1962">
            <v>1.00052461</v>
          </cell>
          <cell r="Q1962">
            <v>3.8934207233950593</v>
          </cell>
        </row>
        <row r="1963">
          <cell r="O1963">
            <v>38989</v>
          </cell>
          <cell r="P1963">
            <v>1.00052461</v>
          </cell>
          <cell r="Q1963">
            <v>3.8954632508407596</v>
          </cell>
        </row>
        <row r="1964">
          <cell r="O1964">
            <v>38992</v>
          </cell>
          <cell r="P1964">
            <v>1.0005263499999999</v>
          </cell>
          <cell r="Q1964">
            <v>3.8975136279228391</v>
          </cell>
        </row>
        <row r="1965">
          <cell r="O1965">
            <v>38993</v>
          </cell>
          <cell r="P1965">
            <v>1.0005256600000001</v>
          </cell>
          <cell r="Q1965">
            <v>3.8995623949364933</v>
          </cell>
        </row>
        <row r="1966">
          <cell r="O1966">
            <v>38994</v>
          </cell>
          <cell r="P1966">
            <v>1.0005249599999999</v>
          </cell>
          <cell r="Q1966">
            <v>3.901609509211339</v>
          </cell>
        </row>
        <row r="1967">
          <cell r="O1967">
            <v>38995</v>
          </cell>
          <cell r="P1967">
            <v>1.0005249599999999</v>
          </cell>
          <cell r="Q1967">
            <v>3.9036576981392943</v>
          </cell>
        </row>
        <row r="1968">
          <cell r="O1968">
            <v>38996</v>
          </cell>
          <cell r="P1968">
            <v>1.0005249599999999</v>
          </cell>
          <cell r="Q1968">
            <v>3.9057069622845093</v>
          </cell>
        </row>
        <row r="1969">
          <cell r="O1969">
            <v>38999</v>
          </cell>
          <cell r="P1969">
            <v>1.00052461</v>
          </cell>
          <cell r="Q1969">
            <v>3.9077559352139937</v>
          </cell>
        </row>
        <row r="1970">
          <cell r="O1970">
            <v>39000</v>
          </cell>
          <cell r="P1970">
            <v>1.00052392</v>
          </cell>
          <cell r="Q1970">
            <v>3.9098032867035712</v>
          </cell>
        </row>
        <row r="1971">
          <cell r="O1971">
            <v>39001</v>
          </cell>
          <cell r="P1971">
            <v>1.0005235699999999</v>
          </cell>
          <cell r="Q1971">
            <v>3.9118503424103901</v>
          </cell>
        </row>
        <row r="1972">
          <cell r="O1972">
            <v>39003</v>
          </cell>
          <cell r="P1972">
            <v>1.00052322</v>
          </cell>
          <cell r="Q1972">
            <v>3.9138971007465462</v>
          </cell>
        </row>
        <row r="1973">
          <cell r="O1973">
            <v>39006</v>
          </cell>
          <cell r="P1973">
            <v>1.00052287</v>
          </cell>
          <cell r="Q1973">
            <v>3.9159435601236132</v>
          </cell>
        </row>
        <row r="1974">
          <cell r="O1974">
            <v>39007</v>
          </cell>
          <cell r="P1974">
            <v>1.00052287</v>
          </cell>
          <cell r="Q1974">
            <v>3.9179910895328947</v>
          </cell>
        </row>
        <row r="1975">
          <cell r="O1975">
            <v>39008</v>
          </cell>
          <cell r="P1975">
            <v>1.00052322</v>
          </cell>
          <cell r="Q1975">
            <v>3.9200410608307603</v>
          </cell>
        </row>
        <row r="1976">
          <cell r="O1976">
            <v>39009</v>
          </cell>
          <cell r="P1976">
            <v>1.0005235699999999</v>
          </cell>
          <cell r="Q1976">
            <v>3.9220934767289792</v>
          </cell>
        </row>
        <row r="1977">
          <cell r="O1977">
            <v>39010</v>
          </cell>
          <cell r="P1977">
            <v>1.00050613</v>
          </cell>
          <cell r="Q1977">
            <v>3.9240785659003561</v>
          </cell>
        </row>
        <row r="1978">
          <cell r="O1978">
            <v>39013</v>
          </cell>
          <cell r="P1978">
            <v>1.00050613</v>
          </cell>
          <cell r="Q1978">
            <v>3.9260646597849154</v>
          </cell>
        </row>
        <row r="1979">
          <cell r="O1979">
            <v>39014</v>
          </cell>
          <cell r="P1979">
            <v>1.00050613</v>
          </cell>
          <cell r="Q1979">
            <v>3.9280517588911721</v>
          </cell>
        </row>
        <row r="1980">
          <cell r="O1980">
            <v>39015</v>
          </cell>
          <cell r="P1980">
            <v>1.00050613</v>
          </cell>
          <cell r="Q1980">
            <v>3.9300398637278997</v>
          </cell>
        </row>
        <row r="1981">
          <cell r="O1981">
            <v>39016</v>
          </cell>
          <cell r="P1981">
            <v>1.00050613</v>
          </cell>
          <cell r="Q1981">
            <v>3.9320289748041284</v>
          </cell>
        </row>
        <row r="1982">
          <cell r="O1982">
            <v>39017</v>
          </cell>
          <cell r="P1982">
            <v>1.00050613</v>
          </cell>
          <cell r="Q1982">
            <v>3.9340190926291458</v>
          </cell>
        </row>
        <row r="1983">
          <cell r="O1983">
            <v>39020</v>
          </cell>
          <cell r="P1983">
            <v>1.00050613</v>
          </cell>
          <cell r="Q1983">
            <v>3.9360102177124983</v>
          </cell>
        </row>
        <row r="1984">
          <cell r="O1984">
            <v>39021</v>
          </cell>
          <cell r="P1984">
            <v>1.0005057799999999</v>
          </cell>
          <cell r="Q1984">
            <v>3.9380009729604124</v>
          </cell>
        </row>
        <row r="1985">
          <cell r="O1985">
            <v>39022</v>
          </cell>
          <cell r="P1985">
            <v>1.00050788</v>
          </cell>
          <cell r="Q1985">
            <v>3.9400010048945595</v>
          </cell>
        </row>
        <row r="1986">
          <cell r="O1986">
            <v>39024</v>
          </cell>
          <cell r="P1986">
            <v>1.0005075299999999</v>
          </cell>
          <cell r="Q1986">
            <v>3.9420006736045732</v>
          </cell>
        </row>
        <row r="1987">
          <cell r="O1987">
            <v>39027</v>
          </cell>
          <cell r="P1987">
            <v>1.0005075299999999</v>
          </cell>
          <cell r="Q1987">
            <v>3.9440013572064476</v>
          </cell>
        </row>
        <row r="1988">
          <cell r="O1988">
            <v>39028</v>
          </cell>
          <cell r="P1988">
            <v>1.0005089300000001</v>
          </cell>
          <cell r="Q1988">
            <v>3.946008577817171</v>
          </cell>
        </row>
        <row r="1989">
          <cell r="O1989">
            <v>39029</v>
          </cell>
          <cell r="P1989">
            <v>1.00050858</v>
          </cell>
          <cell r="Q1989">
            <v>3.9480154388596773</v>
          </cell>
        </row>
        <row r="1990">
          <cell r="O1990">
            <v>39030</v>
          </cell>
          <cell r="P1990">
            <v>1.00050788</v>
          </cell>
          <cell r="Q1990">
            <v>3.9500205569407654</v>
          </cell>
        </row>
        <row r="1991">
          <cell r="O1991">
            <v>39031</v>
          </cell>
          <cell r="P1991">
            <v>1.0005071800000001</v>
          </cell>
          <cell r="Q1991">
            <v>3.9520239283668346</v>
          </cell>
        </row>
        <row r="1992">
          <cell r="O1992">
            <v>39034</v>
          </cell>
          <cell r="P1992">
            <v>1.0005071800000001</v>
          </cell>
          <cell r="Q1992">
            <v>3.954028315862824</v>
          </cell>
        </row>
        <row r="1993">
          <cell r="O1993">
            <v>39035</v>
          </cell>
          <cell r="P1993">
            <v>1.0005071800000001</v>
          </cell>
          <cell r="Q1993">
            <v>3.9560337199440636</v>
          </cell>
        </row>
        <row r="1994">
          <cell r="O1994">
            <v>39037</v>
          </cell>
          <cell r="P1994">
            <v>1.0005071800000001</v>
          </cell>
          <cell r="Q1994">
            <v>3.958040141126145</v>
          </cell>
        </row>
        <row r="1995">
          <cell r="O1995">
            <v>39038</v>
          </cell>
          <cell r="P1995">
            <v>1.00050683</v>
          </cell>
          <cell r="Q1995">
            <v>3.9600461946108716</v>
          </cell>
        </row>
        <row r="1996">
          <cell r="O1996">
            <v>39041</v>
          </cell>
          <cell r="P1996">
            <v>1.0005064800000001</v>
          </cell>
          <cell r="Q1996">
            <v>3.9620518788075185</v>
          </cell>
        </row>
        <row r="1997">
          <cell r="O1997">
            <v>39042</v>
          </cell>
          <cell r="P1997">
            <v>1.0005064800000001</v>
          </cell>
          <cell r="Q1997">
            <v>3.9640585788430971</v>
          </cell>
        </row>
        <row r="1998">
          <cell r="O1998">
            <v>39043</v>
          </cell>
          <cell r="P1998">
            <v>1.00050683</v>
          </cell>
          <cell r="Q1998">
            <v>3.966067682652612</v>
          </cell>
        </row>
        <row r="1999">
          <cell r="O1999">
            <v>39044</v>
          </cell>
          <cell r="P1999">
            <v>1.0005064800000001</v>
          </cell>
          <cell r="Q1999">
            <v>3.9680764166125222</v>
          </cell>
        </row>
        <row r="2000">
          <cell r="O2000">
            <v>39045</v>
          </cell>
          <cell r="P2000">
            <v>1.00050683</v>
          </cell>
          <cell r="Q2000">
            <v>3.9700875567827536</v>
          </cell>
        </row>
        <row r="2001">
          <cell r="O2001">
            <v>39048</v>
          </cell>
          <cell r="P2001">
            <v>1.0005064800000001</v>
          </cell>
          <cell r="Q2001">
            <v>3.9720983267285135</v>
          </cell>
        </row>
        <row r="2002">
          <cell r="O2002">
            <v>39049</v>
          </cell>
          <cell r="P2002">
            <v>1.0005064800000001</v>
          </cell>
          <cell r="Q2002">
            <v>3.9741101150890352</v>
          </cell>
        </row>
        <row r="2003">
          <cell r="O2003">
            <v>39050</v>
          </cell>
          <cell r="P2003">
            <v>1.00050613</v>
          </cell>
          <cell r="Q2003">
            <v>3.9761215314415854</v>
          </cell>
        </row>
        <row r="2004">
          <cell r="O2004">
            <v>39051</v>
          </cell>
          <cell r="P2004">
            <v>1.00050613</v>
          </cell>
          <cell r="Q2004">
            <v>3.9781339658322938</v>
          </cell>
        </row>
        <row r="2005">
          <cell r="O2005">
            <v>39052</v>
          </cell>
          <cell r="P2005">
            <v>1.0004896700000001</v>
          </cell>
          <cell r="Q2005">
            <v>3.9800819386913435</v>
          </cell>
        </row>
        <row r="2006">
          <cell r="O2006">
            <v>39055</v>
          </cell>
          <cell r="P2006">
            <v>1.00049002</v>
          </cell>
          <cell r="Q2006">
            <v>3.9820322584429411</v>
          </cell>
        </row>
        <row r="2007">
          <cell r="O2007">
            <v>39056</v>
          </cell>
          <cell r="P2007">
            <v>1.0004903700000001</v>
          </cell>
          <cell r="Q2007">
            <v>3.9839849276015142</v>
          </cell>
        </row>
        <row r="2008">
          <cell r="O2008">
            <v>39057</v>
          </cell>
          <cell r="P2008">
            <v>1.0004903700000001</v>
          </cell>
          <cell r="Q2008">
            <v>3.9859385542904624</v>
          </cell>
        </row>
        <row r="2009">
          <cell r="O2009">
            <v>39058</v>
          </cell>
          <cell r="P2009">
            <v>1.00049002</v>
          </cell>
          <cell r="Q2009">
            <v>3.9878917439008359</v>
          </cell>
        </row>
        <row r="2010">
          <cell r="O2010">
            <v>39059</v>
          </cell>
          <cell r="P2010">
            <v>1.00048932</v>
          </cell>
          <cell r="Q2010">
            <v>3.9898430990889615</v>
          </cell>
        </row>
        <row r="2011">
          <cell r="O2011">
            <v>39062</v>
          </cell>
          <cell r="P2011">
            <v>1.0004896700000001</v>
          </cell>
          <cell r="Q2011">
            <v>3.9917968055592929</v>
          </cell>
        </row>
        <row r="2012">
          <cell r="O2012">
            <v>39063</v>
          </cell>
          <cell r="P2012">
            <v>1.0004889699999999</v>
          </cell>
          <cell r="Q2012">
            <v>3.9937486744433071</v>
          </cell>
        </row>
        <row r="2013">
          <cell r="O2013">
            <v>39064</v>
          </cell>
          <cell r="P2013">
            <v>1.0004886200000001</v>
          </cell>
          <cell r="Q2013">
            <v>3.9957000999206138</v>
          </cell>
        </row>
        <row r="2014">
          <cell r="O2014">
            <v>39065</v>
          </cell>
          <cell r="P2014">
            <v>1.0004886200000001</v>
          </cell>
          <cell r="Q2014">
            <v>3.9976524789034373</v>
          </cell>
        </row>
        <row r="2015">
          <cell r="O2015">
            <v>39066</v>
          </cell>
          <cell r="P2015">
            <v>1.0004886200000001</v>
          </cell>
          <cell r="Q2015">
            <v>3.9996058118576792</v>
          </cell>
        </row>
        <row r="2016">
          <cell r="O2016">
            <v>39069</v>
          </cell>
          <cell r="P2016">
            <v>1.0004889699999999</v>
          </cell>
          <cell r="Q2016">
            <v>4.0015614991115029</v>
          </cell>
        </row>
        <row r="2017">
          <cell r="O2017">
            <v>39070</v>
          </cell>
          <cell r="P2017">
            <v>1.00048932</v>
          </cell>
          <cell r="Q2017">
            <v>4.0035195431842485</v>
          </cell>
        </row>
        <row r="2018">
          <cell r="O2018">
            <v>39071</v>
          </cell>
          <cell r="P2018">
            <v>1.00049002</v>
          </cell>
          <cell r="Q2018">
            <v>4.0054813478307993</v>
          </cell>
        </row>
        <row r="2019">
          <cell r="O2019">
            <v>39072</v>
          </cell>
          <cell r="P2019">
            <v>1.0004903700000001</v>
          </cell>
          <cell r="Q2019">
            <v>4.0074455157193354</v>
          </cell>
        </row>
        <row r="2020">
          <cell r="O2020">
            <v>39073</v>
          </cell>
          <cell r="P2020">
            <v>1.0004903700000001</v>
          </cell>
          <cell r="Q2020">
            <v>4.0094106467768791</v>
          </cell>
        </row>
        <row r="2021">
          <cell r="O2021">
            <v>39077</v>
          </cell>
          <cell r="P2021">
            <v>1.00049002</v>
          </cell>
          <cell r="Q2021">
            <v>4.0113753381820123</v>
          </cell>
        </row>
        <row r="2022">
          <cell r="O2022">
            <v>39078</v>
          </cell>
          <cell r="P2022">
            <v>1.0004907300000001</v>
          </cell>
          <cell r="Q2022">
            <v>4.0133438404017188</v>
          </cell>
        </row>
        <row r="2023">
          <cell r="O2023">
            <v>39079</v>
          </cell>
          <cell r="P2023">
            <v>1.0004907300000001</v>
          </cell>
          <cell r="Q2023">
            <v>4.0153133086245196</v>
          </cell>
        </row>
        <row r="2024">
          <cell r="O2024">
            <v>39080</v>
          </cell>
          <cell r="P2024">
            <v>1.00049108</v>
          </cell>
          <cell r="Q2024">
            <v>4.0172851486841186</v>
          </cell>
        </row>
        <row r="2025">
          <cell r="O2025">
            <v>39084</v>
          </cell>
          <cell r="P2025">
            <v>1.00049108</v>
          </cell>
          <cell r="Q2025">
            <v>4.0192579570749345</v>
          </cell>
        </row>
        <row r="2026">
          <cell r="O2026">
            <v>39085</v>
          </cell>
          <cell r="P2026">
            <v>1.0004907300000001</v>
          </cell>
          <cell r="Q2026">
            <v>4.0212303275322103</v>
          </cell>
        </row>
        <row r="2027">
          <cell r="O2027">
            <v>39086</v>
          </cell>
          <cell r="P2027">
            <v>1.0004907300000001</v>
          </cell>
          <cell r="Q2027">
            <v>4.0232036658908408</v>
          </cell>
        </row>
        <row r="2028">
          <cell r="O2028">
            <v>39087</v>
          </cell>
          <cell r="P2028">
            <v>1.0004907300000001</v>
          </cell>
          <cell r="Q2028">
            <v>4.0251779726258041</v>
          </cell>
        </row>
        <row r="2029">
          <cell r="O2029">
            <v>39090</v>
          </cell>
          <cell r="P2029">
            <v>1.00049108</v>
          </cell>
          <cell r="Q2029">
            <v>4.0271546570246013</v>
          </cell>
        </row>
        <row r="2030">
          <cell r="O2030">
            <v>39091</v>
          </cell>
          <cell r="P2030">
            <v>1.0004914300000001</v>
          </cell>
          <cell r="Q2030">
            <v>4.0291337216377032</v>
          </cell>
        </row>
        <row r="2031">
          <cell r="O2031">
            <v>39092</v>
          </cell>
          <cell r="P2031">
            <v>1.0004914300000001</v>
          </cell>
          <cell r="Q2031">
            <v>4.0311137588225279</v>
          </cell>
        </row>
        <row r="2032">
          <cell r="O2032">
            <v>39093</v>
          </cell>
          <cell r="P2032">
            <v>1.0004903700000001</v>
          </cell>
          <cell r="Q2032">
            <v>4.0330904960764418</v>
          </cell>
        </row>
        <row r="2033">
          <cell r="O2033">
            <v>39094</v>
          </cell>
          <cell r="P2033">
            <v>1.00048932</v>
          </cell>
          <cell r="Q2033">
            <v>4.0350639679179823</v>
          </cell>
        </row>
        <row r="2034">
          <cell r="O2034">
            <v>39097</v>
          </cell>
          <cell r="P2034">
            <v>1.0004896700000001</v>
          </cell>
          <cell r="Q2034">
            <v>4.0370398176911531</v>
          </cell>
        </row>
        <row r="2035">
          <cell r="O2035">
            <v>39098</v>
          </cell>
          <cell r="P2035">
            <v>1.00049002</v>
          </cell>
          <cell r="Q2035">
            <v>4.0390180479426183</v>
          </cell>
        </row>
        <row r="2036">
          <cell r="O2036">
            <v>39099</v>
          </cell>
          <cell r="P2036">
            <v>1.00048932</v>
          </cell>
          <cell r="Q2036">
            <v>4.0409944202538375</v>
          </cell>
        </row>
        <row r="2037">
          <cell r="O2037">
            <v>39100</v>
          </cell>
          <cell r="P2037">
            <v>1.00048932</v>
          </cell>
          <cell r="Q2037">
            <v>4.0429717596435566</v>
          </cell>
        </row>
        <row r="2038">
          <cell r="O2038">
            <v>39101</v>
          </cell>
          <cell r="P2038">
            <v>1.0004896700000001</v>
          </cell>
          <cell r="Q2038">
            <v>4.0449514816251018</v>
          </cell>
        </row>
        <row r="2039">
          <cell r="O2039">
            <v>39104</v>
          </cell>
          <cell r="P2039">
            <v>1.0004889699999999</v>
          </cell>
          <cell r="Q2039">
            <v>4.0469293415510714</v>
          </cell>
        </row>
        <row r="2040">
          <cell r="O2040">
            <v>39105</v>
          </cell>
          <cell r="P2040">
            <v>1.00048932</v>
          </cell>
          <cell r="Q2040">
            <v>4.0489095850164789</v>
          </cell>
        </row>
        <row r="2041">
          <cell r="O2041">
            <v>39106</v>
          </cell>
          <cell r="P2041">
            <v>1.00048932</v>
          </cell>
          <cell r="Q2041">
            <v>4.0508907974546196</v>
          </cell>
        </row>
        <row r="2042">
          <cell r="O2042">
            <v>39107</v>
          </cell>
          <cell r="P2042">
            <v>1.0004851100000001</v>
          </cell>
          <cell r="Q2042">
            <v>4.0528559250893732</v>
          </cell>
        </row>
        <row r="2043">
          <cell r="O2043">
            <v>39108</v>
          </cell>
          <cell r="P2043">
            <v>1.0004805400000001</v>
          </cell>
          <cell r="Q2043">
            <v>4.0548034844756158</v>
          </cell>
        </row>
        <row r="2044">
          <cell r="O2044">
            <v>39111</v>
          </cell>
          <cell r="P2044">
            <v>1.0004794800000001</v>
          </cell>
          <cell r="Q2044">
            <v>4.0567476816503527</v>
          </cell>
        </row>
        <row r="2045">
          <cell r="O2045">
            <v>39112</v>
          </cell>
          <cell r="P2045">
            <v>1.00047983</v>
          </cell>
          <cell r="Q2045">
            <v>4.0586942308904392</v>
          </cell>
        </row>
        <row r="2046">
          <cell r="O2046">
            <v>39113</v>
          </cell>
          <cell r="P2046">
            <v>1.0004805400000001</v>
          </cell>
          <cell r="Q2046">
            <v>4.0606445958161519</v>
          </cell>
        </row>
        <row r="2047">
          <cell r="O2047">
            <v>39114</v>
          </cell>
          <cell r="P2047">
            <v>1.00048194</v>
          </cell>
          <cell r="Q2047">
            <v>4.0626015828726594</v>
          </cell>
        </row>
        <row r="2048">
          <cell r="O2048">
            <v>39115</v>
          </cell>
          <cell r="P2048">
            <v>1.0004823</v>
          </cell>
          <cell r="Q2048">
            <v>4.0645609756160788</v>
          </cell>
        </row>
        <row r="2049">
          <cell r="O2049">
            <v>39118</v>
          </cell>
          <cell r="P2049">
            <v>1.00048194</v>
          </cell>
          <cell r="Q2049">
            <v>4.0665198501326669</v>
          </cell>
        </row>
        <row r="2050">
          <cell r="O2050">
            <v>39119</v>
          </cell>
          <cell r="P2050">
            <v>1.0004823</v>
          </cell>
          <cell r="Q2050">
            <v>4.0684811326563857</v>
          </cell>
        </row>
        <row r="2051">
          <cell r="O2051">
            <v>39120</v>
          </cell>
          <cell r="P2051">
            <v>1.0004815899999999</v>
          </cell>
          <cell r="Q2051">
            <v>4.0704404724850614</v>
          </cell>
        </row>
        <row r="2052">
          <cell r="O2052">
            <v>39121</v>
          </cell>
          <cell r="P2052">
            <v>1.00048124</v>
          </cell>
          <cell r="Q2052">
            <v>4.0723993312580404</v>
          </cell>
        </row>
        <row r="2053">
          <cell r="O2053">
            <v>39122</v>
          </cell>
          <cell r="P2053">
            <v>1.00048124</v>
          </cell>
          <cell r="Q2053">
            <v>4.0743591327122148</v>
          </cell>
        </row>
        <row r="2054">
          <cell r="O2054">
            <v>39125</v>
          </cell>
          <cell r="P2054">
            <v>1.00048089</v>
          </cell>
          <cell r="Q2054">
            <v>4.0763184512755446</v>
          </cell>
        </row>
        <row r="2055">
          <cell r="O2055">
            <v>39126</v>
          </cell>
          <cell r="P2055">
            <v>1.00048089</v>
          </cell>
          <cell r="Q2055">
            <v>4.0782787120555781</v>
          </cell>
        </row>
        <row r="2056">
          <cell r="O2056">
            <v>39127</v>
          </cell>
          <cell r="P2056">
            <v>1.00048124</v>
          </cell>
          <cell r="Q2056">
            <v>4.0802413429029682</v>
          </cell>
        </row>
        <row r="2057">
          <cell r="O2057">
            <v>39128</v>
          </cell>
          <cell r="P2057">
            <v>1.00048124</v>
          </cell>
          <cell r="Q2057">
            <v>4.082204918246827</v>
          </cell>
        </row>
        <row r="2058">
          <cell r="O2058">
            <v>39129</v>
          </cell>
          <cell r="P2058">
            <v>1.00048089</v>
          </cell>
          <cell r="Q2058">
            <v>4.0841680097699626</v>
          </cell>
        </row>
        <row r="2059">
          <cell r="O2059">
            <v>39134</v>
          </cell>
          <cell r="P2059">
            <v>1.00048124</v>
          </cell>
          <cell r="Q2059">
            <v>4.0861334747829847</v>
          </cell>
        </row>
        <row r="2060">
          <cell r="O2060">
            <v>39135</v>
          </cell>
          <cell r="P2060">
            <v>1.00048194</v>
          </cell>
          <cell r="Q2060">
            <v>4.088102745949822</v>
          </cell>
        </row>
        <row r="2061">
          <cell r="O2061">
            <v>39136</v>
          </cell>
          <cell r="P2061">
            <v>1.0004805400000001</v>
          </cell>
          <cell r="Q2061">
            <v>4.0900672428433609</v>
          </cell>
        </row>
        <row r="2062">
          <cell r="O2062">
            <v>39139</v>
          </cell>
          <cell r="P2062">
            <v>1.0004805400000001</v>
          </cell>
          <cell r="Q2062">
            <v>4.0920326837562371</v>
          </cell>
        </row>
        <row r="2063">
          <cell r="O2063">
            <v>39140</v>
          </cell>
          <cell r="P2063">
            <v>1.0004805400000001</v>
          </cell>
          <cell r="Q2063">
            <v>4.0939990691420896</v>
          </cell>
        </row>
        <row r="2064">
          <cell r="O2064">
            <v>39141</v>
          </cell>
          <cell r="P2064">
            <v>1.00048019</v>
          </cell>
          <cell r="Q2064">
            <v>4.0959649665551012</v>
          </cell>
        </row>
        <row r="2065">
          <cell r="O2065">
            <v>39142</v>
          </cell>
          <cell r="P2065">
            <v>1.0004815899999999</v>
          </cell>
          <cell r="Q2065">
            <v>4.0979375423233444</v>
          </cell>
        </row>
        <row r="2066">
          <cell r="O2066">
            <v>39143</v>
          </cell>
          <cell r="P2066">
            <v>1.0004815899999999</v>
          </cell>
          <cell r="Q2066">
            <v>4.0999110680643511</v>
          </cell>
        </row>
        <row r="2067">
          <cell r="O2067">
            <v>39146</v>
          </cell>
          <cell r="P2067">
            <v>1.0004815899999999</v>
          </cell>
          <cell r="Q2067">
            <v>4.1018855442356204</v>
          </cell>
        </row>
        <row r="2068">
          <cell r="O2068">
            <v>39147</v>
          </cell>
          <cell r="P2068">
            <v>1.0004815899999999</v>
          </cell>
          <cell r="Q2068">
            <v>4.1038609712948686</v>
          </cell>
        </row>
        <row r="2069">
          <cell r="O2069">
            <v>39148</v>
          </cell>
          <cell r="P2069">
            <v>1.00048124</v>
          </cell>
          <cell r="Q2069">
            <v>4.1058359133486944</v>
          </cell>
        </row>
        <row r="2070">
          <cell r="O2070">
            <v>39149</v>
          </cell>
          <cell r="P2070">
            <v>1.0004805400000001</v>
          </cell>
          <cell r="Q2070">
            <v>4.1078089317384956</v>
          </cell>
        </row>
        <row r="2071">
          <cell r="O2071">
            <v>39150</v>
          </cell>
          <cell r="P2071">
            <v>1.00047244</v>
          </cell>
          <cell r="Q2071">
            <v>4.1097496249902061</v>
          </cell>
        </row>
        <row r="2072">
          <cell r="O2072">
            <v>39153</v>
          </cell>
          <cell r="P2072">
            <v>1.00047314</v>
          </cell>
          <cell r="Q2072">
            <v>4.1116941119277737</v>
          </cell>
        </row>
        <row r="2073">
          <cell r="O2073">
            <v>39154</v>
          </cell>
          <cell r="P2073">
            <v>1.0004727899999999</v>
          </cell>
          <cell r="Q2073">
            <v>4.1136380797869512</v>
          </cell>
        </row>
        <row r="2074">
          <cell r="O2074">
            <v>39155</v>
          </cell>
          <cell r="P2074">
            <v>1.0004717299999999</v>
          </cell>
          <cell r="Q2074">
            <v>4.1155786062783291</v>
          </cell>
        </row>
        <row r="2075">
          <cell r="O2075">
            <v>39156</v>
          </cell>
          <cell r="P2075">
            <v>1.0004720899999999</v>
          </cell>
          <cell r="Q2075">
            <v>4.1175215297825662</v>
          </cell>
        </row>
        <row r="2076">
          <cell r="O2076">
            <v>39157</v>
          </cell>
          <cell r="P2076">
            <v>1.0004720899999999</v>
          </cell>
          <cell r="Q2076">
            <v>4.1194653705215609</v>
          </cell>
        </row>
        <row r="2077">
          <cell r="O2077">
            <v>39160</v>
          </cell>
          <cell r="P2077">
            <v>1.0004727899999999</v>
          </cell>
          <cell r="Q2077">
            <v>4.1214130125540898</v>
          </cell>
        </row>
        <row r="2078">
          <cell r="O2078">
            <v>39161</v>
          </cell>
          <cell r="P2078">
            <v>1.0004727899999999</v>
          </cell>
          <cell r="Q2078">
            <v>4.1233615754122948</v>
          </cell>
        </row>
        <row r="2079">
          <cell r="O2079">
            <v>39162</v>
          </cell>
          <cell r="P2079">
            <v>1.00047244</v>
          </cell>
          <cell r="Q2079">
            <v>4.1253096163549827</v>
          </cell>
        </row>
        <row r="2080">
          <cell r="O2080">
            <v>39163</v>
          </cell>
          <cell r="P2080">
            <v>1.0004727899999999</v>
          </cell>
          <cell r="Q2080">
            <v>4.1272600214884987</v>
          </cell>
        </row>
        <row r="2081">
          <cell r="O2081">
            <v>39164</v>
          </cell>
          <cell r="P2081">
            <v>1.0004720899999999</v>
          </cell>
          <cell r="Q2081">
            <v>4.1292084596720429</v>
          </cell>
        </row>
        <row r="2082">
          <cell r="O2082">
            <v>39167</v>
          </cell>
          <cell r="P2082">
            <v>1.00047138</v>
          </cell>
          <cell r="Q2082">
            <v>4.1311548859557634</v>
          </cell>
        </row>
        <row r="2083">
          <cell r="O2083">
            <v>39168</v>
          </cell>
          <cell r="P2083">
            <v>1.0004710299999999</v>
          </cell>
          <cell r="Q2083">
            <v>4.1331007838416944</v>
          </cell>
        </row>
        <row r="2084">
          <cell r="O2084">
            <v>39169</v>
          </cell>
          <cell r="P2084">
            <v>1.0004710299999999</v>
          </cell>
          <cell r="Q2084">
            <v>4.135047598303907</v>
          </cell>
        </row>
        <row r="2085">
          <cell r="O2085">
            <v>39170</v>
          </cell>
          <cell r="P2085">
            <v>1.00047138</v>
          </cell>
          <cell r="Q2085">
            <v>4.1369967770407952</v>
          </cell>
        </row>
        <row r="2086">
          <cell r="O2086">
            <v>39171</v>
          </cell>
          <cell r="P2086">
            <v>1.0004717299999999</v>
          </cell>
          <cell r="Q2086">
            <v>4.1389483225304282</v>
          </cell>
        </row>
        <row r="2087">
          <cell r="O2087">
            <v>39174</v>
          </cell>
          <cell r="P2087">
            <v>1.00047314</v>
          </cell>
          <cell r="Q2087">
            <v>4.1409066245397499</v>
          </cell>
        </row>
        <row r="2088">
          <cell r="O2088">
            <v>39175</v>
          </cell>
          <cell r="P2088">
            <v>1.0004735</v>
          </cell>
          <cell r="Q2088">
            <v>4.1428673438264694</v>
          </cell>
        </row>
        <row r="2089">
          <cell r="O2089">
            <v>39176</v>
          </cell>
          <cell r="P2089">
            <v>1.0004727899999999</v>
          </cell>
          <cell r="Q2089">
            <v>4.144826050077957</v>
          </cell>
        </row>
        <row r="2090">
          <cell r="O2090">
            <v>39177</v>
          </cell>
          <cell r="P2090">
            <v>1.00047244</v>
          </cell>
          <cell r="Q2090">
            <v>4.1467842316970556</v>
          </cell>
        </row>
        <row r="2091">
          <cell r="O2091">
            <v>39181</v>
          </cell>
          <cell r="P2091">
            <v>1.00047314</v>
          </cell>
          <cell r="Q2091">
            <v>4.1487462411884408</v>
          </cell>
        </row>
        <row r="2092">
          <cell r="O2092">
            <v>39182</v>
          </cell>
          <cell r="P2092">
            <v>1.0004727899999999</v>
          </cell>
          <cell r="Q2092">
            <v>4.1507077269238115</v>
          </cell>
        </row>
        <row r="2093">
          <cell r="O2093">
            <v>39183</v>
          </cell>
          <cell r="P2093">
            <v>1.0004720899999999</v>
          </cell>
          <cell r="Q2093">
            <v>4.1526672345346149</v>
          </cell>
        </row>
        <row r="2094">
          <cell r="O2094">
            <v>39184</v>
          </cell>
          <cell r="P2094">
            <v>1.0004720899999999</v>
          </cell>
          <cell r="Q2094">
            <v>4.1546276672093665</v>
          </cell>
        </row>
        <row r="2095">
          <cell r="O2095">
            <v>39185</v>
          </cell>
          <cell r="P2095">
            <v>1.0004720899999999</v>
          </cell>
          <cell r="Q2095">
            <v>4.156589025384779</v>
          </cell>
        </row>
        <row r="2096">
          <cell r="O2096">
            <v>39188</v>
          </cell>
          <cell r="P2096">
            <v>1.0004720899999999</v>
          </cell>
          <cell r="Q2096">
            <v>4.1585513094977724</v>
          </cell>
        </row>
        <row r="2097">
          <cell r="O2097">
            <v>39189</v>
          </cell>
          <cell r="P2097">
            <v>1.00047244</v>
          </cell>
          <cell r="Q2097">
            <v>4.1605159754784315</v>
          </cell>
        </row>
        <row r="2098">
          <cell r="O2098">
            <v>39190</v>
          </cell>
          <cell r="P2098">
            <v>1.0004717299999999</v>
          </cell>
          <cell r="Q2098">
            <v>4.1624786156795439</v>
          </cell>
        </row>
        <row r="2099">
          <cell r="O2099">
            <v>39191</v>
          </cell>
          <cell r="P2099">
            <v>1.0004710299999999</v>
          </cell>
          <cell r="Q2099">
            <v>4.1644392679818871</v>
          </cell>
        </row>
        <row r="2100">
          <cell r="O2100">
            <v>39192</v>
          </cell>
          <cell r="P2100">
            <v>1.00046291</v>
          </cell>
          <cell r="Q2100">
            <v>4.1663670285634282</v>
          </cell>
        </row>
        <row r="2101">
          <cell r="O2101">
            <v>39195</v>
          </cell>
          <cell r="P2101">
            <v>1.00046291</v>
          </cell>
          <cell r="Q2101">
            <v>4.1682956815246204</v>
          </cell>
        </row>
        <row r="2102">
          <cell r="O2102">
            <v>39196</v>
          </cell>
          <cell r="P2102">
            <v>1.0004625599999999</v>
          </cell>
          <cell r="Q2102">
            <v>4.1702237683750658</v>
          </cell>
        </row>
        <row r="2103">
          <cell r="O2103">
            <v>39197</v>
          </cell>
          <cell r="P2103">
            <v>1.00046185</v>
          </cell>
          <cell r="Q2103">
            <v>4.1721497862224899</v>
          </cell>
        </row>
        <row r="2104">
          <cell r="O2104">
            <v>39198</v>
          </cell>
          <cell r="P2104">
            <v>1.0004614999999999</v>
          </cell>
          <cell r="Q2104">
            <v>4.1740752333488311</v>
          </cell>
        </row>
        <row r="2105">
          <cell r="O2105">
            <v>39199</v>
          </cell>
          <cell r="P2105">
            <v>1.0004614999999999</v>
          </cell>
          <cell r="Q2105">
            <v>4.1760015690690215</v>
          </cell>
        </row>
        <row r="2106">
          <cell r="O2106">
            <v>39202</v>
          </cell>
          <cell r="P2106">
            <v>1.0004614999999999</v>
          </cell>
          <cell r="Q2106">
            <v>4.1779287937931464</v>
          </cell>
        </row>
        <row r="2107">
          <cell r="O2107">
            <v>39204</v>
          </cell>
          <cell r="P2107">
            <v>1.0004614999999999</v>
          </cell>
          <cell r="Q2107">
            <v>4.1798569079314811</v>
          </cell>
        </row>
        <row r="2108">
          <cell r="O2108">
            <v>39205</v>
          </cell>
          <cell r="P2108">
            <v>1.0004614999999999</v>
          </cell>
          <cell r="Q2108">
            <v>4.1817859118944911</v>
          </cell>
        </row>
        <row r="2109">
          <cell r="O2109">
            <v>39206</v>
          </cell>
          <cell r="P2109">
            <v>1.0004614999999999</v>
          </cell>
          <cell r="Q2109">
            <v>4.1837158060928301</v>
          </cell>
        </row>
        <row r="2110">
          <cell r="O2110">
            <v>39209</v>
          </cell>
          <cell r="P2110">
            <v>1.00046185</v>
          </cell>
          <cell r="Q2110">
            <v>4.1856480552378743</v>
          </cell>
        </row>
        <row r="2111">
          <cell r="O2111">
            <v>39210</v>
          </cell>
          <cell r="P2111">
            <v>1.0004625599999999</v>
          </cell>
          <cell r="Q2111">
            <v>4.1875841686023048</v>
          </cell>
        </row>
        <row r="2112">
          <cell r="O2112">
            <v>39211</v>
          </cell>
          <cell r="P2112">
            <v>1.00046221</v>
          </cell>
          <cell r="Q2112">
            <v>4.1895197118808749</v>
          </cell>
        </row>
        <row r="2113">
          <cell r="O2113">
            <v>39212</v>
          </cell>
          <cell r="P2113">
            <v>1.00046221</v>
          </cell>
          <cell r="Q2113">
            <v>4.1914561497869034</v>
          </cell>
        </row>
        <row r="2114">
          <cell r="O2114">
            <v>39213</v>
          </cell>
          <cell r="P2114">
            <v>1.0004625599999999</v>
          </cell>
          <cell r="Q2114">
            <v>4.1933949497435483</v>
          </cell>
        </row>
        <row r="2115">
          <cell r="O2115">
            <v>39216</v>
          </cell>
          <cell r="P2115">
            <v>1.00046221</v>
          </cell>
          <cell r="Q2115">
            <v>4.1953331788232697</v>
          </cell>
        </row>
        <row r="2116">
          <cell r="O2116">
            <v>39217</v>
          </cell>
          <cell r="P2116">
            <v>1.0004625599999999</v>
          </cell>
          <cell r="Q2116">
            <v>4.1972737721384661</v>
          </cell>
        </row>
        <row r="2117">
          <cell r="O2117">
            <v>39218</v>
          </cell>
          <cell r="P2117">
            <v>1.00046221</v>
          </cell>
          <cell r="Q2117">
            <v>4.1992137940486867</v>
          </cell>
        </row>
        <row r="2118">
          <cell r="O2118">
            <v>39219</v>
          </cell>
          <cell r="P2118">
            <v>1.00046185</v>
          </cell>
          <cell r="Q2118">
            <v>4.2011532009394683</v>
          </cell>
        </row>
        <row r="2119">
          <cell r="O2119">
            <v>39220</v>
          </cell>
          <cell r="P2119">
            <v>1.0004625599999999</v>
          </cell>
          <cell r="Q2119">
            <v>4.2030964863640943</v>
          </cell>
        </row>
        <row r="2120">
          <cell r="O2120">
            <v>39223</v>
          </cell>
          <cell r="P2120">
            <v>1.00046221</v>
          </cell>
          <cell r="Q2120">
            <v>4.2050391995910568</v>
          </cell>
        </row>
        <row r="2121">
          <cell r="O2121">
            <v>39224</v>
          </cell>
          <cell r="P2121">
            <v>1.00046221</v>
          </cell>
          <cell r="Q2121">
            <v>4.2069828107594995</v>
          </cell>
        </row>
        <row r="2122">
          <cell r="O2122">
            <v>39225</v>
          </cell>
          <cell r="P2122">
            <v>1.00046221</v>
          </cell>
          <cell r="Q2122">
            <v>4.2089273202844604</v>
          </cell>
        </row>
        <row r="2123">
          <cell r="O2123">
            <v>39226</v>
          </cell>
          <cell r="P2123">
            <v>1.00046221</v>
          </cell>
          <cell r="Q2123">
            <v>4.2108727285811689</v>
          </cell>
        </row>
        <row r="2124">
          <cell r="O2124">
            <v>39227</v>
          </cell>
          <cell r="P2124">
            <v>1.00046185</v>
          </cell>
          <cell r="Q2124">
            <v>4.212817520150864</v>
          </cell>
        </row>
        <row r="2125">
          <cell r="O2125">
            <v>39230</v>
          </cell>
          <cell r="P2125">
            <v>1.0004625599999999</v>
          </cell>
          <cell r="Q2125">
            <v>4.214766201022984</v>
          </cell>
        </row>
        <row r="2126">
          <cell r="O2126">
            <v>39231</v>
          </cell>
          <cell r="P2126">
            <v>1.00046291</v>
          </cell>
          <cell r="Q2126">
            <v>4.2167172584450991</v>
          </cell>
        </row>
        <row r="2127">
          <cell r="O2127">
            <v>39232</v>
          </cell>
          <cell r="P2127">
            <v>1.00046327</v>
          </cell>
          <cell r="Q2127">
            <v>4.2186707370494192</v>
          </cell>
        </row>
        <row r="2128">
          <cell r="O2128">
            <v>39233</v>
          </cell>
          <cell r="P2128">
            <v>1.00046291</v>
          </cell>
          <cell r="Q2128">
            <v>4.2206236019203063</v>
          </cell>
        </row>
        <row r="2129">
          <cell r="O2129">
            <v>39234</v>
          </cell>
          <cell r="P2129">
            <v>1.0004636200000001</v>
          </cell>
          <cell r="Q2129">
            <v>4.2225803674346292</v>
          </cell>
        </row>
        <row r="2130">
          <cell r="O2130">
            <v>39237</v>
          </cell>
          <cell r="P2130">
            <v>1.0004636200000001</v>
          </cell>
          <cell r="Q2130">
            <v>4.22453804014458</v>
          </cell>
        </row>
        <row r="2131">
          <cell r="O2131">
            <v>39238</v>
          </cell>
          <cell r="P2131">
            <v>1.0004636200000001</v>
          </cell>
          <cell r="Q2131">
            <v>4.2264966204707521</v>
          </cell>
        </row>
        <row r="2132">
          <cell r="O2132">
            <v>39239</v>
          </cell>
          <cell r="P2132">
            <v>1.00046397</v>
          </cell>
          <cell r="Q2132">
            <v>4.2284575881077515</v>
          </cell>
        </row>
        <row r="2133">
          <cell r="O2133">
            <v>39241</v>
          </cell>
          <cell r="P2133">
            <v>1.00046327</v>
          </cell>
          <cell r="Q2133">
            <v>4.2304165056545946</v>
          </cell>
        </row>
        <row r="2134">
          <cell r="O2134">
            <v>39244</v>
          </cell>
          <cell r="P2134">
            <v>1.00044556</v>
          </cell>
          <cell r="Q2134">
            <v>4.2323014100328535</v>
          </cell>
        </row>
        <row r="2135">
          <cell r="O2135">
            <v>39245</v>
          </cell>
          <cell r="P2135">
            <v>1.00044556</v>
          </cell>
          <cell r="Q2135">
            <v>4.2341871542491072</v>
          </cell>
        </row>
        <row r="2136">
          <cell r="O2136">
            <v>39246</v>
          </cell>
          <cell r="P2136">
            <v>1.0004452100000001</v>
          </cell>
          <cell r="Q2136">
            <v>4.2360722567120508</v>
          </cell>
        </row>
        <row r="2137">
          <cell r="O2137">
            <v>39247</v>
          </cell>
          <cell r="P2137">
            <v>1.0004452100000001</v>
          </cell>
          <cell r="Q2137">
            <v>4.2379581984414623</v>
          </cell>
        </row>
        <row r="2138">
          <cell r="O2138">
            <v>39248</v>
          </cell>
          <cell r="P2138">
            <v>1.0004448500000001</v>
          </cell>
          <cell r="Q2138">
            <v>4.2398434541460395</v>
          </cell>
        </row>
        <row r="2139">
          <cell r="O2139">
            <v>39251</v>
          </cell>
          <cell r="P2139">
            <v>1.0004448500000001</v>
          </cell>
          <cell r="Q2139">
            <v>4.2417295485066164</v>
          </cell>
        </row>
        <row r="2140">
          <cell r="O2140">
            <v>39252</v>
          </cell>
          <cell r="P2140">
            <v>1.0004452100000001</v>
          </cell>
          <cell r="Q2140">
            <v>4.2436180089189071</v>
          </cell>
        </row>
        <row r="2141">
          <cell r="O2141">
            <v>39253</v>
          </cell>
          <cell r="P2141">
            <v>1.0004452100000001</v>
          </cell>
          <cell r="Q2141">
            <v>4.2455073100926581</v>
          </cell>
        </row>
        <row r="2142">
          <cell r="O2142">
            <v>39254</v>
          </cell>
          <cell r="P2142">
            <v>1.0004448500000001</v>
          </cell>
          <cell r="Q2142">
            <v>4.2473959240195533</v>
          </cell>
        </row>
        <row r="2143">
          <cell r="O2143">
            <v>39255</v>
          </cell>
          <cell r="P2143">
            <v>1.0004448500000001</v>
          </cell>
          <cell r="Q2143">
            <v>4.2492853780963538</v>
          </cell>
        </row>
        <row r="2144">
          <cell r="O2144">
            <v>39258</v>
          </cell>
          <cell r="P2144">
            <v>1.0004448500000001</v>
          </cell>
          <cell r="Q2144">
            <v>4.2511756726968004</v>
          </cell>
        </row>
        <row r="2145">
          <cell r="O2145">
            <v>39259</v>
          </cell>
          <cell r="P2145">
            <v>1.0004448500000001</v>
          </cell>
          <cell r="Q2145">
            <v>4.2530668081947995</v>
          </cell>
        </row>
        <row r="2146">
          <cell r="O2146">
            <v>39260</v>
          </cell>
          <cell r="P2146">
            <v>1.0004448500000001</v>
          </cell>
          <cell r="Q2146">
            <v>4.2549587849644253</v>
          </cell>
        </row>
        <row r="2147">
          <cell r="O2147">
            <v>39261</v>
          </cell>
          <cell r="P2147">
            <v>1.0004448500000001</v>
          </cell>
          <cell r="Q2147">
            <v>4.2568516033799169</v>
          </cell>
        </row>
        <row r="2148">
          <cell r="O2148">
            <v>39262</v>
          </cell>
          <cell r="P2148">
            <v>1.0004452100000001</v>
          </cell>
          <cell r="Q2148">
            <v>4.2587467962822583</v>
          </cell>
        </row>
        <row r="2149">
          <cell r="O2149">
            <v>39265</v>
          </cell>
          <cell r="P2149">
            <v>1.00044592</v>
          </cell>
          <cell r="Q2149">
            <v>4.2606458566536567</v>
          </cell>
        </row>
        <row r="2150">
          <cell r="O2150">
            <v>39266</v>
          </cell>
          <cell r="P2150">
            <v>1.00044556</v>
          </cell>
          <cell r="Q2150">
            <v>4.2625442300215468</v>
          </cell>
        </row>
        <row r="2151">
          <cell r="O2151">
            <v>39267</v>
          </cell>
          <cell r="P2151">
            <v>1.0004452100000001</v>
          </cell>
          <cell r="Q2151">
            <v>4.2644419573381951</v>
          </cell>
        </row>
        <row r="2152">
          <cell r="O2152">
            <v>39268</v>
          </cell>
          <cell r="P2152">
            <v>1.0004452100000001</v>
          </cell>
          <cell r="Q2152">
            <v>4.2663405295420223</v>
          </cell>
        </row>
        <row r="2153">
          <cell r="O2153">
            <v>39269</v>
          </cell>
          <cell r="P2153">
            <v>1.0004452100000001</v>
          </cell>
          <cell r="Q2153">
            <v>4.2682399470091799</v>
          </cell>
        </row>
        <row r="2154">
          <cell r="O2154">
            <v>39272</v>
          </cell>
          <cell r="P2154">
            <v>1.00044556</v>
          </cell>
          <cell r="Q2154">
            <v>4.2701417039999692</v>
          </cell>
        </row>
        <row r="2155">
          <cell r="O2155">
            <v>39273</v>
          </cell>
          <cell r="P2155">
            <v>1.00044592</v>
          </cell>
          <cell r="Q2155">
            <v>4.2720458455886172</v>
          </cell>
        </row>
        <row r="2156">
          <cell r="O2156">
            <v>39274</v>
          </cell>
          <cell r="P2156">
            <v>1.0004452100000001</v>
          </cell>
          <cell r="Q2156">
            <v>4.2739478031195324</v>
          </cell>
        </row>
        <row r="2157">
          <cell r="O2157">
            <v>39275</v>
          </cell>
          <cell r="P2157">
            <v>1.00044556</v>
          </cell>
          <cell r="Q2157">
            <v>4.2758521033026904</v>
          </cell>
        </row>
        <row r="2158">
          <cell r="O2158">
            <v>39276</v>
          </cell>
          <cell r="P2158">
            <v>1.0004452100000001</v>
          </cell>
          <cell r="Q2158">
            <v>4.2777557554176022</v>
          </cell>
        </row>
        <row r="2159">
          <cell r="O2159">
            <v>39279</v>
          </cell>
          <cell r="P2159">
            <v>1.0004448500000001</v>
          </cell>
          <cell r="Q2159">
            <v>4.2796587150654002</v>
          </cell>
        </row>
        <row r="2160">
          <cell r="O2160">
            <v>39280</v>
          </cell>
          <cell r="P2160">
            <v>1.0004448500000001</v>
          </cell>
          <cell r="Q2160">
            <v>4.2815625212447976</v>
          </cell>
        </row>
        <row r="2161">
          <cell r="O2161">
            <v>39281</v>
          </cell>
          <cell r="P2161">
            <v>1.0004448500000001</v>
          </cell>
          <cell r="Q2161">
            <v>4.2834671743323733</v>
          </cell>
        </row>
        <row r="2162">
          <cell r="O2162">
            <v>39282</v>
          </cell>
          <cell r="P2162">
            <v>1.00044556</v>
          </cell>
          <cell r="Q2162">
            <v>4.2853757159665689</v>
          </cell>
        </row>
        <row r="2163">
          <cell r="O2163">
            <v>39283</v>
          </cell>
          <cell r="P2163">
            <v>1.0004267099999999</v>
          </cell>
          <cell r="Q2163">
            <v>4.287204328638329</v>
          </cell>
        </row>
        <row r="2164">
          <cell r="O2164">
            <v>39286</v>
          </cell>
          <cell r="P2164">
            <v>1.0004274200000001</v>
          </cell>
          <cell r="Q2164">
            <v>4.2890367655124759</v>
          </cell>
        </row>
        <row r="2165">
          <cell r="O2165">
            <v>39287</v>
          </cell>
          <cell r="P2165">
            <v>1.0004277800000001</v>
          </cell>
          <cell r="Q2165">
            <v>4.2908715296600271</v>
          </cell>
        </row>
        <row r="2166">
          <cell r="O2166">
            <v>39288</v>
          </cell>
          <cell r="P2166">
            <v>1.0004281399999999</v>
          </cell>
          <cell r="Q2166">
            <v>4.2927086233967353</v>
          </cell>
        </row>
        <row r="2167">
          <cell r="O2167">
            <v>39289</v>
          </cell>
          <cell r="P2167">
            <v>1.0004277800000001</v>
          </cell>
          <cell r="Q2167">
            <v>4.2945449582916524</v>
          </cell>
        </row>
        <row r="2168">
          <cell r="O2168">
            <v>39290</v>
          </cell>
          <cell r="P2168">
            <v>1.0004274200000001</v>
          </cell>
          <cell r="Q2168">
            <v>4.296380532697726</v>
          </cell>
        </row>
        <row r="2169">
          <cell r="O2169">
            <v>39293</v>
          </cell>
          <cell r="P2169">
            <v>1.0004277800000001</v>
          </cell>
          <cell r="Q2169">
            <v>4.2982184383620039</v>
          </cell>
        </row>
        <row r="2170">
          <cell r="O2170">
            <v>39294</v>
          </cell>
          <cell r="P2170">
            <v>1.0004277800000001</v>
          </cell>
          <cell r="Q2170">
            <v>4.300057130245567</v>
          </cell>
        </row>
        <row r="2171">
          <cell r="O2171">
            <v>39295</v>
          </cell>
          <cell r="P2171">
            <v>1.0004274200000001</v>
          </cell>
          <cell r="Q2171">
            <v>4.3018950606641768</v>
          </cell>
        </row>
        <row r="2172">
          <cell r="O2172">
            <v>39296</v>
          </cell>
          <cell r="P2172">
            <v>1.0004277800000001</v>
          </cell>
          <cell r="Q2172">
            <v>4.3037353253332284</v>
          </cell>
        </row>
        <row r="2173">
          <cell r="O2173">
            <v>39297</v>
          </cell>
          <cell r="P2173">
            <v>1.0004281399999999</v>
          </cell>
          <cell r="Q2173">
            <v>4.3055779265754159</v>
          </cell>
        </row>
        <row r="2174">
          <cell r="O2174">
            <v>39300</v>
          </cell>
          <cell r="P2174">
            <v>1.00042849</v>
          </cell>
          <cell r="Q2174">
            <v>4.3074228236611747</v>
          </cell>
        </row>
        <row r="2175">
          <cell r="O2175">
            <v>39301</v>
          </cell>
          <cell r="P2175">
            <v>1.00042849</v>
          </cell>
          <cell r="Q2175">
            <v>4.3092685112668851</v>
          </cell>
        </row>
        <row r="2176">
          <cell r="O2176">
            <v>39302</v>
          </cell>
          <cell r="P2176">
            <v>1.0004277800000001</v>
          </cell>
          <cell r="Q2176">
            <v>4.3111119301506351</v>
          </cell>
        </row>
        <row r="2177">
          <cell r="O2177">
            <v>39303</v>
          </cell>
          <cell r="P2177">
            <v>1.0004274200000001</v>
          </cell>
          <cell r="Q2177">
            <v>4.3129545856118208</v>
          </cell>
        </row>
        <row r="2178">
          <cell r="O2178">
            <v>39304</v>
          </cell>
          <cell r="P2178">
            <v>1.00042707</v>
          </cell>
          <cell r="Q2178">
            <v>4.3147965191266975</v>
          </cell>
        </row>
        <row r="2179">
          <cell r="O2179">
            <v>39307</v>
          </cell>
          <cell r="P2179">
            <v>1.0004274200000001</v>
          </cell>
          <cell r="Q2179">
            <v>4.3166407494549031</v>
          </cell>
        </row>
        <row r="2180">
          <cell r="O2180">
            <v>39308</v>
          </cell>
          <cell r="P2180">
            <v>1.00042707</v>
          </cell>
          <cell r="Q2180">
            <v>4.3184842572197724</v>
          </cell>
        </row>
        <row r="2181">
          <cell r="O2181">
            <v>39309</v>
          </cell>
          <cell r="P2181">
            <v>1.0004274200000001</v>
          </cell>
          <cell r="Q2181">
            <v>4.3203300637609932</v>
          </cell>
        </row>
        <row r="2182">
          <cell r="O2182">
            <v>39310</v>
          </cell>
          <cell r="P2182">
            <v>1.00042707</v>
          </cell>
          <cell r="Q2182">
            <v>4.3221751471213237</v>
          </cell>
        </row>
        <row r="2183">
          <cell r="O2183">
            <v>39311</v>
          </cell>
          <cell r="P2183">
            <v>1.00042707</v>
          </cell>
          <cell r="Q2183">
            <v>4.324021018461405</v>
          </cell>
        </row>
        <row r="2184">
          <cell r="O2184">
            <v>39314</v>
          </cell>
          <cell r="P2184">
            <v>1.0004274200000001</v>
          </cell>
          <cell r="Q2184">
            <v>4.3258691915251157</v>
          </cell>
        </row>
        <row r="2185">
          <cell r="O2185">
            <v>39315</v>
          </cell>
          <cell r="P2185">
            <v>1.0004274200000001</v>
          </cell>
          <cell r="Q2185">
            <v>4.3277181545349581</v>
          </cell>
        </row>
        <row r="2186">
          <cell r="O2186">
            <v>39316</v>
          </cell>
          <cell r="P2186">
            <v>1.00042707</v>
          </cell>
          <cell r="Q2186">
            <v>4.329566393127215</v>
          </cell>
        </row>
        <row r="2187">
          <cell r="O2187">
            <v>39317</v>
          </cell>
          <cell r="P2187">
            <v>1.00042707</v>
          </cell>
          <cell r="Q2187">
            <v>4.3314154210467279</v>
          </cell>
        </row>
        <row r="2188">
          <cell r="O2188">
            <v>39318</v>
          </cell>
          <cell r="P2188">
            <v>1.0004267099999999</v>
          </cell>
          <cell r="Q2188">
            <v>4.3332636793210426</v>
          </cell>
        </row>
        <row r="2189">
          <cell r="O2189">
            <v>39321</v>
          </cell>
          <cell r="P2189">
            <v>1.0004274200000001</v>
          </cell>
          <cell r="Q2189">
            <v>4.335115802882858</v>
          </cell>
        </row>
        <row r="2190">
          <cell r="O2190">
            <v>39322</v>
          </cell>
          <cell r="P2190">
            <v>1.00042707</v>
          </cell>
          <cell r="Q2190">
            <v>4.3369672007887949</v>
          </cell>
        </row>
        <row r="2191">
          <cell r="O2191">
            <v>39323</v>
          </cell>
          <cell r="P2191">
            <v>1.00042707</v>
          </cell>
          <cell r="Q2191">
            <v>4.3388193893712357</v>
          </cell>
        </row>
        <row r="2192">
          <cell r="O2192">
            <v>39324</v>
          </cell>
          <cell r="P2192">
            <v>1.00042707</v>
          </cell>
          <cell r="Q2192">
            <v>4.3406723689678541</v>
          </cell>
        </row>
        <row r="2193">
          <cell r="O2193">
            <v>39325</v>
          </cell>
          <cell r="P2193">
            <v>1.00042707</v>
          </cell>
          <cell r="Q2193">
            <v>4.342526139916469</v>
          </cell>
        </row>
        <row r="2194">
          <cell r="O2194">
            <v>39328</v>
          </cell>
          <cell r="P2194">
            <v>1.0004292100000001</v>
          </cell>
          <cell r="Q2194">
            <v>4.3443899955609826</v>
          </cell>
        </row>
        <row r="2195">
          <cell r="O2195">
            <v>39329</v>
          </cell>
          <cell r="P2195">
            <v>1.0004302700000001</v>
          </cell>
          <cell r="Q2195">
            <v>4.3462592562443731</v>
          </cell>
        </row>
        <row r="2196">
          <cell r="O2196">
            <v>39330</v>
          </cell>
          <cell r="P2196">
            <v>1.0004281399999999</v>
          </cell>
          <cell r="Q2196">
            <v>4.3481200636823409</v>
          </cell>
        </row>
        <row r="2197">
          <cell r="O2197">
            <v>39331</v>
          </cell>
          <cell r="P2197">
            <v>1.0004274200000001</v>
          </cell>
          <cell r="Q2197">
            <v>4.3499785371599602</v>
          </cell>
        </row>
        <row r="2198">
          <cell r="O2198">
            <v>39335</v>
          </cell>
          <cell r="P2198">
            <v>1.0004192199999999</v>
          </cell>
          <cell r="Q2198">
            <v>4.3518021351623082</v>
          </cell>
        </row>
        <row r="2199">
          <cell r="O2199">
            <v>39336</v>
          </cell>
          <cell r="P2199">
            <v>1.0004192199999999</v>
          </cell>
          <cell r="Q2199">
            <v>4.3536264976534103</v>
          </cell>
        </row>
        <row r="2200">
          <cell r="O2200">
            <v>39337</v>
          </cell>
          <cell r="P2200">
            <v>1.0004188599999999</v>
          </cell>
          <cell r="Q2200">
            <v>4.3554500576482171</v>
          </cell>
        </row>
        <row r="2201">
          <cell r="O2201">
            <v>39338</v>
          </cell>
          <cell r="P2201">
            <v>1.0004185000000001</v>
          </cell>
          <cell r="Q2201">
            <v>4.3572728134973433</v>
          </cell>
        </row>
        <row r="2202">
          <cell r="O2202">
            <v>39339</v>
          </cell>
          <cell r="P2202">
            <v>1.0004181400000001</v>
          </cell>
          <cell r="Q2202">
            <v>4.3590947635515791</v>
          </cell>
        </row>
        <row r="2203">
          <cell r="O2203">
            <v>39342</v>
          </cell>
          <cell r="P2203">
            <v>1.0004185000000001</v>
          </cell>
          <cell r="Q2203">
            <v>4.3609190447101263</v>
          </cell>
        </row>
        <row r="2204">
          <cell r="O2204">
            <v>39343</v>
          </cell>
          <cell r="P2204">
            <v>1.0004181400000001</v>
          </cell>
          <cell r="Q2204">
            <v>4.3627425193994815</v>
          </cell>
        </row>
        <row r="2205">
          <cell r="O2205">
            <v>39344</v>
          </cell>
          <cell r="P2205">
            <v>1.0004185000000001</v>
          </cell>
          <cell r="Q2205">
            <v>4.3645683271438509</v>
          </cell>
        </row>
        <row r="2206">
          <cell r="O2206">
            <v>39345</v>
          </cell>
          <cell r="P2206">
            <v>1.00041779</v>
          </cell>
          <cell r="Q2206">
            <v>4.366391800145248</v>
          </cell>
        </row>
        <row r="2207">
          <cell r="O2207">
            <v>39346</v>
          </cell>
          <cell r="P2207">
            <v>1.0004174299999999</v>
          </cell>
          <cell r="Q2207">
            <v>4.3682144630743824</v>
          </cell>
        </row>
        <row r="2208">
          <cell r="O2208">
            <v>39349</v>
          </cell>
          <cell r="P2208">
            <v>1.0004174299999999</v>
          </cell>
          <cell r="Q2208">
            <v>4.3700378868377037</v>
          </cell>
        </row>
        <row r="2209">
          <cell r="O2209">
            <v>39350</v>
          </cell>
          <cell r="P2209">
            <v>1.0004170699999999</v>
          </cell>
          <cell r="Q2209">
            <v>4.3718604985391663</v>
          </cell>
        </row>
        <row r="2210">
          <cell r="O2210">
            <v>39351</v>
          </cell>
          <cell r="P2210">
            <v>1.0004170699999999</v>
          </cell>
          <cell r="Q2210">
            <v>4.3736838703972918</v>
          </cell>
        </row>
        <row r="2211">
          <cell r="O2211">
            <v>39352</v>
          </cell>
          <cell r="P2211">
            <v>1.0004174299999999</v>
          </cell>
          <cell r="Q2211">
            <v>4.3755095772553112</v>
          </cell>
        </row>
        <row r="2212">
          <cell r="O2212">
            <v>39353</v>
          </cell>
          <cell r="P2212">
            <v>1.00041779</v>
          </cell>
          <cell r="Q2212">
            <v>4.3773376214015922</v>
          </cell>
        </row>
        <row r="2213">
          <cell r="O2213">
            <v>39356</v>
          </cell>
          <cell r="P2213">
            <v>1.0004185000000001</v>
          </cell>
          <cell r="Q2213">
            <v>4.379169537196149</v>
          </cell>
        </row>
        <row r="2214">
          <cell r="O2214">
            <v>39357</v>
          </cell>
          <cell r="P2214">
            <v>1.0004185000000001</v>
          </cell>
          <cell r="Q2214">
            <v>4.3810022196474661</v>
          </cell>
        </row>
        <row r="2215">
          <cell r="O2215">
            <v>39358</v>
          </cell>
          <cell r="P2215">
            <v>1.0004185000000001</v>
          </cell>
          <cell r="Q2215">
            <v>4.382835669076389</v>
          </cell>
        </row>
        <row r="2216">
          <cell r="O2216">
            <v>39359</v>
          </cell>
          <cell r="P2216">
            <v>1.0004181400000001</v>
          </cell>
          <cell r="Q2216">
            <v>4.3846683079830573</v>
          </cell>
        </row>
        <row r="2217">
          <cell r="O2217">
            <v>39360</v>
          </cell>
          <cell r="P2217">
            <v>1.0004181400000001</v>
          </cell>
          <cell r="Q2217">
            <v>4.3865017131893573</v>
          </cell>
        </row>
        <row r="2218">
          <cell r="O2218">
            <v>39363</v>
          </cell>
          <cell r="P2218">
            <v>1.0004181400000001</v>
          </cell>
          <cell r="Q2218">
            <v>4.388335885015711</v>
          </cell>
        </row>
        <row r="2219">
          <cell r="O2219">
            <v>39364</v>
          </cell>
          <cell r="P2219">
            <v>1.0004181400000001</v>
          </cell>
          <cell r="Q2219">
            <v>4.3901708237826718</v>
          </cell>
        </row>
        <row r="2220">
          <cell r="O2220">
            <v>39365</v>
          </cell>
          <cell r="P2220">
            <v>1.0004181400000001</v>
          </cell>
          <cell r="Q2220">
            <v>4.3920065298109288</v>
          </cell>
        </row>
        <row r="2221">
          <cell r="O2221">
            <v>39366</v>
          </cell>
          <cell r="P2221">
            <v>1.0004181400000001</v>
          </cell>
          <cell r="Q2221">
            <v>4.3938430034213045</v>
          </cell>
        </row>
        <row r="2222">
          <cell r="O2222">
            <v>39370</v>
          </cell>
          <cell r="P2222">
            <v>1.0004181400000001</v>
          </cell>
          <cell r="Q2222">
            <v>4.3956802449347556</v>
          </cell>
        </row>
        <row r="2223">
          <cell r="O2223">
            <v>39371</v>
          </cell>
          <cell r="P2223">
            <v>1.0004185000000001</v>
          </cell>
          <cell r="Q2223">
            <v>4.3975198371172617</v>
          </cell>
        </row>
        <row r="2224">
          <cell r="O2224">
            <v>39372</v>
          </cell>
          <cell r="P2224">
            <v>1.0004185000000001</v>
          </cell>
          <cell r="Q2224">
            <v>4.399360199169096</v>
          </cell>
        </row>
        <row r="2225">
          <cell r="O2225">
            <v>39373</v>
          </cell>
          <cell r="P2225">
            <v>1.0004174299999999</v>
          </cell>
          <cell r="Q2225">
            <v>4.401196624097035</v>
          </cell>
        </row>
        <row r="2226">
          <cell r="O2226">
            <v>39374</v>
          </cell>
          <cell r="P2226">
            <v>1.00041779</v>
          </cell>
          <cell r="Q2226">
            <v>4.4030354000346161</v>
          </cell>
        </row>
        <row r="2227">
          <cell r="O2227">
            <v>39377</v>
          </cell>
          <cell r="P2227">
            <v>1.0004181400000001</v>
          </cell>
          <cell r="Q2227">
            <v>4.4048764852567865</v>
          </cell>
        </row>
        <row r="2228">
          <cell r="O2228">
            <v>39378</v>
          </cell>
          <cell r="P2228">
            <v>1.0004185000000001</v>
          </cell>
          <cell r="Q2228">
            <v>4.4067199260658674</v>
          </cell>
        </row>
        <row r="2229">
          <cell r="O2229">
            <v>39379</v>
          </cell>
          <cell r="P2229">
            <v>1.0004181400000001</v>
          </cell>
          <cell r="Q2229">
            <v>4.408562551935753</v>
          </cell>
        </row>
        <row r="2230">
          <cell r="O2230">
            <v>39380</v>
          </cell>
          <cell r="P2230">
            <v>1.0004185000000001</v>
          </cell>
          <cell r="Q2230">
            <v>4.4104075353637384</v>
          </cell>
        </row>
        <row r="2231">
          <cell r="O2231">
            <v>39381</v>
          </cell>
          <cell r="P2231">
            <v>1.0004185000000001</v>
          </cell>
          <cell r="Q2231">
            <v>4.4122532909172882</v>
          </cell>
        </row>
        <row r="2232">
          <cell r="O2232">
            <v>39384</v>
          </cell>
          <cell r="P2232">
            <v>1.0004181400000001</v>
          </cell>
          <cell r="Q2232">
            <v>4.4140982305083529</v>
          </cell>
        </row>
        <row r="2233">
          <cell r="O2233">
            <v>39385</v>
          </cell>
          <cell r="P2233">
            <v>1.0004185000000001</v>
          </cell>
          <cell r="Q2233">
            <v>4.4159455306178215</v>
          </cell>
        </row>
        <row r="2234">
          <cell r="O2234">
            <v>39386</v>
          </cell>
          <cell r="P2234">
            <v>1.0004181400000001</v>
          </cell>
          <cell r="Q2234">
            <v>4.4177920140819946</v>
          </cell>
        </row>
        <row r="2235">
          <cell r="O2235">
            <v>39387</v>
          </cell>
          <cell r="P2235">
            <v>1.0004174299999999</v>
          </cell>
          <cell r="Q2235">
            <v>4.4196361330024327</v>
          </cell>
        </row>
        <row r="2236">
          <cell r="O2236">
            <v>39391</v>
          </cell>
          <cell r="P2236">
            <v>1.00041779</v>
          </cell>
          <cell r="Q2236">
            <v>4.42148261278244</v>
          </cell>
        </row>
        <row r="2237">
          <cell r="O2237">
            <v>39392</v>
          </cell>
          <cell r="P2237">
            <v>1.0004181400000001</v>
          </cell>
          <cell r="Q2237">
            <v>4.4233314115221489</v>
          </cell>
        </row>
        <row r="2238">
          <cell r="O2238">
            <v>39393</v>
          </cell>
          <cell r="P2238">
            <v>1.0004181400000001</v>
          </cell>
          <cell r="Q2238">
            <v>4.4251809833185627</v>
          </cell>
        </row>
        <row r="2239">
          <cell r="O2239">
            <v>39394</v>
          </cell>
          <cell r="P2239">
            <v>1.0004181400000001</v>
          </cell>
          <cell r="Q2239">
            <v>4.4270313284949276</v>
          </cell>
        </row>
        <row r="2240">
          <cell r="O2240">
            <v>39395</v>
          </cell>
          <cell r="P2240">
            <v>1.00041779</v>
          </cell>
          <cell r="Q2240">
            <v>4.4288808979136594</v>
          </cell>
        </row>
        <row r="2241">
          <cell r="O2241">
            <v>39398</v>
          </cell>
          <cell r="P2241">
            <v>1.00041779</v>
          </cell>
          <cell r="Q2241">
            <v>4.4307312400639987</v>
          </cell>
        </row>
        <row r="2242">
          <cell r="O2242">
            <v>39399</v>
          </cell>
          <cell r="P2242">
            <v>1.0004181400000001</v>
          </cell>
          <cell r="Q2242">
            <v>4.4325839060247194</v>
          </cell>
        </row>
        <row r="2243">
          <cell r="O2243">
            <v>39400</v>
          </cell>
          <cell r="P2243">
            <v>1.0004188599999999</v>
          </cell>
          <cell r="Q2243">
            <v>4.4344405381195964</v>
          </cell>
        </row>
        <row r="2244">
          <cell r="O2244">
            <v>39402</v>
          </cell>
          <cell r="P2244">
            <v>1.0004181400000001</v>
          </cell>
          <cell r="Q2244">
            <v>4.4362947550862062</v>
          </cell>
        </row>
        <row r="2245">
          <cell r="O2245">
            <v>39405</v>
          </cell>
          <cell r="P2245">
            <v>1.00041779</v>
          </cell>
          <cell r="Q2245">
            <v>4.4381481946719337</v>
          </cell>
        </row>
        <row r="2246">
          <cell r="O2246">
            <v>39406</v>
          </cell>
          <cell r="P2246">
            <v>1.0004188599999999</v>
          </cell>
          <cell r="Q2246">
            <v>4.4400071574247537</v>
          </cell>
        </row>
        <row r="2247">
          <cell r="O2247">
            <v>39407</v>
          </cell>
          <cell r="P2247">
            <v>1.0004188599999999</v>
          </cell>
          <cell r="Q2247">
            <v>4.4418668988227124</v>
          </cell>
        </row>
        <row r="2248">
          <cell r="O2248">
            <v>39408</v>
          </cell>
          <cell r="P2248">
            <v>1.0004188599999999</v>
          </cell>
          <cell r="Q2248">
            <v>4.4437274191919531</v>
          </cell>
        </row>
        <row r="2249">
          <cell r="O2249">
            <v>39409</v>
          </cell>
          <cell r="P2249">
            <v>1.0004185000000001</v>
          </cell>
          <cell r="Q2249">
            <v>4.445587119116885</v>
          </cell>
        </row>
        <row r="2250">
          <cell r="O2250">
            <v>39412</v>
          </cell>
          <cell r="P2250">
            <v>1.00041779</v>
          </cell>
          <cell r="Q2250">
            <v>4.447444440959381</v>
          </cell>
        </row>
        <row r="2251">
          <cell r="O2251">
            <v>39413</v>
          </cell>
          <cell r="P2251">
            <v>1.0004181400000001</v>
          </cell>
          <cell r="Q2251">
            <v>4.4493040953779239</v>
          </cell>
        </row>
        <row r="2252">
          <cell r="O2252">
            <v>39414</v>
          </cell>
          <cell r="P2252">
            <v>1.0004188599999999</v>
          </cell>
          <cell r="Q2252">
            <v>4.4511677308913136</v>
          </cell>
        </row>
        <row r="2253">
          <cell r="O2253">
            <v>39415</v>
          </cell>
          <cell r="P2253">
            <v>1.0004181400000001</v>
          </cell>
          <cell r="Q2253">
            <v>4.4530289421663092</v>
          </cell>
        </row>
        <row r="2254">
          <cell r="O2254">
            <v>39416</v>
          </cell>
          <cell r="P2254">
            <v>1.00041779</v>
          </cell>
          <cell r="Q2254">
            <v>4.454889373128057</v>
          </cell>
        </row>
        <row r="2255">
          <cell r="O2255">
            <v>39419</v>
          </cell>
          <cell r="P2255">
            <v>1.0004185000000001</v>
          </cell>
          <cell r="Q2255">
            <v>4.4567537443307117</v>
          </cell>
        </row>
        <row r="2256">
          <cell r="O2256">
            <v>39420</v>
          </cell>
          <cell r="P2256">
            <v>1.0004188599999999</v>
          </cell>
          <cell r="Q2256">
            <v>4.458620500204062</v>
          </cell>
        </row>
        <row r="2257">
          <cell r="O2257">
            <v>39421</v>
          </cell>
          <cell r="P2257">
            <v>1.0004188599999999</v>
          </cell>
          <cell r="Q2257">
            <v>4.4604880379867771</v>
          </cell>
        </row>
        <row r="2258">
          <cell r="O2258">
            <v>39422</v>
          </cell>
          <cell r="P2258">
            <v>1.0004192199999999</v>
          </cell>
          <cell r="Q2258">
            <v>4.4623579637820621</v>
          </cell>
        </row>
        <row r="2259">
          <cell r="O2259">
            <v>39423</v>
          </cell>
          <cell r="P2259">
            <v>1.0004185000000001</v>
          </cell>
          <cell r="Q2259">
            <v>4.4642254605899057</v>
          </cell>
        </row>
        <row r="2260">
          <cell r="O2260">
            <v>39426</v>
          </cell>
          <cell r="P2260">
            <v>1.00041779</v>
          </cell>
          <cell r="Q2260">
            <v>4.4660905693450852</v>
          </cell>
        </row>
        <row r="2261">
          <cell r="O2261">
            <v>39427</v>
          </cell>
          <cell r="P2261">
            <v>1.0004181400000001</v>
          </cell>
          <cell r="Q2261">
            <v>4.4679580204557512</v>
          </cell>
        </row>
        <row r="2262">
          <cell r="O2262">
            <v>39428</v>
          </cell>
          <cell r="P2262">
            <v>1.0004174299999999</v>
          </cell>
          <cell r="Q2262">
            <v>4.4698230801722296</v>
          </cell>
        </row>
        <row r="2263">
          <cell r="O2263">
            <v>39429</v>
          </cell>
          <cell r="P2263">
            <v>1.0004174299999999</v>
          </cell>
          <cell r="Q2263">
            <v>4.4716889184205852</v>
          </cell>
        </row>
        <row r="2264">
          <cell r="O2264">
            <v>39430</v>
          </cell>
          <cell r="P2264">
            <v>1.0004170699999999</v>
          </cell>
          <cell r="Q2264">
            <v>4.4735539257177903</v>
          </cell>
        </row>
        <row r="2265">
          <cell r="O2265">
            <v>39433</v>
          </cell>
          <cell r="P2265">
            <v>1.0004170699999999</v>
          </cell>
          <cell r="Q2265">
            <v>4.4754197108535889</v>
          </cell>
        </row>
        <row r="2266">
          <cell r="O2266">
            <v>39434</v>
          </cell>
          <cell r="P2266">
            <v>1.0004170699999999</v>
          </cell>
          <cell r="Q2266">
            <v>4.4772862741523944</v>
          </cell>
        </row>
        <row r="2267">
          <cell r="O2267">
            <v>39435</v>
          </cell>
          <cell r="P2267">
            <v>1.0004174299999999</v>
          </cell>
          <cell r="Q2267">
            <v>4.4791552277618134</v>
          </cell>
        </row>
        <row r="2268">
          <cell r="O2268">
            <v>39436</v>
          </cell>
          <cell r="P2268">
            <v>1.00041779</v>
          </cell>
          <cell r="Q2268">
            <v>4.48102657402442</v>
          </cell>
        </row>
        <row r="2269">
          <cell r="O2269">
            <v>39437</v>
          </cell>
          <cell r="P2269">
            <v>1.0004174299999999</v>
          </cell>
          <cell r="Q2269">
            <v>4.4828970889472144</v>
          </cell>
        </row>
        <row r="2270">
          <cell r="O2270">
            <v>39440</v>
          </cell>
          <cell r="P2270">
            <v>1.0004188599999999</v>
          </cell>
          <cell r="Q2270">
            <v>4.4847747952218908</v>
          </cell>
        </row>
        <row r="2271">
          <cell r="O2271">
            <v>39442</v>
          </cell>
          <cell r="P2271">
            <v>1.0004188599999999</v>
          </cell>
          <cell r="Q2271">
            <v>4.4866532879926169</v>
          </cell>
        </row>
        <row r="2272">
          <cell r="O2272">
            <v>39443</v>
          </cell>
          <cell r="P2272">
            <v>1.0004181400000001</v>
          </cell>
          <cell r="Q2272">
            <v>4.4885293371984583</v>
          </cell>
        </row>
        <row r="2273">
          <cell r="O2273">
            <v>39444</v>
          </cell>
          <cell r="P2273">
            <v>1.0004181400000001</v>
          </cell>
          <cell r="Q2273">
            <v>4.4904061708555147</v>
          </cell>
        </row>
        <row r="2274">
          <cell r="O2274">
            <v>39447</v>
          </cell>
          <cell r="P2274">
            <v>1.0004185000000001</v>
          </cell>
          <cell r="Q2274">
            <v>4.4922854058380182</v>
          </cell>
        </row>
        <row r="2275">
          <cell r="O2275">
            <v>39449</v>
          </cell>
          <cell r="P2275">
            <v>1.0004185000000001</v>
          </cell>
          <cell r="Q2275">
            <v>4.4941654272803619</v>
          </cell>
        </row>
        <row r="2276">
          <cell r="O2276">
            <v>39450</v>
          </cell>
          <cell r="P2276">
            <v>1.0004174299999999</v>
          </cell>
          <cell r="Q2276">
            <v>4.4960414267546716</v>
          </cell>
        </row>
        <row r="2277">
          <cell r="O2277">
            <v>39451</v>
          </cell>
          <cell r="P2277">
            <v>1.0004174299999999</v>
          </cell>
          <cell r="Q2277">
            <v>4.4979182093274419</v>
          </cell>
        </row>
        <row r="2278">
          <cell r="O2278">
            <v>39454</v>
          </cell>
          <cell r="P2278">
            <v>1.0004156399999999</v>
          </cell>
          <cell r="Q2278">
            <v>4.4997877240519664</v>
          </cell>
        </row>
        <row r="2279">
          <cell r="O2279">
            <v>39455</v>
          </cell>
          <cell r="P2279">
            <v>1.0004170699999999</v>
          </cell>
          <cell r="Q2279">
            <v>4.5016644505180361</v>
          </cell>
        </row>
        <row r="2280">
          <cell r="O2280">
            <v>39456</v>
          </cell>
          <cell r="P2280">
            <v>1.0004174299999999</v>
          </cell>
          <cell r="Q2280">
            <v>4.503543580309616</v>
          </cell>
        </row>
        <row r="2281">
          <cell r="O2281">
            <v>39457</v>
          </cell>
          <cell r="P2281">
            <v>1.00041779</v>
          </cell>
          <cell r="Q2281">
            <v>4.5054251157820335</v>
          </cell>
        </row>
        <row r="2282">
          <cell r="O2282">
            <v>39458</v>
          </cell>
          <cell r="P2282">
            <v>1.0004181400000001</v>
          </cell>
          <cell r="Q2282">
            <v>4.5073090142399472</v>
          </cell>
        </row>
        <row r="2283">
          <cell r="O2283">
            <v>39461</v>
          </cell>
          <cell r="P2283">
            <v>1.0004174299999999</v>
          </cell>
          <cell r="Q2283">
            <v>4.5091905002417612</v>
          </cell>
        </row>
        <row r="2284">
          <cell r="O2284">
            <v>39462</v>
          </cell>
          <cell r="P2284">
            <v>1.0004174299999999</v>
          </cell>
          <cell r="Q2284">
            <v>4.5110727716322767</v>
          </cell>
        </row>
        <row r="2285">
          <cell r="O2285">
            <v>39463</v>
          </cell>
          <cell r="P2285">
            <v>1.0004170699999999</v>
          </cell>
          <cell r="Q2285">
            <v>4.5129542047531412</v>
          </cell>
        </row>
        <row r="2286">
          <cell r="O2286">
            <v>39464</v>
          </cell>
          <cell r="P2286">
            <v>1.0004170699999999</v>
          </cell>
          <cell r="Q2286">
            <v>4.5148364225633175</v>
          </cell>
        </row>
        <row r="2287">
          <cell r="O2287">
            <v>39465</v>
          </cell>
          <cell r="P2287">
            <v>1.00041672</v>
          </cell>
          <cell r="Q2287">
            <v>4.516717845197328</v>
          </cell>
        </row>
        <row r="2288">
          <cell r="O2288">
            <v>39468</v>
          </cell>
          <cell r="P2288">
            <v>1.00041672</v>
          </cell>
          <cell r="Q2288">
            <v>4.5186000518577787</v>
          </cell>
        </row>
        <row r="2289">
          <cell r="O2289">
            <v>39469</v>
          </cell>
          <cell r="P2289">
            <v>1.0004170699999999</v>
          </cell>
          <cell r="Q2289">
            <v>4.5204846243814067</v>
          </cell>
        </row>
        <row r="2290">
          <cell r="O2290">
            <v>39470</v>
          </cell>
          <cell r="P2290">
            <v>1.0004170699999999</v>
          </cell>
          <cell r="Q2290">
            <v>4.5223699829036974</v>
          </cell>
        </row>
        <row r="2291">
          <cell r="O2291">
            <v>39471</v>
          </cell>
          <cell r="P2291">
            <v>1.0004170699999999</v>
          </cell>
          <cell r="Q2291">
            <v>4.5242561277524667</v>
          </cell>
        </row>
        <row r="2292">
          <cell r="O2292">
            <v>39472</v>
          </cell>
          <cell r="P2292">
            <v>1.0004174299999999</v>
          </cell>
          <cell r="Q2292">
            <v>4.5261446879878742</v>
          </cell>
        </row>
        <row r="2293">
          <cell r="O2293">
            <v>39475</v>
          </cell>
          <cell r="P2293">
            <v>1.0004174299999999</v>
          </cell>
          <cell r="Q2293">
            <v>4.5280340365649803</v>
          </cell>
        </row>
        <row r="2294">
          <cell r="O2294">
            <v>39476</v>
          </cell>
          <cell r="P2294">
            <v>1.0004174299999999</v>
          </cell>
          <cell r="Q2294">
            <v>4.5299241738128631</v>
          </cell>
        </row>
        <row r="2295">
          <cell r="O2295">
            <v>39477</v>
          </cell>
          <cell r="P2295">
            <v>1.0004170699999999</v>
          </cell>
          <cell r="Q2295">
            <v>4.5318134692880347</v>
          </cell>
        </row>
        <row r="2296">
          <cell r="O2296">
            <v>39478</v>
          </cell>
          <cell r="P2296">
            <v>1.0004174299999999</v>
          </cell>
          <cell r="Q2296">
            <v>4.5337051841845195</v>
          </cell>
        </row>
        <row r="2297">
          <cell r="O2297">
            <v>39479</v>
          </cell>
          <cell r="P2297">
            <v>1.00041779</v>
          </cell>
          <cell r="Q2297">
            <v>4.5355993208734198</v>
          </cell>
        </row>
        <row r="2298">
          <cell r="O2298">
            <v>39484</v>
          </cell>
          <cell r="P2298">
            <v>1.0004174299999999</v>
          </cell>
          <cell r="Q2298">
            <v>4.5374926160979321</v>
          </cell>
        </row>
        <row r="2299">
          <cell r="O2299">
            <v>39485</v>
          </cell>
          <cell r="P2299">
            <v>1.00041779</v>
          </cell>
          <cell r="Q2299">
            <v>4.5393883351380113</v>
          </cell>
        </row>
        <row r="2300">
          <cell r="O2300">
            <v>39486</v>
          </cell>
          <cell r="P2300">
            <v>1.0004174299999999</v>
          </cell>
          <cell r="Q2300">
            <v>4.5412832120107476</v>
          </cell>
        </row>
        <row r="2301">
          <cell r="O2301">
            <v>39489</v>
          </cell>
          <cell r="P2301">
            <v>1.0004170699999999</v>
          </cell>
          <cell r="Q2301">
            <v>4.5431772449999803</v>
          </cell>
        </row>
        <row r="2302">
          <cell r="O2302">
            <v>39490</v>
          </cell>
          <cell r="P2302">
            <v>1.0004174299999999</v>
          </cell>
          <cell r="Q2302">
            <v>4.5450737034773603</v>
          </cell>
        </row>
        <row r="2303">
          <cell r="O2303">
            <v>39491</v>
          </cell>
          <cell r="P2303">
            <v>1.0004174299999999</v>
          </cell>
          <cell r="Q2303">
            <v>4.5469709535934024</v>
          </cell>
        </row>
        <row r="2304">
          <cell r="O2304">
            <v>39492</v>
          </cell>
          <cell r="P2304">
            <v>1.0004170699999999</v>
          </cell>
          <cell r="Q2304">
            <v>4.5488673587690176</v>
          </cell>
        </row>
        <row r="2305">
          <cell r="O2305">
            <v>39493</v>
          </cell>
          <cell r="P2305">
            <v>1.00041672</v>
          </cell>
          <cell r="Q2305">
            <v>4.5507629627747637</v>
          </cell>
        </row>
        <row r="2306">
          <cell r="O2306">
            <v>39496</v>
          </cell>
          <cell r="P2306">
            <v>1.00041636</v>
          </cell>
          <cell r="Q2306">
            <v>4.552657718441945</v>
          </cell>
        </row>
        <row r="2307">
          <cell r="O2307">
            <v>39497</v>
          </cell>
          <cell r="P2307">
            <v>1.00041672</v>
          </cell>
          <cell r="Q2307">
            <v>4.554554901966374</v>
          </cell>
        </row>
        <row r="2308">
          <cell r="O2308">
            <v>39498</v>
          </cell>
          <cell r="P2308">
            <v>1.00041636</v>
          </cell>
          <cell r="Q2308">
            <v>4.5564512364453567</v>
          </cell>
        </row>
        <row r="2309">
          <cell r="O2309">
            <v>39499</v>
          </cell>
          <cell r="P2309">
            <v>1.00041636</v>
          </cell>
          <cell r="Q2309">
            <v>4.5583483604821629</v>
          </cell>
        </row>
        <row r="2310">
          <cell r="O2310">
            <v>39500</v>
          </cell>
          <cell r="P2310">
            <v>1.000416</v>
          </cell>
          <cell r="Q2310">
            <v>4.5602446334001234</v>
          </cell>
        </row>
        <row r="2311">
          <cell r="O2311">
            <v>39503</v>
          </cell>
          <cell r="P2311">
            <v>1.00041636</v>
          </cell>
          <cell r="Q2311">
            <v>4.5621433368556863</v>
          </cell>
        </row>
        <row r="2312">
          <cell r="O2312">
            <v>39504</v>
          </cell>
          <cell r="P2312">
            <v>1.00041636</v>
          </cell>
          <cell r="Q2312">
            <v>4.5640428308554197</v>
          </cell>
        </row>
        <row r="2313">
          <cell r="O2313">
            <v>39505</v>
          </cell>
          <cell r="P2313">
            <v>1.00041672</v>
          </cell>
          <cell r="Q2313">
            <v>4.5659447587838944</v>
          </cell>
        </row>
        <row r="2314">
          <cell r="O2314">
            <v>39506</v>
          </cell>
          <cell r="P2314">
            <v>1.00041672</v>
          </cell>
          <cell r="Q2314">
            <v>4.5678474792837749</v>
          </cell>
        </row>
        <row r="2315">
          <cell r="O2315">
            <v>39507</v>
          </cell>
          <cell r="P2315">
            <v>1.0004170699999999</v>
          </cell>
          <cell r="Q2315">
            <v>4.5697525914319597</v>
          </cell>
        </row>
        <row r="2316">
          <cell r="O2316">
            <v>39510</v>
          </cell>
          <cell r="P2316">
            <v>1.0004170699999999</v>
          </cell>
          <cell r="Q2316">
            <v>4.5716584981452675</v>
          </cell>
        </row>
        <row r="2317">
          <cell r="O2317">
            <v>39511</v>
          </cell>
          <cell r="P2317">
            <v>1.00041779</v>
          </cell>
          <cell r="Q2317">
            <v>4.5735684913492074</v>
          </cell>
        </row>
        <row r="2318">
          <cell r="O2318">
            <v>39512</v>
          </cell>
          <cell r="P2318">
            <v>1.0004174299999999</v>
          </cell>
          <cell r="Q2318">
            <v>4.5754776360445506</v>
          </cell>
        </row>
        <row r="2319">
          <cell r="O2319">
            <v>39513</v>
          </cell>
          <cell r="P2319">
            <v>1.0004170699999999</v>
          </cell>
          <cell r="Q2319">
            <v>4.5773859305022153</v>
          </cell>
        </row>
        <row r="2320">
          <cell r="O2320">
            <v>39514</v>
          </cell>
          <cell r="P2320">
            <v>1.0004170699999999</v>
          </cell>
          <cell r="Q2320">
            <v>4.5792950208522498</v>
          </cell>
        </row>
        <row r="2321">
          <cell r="O2321">
            <v>39517</v>
          </cell>
          <cell r="P2321">
            <v>1.0004174299999999</v>
          </cell>
          <cell r="Q2321">
            <v>4.5812065559728037</v>
          </cell>
        </row>
        <row r="2322">
          <cell r="O2322">
            <v>39518</v>
          </cell>
          <cell r="P2322">
            <v>1.0004174299999999</v>
          </cell>
          <cell r="Q2322">
            <v>4.5831188890254628</v>
          </cell>
        </row>
        <row r="2323">
          <cell r="O2323">
            <v>39519</v>
          </cell>
          <cell r="P2323">
            <v>1.00041779</v>
          </cell>
          <cell r="Q2323">
            <v>4.5850336702661085</v>
          </cell>
        </row>
        <row r="2324">
          <cell r="O2324">
            <v>39520</v>
          </cell>
          <cell r="P2324">
            <v>1.0004170699999999</v>
          </cell>
          <cell r="Q2324">
            <v>4.5869459502589658</v>
          </cell>
        </row>
        <row r="2325">
          <cell r="O2325">
            <v>39521</v>
          </cell>
          <cell r="P2325">
            <v>1.0004170699999999</v>
          </cell>
          <cell r="Q2325">
            <v>4.5888590278064401</v>
          </cell>
        </row>
        <row r="2326">
          <cell r="O2326">
            <v>39524</v>
          </cell>
          <cell r="P2326">
            <v>1.00041779</v>
          </cell>
          <cell r="Q2326">
            <v>4.5907762072196672</v>
          </cell>
        </row>
        <row r="2327">
          <cell r="O2327">
            <v>39525</v>
          </cell>
          <cell r="P2327">
            <v>1.0004174299999999</v>
          </cell>
          <cell r="Q2327">
            <v>4.5926925349318468</v>
          </cell>
        </row>
        <row r="2328">
          <cell r="O2328">
            <v>39526</v>
          </cell>
          <cell r="P2328">
            <v>1.0004174299999999</v>
          </cell>
          <cell r="Q2328">
            <v>4.594609662576703</v>
          </cell>
        </row>
        <row r="2329">
          <cell r="O2329">
            <v>39527</v>
          </cell>
          <cell r="P2329">
            <v>1.00041779</v>
          </cell>
          <cell r="Q2329">
            <v>4.5965292445476305</v>
          </cell>
        </row>
        <row r="2330">
          <cell r="O2330">
            <v>39531</v>
          </cell>
          <cell r="P2330">
            <v>1.0004181400000001</v>
          </cell>
          <cell r="Q2330">
            <v>4.5984512372859463</v>
          </cell>
        </row>
        <row r="2331">
          <cell r="O2331">
            <v>39532</v>
          </cell>
          <cell r="P2331">
            <v>1.00041779</v>
          </cell>
          <cell r="Q2331">
            <v>4.6003724242283717</v>
          </cell>
        </row>
        <row r="2332">
          <cell r="O2332">
            <v>39533</v>
          </cell>
          <cell r="P2332">
            <v>1.00041779</v>
          </cell>
          <cell r="Q2332">
            <v>4.6022944138234898</v>
          </cell>
        </row>
        <row r="2333">
          <cell r="O2333">
            <v>39534</v>
          </cell>
          <cell r="P2333">
            <v>1.0004174299999999</v>
          </cell>
          <cell r="Q2333">
            <v>4.604215549580652</v>
          </cell>
        </row>
        <row r="2334">
          <cell r="O2334">
            <v>39535</v>
          </cell>
          <cell r="P2334">
            <v>1.0004174299999999</v>
          </cell>
          <cell r="Q2334">
            <v>4.6061374872775129</v>
          </cell>
        </row>
        <row r="2335">
          <cell r="O2335">
            <v>39538</v>
          </cell>
          <cell r="P2335">
            <v>1.0004174299999999</v>
          </cell>
          <cell r="Q2335">
            <v>4.6080602272488269</v>
          </cell>
        </row>
        <row r="2336">
          <cell r="O2336">
            <v>39539</v>
          </cell>
          <cell r="P2336">
            <v>1.00041957</v>
          </cell>
          <cell r="Q2336">
            <v>4.6099936310783738</v>
          </cell>
        </row>
        <row r="2337">
          <cell r="O2337">
            <v>39540</v>
          </cell>
          <cell r="P2337">
            <v>1.0004192199999999</v>
          </cell>
          <cell r="Q2337">
            <v>4.6119262326083943</v>
          </cell>
        </row>
        <row r="2338">
          <cell r="O2338">
            <v>39541</v>
          </cell>
          <cell r="P2338">
            <v>1.00041779</v>
          </cell>
          <cell r="Q2338">
            <v>4.6138530492691157</v>
          </cell>
        </row>
        <row r="2339">
          <cell r="O2339">
            <v>39542</v>
          </cell>
          <cell r="P2339">
            <v>1.00041957</v>
          </cell>
          <cell r="Q2339">
            <v>4.6157888835929981</v>
          </cell>
        </row>
        <row r="2340">
          <cell r="O2340">
            <v>39545</v>
          </cell>
          <cell r="P2340">
            <v>1.0004188599999999</v>
          </cell>
          <cell r="Q2340">
            <v>4.6177222529247794</v>
          </cell>
        </row>
        <row r="2341">
          <cell r="O2341">
            <v>39546</v>
          </cell>
          <cell r="P2341">
            <v>1.00041957</v>
          </cell>
          <cell r="Q2341">
            <v>4.6196597106504393</v>
          </cell>
        </row>
        <row r="2342">
          <cell r="O2342">
            <v>39547</v>
          </cell>
          <cell r="P2342">
            <v>1.0004181400000001</v>
          </cell>
          <cell r="Q2342">
            <v>4.6215913751618514</v>
          </cell>
        </row>
        <row r="2343">
          <cell r="O2343">
            <v>39548</v>
          </cell>
          <cell r="P2343">
            <v>1.00041779</v>
          </cell>
          <cell r="Q2343">
            <v>4.6235222298224805</v>
          </cell>
        </row>
        <row r="2344">
          <cell r="O2344">
            <v>39549</v>
          </cell>
          <cell r="P2344">
            <v>1.0004181400000001</v>
          </cell>
          <cell r="Q2344">
            <v>4.6254555094076588</v>
          </cell>
        </row>
        <row r="2345">
          <cell r="O2345">
            <v>39552</v>
          </cell>
          <cell r="P2345">
            <v>1.0004181400000001</v>
          </cell>
          <cell r="Q2345">
            <v>4.6273895973743633</v>
          </cell>
        </row>
        <row r="2346">
          <cell r="O2346">
            <v>39553</v>
          </cell>
          <cell r="P2346">
            <v>1.0004181400000001</v>
          </cell>
          <cell r="Q2346">
            <v>4.6293244940606098</v>
          </cell>
        </row>
        <row r="2347">
          <cell r="O2347">
            <v>39554</v>
          </cell>
          <cell r="P2347">
            <v>1.0004185000000001</v>
          </cell>
          <cell r="Q2347">
            <v>4.6312618663613749</v>
          </cell>
        </row>
        <row r="2348">
          <cell r="O2348">
            <v>39555</v>
          </cell>
          <cell r="P2348">
            <v>1.0004185000000001</v>
          </cell>
          <cell r="Q2348">
            <v>4.6332000494524479</v>
          </cell>
        </row>
        <row r="2349">
          <cell r="O2349">
            <v>39556</v>
          </cell>
          <cell r="P2349">
            <v>1.0004363300000001</v>
          </cell>
          <cell r="Q2349">
            <v>4.6352216536300261</v>
          </cell>
        </row>
        <row r="2350">
          <cell r="O2350">
            <v>39560</v>
          </cell>
          <cell r="P2350">
            <v>1.0004363300000001</v>
          </cell>
          <cell r="Q2350">
            <v>4.6372441398941548</v>
          </cell>
        </row>
        <row r="2351">
          <cell r="O2351">
            <v>39561</v>
          </cell>
          <cell r="P2351">
            <v>1.0004359700000001</v>
          </cell>
          <cell r="Q2351">
            <v>4.6392658392218245</v>
          </cell>
        </row>
        <row r="2352">
          <cell r="O2352">
            <v>39562</v>
          </cell>
          <cell r="P2352">
            <v>1.0004348999999999</v>
          </cell>
          <cell r="Q2352">
            <v>4.6412834559353016</v>
          </cell>
        </row>
        <row r="2353">
          <cell r="O2353">
            <v>39563</v>
          </cell>
          <cell r="P2353">
            <v>1.0004348999999999</v>
          </cell>
          <cell r="Q2353">
            <v>4.6433019501102875</v>
          </cell>
        </row>
        <row r="2354">
          <cell r="O2354">
            <v>39566</v>
          </cell>
          <cell r="P2354">
            <v>1.0004352599999999</v>
          </cell>
          <cell r="Q2354">
            <v>4.6453229937170919</v>
          </cell>
        </row>
        <row r="2355">
          <cell r="O2355">
            <v>39567</v>
          </cell>
          <cell r="P2355">
            <v>1.0004348999999999</v>
          </cell>
          <cell r="Q2355">
            <v>4.6473432446870593</v>
          </cell>
        </row>
        <row r="2356">
          <cell r="O2356">
            <v>39568</v>
          </cell>
          <cell r="P2356">
            <v>1.00043455</v>
          </cell>
          <cell r="Q2356">
            <v>4.6493627476940382</v>
          </cell>
        </row>
        <row r="2357">
          <cell r="O2357">
            <v>39570</v>
          </cell>
          <cell r="P2357">
            <v>1.00043455</v>
          </cell>
          <cell r="Q2357">
            <v>4.6513831282760485</v>
          </cell>
        </row>
        <row r="2358">
          <cell r="O2358">
            <v>39573</v>
          </cell>
          <cell r="P2358">
            <v>1.0004348999999999</v>
          </cell>
          <cell r="Q2358">
            <v>4.6534060147985352</v>
          </cell>
        </row>
        <row r="2359">
          <cell r="O2359">
            <v>39574</v>
          </cell>
          <cell r="P2359">
            <v>1.00043419</v>
          </cell>
          <cell r="Q2359">
            <v>4.6554264771561007</v>
          </cell>
        </row>
        <row r="2360">
          <cell r="O2360">
            <v>39575</v>
          </cell>
          <cell r="P2360">
            <v>1.00043419</v>
          </cell>
          <cell r="Q2360">
            <v>4.657447816778217</v>
          </cell>
        </row>
        <row r="2361">
          <cell r="O2361">
            <v>39576</v>
          </cell>
          <cell r="P2361">
            <v>1.0004338399999999</v>
          </cell>
          <cell r="Q2361">
            <v>4.6594684039390479</v>
          </cell>
        </row>
        <row r="2362">
          <cell r="O2362">
            <v>39577</v>
          </cell>
          <cell r="P2362">
            <v>1.0004338399999999</v>
          </cell>
          <cell r="Q2362">
            <v>4.6614898677114125</v>
          </cell>
        </row>
        <row r="2363">
          <cell r="O2363">
            <v>39580</v>
          </cell>
          <cell r="P2363">
            <v>1.00043419</v>
          </cell>
          <cell r="Q2363">
            <v>4.6635138399970737</v>
          </cell>
        </row>
        <row r="2364">
          <cell r="O2364">
            <v>39581</v>
          </cell>
          <cell r="P2364">
            <v>1.00043419</v>
          </cell>
          <cell r="Q2364">
            <v>4.6655386910712622</v>
          </cell>
        </row>
        <row r="2365">
          <cell r="O2365">
            <v>39582</v>
          </cell>
          <cell r="P2365">
            <v>1.00043419</v>
          </cell>
          <cell r="Q2365">
            <v>4.6675644213155385</v>
          </cell>
        </row>
        <row r="2366">
          <cell r="O2366">
            <v>39583</v>
          </cell>
          <cell r="P2366">
            <v>1.0004334800000001</v>
          </cell>
          <cell r="Q2366">
            <v>4.6695877171408906</v>
          </cell>
        </row>
        <row r="2367">
          <cell r="O2367">
            <v>39584</v>
          </cell>
          <cell r="P2367">
            <v>1.0004334800000001</v>
          </cell>
          <cell r="Q2367">
            <v>4.6716118900245176</v>
          </cell>
        </row>
        <row r="2368">
          <cell r="O2368">
            <v>39587</v>
          </cell>
          <cell r="P2368">
            <v>1.0004334800000001</v>
          </cell>
          <cell r="Q2368">
            <v>4.673636940346606</v>
          </cell>
        </row>
        <row r="2369">
          <cell r="O2369">
            <v>39588</v>
          </cell>
          <cell r="P2369">
            <v>1.0004331200000001</v>
          </cell>
          <cell r="Q2369">
            <v>4.6756611859782096</v>
          </cell>
        </row>
        <row r="2370">
          <cell r="O2370">
            <v>39589</v>
          </cell>
          <cell r="P2370">
            <v>1.0004338399999999</v>
          </cell>
          <cell r="Q2370">
            <v>4.6776896748271337</v>
          </cell>
        </row>
        <row r="2371">
          <cell r="O2371">
            <v>39591</v>
          </cell>
          <cell r="P2371">
            <v>1.0004338399999999</v>
          </cell>
          <cell r="Q2371">
            <v>4.6797190437156599</v>
          </cell>
        </row>
        <row r="2372">
          <cell r="O2372">
            <v>39594</v>
          </cell>
          <cell r="P2372">
            <v>1.0004334800000001</v>
          </cell>
          <cell r="Q2372">
            <v>4.68174760832673</v>
          </cell>
        </row>
        <row r="2373">
          <cell r="O2373">
            <v>39595</v>
          </cell>
          <cell r="P2373">
            <v>1.0004338399999999</v>
          </cell>
          <cell r="Q2373">
            <v>4.683778737709126</v>
          </cell>
        </row>
        <row r="2374">
          <cell r="O2374">
            <v>39596</v>
          </cell>
          <cell r="P2374">
            <v>1.0004338399999999</v>
          </cell>
          <cell r="Q2374">
            <v>4.6858107482766931</v>
          </cell>
        </row>
        <row r="2375">
          <cell r="O2375">
            <v>39597</v>
          </cell>
          <cell r="P2375">
            <v>1.0004334800000001</v>
          </cell>
          <cell r="Q2375">
            <v>4.6878419535198566</v>
          </cell>
        </row>
        <row r="2376">
          <cell r="O2376">
            <v>39598</v>
          </cell>
          <cell r="P2376">
            <v>1.0004331200000001</v>
          </cell>
          <cell r="Q2376">
            <v>4.6898723516267653</v>
          </cell>
        </row>
        <row r="2377">
          <cell r="O2377">
            <v>39601</v>
          </cell>
          <cell r="P2377">
            <v>1.0004338399999999</v>
          </cell>
          <cell r="Q2377">
            <v>4.6919070058477947</v>
          </cell>
        </row>
        <row r="2378">
          <cell r="O2378">
            <v>39602</v>
          </cell>
          <cell r="P2378">
            <v>1.00043419</v>
          </cell>
          <cell r="Q2378">
            <v>4.6939441849506638</v>
          </cell>
        </row>
        <row r="2379">
          <cell r="O2379">
            <v>39603</v>
          </cell>
          <cell r="P2379">
            <v>1.0004334800000001</v>
          </cell>
          <cell r="Q2379">
            <v>4.6959789158759566</v>
          </cell>
        </row>
        <row r="2380">
          <cell r="O2380">
            <v>39604</v>
          </cell>
          <cell r="P2380">
            <v>1.0004331200000001</v>
          </cell>
          <cell r="Q2380">
            <v>4.6980128382640007</v>
          </cell>
        </row>
        <row r="2381">
          <cell r="O2381">
            <v>39605</v>
          </cell>
          <cell r="P2381">
            <v>1.00045088</v>
          </cell>
          <cell r="Q2381">
            <v>4.7001310782925172</v>
          </cell>
        </row>
        <row r="2382">
          <cell r="O2382">
            <v>39608</v>
          </cell>
          <cell r="P2382">
            <v>1.00045088</v>
          </cell>
          <cell r="Q2382">
            <v>4.7022502733930978</v>
          </cell>
        </row>
        <row r="2383">
          <cell r="O2383">
            <v>39609</v>
          </cell>
          <cell r="P2383">
            <v>1.0004512400000001</v>
          </cell>
          <cell r="Q2383">
            <v>4.7043721168064643</v>
          </cell>
        </row>
        <row r="2384">
          <cell r="O2384">
            <v>39610</v>
          </cell>
          <cell r="P2384">
            <v>1.00045194</v>
          </cell>
          <cell r="Q2384">
            <v>4.7064982107409339</v>
          </cell>
        </row>
        <row r="2385">
          <cell r="O2385">
            <v>39611</v>
          </cell>
          <cell r="P2385">
            <v>1.0004523000000001</v>
          </cell>
          <cell r="Q2385">
            <v>4.7086269598816521</v>
          </cell>
        </row>
        <row r="2386">
          <cell r="O2386">
            <v>39612</v>
          </cell>
          <cell r="P2386">
            <v>1.0004526499999999</v>
          </cell>
          <cell r="Q2386">
            <v>4.7107583198750422</v>
          </cell>
        </row>
        <row r="2387">
          <cell r="O2387">
            <v>39615</v>
          </cell>
          <cell r="P2387">
            <v>1.0004523000000001</v>
          </cell>
          <cell r="Q2387">
            <v>4.7128889958631222</v>
          </cell>
        </row>
        <row r="2388">
          <cell r="O2388">
            <v>39616</v>
          </cell>
          <cell r="P2388">
            <v>1.0004523000000001</v>
          </cell>
          <cell r="Q2388">
            <v>4.715020635555951</v>
          </cell>
        </row>
        <row r="2389">
          <cell r="O2389">
            <v>39617</v>
          </cell>
          <cell r="P2389">
            <v>1.0004526499999999</v>
          </cell>
          <cell r="Q2389">
            <v>4.7171548896466353</v>
          </cell>
        </row>
        <row r="2390">
          <cell r="O2390">
            <v>39618</v>
          </cell>
          <cell r="P2390">
            <v>1.00045194</v>
          </cell>
          <cell r="Q2390">
            <v>4.7192867606274627</v>
          </cell>
        </row>
        <row r="2391">
          <cell r="O2391">
            <v>39619</v>
          </cell>
          <cell r="P2391">
            <v>1.00045194</v>
          </cell>
          <cell r="Q2391">
            <v>4.7214195950860605</v>
          </cell>
        </row>
        <row r="2392">
          <cell r="O2392">
            <v>39622</v>
          </cell>
          <cell r="P2392">
            <v>1.00045194</v>
          </cell>
          <cell r="Q2392">
            <v>4.7235533934578635</v>
          </cell>
        </row>
        <row r="2393">
          <cell r="O2393">
            <v>39623</v>
          </cell>
          <cell r="P2393">
            <v>1.00045301</v>
          </cell>
          <cell r="Q2393">
            <v>4.7256932103806335</v>
          </cell>
        </row>
        <row r="2394">
          <cell r="O2394">
            <v>39624</v>
          </cell>
          <cell r="P2394">
            <v>1.0004526499999999</v>
          </cell>
          <cell r="Q2394">
            <v>4.7278322954123118</v>
          </cell>
        </row>
        <row r="2395">
          <cell r="O2395">
            <v>39625</v>
          </cell>
          <cell r="P2395">
            <v>1.0004526499999999</v>
          </cell>
          <cell r="Q2395">
            <v>4.7299723487008301</v>
          </cell>
        </row>
        <row r="2396">
          <cell r="O2396">
            <v>39626</v>
          </cell>
          <cell r="P2396">
            <v>1.0004523000000001</v>
          </cell>
          <cell r="Q2396">
            <v>4.7321117151941481</v>
          </cell>
        </row>
        <row r="2397">
          <cell r="O2397">
            <v>39629</v>
          </cell>
          <cell r="P2397">
            <v>1.0004523000000001</v>
          </cell>
          <cell r="Q2397">
            <v>4.7342520493229303</v>
          </cell>
        </row>
        <row r="2398">
          <cell r="O2398">
            <v>39630</v>
          </cell>
          <cell r="P2398">
            <v>1.00045301</v>
          </cell>
          <cell r="Q2398">
            <v>4.7363967128437938</v>
          </cell>
        </row>
        <row r="2399">
          <cell r="O2399">
            <v>39631</v>
          </cell>
          <cell r="P2399">
            <v>1.00045619</v>
          </cell>
          <cell r="Q2399">
            <v>4.7385574096602259</v>
          </cell>
        </row>
        <row r="2400">
          <cell r="O2400">
            <v>39632</v>
          </cell>
          <cell r="P2400">
            <v>1.0004544200000001</v>
          </cell>
          <cell r="Q2400">
            <v>4.7407107049183237</v>
          </cell>
        </row>
        <row r="2401">
          <cell r="O2401">
            <v>39633</v>
          </cell>
          <cell r="P2401">
            <v>1.0004533600000001</v>
          </cell>
          <cell r="Q2401">
            <v>4.7428599535235056</v>
          </cell>
        </row>
        <row r="2402">
          <cell r="O2402">
            <v>39636</v>
          </cell>
          <cell r="P2402">
            <v>1.00045407</v>
          </cell>
          <cell r="Q2402">
            <v>4.7450135439426022</v>
          </cell>
        </row>
        <row r="2403">
          <cell r="O2403">
            <v>39637</v>
          </cell>
          <cell r="P2403">
            <v>1.0004537200000001</v>
          </cell>
          <cell r="Q2403">
            <v>4.7471664514877601</v>
          </cell>
        </row>
        <row r="2404">
          <cell r="O2404">
            <v>39638</v>
          </cell>
          <cell r="P2404">
            <v>1.0004544200000001</v>
          </cell>
          <cell r="Q2404">
            <v>4.7493236588666452</v>
          </cell>
        </row>
        <row r="2405">
          <cell r="O2405">
            <v>39639</v>
          </cell>
          <cell r="P2405">
            <v>1.0004547800000001</v>
          </cell>
          <cell r="Q2405">
            <v>4.7514835562802249</v>
          </cell>
        </row>
        <row r="2406">
          <cell r="O2406">
            <v>39640</v>
          </cell>
          <cell r="P2406">
            <v>1.00045407</v>
          </cell>
          <cell r="Q2406">
            <v>4.7536410624186249</v>
          </cell>
        </row>
        <row r="2407">
          <cell r="O2407">
            <v>39643</v>
          </cell>
          <cell r="P2407">
            <v>1.0004537200000001</v>
          </cell>
          <cell r="Q2407">
            <v>4.7557978844414661</v>
          </cell>
        </row>
        <row r="2408">
          <cell r="O2408">
            <v>39644</v>
          </cell>
          <cell r="P2408">
            <v>1.00045301</v>
          </cell>
          <cell r="Q2408">
            <v>4.7579523084410971</v>
          </cell>
        </row>
        <row r="2409">
          <cell r="O2409">
            <v>39645</v>
          </cell>
          <cell r="P2409">
            <v>1.0004526499999999</v>
          </cell>
          <cell r="Q2409">
            <v>4.7601059955535128</v>
          </cell>
        </row>
        <row r="2410">
          <cell r="O2410">
            <v>39646</v>
          </cell>
          <cell r="P2410">
            <v>1.0004533600000001</v>
          </cell>
          <cell r="Q2410">
            <v>4.7622640372076575</v>
          </cell>
        </row>
        <row r="2411">
          <cell r="O2411">
            <v>39647</v>
          </cell>
          <cell r="P2411">
            <v>1.00045301</v>
          </cell>
          <cell r="Q2411">
            <v>4.7644213904391526</v>
          </cell>
        </row>
        <row r="2412">
          <cell r="O2412">
            <v>39650</v>
          </cell>
          <cell r="P2412">
            <v>1.00045301</v>
          </cell>
          <cell r="Q2412">
            <v>4.766579720973235</v>
          </cell>
        </row>
        <row r="2413">
          <cell r="O2413">
            <v>39651</v>
          </cell>
          <cell r="P2413">
            <v>1.0004533600000001</v>
          </cell>
          <cell r="Q2413">
            <v>4.7687406975555362</v>
          </cell>
        </row>
        <row r="2414">
          <cell r="O2414">
            <v>39652</v>
          </cell>
          <cell r="P2414">
            <v>1.0004526499999999</v>
          </cell>
          <cell r="Q2414">
            <v>4.7708992680322844</v>
          </cell>
        </row>
        <row r="2415">
          <cell r="O2415">
            <v>39653</v>
          </cell>
          <cell r="P2415">
            <v>1.0004523000000001</v>
          </cell>
          <cell r="Q2415">
            <v>4.7730571457712161</v>
          </cell>
        </row>
        <row r="2416">
          <cell r="O2416">
            <v>39654</v>
          </cell>
          <cell r="P2416">
            <v>1.0004794800000001</v>
          </cell>
          <cell r="Q2416">
            <v>4.7753457312114707</v>
          </cell>
        </row>
        <row r="2417">
          <cell r="O2417">
            <v>39657</v>
          </cell>
          <cell r="P2417">
            <v>1.0004794800000001</v>
          </cell>
          <cell r="Q2417">
            <v>4.7776354139826722</v>
          </cell>
        </row>
        <row r="2418">
          <cell r="O2418">
            <v>39658</v>
          </cell>
          <cell r="P2418">
            <v>1.00047913</v>
          </cell>
          <cell r="Q2418">
            <v>4.7799245224385736</v>
          </cell>
        </row>
        <row r="2419">
          <cell r="O2419">
            <v>39659</v>
          </cell>
          <cell r="P2419">
            <v>1.00047913</v>
          </cell>
          <cell r="Q2419">
            <v>4.7822147276750098</v>
          </cell>
        </row>
        <row r="2420">
          <cell r="O2420">
            <v>39660</v>
          </cell>
          <cell r="P2420">
            <v>1.0004794800000001</v>
          </cell>
          <cell r="Q2420">
            <v>4.7845077039926354</v>
          </cell>
        </row>
        <row r="2421">
          <cell r="O2421">
            <v>39661</v>
          </cell>
          <cell r="P2421">
            <v>1.00047983</v>
          </cell>
          <cell r="Q2421">
            <v>4.7868034543242421</v>
          </cell>
        </row>
        <row r="2422">
          <cell r="O2422">
            <v>39664</v>
          </cell>
          <cell r="P2422">
            <v>1.00048089</v>
          </cell>
          <cell r="Q2422">
            <v>4.789105380237392</v>
          </cell>
        </row>
        <row r="2423">
          <cell r="O2423">
            <v>39665</v>
          </cell>
          <cell r="P2423">
            <v>1.00048019</v>
          </cell>
          <cell r="Q2423">
            <v>4.7914050607499279</v>
          </cell>
        </row>
        <row r="2424">
          <cell r="O2424">
            <v>39666</v>
          </cell>
          <cell r="P2424">
            <v>1.0004805400000001</v>
          </cell>
          <cell r="Q2424">
            <v>4.7937075225378214</v>
          </cell>
        </row>
        <row r="2425">
          <cell r="O2425">
            <v>39667</v>
          </cell>
          <cell r="P2425">
            <v>1.0004805400000001</v>
          </cell>
          <cell r="Q2425">
            <v>4.7960110907507021</v>
          </cell>
        </row>
        <row r="2426">
          <cell r="O2426">
            <v>39668</v>
          </cell>
          <cell r="P2426">
            <v>1.0004805400000001</v>
          </cell>
          <cell r="Q2426">
            <v>4.7983157659202522</v>
          </cell>
        </row>
        <row r="2427">
          <cell r="O2427">
            <v>39671</v>
          </cell>
          <cell r="P2427">
            <v>1.00048019</v>
          </cell>
          <cell r="Q2427">
            <v>4.8006198691678899</v>
          </cell>
        </row>
        <row r="2428">
          <cell r="O2428">
            <v>39672</v>
          </cell>
          <cell r="P2428">
            <v>1.0004794800000001</v>
          </cell>
          <cell r="Q2428">
            <v>4.8029216703827586</v>
          </cell>
        </row>
        <row r="2429">
          <cell r="O2429">
            <v>39673</v>
          </cell>
          <cell r="P2429">
            <v>1.0004794800000001</v>
          </cell>
          <cell r="Q2429">
            <v>4.8052245752652745</v>
          </cell>
        </row>
        <row r="2430">
          <cell r="O2430">
            <v>39674</v>
          </cell>
          <cell r="P2430">
            <v>1.00047983</v>
          </cell>
          <cell r="Q2430">
            <v>4.8075302661732238</v>
          </cell>
        </row>
        <row r="2431">
          <cell r="O2431">
            <v>39675</v>
          </cell>
          <cell r="P2431">
            <v>1.00047983</v>
          </cell>
          <cell r="Q2431">
            <v>4.8098370634208418</v>
          </cell>
        </row>
        <row r="2432">
          <cell r="O2432">
            <v>39678</v>
          </cell>
          <cell r="P2432">
            <v>1.00047983</v>
          </cell>
          <cell r="Q2432">
            <v>4.8121449675389831</v>
          </cell>
        </row>
        <row r="2433">
          <cell r="O2433">
            <v>39679</v>
          </cell>
          <cell r="P2433">
            <v>1.00048089</v>
          </cell>
          <cell r="Q2433">
            <v>4.8144590799324227</v>
          </cell>
        </row>
        <row r="2434">
          <cell r="O2434">
            <v>39680</v>
          </cell>
          <cell r="P2434">
            <v>1.0004805400000001</v>
          </cell>
          <cell r="Q2434">
            <v>4.8167726200986936</v>
          </cell>
        </row>
        <row r="2435">
          <cell r="O2435">
            <v>39681</v>
          </cell>
          <cell r="P2435">
            <v>1.00048019</v>
          </cell>
          <cell r="Q2435">
            <v>4.8190855861431388</v>
          </cell>
        </row>
        <row r="2436">
          <cell r="O2436">
            <v>39682</v>
          </cell>
          <cell r="P2436">
            <v>1.00048019</v>
          </cell>
          <cell r="Q2436">
            <v>4.8213996628507489</v>
          </cell>
        </row>
        <row r="2437">
          <cell r="O2437">
            <v>39685</v>
          </cell>
          <cell r="P2437">
            <v>1.0004794800000001</v>
          </cell>
          <cell r="Q2437">
            <v>4.8237114275610926</v>
          </cell>
        </row>
        <row r="2438">
          <cell r="O2438">
            <v>39686</v>
          </cell>
          <cell r="P2438">
            <v>1.00047983</v>
          </cell>
          <cell r="Q2438">
            <v>4.8260259890153794</v>
          </cell>
        </row>
        <row r="2439">
          <cell r="O2439">
            <v>39687</v>
          </cell>
          <cell r="P2439">
            <v>1.0004794800000001</v>
          </cell>
          <cell r="Q2439">
            <v>4.8283399719565931</v>
          </cell>
        </row>
        <row r="2440">
          <cell r="O2440">
            <v>39688</v>
          </cell>
          <cell r="P2440">
            <v>1.0004794800000001</v>
          </cell>
          <cell r="Q2440">
            <v>4.8306550644063471</v>
          </cell>
        </row>
        <row r="2441">
          <cell r="O2441">
            <v>39689</v>
          </cell>
          <cell r="P2441">
            <v>1.0004794800000001</v>
          </cell>
          <cell r="Q2441">
            <v>4.8329712668966289</v>
          </cell>
        </row>
        <row r="2442">
          <cell r="O2442">
            <v>39692</v>
          </cell>
          <cell r="P2442">
            <v>1.0004787799999999</v>
          </cell>
          <cell r="Q2442">
            <v>4.8352851968797932</v>
          </cell>
        </row>
        <row r="2443">
          <cell r="O2443">
            <v>39693</v>
          </cell>
          <cell r="P2443">
            <v>1.0004794800000001</v>
          </cell>
          <cell r="Q2443">
            <v>4.8376036194259937</v>
          </cell>
        </row>
        <row r="2444">
          <cell r="O2444">
            <v>39694</v>
          </cell>
          <cell r="P2444">
            <v>1.00047913</v>
          </cell>
          <cell r="Q2444">
            <v>4.8399214604481688</v>
          </cell>
        </row>
        <row r="2445">
          <cell r="O2445">
            <v>39695</v>
          </cell>
          <cell r="P2445">
            <v>1.0004805400000001</v>
          </cell>
          <cell r="Q2445">
            <v>4.8422472363067728</v>
          </cell>
        </row>
        <row r="2446">
          <cell r="O2446">
            <v>39696</v>
          </cell>
          <cell r="P2446">
            <v>1.0004794800000001</v>
          </cell>
          <cell r="Q2446">
            <v>4.8445689970116375</v>
          </cell>
        </row>
        <row r="2447">
          <cell r="O2447">
            <v>39699</v>
          </cell>
          <cell r="P2447">
            <v>1.00047843</v>
          </cell>
          <cell r="Q2447">
            <v>4.8468867841568777</v>
          </cell>
        </row>
        <row r="2448">
          <cell r="O2448">
            <v>39700</v>
          </cell>
          <cell r="P2448">
            <v>1.00048124</v>
          </cell>
          <cell r="Q2448">
            <v>4.8492192999528854</v>
          </cell>
        </row>
        <row r="2449">
          <cell r="O2449">
            <v>39701</v>
          </cell>
          <cell r="P2449">
            <v>1.00048019</v>
          </cell>
          <cell r="Q2449">
            <v>4.85154784656853</v>
          </cell>
        </row>
        <row r="2450">
          <cell r="O2450">
            <v>39702</v>
          </cell>
          <cell r="P2450">
            <v>1.00048089</v>
          </cell>
          <cell r="Q2450">
            <v>4.8538809074124663</v>
          </cell>
        </row>
        <row r="2451">
          <cell r="O2451">
            <v>39703</v>
          </cell>
          <cell r="P2451">
            <v>1.0005071800000001</v>
          </cell>
          <cell r="Q2451">
            <v>4.8563426987310878</v>
          </cell>
        </row>
        <row r="2452">
          <cell r="O2452">
            <v>39706</v>
          </cell>
          <cell r="P2452">
            <v>1.0005057799999999</v>
          </cell>
          <cell r="Q2452">
            <v>4.8587989397412512</v>
          </cell>
        </row>
        <row r="2453">
          <cell r="O2453">
            <v>39707</v>
          </cell>
          <cell r="P2453">
            <v>1.0005057799999999</v>
          </cell>
          <cell r="Q2453">
            <v>4.8612564230689932</v>
          </cell>
        </row>
        <row r="2454">
          <cell r="O2454">
            <v>39708</v>
          </cell>
          <cell r="P2454">
            <v>1.00050613</v>
          </cell>
          <cell r="Q2454">
            <v>4.8637168507824011</v>
          </cell>
        </row>
        <row r="2455">
          <cell r="O2455">
            <v>39709</v>
          </cell>
          <cell r="P2455">
            <v>1.00050543</v>
          </cell>
          <cell r="Q2455">
            <v>4.8661751191902924</v>
          </cell>
        </row>
        <row r="2456">
          <cell r="O2456">
            <v>39710</v>
          </cell>
          <cell r="P2456">
            <v>1.00050543</v>
          </cell>
          <cell r="Q2456">
            <v>4.868634630080785</v>
          </cell>
        </row>
        <row r="2457">
          <cell r="O2457">
            <v>39713</v>
          </cell>
          <cell r="P2457">
            <v>1.00050788</v>
          </cell>
          <cell r="Q2457">
            <v>4.8711073122367106</v>
          </cell>
        </row>
        <row r="2458">
          <cell r="O2458">
            <v>39714</v>
          </cell>
          <cell r="P2458">
            <v>1.0005089300000001</v>
          </cell>
          <cell r="Q2458">
            <v>4.8735863648811275</v>
          </cell>
        </row>
        <row r="2459">
          <cell r="O2459">
            <v>39715</v>
          </cell>
          <cell r="P2459">
            <v>1.00050683</v>
          </cell>
          <cell r="Q2459">
            <v>4.87605644465844</v>
          </cell>
        </row>
        <row r="2460">
          <cell r="O2460">
            <v>39716</v>
          </cell>
          <cell r="P2460">
            <v>1.0005057799999999</v>
          </cell>
          <cell r="Q2460">
            <v>4.8785226564870188</v>
          </cell>
        </row>
        <row r="2461">
          <cell r="O2461">
            <v>39717</v>
          </cell>
          <cell r="P2461">
            <v>1.00050613</v>
          </cell>
          <cell r="Q2461">
            <v>4.8809918231591469</v>
          </cell>
        </row>
        <row r="2462">
          <cell r="O2462">
            <v>39720</v>
          </cell>
          <cell r="P2462">
            <v>1.00050613</v>
          </cell>
          <cell r="Q2462">
            <v>4.8834622395506022</v>
          </cell>
        </row>
        <row r="2463">
          <cell r="O2463">
            <v>39721</v>
          </cell>
          <cell r="P2463">
            <v>1.00050543</v>
          </cell>
          <cell r="Q2463">
            <v>4.885930487870338</v>
          </cell>
        </row>
        <row r="2464">
          <cell r="O2464">
            <v>39722</v>
          </cell>
          <cell r="P2464">
            <v>1.0005057799999999</v>
          </cell>
          <cell r="Q2464">
            <v>4.8884016937924928</v>
          </cell>
        </row>
        <row r="2465">
          <cell r="O2465">
            <v>39723</v>
          </cell>
          <cell r="P2465">
            <v>1.00050543</v>
          </cell>
          <cell r="Q2465">
            <v>4.8908724386605869</v>
          </cell>
        </row>
        <row r="2466">
          <cell r="O2466">
            <v>39724</v>
          </cell>
          <cell r="P2466">
            <v>1.0005064800000001</v>
          </cell>
          <cell r="Q2466">
            <v>4.8933495677333205</v>
          </cell>
        </row>
        <row r="2467">
          <cell r="O2467">
            <v>39727</v>
          </cell>
          <cell r="P2467">
            <v>1.00050788</v>
          </cell>
          <cell r="Q2467">
            <v>4.8958348021117812</v>
          </cell>
        </row>
        <row r="2468">
          <cell r="O2468">
            <v>39728</v>
          </cell>
          <cell r="P2468">
            <v>1.0005113699999999</v>
          </cell>
          <cell r="Q2468">
            <v>4.8983383851545366</v>
          </cell>
        </row>
        <row r="2469">
          <cell r="O2469">
            <v>39729</v>
          </cell>
          <cell r="P2469">
            <v>1.00050963</v>
          </cell>
          <cell r="Q2469">
            <v>4.9008347253457627</v>
          </cell>
        </row>
        <row r="2470">
          <cell r="O2470">
            <v>39730</v>
          </cell>
          <cell r="P2470">
            <v>1.00050858</v>
          </cell>
          <cell r="Q2470">
            <v>4.9033271918703791</v>
          </cell>
        </row>
        <row r="2471">
          <cell r="O2471">
            <v>39731</v>
          </cell>
          <cell r="P2471">
            <v>1.00050788</v>
          </cell>
          <cell r="Q2471">
            <v>4.9058174936845864</v>
          </cell>
        </row>
        <row r="2472">
          <cell r="O2472">
            <v>39734</v>
          </cell>
          <cell r="P2472">
            <v>1.0005082300000001</v>
          </cell>
          <cell r="Q2472">
            <v>4.9083107773094019</v>
          </cell>
        </row>
        <row r="2473">
          <cell r="O2473">
            <v>39735</v>
          </cell>
          <cell r="P2473">
            <v>1.0005099799999999</v>
          </cell>
          <cell r="Q2473">
            <v>4.9108139176396133</v>
          </cell>
        </row>
        <row r="2474">
          <cell r="O2474">
            <v>39736</v>
          </cell>
          <cell r="P2474">
            <v>1.0005075299999999</v>
          </cell>
          <cell r="Q2474">
            <v>4.9133063030272321</v>
          </cell>
        </row>
        <row r="2475">
          <cell r="O2475">
            <v>39737</v>
          </cell>
          <cell r="P2475">
            <v>1.0005089300000001</v>
          </cell>
          <cell r="Q2475">
            <v>4.9158068320040318</v>
          </cell>
        </row>
        <row r="2476">
          <cell r="O2476">
            <v>39738</v>
          </cell>
          <cell r="P2476">
            <v>1.0005082300000001</v>
          </cell>
          <cell r="Q2476">
            <v>4.9183051925102621</v>
          </cell>
        </row>
        <row r="2477">
          <cell r="O2477">
            <v>39741</v>
          </cell>
          <cell r="P2477">
            <v>1.0005075299999999</v>
          </cell>
          <cell r="Q2477">
            <v>4.9208013799446162</v>
          </cell>
        </row>
        <row r="2478">
          <cell r="O2478">
            <v>39742</v>
          </cell>
          <cell r="P2478">
            <v>1.00050858</v>
          </cell>
          <cell r="Q2478">
            <v>4.9233040011104281</v>
          </cell>
        </row>
        <row r="2479">
          <cell r="O2479">
            <v>39743</v>
          </cell>
          <cell r="P2479">
            <v>1.00050683</v>
          </cell>
          <cell r="Q2479">
            <v>4.9257992792773111</v>
          </cell>
        </row>
        <row r="2480">
          <cell r="O2480">
            <v>39744</v>
          </cell>
          <cell r="P2480">
            <v>1.0005043899999999</v>
          </cell>
          <cell r="Q2480">
            <v>4.928283803175785</v>
          </cell>
        </row>
        <row r="2481">
          <cell r="O2481">
            <v>39745</v>
          </cell>
          <cell r="P2481">
            <v>1.00050613</v>
          </cell>
          <cell r="Q2481">
            <v>4.9307781554570864</v>
          </cell>
        </row>
        <row r="2482">
          <cell r="O2482">
            <v>39748</v>
          </cell>
          <cell r="P2482">
            <v>1.0005071800000001</v>
          </cell>
          <cell r="Q2482">
            <v>4.9332789475219716</v>
          </cell>
        </row>
        <row r="2483">
          <cell r="O2483">
            <v>39749</v>
          </cell>
          <cell r="P2483">
            <v>1.0005071800000001</v>
          </cell>
          <cell r="Q2483">
            <v>4.9357810079385764</v>
          </cell>
        </row>
        <row r="2484">
          <cell r="O2484">
            <v>39750</v>
          </cell>
          <cell r="P2484">
            <v>1.0005075299999999</v>
          </cell>
          <cell r="Q2484">
            <v>4.9382860648735347</v>
          </cell>
        </row>
        <row r="2485">
          <cell r="O2485">
            <v>39751</v>
          </cell>
          <cell r="P2485">
            <v>1.00050683</v>
          </cell>
          <cell r="Q2485">
            <v>4.9407889363997946</v>
          </cell>
        </row>
        <row r="2486">
          <cell r="O2486">
            <v>39752</v>
          </cell>
          <cell r="P2486">
            <v>1.0005050799999999</v>
          </cell>
          <cell r="Q2486">
            <v>4.9432844300757912</v>
          </cell>
        </row>
        <row r="2487">
          <cell r="O2487">
            <v>39755</v>
          </cell>
          <cell r="P2487">
            <v>1.0005057799999999</v>
          </cell>
          <cell r="Q2487">
            <v>4.9457846444748341</v>
          </cell>
        </row>
        <row r="2488">
          <cell r="O2488">
            <v>39756</v>
          </cell>
          <cell r="P2488">
            <v>1.00050543</v>
          </cell>
          <cell r="Q2488">
            <v>4.9482843924076914</v>
          </cell>
        </row>
        <row r="2489">
          <cell r="O2489">
            <v>39757</v>
          </cell>
          <cell r="P2489">
            <v>1.00050474</v>
          </cell>
          <cell r="Q2489">
            <v>4.9507819894719152</v>
          </cell>
        </row>
        <row r="2490">
          <cell r="O2490">
            <v>39758</v>
          </cell>
          <cell r="P2490">
            <v>1.00050474</v>
          </cell>
          <cell r="Q2490">
            <v>4.9532808471732812</v>
          </cell>
        </row>
        <row r="2491">
          <cell r="O2491">
            <v>39759</v>
          </cell>
          <cell r="P2491">
            <v>1.0005026400000001</v>
          </cell>
          <cell r="Q2491">
            <v>4.9557705642583052</v>
          </cell>
        </row>
        <row r="2492">
          <cell r="O2492">
            <v>39762</v>
          </cell>
          <cell r="P2492">
            <v>1.00050229</v>
          </cell>
          <cell r="Q2492">
            <v>4.9582597982550265</v>
          </cell>
        </row>
        <row r="2493">
          <cell r="O2493">
            <v>39763</v>
          </cell>
          <cell r="P2493">
            <v>1.0005026400000001</v>
          </cell>
          <cell r="Q2493">
            <v>4.9607520179600222</v>
          </cell>
        </row>
        <row r="2494">
          <cell r="O2494">
            <v>39764</v>
          </cell>
          <cell r="P2494">
            <v>1.00050124</v>
          </cell>
          <cell r="Q2494">
            <v>4.963238545301504</v>
          </cell>
        </row>
        <row r="2495">
          <cell r="O2495">
            <v>39765</v>
          </cell>
          <cell r="P2495">
            <v>1.0004991400000001</v>
          </cell>
          <cell r="Q2495">
            <v>4.965715896189006</v>
          </cell>
        </row>
        <row r="2496">
          <cell r="O2496">
            <v>39766</v>
          </cell>
          <cell r="P2496">
            <v>1.00049353</v>
          </cell>
          <cell r="Q2496">
            <v>4.9681666259552522</v>
          </cell>
        </row>
        <row r="2497">
          <cell r="O2497">
            <v>39769</v>
          </cell>
          <cell r="P2497">
            <v>1.0004938800000001</v>
          </cell>
          <cell r="Q2497">
            <v>4.9706203040884791</v>
          </cell>
        </row>
        <row r="2498">
          <cell r="O2498">
            <v>39770</v>
          </cell>
          <cell r="P2498">
            <v>1.0004949299999999</v>
          </cell>
          <cell r="Q2498">
            <v>4.9730804131955813</v>
          </cell>
        </row>
        <row r="2499">
          <cell r="O2499">
            <v>39771</v>
          </cell>
          <cell r="P2499">
            <v>1.0004938800000001</v>
          </cell>
          <cell r="Q2499">
            <v>4.9755365181500508</v>
          </cell>
        </row>
        <row r="2500">
          <cell r="O2500">
            <v>39772</v>
          </cell>
          <cell r="P2500">
            <v>1.0004823</v>
          </cell>
          <cell r="Q2500">
            <v>4.9779362194127552</v>
          </cell>
        </row>
        <row r="2501">
          <cell r="O2501">
            <v>39773</v>
          </cell>
          <cell r="P2501">
            <v>1.0004805400000001</v>
          </cell>
          <cell r="Q2501">
            <v>4.9803283168836323</v>
          </cell>
        </row>
        <row r="2502">
          <cell r="O2502">
            <v>39776</v>
          </cell>
          <cell r="P2502">
            <v>1.0004879200000001</v>
          </cell>
          <cell r="Q2502">
            <v>4.9827583186760069</v>
          </cell>
        </row>
        <row r="2503">
          <cell r="O2503">
            <v>39777</v>
          </cell>
          <cell r="P2503">
            <v>1.0004907300000001</v>
          </cell>
          <cell r="Q2503">
            <v>4.9852035076657311</v>
          </cell>
        </row>
        <row r="2504">
          <cell r="O2504">
            <v>39778</v>
          </cell>
          <cell r="P2504">
            <v>1.00049002</v>
          </cell>
          <cell r="Q2504">
            <v>4.9876463570885576</v>
          </cell>
        </row>
        <row r="2505">
          <cell r="O2505">
            <v>39779</v>
          </cell>
          <cell r="P2505">
            <v>1.0004903700000001</v>
          </cell>
          <cell r="Q2505">
            <v>4.9900921492326837</v>
          </cell>
        </row>
        <row r="2506">
          <cell r="O2506">
            <v>39780</v>
          </cell>
          <cell r="P2506">
            <v>1.00049283</v>
          </cell>
          <cell r="Q2506">
            <v>4.9925514163465898</v>
          </cell>
        </row>
        <row r="2507">
          <cell r="O2507">
            <v>39783</v>
          </cell>
          <cell r="P2507">
            <v>1.0004977399999999</v>
          </cell>
          <cell r="Q2507">
            <v>4.9950364088885619</v>
          </cell>
        </row>
        <row r="2508">
          <cell r="O2508">
            <v>39784</v>
          </cell>
          <cell r="P2508">
            <v>1.0005015900000001</v>
          </cell>
          <cell r="Q2508">
            <v>4.9975418692008962</v>
          </cell>
        </row>
        <row r="2509">
          <cell r="O2509">
            <v>39785</v>
          </cell>
          <cell r="P2509">
            <v>1.0005019399999999</v>
          </cell>
          <cell r="Q2509">
            <v>5.0000503353667227</v>
          </cell>
        </row>
        <row r="2510">
          <cell r="O2510">
            <v>39786</v>
          </cell>
          <cell r="P2510">
            <v>1.00050124</v>
          </cell>
          <cell r="Q2510">
            <v>5.0025565605968216</v>
          </cell>
        </row>
        <row r="2511">
          <cell r="O2511">
            <v>39787</v>
          </cell>
          <cell r="P2511">
            <v>1.0005015900000001</v>
          </cell>
          <cell r="Q2511">
            <v>5.0050657929420517</v>
          </cell>
        </row>
        <row r="2512">
          <cell r="O2512">
            <v>39790</v>
          </cell>
          <cell r="P2512">
            <v>1.00050124</v>
          </cell>
          <cell r="Q2512">
            <v>5.0075745321201062</v>
          </cell>
        </row>
        <row r="2513">
          <cell r="O2513">
            <v>39791</v>
          </cell>
          <cell r="P2513">
            <v>1.00050124</v>
          </cell>
          <cell r="Q2513">
            <v>5.0100845287785862</v>
          </cell>
        </row>
        <row r="2514">
          <cell r="O2514">
            <v>39792</v>
          </cell>
          <cell r="P2514">
            <v>1.0005015900000001</v>
          </cell>
          <cell r="Q2514">
            <v>5.0125975370773768</v>
          </cell>
        </row>
        <row r="2515">
          <cell r="O2515">
            <v>39793</v>
          </cell>
          <cell r="P2515">
            <v>1.00050124</v>
          </cell>
          <cell r="Q2515">
            <v>5.015110051466861</v>
          </cell>
        </row>
        <row r="2516">
          <cell r="O2516">
            <v>39794</v>
          </cell>
          <cell r="P2516">
            <v>1.00050124</v>
          </cell>
          <cell r="Q2516">
            <v>5.0176238252290579</v>
          </cell>
        </row>
        <row r="2517">
          <cell r="O2517">
            <v>39797</v>
          </cell>
          <cell r="P2517">
            <v>1.0005008900000001</v>
          </cell>
          <cell r="Q2517">
            <v>5.0201371028268778</v>
          </cell>
        </row>
        <row r="2518">
          <cell r="O2518">
            <v>39798</v>
          </cell>
          <cell r="P2518">
            <v>1.00050124</v>
          </cell>
          <cell r="Q2518">
            <v>5.0226533963482982</v>
          </cell>
        </row>
        <row r="2519">
          <cell r="O2519">
            <v>39799</v>
          </cell>
          <cell r="P2519">
            <v>1.00050124</v>
          </cell>
          <cell r="Q2519">
            <v>5.0251709511366833</v>
          </cell>
        </row>
        <row r="2520">
          <cell r="O2520">
            <v>39800</v>
          </cell>
          <cell r="P2520">
            <v>1.0005019399999999</v>
          </cell>
          <cell r="Q2520">
            <v>5.0276932854438963</v>
          </cell>
        </row>
        <row r="2521">
          <cell r="O2521">
            <v>39801</v>
          </cell>
          <cell r="P2521">
            <v>1.0005026400000001</v>
          </cell>
          <cell r="Q2521">
            <v>5.030220405196892</v>
          </cell>
        </row>
        <row r="2522">
          <cell r="O2522">
            <v>39804</v>
          </cell>
          <cell r="P2522">
            <v>1.00050124</v>
          </cell>
          <cell r="Q2522">
            <v>5.0327417528727922</v>
          </cell>
        </row>
        <row r="2523">
          <cell r="O2523">
            <v>39805</v>
          </cell>
          <cell r="P2523">
            <v>1.00050299</v>
          </cell>
          <cell r="Q2523">
            <v>5.03527317164707</v>
          </cell>
        </row>
        <row r="2524">
          <cell r="O2524">
            <v>39806</v>
          </cell>
          <cell r="P2524">
            <v>1.0005015900000001</v>
          </cell>
          <cell r="Q2524">
            <v>5.0377988143172363</v>
          </cell>
        </row>
        <row r="2525">
          <cell r="O2525">
            <v>39808</v>
          </cell>
          <cell r="P2525">
            <v>1.0005033400000001</v>
          </cell>
          <cell r="Q2525">
            <v>5.0403345399724353</v>
          </cell>
        </row>
        <row r="2526">
          <cell r="O2526">
            <v>39811</v>
          </cell>
          <cell r="P2526">
            <v>1.00050299</v>
          </cell>
          <cell r="Q2526">
            <v>5.0428697778426956</v>
          </cell>
        </row>
        <row r="2527">
          <cell r="O2527">
            <v>39812</v>
          </cell>
          <cell r="P2527">
            <v>1.0005057799999999</v>
          </cell>
          <cell r="Q2527">
            <v>5.0454203605189321</v>
          </cell>
        </row>
        <row r="2528">
          <cell r="O2528">
            <v>39813</v>
          </cell>
          <cell r="P2528">
            <v>1.0005064800000001</v>
          </cell>
          <cell r="Q2528">
            <v>5.0479757650231285</v>
          </cell>
        </row>
        <row r="2529">
          <cell r="O2529">
            <v>39815</v>
          </cell>
          <cell r="P2529">
            <v>1.00050683</v>
          </cell>
          <cell r="Q2529">
            <v>5.0505342305801149</v>
          </cell>
        </row>
        <row r="2530">
          <cell r="O2530">
            <v>39818</v>
          </cell>
          <cell r="P2530">
            <v>1.00050683</v>
          </cell>
          <cell r="Q2530">
            <v>5.0530939928441994</v>
          </cell>
        </row>
        <row r="2531">
          <cell r="O2531">
            <v>39819</v>
          </cell>
          <cell r="P2531">
            <v>1.0005057799999999</v>
          </cell>
          <cell r="Q2531">
            <v>5.0556497467238994</v>
          </cell>
        </row>
        <row r="2532">
          <cell r="O2532">
            <v>39820</v>
          </cell>
          <cell r="P2532">
            <v>1.00050613</v>
          </cell>
          <cell r="Q2532">
            <v>5.0582085627302087</v>
          </cell>
        </row>
        <row r="2533">
          <cell r="O2533">
            <v>39821</v>
          </cell>
          <cell r="P2533">
            <v>1.0005064800000001</v>
          </cell>
          <cell r="Q2533">
            <v>5.0607704442030608</v>
          </cell>
        </row>
        <row r="2534">
          <cell r="O2534">
            <v>39822</v>
          </cell>
          <cell r="P2534">
            <v>1.00050613</v>
          </cell>
          <cell r="Q2534">
            <v>5.0633318519479849</v>
          </cell>
        </row>
        <row r="2535">
          <cell r="O2535">
            <v>39825</v>
          </cell>
          <cell r="P2535">
            <v>1.0005064800000001</v>
          </cell>
          <cell r="Q2535">
            <v>5.0658963282643601</v>
          </cell>
        </row>
        <row r="2536">
          <cell r="O2536">
            <v>39826</v>
          </cell>
          <cell r="P2536">
            <v>1.00050613</v>
          </cell>
          <cell r="Q2536">
            <v>5.0684603303729849</v>
          </cell>
        </row>
        <row r="2537">
          <cell r="O2537">
            <v>39827</v>
          </cell>
          <cell r="P2537">
            <v>1.00050613</v>
          </cell>
          <cell r="Q2537">
            <v>5.0710256301999967</v>
          </cell>
        </row>
        <row r="2538">
          <cell r="O2538">
            <v>39828</v>
          </cell>
          <cell r="P2538">
            <v>1.00050613</v>
          </cell>
          <cell r="Q2538">
            <v>5.0735922284022097</v>
          </cell>
        </row>
        <row r="2539">
          <cell r="O2539">
            <v>39829</v>
          </cell>
          <cell r="P2539">
            <v>1.00050683</v>
          </cell>
          <cell r="Q2539">
            <v>5.0761636771513308</v>
          </cell>
        </row>
        <row r="2540">
          <cell r="O2540">
            <v>39832</v>
          </cell>
          <cell r="P2540">
            <v>1.0005064800000001</v>
          </cell>
          <cell r="Q2540">
            <v>5.0787346525305352</v>
          </cell>
        </row>
        <row r="2541">
          <cell r="O2541">
            <v>39833</v>
          </cell>
          <cell r="P2541">
            <v>1.0004984400000001</v>
          </cell>
          <cell r="Q2541">
            <v>5.0812660970307428</v>
          </cell>
        </row>
        <row r="2542">
          <cell r="O2542">
            <v>39834</v>
          </cell>
          <cell r="P2542">
            <v>1.0005008900000001</v>
          </cell>
          <cell r="Q2542">
            <v>5.0838112524060852</v>
          </cell>
        </row>
        <row r="2543">
          <cell r="O2543">
            <v>39835</v>
          </cell>
          <cell r="P2543">
            <v>1.0005064800000001</v>
          </cell>
          <cell r="Q2543">
            <v>5.0863861011292046</v>
          </cell>
        </row>
        <row r="2544">
          <cell r="O2544">
            <v>39836</v>
          </cell>
          <cell r="P2544">
            <v>1.00047138</v>
          </cell>
          <cell r="Q2544">
            <v>5.0887837218095546</v>
          </cell>
        </row>
        <row r="2545">
          <cell r="O2545">
            <v>39839</v>
          </cell>
          <cell r="P2545">
            <v>1.00047138</v>
          </cell>
          <cell r="Q2545">
            <v>5.091182472680341</v>
          </cell>
        </row>
        <row r="2546">
          <cell r="O2546">
            <v>39840</v>
          </cell>
          <cell r="P2546">
            <v>1.0004717299999999</v>
          </cell>
          <cell r="Q2546">
            <v>5.093584136188178</v>
          </cell>
        </row>
        <row r="2547">
          <cell r="O2547">
            <v>39841</v>
          </cell>
          <cell r="P2547">
            <v>1.0004717299999999</v>
          </cell>
          <cell r="Q2547">
            <v>5.0959869326327416</v>
          </cell>
        </row>
        <row r="2548">
          <cell r="O2548">
            <v>39842</v>
          </cell>
          <cell r="P2548">
            <v>1.0004717299999999</v>
          </cell>
          <cell r="Q2548">
            <v>5.098390862548472</v>
          </cell>
        </row>
        <row r="2549">
          <cell r="O2549">
            <v>39843</v>
          </cell>
          <cell r="P2549">
            <v>1.0004717299999999</v>
          </cell>
          <cell r="Q2549">
            <v>5.1007959264700613</v>
          </cell>
        </row>
        <row r="2550">
          <cell r="O2550">
            <v>39846</v>
          </cell>
          <cell r="P2550">
            <v>1.00047138</v>
          </cell>
          <cell r="Q2550">
            <v>5.1032003396538812</v>
          </cell>
        </row>
        <row r="2551">
          <cell r="O2551">
            <v>39847</v>
          </cell>
          <cell r="P2551">
            <v>1.0004720899999999</v>
          </cell>
          <cell r="Q2551">
            <v>5.1056095095022282</v>
          </cell>
        </row>
        <row r="2552">
          <cell r="O2552">
            <v>39848</v>
          </cell>
          <cell r="P2552">
            <v>1.0004717299999999</v>
          </cell>
          <cell r="Q2552">
            <v>5.1080179786761448</v>
          </cell>
        </row>
        <row r="2553">
          <cell r="O2553">
            <v>39849</v>
          </cell>
          <cell r="P2553">
            <v>1.0004720899999999</v>
          </cell>
          <cell r="Q2553">
            <v>5.1104294228836977</v>
          </cell>
        </row>
        <row r="2554">
          <cell r="O2554">
            <v>39850</v>
          </cell>
          <cell r="P2554">
            <v>1.0004720899999999</v>
          </cell>
          <cell r="Q2554">
            <v>5.1128420055099468</v>
          </cell>
        </row>
        <row r="2555">
          <cell r="O2555">
            <v>39853</v>
          </cell>
          <cell r="P2555">
            <v>1.0004720899999999</v>
          </cell>
          <cell r="Q2555">
            <v>5.115255727092328</v>
          </cell>
        </row>
        <row r="2556">
          <cell r="O2556">
            <v>39854</v>
          </cell>
          <cell r="P2556">
            <v>1.0004717299999999</v>
          </cell>
          <cell r="Q2556">
            <v>5.1176687466764683</v>
          </cell>
        </row>
        <row r="2557">
          <cell r="O2557">
            <v>39855</v>
          </cell>
          <cell r="P2557">
            <v>1.0004720899999999</v>
          </cell>
          <cell r="Q2557">
            <v>5.1200847469150865</v>
          </cell>
        </row>
        <row r="2558">
          <cell r="O2558">
            <v>39856</v>
          </cell>
          <cell r="P2558">
            <v>1.0004717299999999</v>
          </cell>
          <cell r="Q2558">
            <v>5.1225000444927486</v>
          </cell>
        </row>
        <row r="2559">
          <cell r="O2559">
            <v>39857</v>
          </cell>
          <cell r="P2559">
            <v>1.0004720899999999</v>
          </cell>
          <cell r="Q2559">
            <v>5.1249183255387525</v>
          </cell>
        </row>
        <row r="2560">
          <cell r="O2560">
            <v>39860</v>
          </cell>
          <cell r="P2560">
            <v>1.0004717299999999</v>
          </cell>
          <cell r="Q2560">
            <v>5.127335903260458</v>
          </cell>
        </row>
        <row r="2561">
          <cell r="O2561">
            <v>39861</v>
          </cell>
          <cell r="P2561">
            <v>1.0004720899999999</v>
          </cell>
          <cell r="Q2561">
            <v>5.1297564672670282</v>
          </cell>
        </row>
        <row r="2562">
          <cell r="O2562">
            <v>39862</v>
          </cell>
          <cell r="P2562">
            <v>1.0004717299999999</v>
          </cell>
          <cell r="Q2562">
            <v>5.1321763272853316</v>
          </cell>
        </row>
        <row r="2563">
          <cell r="O2563">
            <v>39863</v>
          </cell>
          <cell r="P2563">
            <v>1.0004717299999999</v>
          </cell>
          <cell r="Q2563">
            <v>5.1345973288242011</v>
          </cell>
        </row>
        <row r="2564">
          <cell r="O2564">
            <v>39864</v>
          </cell>
          <cell r="P2564">
            <v>1.0004717299999999</v>
          </cell>
          <cell r="Q2564">
            <v>5.1370194724221268</v>
          </cell>
        </row>
        <row r="2565">
          <cell r="O2565">
            <v>39869</v>
          </cell>
          <cell r="P2565">
            <v>1.0004717299999999</v>
          </cell>
          <cell r="Q2565">
            <v>5.1394427586178519</v>
          </cell>
        </row>
        <row r="2566">
          <cell r="O2566">
            <v>39870</v>
          </cell>
          <cell r="P2566">
            <v>1.0004717299999999</v>
          </cell>
          <cell r="Q2566">
            <v>5.1418671879503739</v>
          </cell>
        </row>
        <row r="2567">
          <cell r="O2567">
            <v>39871</v>
          </cell>
          <cell r="P2567">
            <v>1.0004717299999999</v>
          </cell>
          <cell r="Q2567">
            <v>5.1442927609589448</v>
          </cell>
        </row>
        <row r="2568">
          <cell r="O2568">
            <v>39874</v>
          </cell>
          <cell r="P2568">
            <v>1.0004710299999999</v>
          </cell>
          <cell r="Q2568">
            <v>5.1467158771781394</v>
          </cell>
        </row>
        <row r="2569">
          <cell r="O2569">
            <v>39875</v>
          </cell>
          <cell r="P2569">
            <v>1.00047138</v>
          </cell>
          <cell r="Q2569">
            <v>5.1491419361083235</v>
          </cell>
        </row>
        <row r="2570">
          <cell r="O2570">
            <v>39876</v>
          </cell>
          <cell r="P2570">
            <v>1.0004717299999999</v>
          </cell>
          <cell r="Q2570">
            <v>5.1515709408338433</v>
          </cell>
        </row>
        <row r="2571">
          <cell r="O2571">
            <v>39877</v>
          </cell>
          <cell r="P2571">
            <v>1.0004717299999999</v>
          </cell>
          <cell r="Q2571">
            <v>5.1540010913937619</v>
          </cell>
        </row>
        <row r="2572">
          <cell r="O2572">
            <v>39878</v>
          </cell>
          <cell r="P2572">
            <v>1.0004717299999999</v>
          </cell>
          <cell r="Q2572">
            <v>5.1564323883286045</v>
          </cell>
        </row>
        <row r="2573">
          <cell r="O2573">
            <v>39881</v>
          </cell>
          <cell r="P2573">
            <v>1.0004717299999999</v>
          </cell>
          <cell r="Q2573">
            <v>5.1588648321791499</v>
          </cell>
        </row>
        <row r="2574">
          <cell r="O2574">
            <v>39882</v>
          </cell>
          <cell r="P2574">
            <v>1.0004717299999999</v>
          </cell>
          <cell r="Q2574">
            <v>5.161298423486433</v>
          </cell>
        </row>
        <row r="2575">
          <cell r="O2575">
            <v>39883</v>
          </cell>
          <cell r="P2575">
            <v>1.0004717299999999</v>
          </cell>
          <cell r="Q2575">
            <v>5.1637331627917433</v>
          </cell>
        </row>
        <row r="2576">
          <cell r="O2576">
            <v>39884</v>
          </cell>
          <cell r="P2576">
            <v>1.0004710299999999</v>
          </cell>
          <cell r="Q2576">
            <v>5.1661654360234124</v>
          </cell>
        </row>
        <row r="2577">
          <cell r="O2577">
            <v>39885</v>
          </cell>
          <cell r="P2577">
            <v>1.0004185000000001</v>
          </cell>
          <cell r="Q2577">
            <v>5.1683274762583888</v>
          </cell>
        </row>
        <row r="2578">
          <cell r="O2578">
            <v>39888</v>
          </cell>
          <cell r="P2578">
            <v>1.0004185000000001</v>
          </cell>
          <cell r="Q2578">
            <v>5.1704904213072034</v>
          </cell>
        </row>
        <row r="2579">
          <cell r="O2579">
            <v>39889</v>
          </cell>
          <cell r="P2579">
            <v>1.000416</v>
          </cell>
          <cell r="Q2579">
            <v>5.1726413453224671</v>
          </cell>
        </row>
        <row r="2580">
          <cell r="O2580">
            <v>39890</v>
          </cell>
          <cell r="P2580">
            <v>1.00041493</v>
          </cell>
          <cell r="Q2580">
            <v>5.1747876293958823</v>
          </cell>
        </row>
        <row r="2581">
          <cell r="O2581">
            <v>39891</v>
          </cell>
          <cell r="P2581">
            <v>1.0004181400000001</v>
          </cell>
          <cell r="Q2581">
            <v>5.176951415095238</v>
          </cell>
        </row>
        <row r="2582">
          <cell r="O2582">
            <v>39892</v>
          </cell>
          <cell r="P2582">
            <v>1.0004188599999999</v>
          </cell>
          <cell r="Q2582">
            <v>5.1791198329649646</v>
          </cell>
        </row>
        <row r="2583">
          <cell r="O2583">
            <v>39895</v>
          </cell>
          <cell r="P2583">
            <v>1.0004188599999999</v>
          </cell>
          <cell r="Q2583">
            <v>5.1812891590982</v>
          </cell>
        </row>
        <row r="2584">
          <cell r="O2584">
            <v>39896</v>
          </cell>
          <cell r="P2584">
            <v>1.0004188599999999</v>
          </cell>
          <cell r="Q2584">
            <v>5.1834593938753795</v>
          </cell>
        </row>
        <row r="2585">
          <cell r="O2585">
            <v>39897</v>
          </cell>
          <cell r="P2585">
            <v>1.0004185000000001</v>
          </cell>
          <cell r="Q2585">
            <v>5.1856286716317168</v>
          </cell>
        </row>
        <row r="2586">
          <cell r="O2586">
            <v>39898</v>
          </cell>
          <cell r="P2586">
            <v>1.0004185000000001</v>
          </cell>
          <cell r="Q2586">
            <v>5.1877988572307956</v>
          </cell>
        </row>
        <row r="2587">
          <cell r="O2587">
            <v>39899</v>
          </cell>
          <cell r="P2587">
            <v>1.0004185000000001</v>
          </cell>
          <cell r="Q2587">
            <v>5.1899699510525474</v>
          </cell>
        </row>
        <row r="2588">
          <cell r="O2588">
            <v>39902</v>
          </cell>
          <cell r="P2588">
            <v>1.00041779</v>
          </cell>
          <cell r="Q2588">
            <v>5.1921382685983977</v>
          </cell>
        </row>
        <row r="2589">
          <cell r="O2589">
            <v>39903</v>
          </cell>
          <cell r="P2589">
            <v>1.0004152900000001</v>
          </cell>
          <cell r="Q2589">
            <v>5.1942945116999644</v>
          </cell>
        </row>
        <row r="2590">
          <cell r="O2590">
            <v>39904</v>
          </cell>
          <cell r="P2590">
            <v>1.0004170699999999</v>
          </cell>
          <cell r="Q2590">
            <v>5.1964608961119589</v>
          </cell>
        </row>
        <row r="2591">
          <cell r="O2591">
            <v>39905</v>
          </cell>
          <cell r="P2591">
            <v>1.0004188599999999</v>
          </cell>
          <cell r="Q2591">
            <v>5.1986374857229043</v>
          </cell>
        </row>
        <row r="2592">
          <cell r="O2592">
            <v>39906</v>
          </cell>
          <cell r="P2592">
            <v>1.0004188599999999</v>
          </cell>
          <cell r="Q2592">
            <v>5.2008149870201734</v>
          </cell>
        </row>
        <row r="2593">
          <cell r="O2593">
            <v>39909</v>
          </cell>
          <cell r="P2593">
            <v>1.0004188599999999</v>
          </cell>
          <cell r="Q2593">
            <v>5.202993400385636</v>
          </cell>
        </row>
        <row r="2594">
          <cell r="O2594">
            <v>39910</v>
          </cell>
          <cell r="P2594">
            <v>1.0004188599999999</v>
          </cell>
          <cell r="Q2594">
            <v>5.2051727262013214</v>
          </cell>
        </row>
        <row r="2595">
          <cell r="O2595">
            <v>39911</v>
          </cell>
          <cell r="P2595">
            <v>1.0004188599999999</v>
          </cell>
          <cell r="Q2595">
            <v>5.2073529648494175</v>
          </cell>
        </row>
        <row r="2596">
          <cell r="O2596">
            <v>39912</v>
          </cell>
          <cell r="P2596">
            <v>1.0004188599999999</v>
          </cell>
          <cell r="Q2596">
            <v>5.2095341167122742</v>
          </cell>
        </row>
        <row r="2597">
          <cell r="O2597">
            <v>39916</v>
          </cell>
          <cell r="P2597">
            <v>1.0004188599999999</v>
          </cell>
          <cell r="Q2597">
            <v>5.2117161821723998</v>
          </cell>
        </row>
        <row r="2598">
          <cell r="O2598">
            <v>39917</v>
          </cell>
          <cell r="P2598">
            <v>1.0004152900000001</v>
          </cell>
          <cell r="Q2598">
            <v>5.2138805557856944</v>
          </cell>
        </row>
        <row r="2599">
          <cell r="O2599">
            <v>39918</v>
          </cell>
          <cell r="P2599">
            <v>1.00041493</v>
          </cell>
          <cell r="Q2599">
            <v>5.216043951244707</v>
          </cell>
        </row>
        <row r="2600">
          <cell r="O2600">
            <v>39919</v>
          </cell>
          <cell r="P2600">
            <v>1.0004188599999999</v>
          </cell>
          <cell r="Q2600">
            <v>5.2182287434141248</v>
          </cell>
        </row>
        <row r="2601">
          <cell r="O2601">
            <v>39920</v>
          </cell>
          <cell r="P2601">
            <v>1.0004188599999999</v>
          </cell>
          <cell r="Q2601">
            <v>5.220414450705591</v>
          </cell>
        </row>
        <row r="2602">
          <cell r="O2602">
            <v>39923</v>
          </cell>
          <cell r="P2602">
            <v>1.00041636</v>
          </cell>
          <cell r="Q2602">
            <v>5.2225880224662866</v>
          </cell>
        </row>
        <row r="2603">
          <cell r="O2603">
            <v>39925</v>
          </cell>
          <cell r="P2603">
            <v>1.00041672</v>
          </cell>
          <cell r="Q2603">
            <v>5.2247643793470093</v>
          </cell>
        </row>
        <row r="2604">
          <cell r="O2604">
            <v>39926</v>
          </cell>
          <cell r="P2604">
            <v>1.0004185000000001</v>
          </cell>
          <cell r="Q2604">
            <v>5.2269509432397667</v>
          </cell>
        </row>
        <row r="2605">
          <cell r="O2605">
            <v>39927</v>
          </cell>
          <cell r="P2605">
            <v>1.0004188599999999</v>
          </cell>
          <cell r="Q2605">
            <v>5.2291403039118514</v>
          </cell>
        </row>
        <row r="2606">
          <cell r="O2606">
            <v>39930</v>
          </cell>
          <cell r="P2606">
            <v>1.0004188599999999</v>
          </cell>
          <cell r="Q2606">
            <v>5.231330581619547</v>
          </cell>
        </row>
        <row r="2607">
          <cell r="O2607">
            <v>39931</v>
          </cell>
          <cell r="P2607">
            <v>1.0004188599999999</v>
          </cell>
          <cell r="Q2607">
            <v>5.2335217767469633</v>
          </cell>
        </row>
        <row r="2608">
          <cell r="O2608">
            <v>39932</v>
          </cell>
          <cell r="P2608">
            <v>1.0004185000000001</v>
          </cell>
          <cell r="Q2608">
            <v>5.2357120056105328</v>
          </cell>
        </row>
        <row r="2609">
          <cell r="O2609">
            <v>39933</v>
          </cell>
          <cell r="P2609">
            <v>1.0004138600000001</v>
          </cell>
          <cell r="Q2609">
            <v>5.2378788573811752</v>
          </cell>
        </row>
        <row r="2610">
          <cell r="O2610">
            <v>39937</v>
          </cell>
          <cell r="P2610">
            <v>1.0003826099999999</v>
          </cell>
          <cell r="Q2610">
            <v>5.2398829222107972</v>
          </cell>
        </row>
        <row r="2611">
          <cell r="O2611">
            <v>39938</v>
          </cell>
          <cell r="P2611">
            <v>1.0003829799999999</v>
          </cell>
          <cell r="Q2611">
            <v>5.2418896925723448</v>
          </cell>
        </row>
        <row r="2612">
          <cell r="O2612">
            <v>39939</v>
          </cell>
          <cell r="P2612">
            <v>1.0003829799999999</v>
          </cell>
          <cell r="Q2612">
            <v>5.2438972314868062</v>
          </cell>
        </row>
        <row r="2613">
          <cell r="O2613">
            <v>39940</v>
          </cell>
          <cell r="P2613">
            <v>1.0003829799999999</v>
          </cell>
          <cell r="Q2613">
            <v>5.245905539248521</v>
          </cell>
        </row>
        <row r="2614">
          <cell r="O2614">
            <v>39941</v>
          </cell>
          <cell r="P2614">
            <v>1.0003829799999999</v>
          </cell>
          <cell r="Q2614">
            <v>5.2479146161519417</v>
          </cell>
        </row>
        <row r="2615">
          <cell r="O2615">
            <v>39944</v>
          </cell>
          <cell r="P2615">
            <v>1.0003826099999999</v>
          </cell>
          <cell r="Q2615">
            <v>5.249922520763227</v>
          </cell>
        </row>
        <row r="2616">
          <cell r="O2616">
            <v>39945</v>
          </cell>
          <cell r="P2616">
            <v>1.0003826099999999</v>
          </cell>
          <cell r="Q2616">
            <v>5.2519311936188959</v>
          </cell>
        </row>
        <row r="2617">
          <cell r="O2617">
            <v>39946</v>
          </cell>
          <cell r="P2617">
            <v>1.0003826099999999</v>
          </cell>
          <cell r="Q2617">
            <v>5.2539406350128859</v>
          </cell>
        </row>
        <row r="2618">
          <cell r="O2618">
            <v>39947</v>
          </cell>
          <cell r="P2618">
            <v>1.0003826099999999</v>
          </cell>
          <cell r="Q2618">
            <v>5.2559508452392478</v>
          </cell>
        </row>
        <row r="2619">
          <cell r="O2619">
            <v>39948</v>
          </cell>
          <cell r="P2619">
            <v>1.0003826099999999</v>
          </cell>
          <cell r="Q2619">
            <v>5.2579618245921447</v>
          </cell>
        </row>
        <row r="2620">
          <cell r="O2620">
            <v>39951</v>
          </cell>
          <cell r="P2620">
            <v>1.0003829799999999</v>
          </cell>
          <cell r="Q2620">
            <v>5.2599755188117268</v>
          </cell>
        </row>
        <row r="2621">
          <cell r="O2621">
            <v>39952</v>
          </cell>
          <cell r="P2621">
            <v>1.0003829799999999</v>
          </cell>
          <cell r="Q2621">
            <v>5.261989984235921</v>
          </cell>
        </row>
        <row r="2622">
          <cell r="O2622">
            <v>39953</v>
          </cell>
          <cell r="P2622">
            <v>1.0003829799999999</v>
          </cell>
          <cell r="Q2622">
            <v>5.2640052211600832</v>
          </cell>
        </row>
        <row r="2623">
          <cell r="O2623">
            <v>39954</v>
          </cell>
          <cell r="P2623">
            <v>1.0003829799999999</v>
          </cell>
          <cell r="Q2623">
            <v>5.2660212298796827</v>
          </cell>
        </row>
        <row r="2624">
          <cell r="O2624">
            <v>39955</v>
          </cell>
          <cell r="P2624">
            <v>1.0003790100000001</v>
          </cell>
          <cell r="Q2624">
            <v>5.2680171045860194</v>
          </cell>
        </row>
        <row r="2625">
          <cell r="O2625">
            <v>39958</v>
          </cell>
          <cell r="P2625">
            <v>1.00037793</v>
          </cell>
          <cell r="Q2625">
            <v>5.2700080462903554</v>
          </cell>
        </row>
        <row r="2626">
          <cell r="O2626">
            <v>39959</v>
          </cell>
          <cell r="P2626">
            <v>1.00037756</v>
          </cell>
          <cell r="Q2626">
            <v>5.2719977905283129</v>
          </cell>
        </row>
        <row r="2627">
          <cell r="O2627">
            <v>39960</v>
          </cell>
          <cell r="P2627">
            <v>1.0003826099999999</v>
          </cell>
          <cell r="Q2627">
            <v>5.2740149096029469</v>
          </cell>
        </row>
        <row r="2628">
          <cell r="O2628">
            <v>39961</v>
          </cell>
          <cell r="P2628">
            <v>1.0003826099999999</v>
          </cell>
          <cell r="Q2628">
            <v>5.2760328004475099</v>
          </cell>
        </row>
        <row r="2629">
          <cell r="O2629">
            <v>39962</v>
          </cell>
          <cell r="P2629">
            <v>1.0003818900000001</v>
          </cell>
          <cell r="Q2629">
            <v>5.2780476646136734</v>
          </cell>
        </row>
        <row r="2630">
          <cell r="O2630">
            <v>39965</v>
          </cell>
          <cell r="P2630">
            <v>1.00037865</v>
          </cell>
          <cell r="Q2630">
            <v>5.2800461973618793</v>
          </cell>
        </row>
        <row r="2631">
          <cell r="O2631">
            <v>39966</v>
          </cell>
          <cell r="P2631">
            <v>1.00037829</v>
          </cell>
          <cell r="Q2631">
            <v>5.2820435860378794</v>
          </cell>
        </row>
        <row r="2632">
          <cell r="O2632">
            <v>39967</v>
          </cell>
          <cell r="P2632">
            <v>1.0003818900000001</v>
          </cell>
          <cell r="Q2632">
            <v>5.284060745662952</v>
          </cell>
        </row>
        <row r="2633">
          <cell r="O2633">
            <v>39968</v>
          </cell>
          <cell r="P2633">
            <v>1.0003800899999999</v>
          </cell>
          <cell r="Q2633">
            <v>5.2860691643117708</v>
          </cell>
        </row>
        <row r="2634">
          <cell r="O2634">
            <v>39969</v>
          </cell>
          <cell r="P2634">
            <v>1.0003815300000001</v>
          </cell>
          <cell r="Q2634">
            <v>5.288085958280031</v>
          </cell>
        </row>
        <row r="2635">
          <cell r="O2635">
            <v>39972</v>
          </cell>
          <cell r="P2635">
            <v>1.0003818900000001</v>
          </cell>
          <cell r="Q2635">
            <v>5.2901054254266393</v>
          </cell>
        </row>
        <row r="2636">
          <cell r="O2636">
            <v>39973</v>
          </cell>
          <cell r="P2636">
            <v>1.00037865</v>
          </cell>
          <cell r="Q2636">
            <v>5.2921085238459771</v>
          </cell>
        </row>
        <row r="2637">
          <cell r="O2637">
            <v>39974</v>
          </cell>
          <cell r="P2637">
            <v>1.00037468</v>
          </cell>
          <cell r="Q2637">
            <v>5.2940913710676911</v>
          </cell>
        </row>
        <row r="2638">
          <cell r="O2638">
            <v>39976</v>
          </cell>
          <cell r="P2638">
            <v>1.0003761200000001</v>
          </cell>
          <cell r="Q2638">
            <v>5.2960825847141777</v>
          </cell>
        </row>
        <row r="2639">
          <cell r="O2639">
            <v>39979</v>
          </cell>
          <cell r="P2639">
            <v>1.0003460399999999</v>
          </cell>
          <cell r="Q2639">
            <v>5.2979152411317916</v>
          </cell>
        </row>
        <row r="2640">
          <cell r="O2640">
            <v>39980</v>
          </cell>
          <cell r="P2640">
            <v>1.0003424000000001</v>
          </cell>
          <cell r="Q2640">
            <v>5.2997292473103554</v>
          </cell>
        </row>
        <row r="2641">
          <cell r="O2641">
            <v>39981</v>
          </cell>
          <cell r="P2641">
            <v>1.0003416700000001</v>
          </cell>
          <cell r="Q2641">
            <v>5.3015400058022841</v>
          </cell>
        </row>
        <row r="2642">
          <cell r="O2642">
            <v>39982</v>
          </cell>
          <cell r="P2642">
            <v>1.0003416700000001</v>
          </cell>
          <cell r="Q2642">
            <v>5.303351382976067</v>
          </cell>
        </row>
        <row r="2643">
          <cell r="O2643">
            <v>39983</v>
          </cell>
          <cell r="P2643">
            <v>1.0003420300000001</v>
          </cell>
          <cell r="Q2643">
            <v>5.3051652882495866</v>
          </cell>
        </row>
        <row r="2644">
          <cell r="O2644">
            <v>39986</v>
          </cell>
          <cell r="P2644">
            <v>1.0003424000000001</v>
          </cell>
          <cell r="Q2644">
            <v>5.3069817768442835</v>
          </cell>
        </row>
        <row r="2645">
          <cell r="O2645">
            <v>39987</v>
          </cell>
          <cell r="P2645">
            <v>1.00034131</v>
          </cell>
          <cell r="Q2645">
            <v>5.3087931027945388</v>
          </cell>
        </row>
        <row r="2646">
          <cell r="O2646">
            <v>39988</v>
          </cell>
          <cell r="P2646">
            <v>1.00034131</v>
          </cell>
          <cell r="Q2646">
            <v>5.3106050469684538</v>
          </cell>
        </row>
        <row r="2647">
          <cell r="O2647">
            <v>39989</v>
          </cell>
          <cell r="P2647">
            <v>1.0003409400000001</v>
          </cell>
          <cell r="Q2647">
            <v>5.3124156446531678</v>
          </cell>
        </row>
        <row r="2648">
          <cell r="O2648">
            <v>39990</v>
          </cell>
          <cell r="P2648">
            <v>1.0003416700000001</v>
          </cell>
          <cell r="Q2648">
            <v>5.3142307377064766</v>
          </cell>
        </row>
        <row r="2649">
          <cell r="O2649">
            <v>39993</v>
          </cell>
          <cell r="P2649">
            <v>1.0003464</v>
          </cell>
          <cell r="Q2649">
            <v>5.3160715872340178</v>
          </cell>
        </row>
        <row r="2650">
          <cell r="O2650">
            <v>39994</v>
          </cell>
          <cell r="P2650">
            <v>1.0003460399999999</v>
          </cell>
          <cell r="Q2650">
            <v>5.3179111606460641</v>
          </cell>
        </row>
        <row r="2651">
          <cell r="O2651">
            <v>39995</v>
          </cell>
          <cell r="P2651">
            <v>1.00034058</v>
          </cell>
          <cell r="Q2651">
            <v>5.3197223348291569</v>
          </cell>
        </row>
        <row r="2652">
          <cell r="O2652">
            <v>39996</v>
          </cell>
          <cell r="P2652">
            <v>1.0003449499999999</v>
          </cell>
          <cell r="Q2652">
            <v>5.3215573730485559</v>
          </cell>
        </row>
        <row r="2653">
          <cell r="O2653">
            <v>39997</v>
          </cell>
          <cell r="P2653">
            <v>1.00034567</v>
          </cell>
          <cell r="Q2653">
            <v>5.3233968757856971</v>
          </cell>
        </row>
        <row r="2654">
          <cell r="O2654">
            <v>40000</v>
          </cell>
          <cell r="P2654">
            <v>1.0003460399999999</v>
          </cell>
          <cell r="Q2654">
            <v>5.3252389840405936</v>
          </cell>
        </row>
        <row r="2655">
          <cell r="O2655">
            <v>40001</v>
          </cell>
          <cell r="P2655">
            <v>1.0003464</v>
          </cell>
          <cell r="Q2655">
            <v>5.327083646824665</v>
          </cell>
        </row>
        <row r="2656">
          <cell r="O2656">
            <v>40002</v>
          </cell>
          <cell r="P2656">
            <v>1.0003464</v>
          </cell>
          <cell r="Q2656">
            <v>5.3289289485999252</v>
          </cell>
        </row>
        <row r="2657">
          <cell r="O2657">
            <v>40003</v>
          </cell>
          <cell r="P2657">
            <v>1.0003427600000001</v>
          </cell>
          <cell r="Q2657">
            <v>5.3307554922863476</v>
          </cell>
        </row>
        <row r="2658">
          <cell r="O2658">
            <v>40004</v>
          </cell>
          <cell r="P2658">
            <v>1.0003424000000001</v>
          </cell>
          <cell r="Q2658">
            <v>5.3325807429669068</v>
          </cell>
        </row>
        <row r="2659">
          <cell r="O2659">
            <v>40007</v>
          </cell>
          <cell r="P2659">
            <v>1.0003467699999999</v>
          </cell>
          <cell r="Q2659">
            <v>5.3344299219911449</v>
          </cell>
        </row>
        <row r="2660">
          <cell r="O2660">
            <v>40008</v>
          </cell>
          <cell r="P2660">
            <v>1.0003464</v>
          </cell>
          <cell r="Q2660">
            <v>5.3362777685161227</v>
          </cell>
        </row>
        <row r="2661">
          <cell r="O2661">
            <v>40009</v>
          </cell>
          <cell r="P2661">
            <v>1.0003420300000001</v>
          </cell>
          <cell r="Q2661">
            <v>5.338102935601289</v>
          </cell>
        </row>
        <row r="2662">
          <cell r="O2662">
            <v>40010</v>
          </cell>
          <cell r="P2662">
            <v>1.00034058</v>
          </cell>
          <cell r="Q2662">
            <v>5.339920986699096</v>
          </cell>
        </row>
        <row r="2663">
          <cell r="O2663">
            <v>40011</v>
          </cell>
          <cell r="P2663">
            <v>1.0003467699999999</v>
          </cell>
          <cell r="Q2663">
            <v>5.3417727110996536</v>
          </cell>
        </row>
        <row r="2664">
          <cell r="O2664">
            <v>40014</v>
          </cell>
          <cell r="P2664">
            <v>1.0003467699999999</v>
          </cell>
          <cell r="Q2664">
            <v>5.343625077622681</v>
          </cell>
        </row>
        <row r="2665">
          <cell r="O2665">
            <v>40015</v>
          </cell>
          <cell r="P2665">
            <v>1.0003467699999999</v>
          </cell>
          <cell r="Q2665">
            <v>5.3454780864908482</v>
          </cell>
        </row>
        <row r="2666">
          <cell r="O2666">
            <v>40016</v>
          </cell>
          <cell r="P2666">
            <v>1.0003464</v>
          </cell>
          <cell r="Q2666">
            <v>5.347329760100008</v>
          </cell>
        </row>
        <row r="2667">
          <cell r="O2667">
            <v>40017</v>
          </cell>
          <cell r="P2667">
            <v>1.0003420300000001</v>
          </cell>
          <cell r="Q2667">
            <v>5.3491587072978559</v>
          </cell>
        </row>
        <row r="2668">
          <cell r="O2668">
            <v>40018</v>
          </cell>
          <cell r="P2668">
            <v>1.00032817</v>
          </cell>
          <cell r="Q2668">
            <v>5.35091414071083</v>
          </cell>
        </row>
        <row r="2669">
          <cell r="O2669">
            <v>40021</v>
          </cell>
          <cell r="P2669">
            <v>1.00032817</v>
          </cell>
          <cell r="Q2669">
            <v>5.3526701502043865</v>
          </cell>
        </row>
        <row r="2670">
          <cell r="O2670">
            <v>40022</v>
          </cell>
          <cell r="P2670">
            <v>1.00032817</v>
          </cell>
          <cell r="Q2670">
            <v>5.3544267359675786</v>
          </cell>
        </row>
        <row r="2671">
          <cell r="O2671">
            <v>40023</v>
          </cell>
          <cell r="P2671">
            <v>1.00032415</v>
          </cell>
          <cell r="Q2671">
            <v>5.3561623733940422</v>
          </cell>
        </row>
        <row r="2672">
          <cell r="O2672">
            <v>40024</v>
          </cell>
          <cell r="P2672">
            <v>1.00032817</v>
          </cell>
          <cell r="Q2672">
            <v>5.3579201052001189</v>
          </cell>
        </row>
        <row r="2673">
          <cell r="O2673">
            <v>40025</v>
          </cell>
          <cell r="P2673">
            <v>1.0003278</v>
          </cell>
          <cell r="Q2673">
            <v>5.3596764314106036</v>
          </cell>
        </row>
        <row r="2674">
          <cell r="O2674">
            <v>40028</v>
          </cell>
          <cell r="P2674">
            <v>1.0003278</v>
          </cell>
          <cell r="Q2674">
            <v>5.3614333333448201</v>
          </cell>
        </row>
        <row r="2675">
          <cell r="O2675">
            <v>40029</v>
          </cell>
          <cell r="P2675">
            <v>1.0003285399999999</v>
          </cell>
          <cell r="Q2675">
            <v>5.363194778652157</v>
          </cell>
        </row>
        <row r="2676">
          <cell r="O2676">
            <v>40030</v>
          </cell>
          <cell r="P2676">
            <v>1.0003278</v>
          </cell>
          <cell r="Q2676">
            <v>5.364952833900599</v>
          </cell>
        </row>
        <row r="2677">
          <cell r="O2677">
            <v>40031</v>
          </cell>
          <cell r="P2677">
            <v>1.0003278</v>
          </cell>
          <cell r="Q2677">
            <v>5.3667114654395514</v>
          </cell>
        </row>
        <row r="2678">
          <cell r="O2678">
            <v>40032</v>
          </cell>
          <cell r="P2678">
            <v>1.00032817</v>
          </cell>
          <cell r="Q2678">
            <v>5.3684726591411644</v>
          </cell>
        </row>
        <row r="2679">
          <cell r="O2679">
            <v>40035</v>
          </cell>
          <cell r="P2679">
            <v>1.00032817</v>
          </cell>
          <cell r="Q2679">
            <v>5.3702344308137144</v>
          </cell>
        </row>
        <row r="2680">
          <cell r="O2680">
            <v>40036</v>
          </cell>
          <cell r="P2680">
            <v>1.00032817</v>
          </cell>
          <cell r="Q2680">
            <v>5.3719967806468745</v>
          </cell>
        </row>
        <row r="2681">
          <cell r="O2681">
            <v>40037</v>
          </cell>
          <cell r="P2681">
            <v>1.00032817</v>
          </cell>
          <cell r="Q2681">
            <v>5.373759708830379</v>
          </cell>
        </row>
        <row r="2682">
          <cell r="O2682">
            <v>40038</v>
          </cell>
          <cell r="P2682">
            <v>1.00032817</v>
          </cell>
          <cell r="Q2682">
            <v>5.3755232155540256</v>
          </cell>
        </row>
        <row r="2683">
          <cell r="O2683">
            <v>40039</v>
          </cell>
          <cell r="P2683">
            <v>1.00032817</v>
          </cell>
          <cell r="Q2683">
            <v>5.3772873010076738</v>
          </cell>
        </row>
        <row r="2684">
          <cell r="O2684">
            <v>40042</v>
          </cell>
          <cell r="P2684">
            <v>1.00032817</v>
          </cell>
          <cell r="Q2684">
            <v>5.3790519653812456</v>
          </cell>
        </row>
        <row r="2685">
          <cell r="O2685">
            <v>40043</v>
          </cell>
          <cell r="P2685">
            <v>1.00032817</v>
          </cell>
          <cell r="Q2685">
            <v>5.380817208864725</v>
          </cell>
        </row>
        <row r="2686">
          <cell r="O2686">
            <v>40044</v>
          </cell>
          <cell r="P2686">
            <v>1.00032817</v>
          </cell>
          <cell r="Q2686">
            <v>5.3825830316481582</v>
          </cell>
        </row>
        <row r="2687">
          <cell r="O2687">
            <v>40045</v>
          </cell>
          <cell r="P2687">
            <v>1.0003285399999999</v>
          </cell>
          <cell r="Q2687">
            <v>5.3843514254773757</v>
          </cell>
        </row>
        <row r="2688">
          <cell r="O2688">
            <v>40046</v>
          </cell>
          <cell r="P2688">
            <v>1.0003285399999999</v>
          </cell>
          <cell r="Q2688">
            <v>5.3861204002947014</v>
          </cell>
        </row>
        <row r="2689">
          <cell r="O2689">
            <v>40049</v>
          </cell>
          <cell r="P2689">
            <v>1.00032817</v>
          </cell>
          <cell r="Q2689">
            <v>5.3878879634264658</v>
          </cell>
        </row>
        <row r="2690">
          <cell r="O2690">
            <v>40050</v>
          </cell>
          <cell r="P2690">
            <v>1.00032817</v>
          </cell>
          <cell r="Q2690">
            <v>5.3896561066194231</v>
          </cell>
        </row>
        <row r="2691">
          <cell r="O2691">
            <v>40051</v>
          </cell>
          <cell r="P2691">
            <v>1.00032817</v>
          </cell>
          <cell r="Q2691">
            <v>5.391424830063932</v>
          </cell>
        </row>
        <row r="2692">
          <cell r="O2692">
            <v>40052</v>
          </cell>
          <cell r="P2692">
            <v>1.00032817</v>
          </cell>
          <cell r="Q2692">
            <v>5.3931941339504137</v>
          </cell>
        </row>
        <row r="2693">
          <cell r="O2693">
            <v>40053</v>
          </cell>
          <cell r="P2693">
            <v>1.00032817</v>
          </cell>
          <cell r="Q2693">
            <v>5.3949640184693521</v>
          </cell>
        </row>
        <row r="2694">
          <cell r="O2694">
            <v>40056</v>
          </cell>
          <cell r="P2694">
            <v>1.00032817</v>
          </cell>
          <cell r="Q2694">
            <v>5.3967344838112927</v>
          </cell>
        </row>
        <row r="2695">
          <cell r="O2695">
            <v>40057</v>
          </cell>
          <cell r="P2695">
            <v>1.00032817</v>
          </cell>
          <cell r="Q2695">
            <v>5.3985055301668448</v>
          </cell>
        </row>
        <row r="2696">
          <cell r="O2696">
            <v>40058</v>
          </cell>
          <cell r="P2696">
            <v>1.00032817</v>
          </cell>
          <cell r="Q2696">
            <v>5.4002771577266797</v>
          </cell>
        </row>
        <row r="2697">
          <cell r="O2697">
            <v>40059</v>
          </cell>
          <cell r="P2697">
            <v>1.00032817</v>
          </cell>
          <cell r="Q2697">
            <v>5.4020493666815304</v>
          </cell>
        </row>
        <row r="2698">
          <cell r="O2698">
            <v>40060</v>
          </cell>
          <cell r="P2698">
            <v>1.00032817</v>
          </cell>
          <cell r="Q2698">
            <v>5.4038221572221943</v>
          </cell>
        </row>
        <row r="2699">
          <cell r="O2699">
            <v>40064</v>
          </cell>
          <cell r="P2699">
            <v>1.00032817</v>
          </cell>
          <cell r="Q2699">
            <v>5.4055955295395295</v>
          </cell>
        </row>
        <row r="2700">
          <cell r="O2700">
            <v>40065</v>
          </cell>
          <cell r="P2700">
            <v>1.00032817</v>
          </cell>
          <cell r="Q2700">
            <v>5.4073694838244579</v>
          </cell>
        </row>
        <row r="2701">
          <cell r="O2701">
            <v>40066</v>
          </cell>
          <cell r="P2701">
            <v>1.0003285399999999</v>
          </cell>
          <cell r="Q2701">
            <v>5.4091460209946733</v>
          </cell>
        </row>
        <row r="2702">
          <cell r="O2702">
            <v>40067</v>
          </cell>
          <cell r="P2702">
            <v>1.0003285399999999</v>
          </cell>
          <cell r="Q2702">
            <v>5.4109231418284107</v>
          </cell>
        </row>
        <row r="2703">
          <cell r="O2703">
            <v>40070</v>
          </cell>
          <cell r="P2703">
            <v>1.0003285399999999</v>
          </cell>
          <cell r="Q2703">
            <v>5.4127008465174269</v>
          </cell>
        </row>
        <row r="2704">
          <cell r="O2704">
            <v>40071</v>
          </cell>
          <cell r="P2704">
            <v>1.0003285399999999</v>
          </cell>
          <cell r="Q2704">
            <v>5.4144791352535417</v>
          </cell>
        </row>
        <row r="2705">
          <cell r="O2705">
            <v>40072</v>
          </cell>
          <cell r="P2705">
            <v>1.00032817</v>
          </cell>
          <cell r="Q2705">
            <v>5.4162560048713573</v>
          </cell>
        </row>
        <row r="2706">
          <cell r="O2706">
            <v>40073</v>
          </cell>
          <cell r="P2706">
            <v>1.0003285399999999</v>
          </cell>
          <cell r="Q2706">
            <v>5.4180354616191977</v>
          </cell>
        </row>
        <row r="2707">
          <cell r="O2707">
            <v>40074</v>
          </cell>
          <cell r="P2707">
            <v>1.00032817</v>
          </cell>
          <cell r="Q2707">
            <v>5.4198134983166373</v>
          </cell>
        </row>
        <row r="2708">
          <cell r="O2708">
            <v>40077</v>
          </cell>
          <cell r="P2708">
            <v>1.0003285399999999</v>
          </cell>
          <cell r="Q2708">
            <v>5.4215941238433736</v>
          </cell>
        </row>
        <row r="2709">
          <cell r="O2709">
            <v>40078</v>
          </cell>
          <cell r="P2709">
            <v>1.00032817</v>
          </cell>
          <cell r="Q2709">
            <v>5.4233733283869947</v>
          </cell>
        </row>
        <row r="2710">
          <cell r="O2710">
            <v>40079</v>
          </cell>
          <cell r="P2710">
            <v>1.0003285399999999</v>
          </cell>
          <cell r="Q2710">
            <v>5.4251551234603026</v>
          </cell>
        </row>
        <row r="2711">
          <cell r="O2711">
            <v>40080</v>
          </cell>
          <cell r="P2711">
            <v>1.0003285399999999</v>
          </cell>
          <cell r="Q2711">
            <v>5.426937503924564</v>
          </cell>
        </row>
        <row r="2712">
          <cell r="O2712">
            <v>40081</v>
          </cell>
          <cell r="P2712">
            <v>1.00032817</v>
          </cell>
          <cell r="Q2712">
            <v>5.4287184620052269</v>
          </cell>
        </row>
        <row r="2713">
          <cell r="O2713">
            <v>40084</v>
          </cell>
          <cell r="P2713">
            <v>1.00032817</v>
          </cell>
          <cell r="Q2713">
            <v>5.4305000045429033</v>
          </cell>
        </row>
        <row r="2714">
          <cell r="O2714">
            <v>40085</v>
          </cell>
          <cell r="P2714">
            <v>1.00032817</v>
          </cell>
          <cell r="Q2714">
            <v>5.4322821317293943</v>
          </cell>
        </row>
        <row r="2715">
          <cell r="O2715">
            <v>40086</v>
          </cell>
          <cell r="P2715">
            <v>1.00032707</v>
          </cell>
          <cell r="Q2715">
            <v>5.4340588682462192</v>
          </cell>
        </row>
        <row r="2716">
          <cell r="O2716">
            <v>40087</v>
          </cell>
          <cell r="P2716">
            <v>1.00032744</v>
          </cell>
          <cell r="Q2716">
            <v>5.4358381964820373</v>
          </cell>
        </row>
        <row r="2717">
          <cell r="O2717">
            <v>40088</v>
          </cell>
          <cell r="P2717">
            <v>1.00032817</v>
          </cell>
          <cell r="Q2717">
            <v>5.4376220755029765</v>
          </cell>
        </row>
        <row r="2718">
          <cell r="O2718">
            <v>40091</v>
          </cell>
          <cell r="P2718">
            <v>1.00032817</v>
          </cell>
          <cell r="Q2718">
            <v>5.439406539939494</v>
          </cell>
        </row>
        <row r="2719">
          <cell r="O2719">
            <v>40092</v>
          </cell>
          <cell r="P2719">
            <v>1.00032817</v>
          </cell>
          <cell r="Q2719">
            <v>5.4411915899837053</v>
          </cell>
        </row>
        <row r="2720">
          <cell r="O2720">
            <v>40093</v>
          </cell>
          <cell r="P2720">
            <v>1.00032817</v>
          </cell>
          <cell r="Q2720">
            <v>5.4429772258277902</v>
          </cell>
        </row>
        <row r="2721">
          <cell r="O2721">
            <v>40094</v>
          </cell>
          <cell r="P2721">
            <v>1.00032817</v>
          </cell>
          <cell r="Q2721">
            <v>5.4447634476639895</v>
          </cell>
        </row>
        <row r="2722">
          <cell r="O2722">
            <v>40095</v>
          </cell>
          <cell r="P2722">
            <v>1.0003278</v>
          </cell>
          <cell r="Q2722">
            <v>5.4465482411221338</v>
          </cell>
        </row>
        <row r="2723">
          <cell r="O2723">
            <v>40099</v>
          </cell>
          <cell r="P2723">
            <v>1.0003278</v>
          </cell>
          <cell r="Q2723">
            <v>5.4483336196355738</v>
          </cell>
        </row>
        <row r="2724">
          <cell r="O2724">
            <v>40100</v>
          </cell>
          <cell r="P2724">
            <v>1.0003278</v>
          </cell>
          <cell r="Q2724">
            <v>5.4501195833960905</v>
          </cell>
        </row>
        <row r="2725">
          <cell r="O2725">
            <v>40101</v>
          </cell>
          <cell r="P2725">
            <v>1.0003278</v>
          </cell>
          <cell r="Q2725">
            <v>5.4519061325955276</v>
          </cell>
        </row>
        <row r="2726">
          <cell r="O2726">
            <v>40102</v>
          </cell>
          <cell r="P2726">
            <v>1.0003278</v>
          </cell>
          <cell r="Q2726">
            <v>5.4536932674257921</v>
          </cell>
        </row>
        <row r="2727">
          <cell r="O2727">
            <v>40105</v>
          </cell>
          <cell r="P2727">
            <v>1.00032817</v>
          </cell>
          <cell r="Q2727">
            <v>5.4554830059453634</v>
          </cell>
        </row>
        <row r="2728">
          <cell r="O2728">
            <v>40106</v>
          </cell>
          <cell r="P2728">
            <v>1.00032817</v>
          </cell>
          <cell r="Q2728">
            <v>5.4572733318034246</v>
          </cell>
        </row>
        <row r="2729">
          <cell r="O2729">
            <v>40107</v>
          </cell>
          <cell r="P2729">
            <v>1.00032817</v>
          </cell>
          <cell r="Q2729">
            <v>5.4590642451927227</v>
          </cell>
        </row>
        <row r="2730">
          <cell r="O2730">
            <v>40108</v>
          </cell>
          <cell r="P2730">
            <v>1.00032817</v>
          </cell>
          <cell r="Q2730">
            <v>5.4608557463060672</v>
          </cell>
        </row>
        <row r="2731">
          <cell r="O2731">
            <v>40109</v>
          </cell>
          <cell r="P2731">
            <v>1.00032817</v>
          </cell>
          <cell r="Q2731">
            <v>5.4626478353363321</v>
          </cell>
        </row>
        <row r="2732">
          <cell r="O2732">
            <v>40112</v>
          </cell>
          <cell r="P2732">
            <v>1.00032817</v>
          </cell>
          <cell r="Q2732">
            <v>5.4644405124764539</v>
          </cell>
        </row>
        <row r="2733">
          <cell r="O2733">
            <v>40113</v>
          </cell>
          <cell r="P2733">
            <v>1.00032817</v>
          </cell>
          <cell r="Q2733">
            <v>5.4662337779194328</v>
          </cell>
        </row>
        <row r="2734">
          <cell r="O2734">
            <v>40114</v>
          </cell>
          <cell r="P2734">
            <v>1.00032817</v>
          </cell>
          <cell r="Q2734">
            <v>5.4680276318583321</v>
          </cell>
        </row>
        <row r="2735">
          <cell r="O2735">
            <v>40115</v>
          </cell>
          <cell r="P2735">
            <v>1.0003278</v>
          </cell>
          <cell r="Q2735">
            <v>5.4698200513160549</v>
          </cell>
        </row>
        <row r="2736">
          <cell r="O2736">
            <v>40116</v>
          </cell>
          <cell r="P2736">
            <v>1.00032817</v>
          </cell>
          <cell r="Q2736">
            <v>5.4716150821622946</v>
          </cell>
        </row>
        <row r="2737">
          <cell r="O2737">
            <v>40120</v>
          </cell>
          <cell r="P2737">
            <v>1.00032817</v>
          </cell>
          <cell r="Q2737">
            <v>5.4734107020838074</v>
          </cell>
        </row>
        <row r="2738">
          <cell r="O2738">
            <v>40121</v>
          </cell>
          <cell r="P2738">
            <v>1.0003285399999999</v>
          </cell>
          <cell r="Q2738">
            <v>5.4752089364358696</v>
          </cell>
        </row>
        <row r="2739">
          <cell r="O2739">
            <v>40122</v>
          </cell>
          <cell r="P2739">
            <v>1.0003285399999999</v>
          </cell>
          <cell r="Q2739">
            <v>5.4770077615798458</v>
          </cell>
        </row>
        <row r="2740">
          <cell r="O2740">
            <v>40123</v>
          </cell>
          <cell r="P2740">
            <v>1.0003285399999999</v>
          </cell>
          <cell r="Q2740">
            <v>5.4788071777098351</v>
          </cell>
        </row>
        <row r="2741">
          <cell r="O2741">
            <v>40126</v>
          </cell>
          <cell r="P2741">
            <v>1.0003285399999999</v>
          </cell>
          <cell r="Q2741">
            <v>5.4806071850199993</v>
          </cell>
        </row>
        <row r="2742">
          <cell r="O2742">
            <v>40127</v>
          </cell>
          <cell r="P2742">
            <v>1.0003285399999999</v>
          </cell>
          <cell r="Q2742">
            <v>5.4824077837045655</v>
          </cell>
        </row>
        <row r="2743">
          <cell r="O2743">
            <v>40128</v>
          </cell>
          <cell r="P2743">
            <v>1.0003285399999999</v>
          </cell>
          <cell r="Q2743">
            <v>5.4842089739578235</v>
          </cell>
        </row>
        <row r="2744">
          <cell r="O2744">
            <v>40129</v>
          </cell>
          <cell r="P2744">
            <v>1.0003289</v>
          </cell>
          <cell r="Q2744">
            <v>5.4860127302893584</v>
          </cell>
        </row>
        <row r="2745">
          <cell r="O2745">
            <v>40130</v>
          </cell>
          <cell r="P2745">
            <v>1.0003285399999999</v>
          </cell>
          <cell r="Q2745">
            <v>5.4878151049117676</v>
          </cell>
        </row>
        <row r="2746">
          <cell r="O2746">
            <v>40133</v>
          </cell>
          <cell r="P2746">
            <v>1.0003285399999999</v>
          </cell>
          <cell r="Q2746">
            <v>5.4896180716863352</v>
          </cell>
        </row>
        <row r="2747">
          <cell r="O2747">
            <v>40134</v>
          </cell>
          <cell r="P2747">
            <v>1.0003285399999999</v>
          </cell>
          <cell r="Q2747">
            <v>5.4914216308076069</v>
          </cell>
        </row>
        <row r="2748">
          <cell r="O2748">
            <v>40135</v>
          </cell>
          <cell r="P2748">
            <v>1.00032817</v>
          </cell>
          <cell r="Q2748">
            <v>5.493223750644189</v>
          </cell>
        </row>
        <row r="2749">
          <cell r="O2749">
            <v>40136</v>
          </cell>
          <cell r="P2749">
            <v>1.00032817</v>
          </cell>
          <cell r="Q2749">
            <v>5.4950264618824374</v>
          </cell>
        </row>
        <row r="2750">
          <cell r="O2750">
            <v>40137</v>
          </cell>
          <cell r="P2750">
            <v>1.00032817</v>
          </cell>
          <cell r="Q2750">
            <v>5.4968297647164333</v>
          </cell>
        </row>
        <row r="2751">
          <cell r="O2751">
            <v>40140</v>
          </cell>
          <cell r="P2751">
            <v>1.0003285399999999</v>
          </cell>
          <cell r="Q2751">
            <v>5.4986356931673326</v>
          </cell>
        </row>
        <row r="2752">
          <cell r="O2752">
            <v>40141</v>
          </cell>
          <cell r="P2752">
            <v>1.0003278</v>
          </cell>
          <cell r="Q2752">
            <v>5.5004381459475526</v>
          </cell>
        </row>
        <row r="2753">
          <cell r="O2753">
            <v>40142</v>
          </cell>
          <cell r="P2753">
            <v>1.0003289</v>
          </cell>
          <cell r="Q2753">
            <v>5.5022472400537543</v>
          </cell>
        </row>
        <row r="2754">
          <cell r="O2754">
            <v>40143</v>
          </cell>
          <cell r="P2754">
            <v>1.0003292699999999</v>
          </cell>
          <cell r="Q2754">
            <v>5.5040589650024865</v>
          </cell>
        </row>
        <row r="2755">
          <cell r="O2755">
            <v>40144</v>
          </cell>
          <cell r="P2755">
            <v>1.0003292699999999</v>
          </cell>
          <cell r="Q2755">
            <v>5.5058712864978929</v>
          </cell>
        </row>
        <row r="2756">
          <cell r="O2756">
            <v>40147</v>
          </cell>
          <cell r="P2756">
            <v>1.00032744</v>
          </cell>
          <cell r="Q2756">
            <v>5.507674128991944</v>
          </cell>
        </row>
        <row r="2757">
          <cell r="O2757">
            <v>40148</v>
          </cell>
          <cell r="P2757">
            <v>1.00032817</v>
          </cell>
          <cell r="Q2757">
            <v>5.5094815824108547</v>
          </cell>
        </row>
        <row r="2758">
          <cell r="O2758">
            <v>40149</v>
          </cell>
          <cell r="P2758">
            <v>1.00032744</v>
          </cell>
          <cell r="Q2758">
            <v>5.5112856070601994</v>
          </cell>
        </row>
        <row r="2759">
          <cell r="O2759">
            <v>40150</v>
          </cell>
          <cell r="P2759">
            <v>1.0003285399999999</v>
          </cell>
          <cell r="Q2759">
            <v>5.5130962848335425</v>
          </cell>
        </row>
        <row r="2760">
          <cell r="O2760">
            <v>40151</v>
          </cell>
          <cell r="P2760">
            <v>1.0003285399999999</v>
          </cell>
          <cell r="Q2760">
            <v>5.5149075574869615</v>
          </cell>
        </row>
        <row r="2761">
          <cell r="O2761">
            <v>40154</v>
          </cell>
          <cell r="P2761">
            <v>1.00032817</v>
          </cell>
          <cell r="Q2761">
            <v>5.5167173847001019</v>
          </cell>
        </row>
        <row r="2762">
          <cell r="O2762">
            <v>40155</v>
          </cell>
          <cell r="P2762">
            <v>1.0003259799999999</v>
          </cell>
          <cell r="Q2762">
            <v>5.5185157242331657</v>
          </cell>
        </row>
        <row r="2763">
          <cell r="O2763">
            <v>40156</v>
          </cell>
          <cell r="P2763">
            <v>1.0003278</v>
          </cell>
          <cell r="Q2763">
            <v>5.5203246936875692</v>
          </cell>
        </row>
        <row r="2764">
          <cell r="O2764">
            <v>40157</v>
          </cell>
          <cell r="P2764">
            <v>1.0003285399999999</v>
          </cell>
          <cell r="Q2764">
            <v>5.5221383411624325</v>
          </cell>
        </row>
        <row r="2765">
          <cell r="O2765">
            <v>40158</v>
          </cell>
          <cell r="P2765">
            <v>1.00032817</v>
          </cell>
          <cell r="Q2765">
            <v>5.5239505413018515</v>
          </cell>
        </row>
        <row r="2766">
          <cell r="O2766">
            <v>40161</v>
          </cell>
          <cell r="P2766">
            <v>1.00032817</v>
          </cell>
          <cell r="Q2766">
            <v>5.5257633361509901</v>
          </cell>
        </row>
        <row r="2767">
          <cell r="O2767">
            <v>40162</v>
          </cell>
          <cell r="P2767">
            <v>1.00032817</v>
          </cell>
          <cell r="Q2767">
            <v>5.527576725905015</v>
          </cell>
        </row>
        <row r="2768">
          <cell r="O2768">
            <v>40163</v>
          </cell>
          <cell r="P2768">
            <v>1.0003285399999999</v>
          </cell>
          <cell r="Q2768">
            <v>5.5293927559625438</v>
          </cell>
        </row>
        <row r="2769">
          <cell r="O2769">
            <v>40164</v>
          </cell>
          <cell r="P2769">
            <v>1.0003285399999999</v>
          </cell>
          <cell r="Q2769">
            <v>5.5312093826585871</v>
          </cell>
        </row>
        <row r="2770">
          <cell r="O2770">
            <v>40165</v>
          </cell>
          <cell r="P2770">
            <v>1.0003285399999999</v>
          </cell>
          <cell r="Q2770">
            <v>5.5330266061891651</v>
          </cell>
        </row>
        <row r="2771">
          <cell r="O2771">
            <v>40168</v>
          </cell>
          <cell r="P2771">
            <v>1.0003285399999999</v>
          </cell>
          <cell r="Q2771">
            <v>5.5348444267503618</v>
          </cell>
        </row>
        <row r="2772">
          <cell r="O2772">
            <v>40169</v>
          </cell>
          <cell r="P2772">
            <v>1.0003289</v>
          </cell>
          <cell r="Q2772">
            <v>5.5366648370823199</v>
          </cell>
        </row>
        <row r="2773">
          <cell r="O2773">
            <v>40170</v>
          </cell>
          <cell r="P2773">
            <v>1.00032817</v>
          </cell>
          <cell r="Q2773">
            <v>5.5384818043819051</v>
          </cell>
        </row>
        <row r="2774">
          <cell r="O2774">
            <v>40171</v>
          </cell>
          <cell r="P2774">
            <v>1.0003278</v>
          </cell>
          <cell r="Q2774">
            <v>5.5402973187173812</v>
          </cell>
        </row>
        <row r="2775">
          <cell r="O2775">
            <v>40175</v>
          </cell>
          <cell r="P2775">
            <v>1.0003278</v>
          </cell>
          <cell r="Q2775">
            <v>5.5421134281784568</v>
          </cell>
        </row>
        <row r="2776">
          <cell r="O2776">
            <v>40176</v>
          </cell>
          <cell r="P2776">
            <v>1.00032817</v>
          </cell>
          <cell r="Q2776">
            <v>5.5439321835421822</v>
          </cell>
        </row>
        <row r="2777">
          <cell r="O2777">
            <v>40177</v>
          </cell>
          <cell r="P2777">
            <v>1.00032817</v>
          </cell>
          <cell r="Q2777">
            <v>5.545751535766855</v>
          </cell>
        </row>
        <row r="2778">
          <cell r="O2778">
            <v>40178</v>
          </cell>
          <cell r="P2778">
            <v>1.00032561</v>
          </cell>
          <cell r="Q2778">
            <v>5.5475572879244162</v>
          </cell>
        </row>
        <row r="2779">
          <cell r="O2779">
            <v>40182</v>
          </cell>
          <cell r="P2779">
            <v>1.00032561</v>
          </cell>
          <cell r="Q2779">
            <v>5.5493636280529373</v>
          </cell>
        </row>
        <row r="2780">
          <cell r="O2780">
            <v>40183</v>
          </cell>
          <cell r="P2780">
            <v>1.0003278</v>
          </cell>
          <cell r="Q2780">
            <v>5.5511827094502131</v>
          </cell>
        </row>
        <row r="2781">
          <cell r="O2781">
            <v>40184</v>
          </cell>
          <cell r="P2781">
            <v>1.0003278</v>
          </cell>
          <cell r="Q2781">
            <v>5.5530023871423708</v>
          </cell>
        </row>
        <row r="2782">
          <cell r="O2782">
            <v>40185</v>
          </cell>
          <cell r="P2782">
            <v>1.0003278</v>
          </cell>
          <cell r="Q2782">
            <v>5.5548226613248763</v>
          </cell>
        </row>
        <row r="2783">
          <cell r="O2783">
            <v>40186</v>
          </cell>
          <cell r="P2783">
            <v>1.00032817</v>
          </cell>
          <cell r="Q2783">
            <v>5.556645587477643</v>
          </cell>
        </row>
        <row r="2784">
          <cell r="O2784">
            <v>40189</v>
          </cell>
          <cell r="P2784">
            <v>1.00032817</v>
          </cell>
          <cell r="Q2784">
            <v>5.5584691118600853</v>
          </cell>
        </row>
        <row r="2785">
          <cell r="O2785">
            <v>40190</v>
          </cell>
          <cell r="P2785">
            <v>1.00032817</v>
          </cell>
          <cell r="Q2785">
            <v>5.5602932346685243</v>
          </cell>
        </row>
        <row r="2786">
          <cell r="O2786">
            <v>40191</v>
          </cell>
          <cell r="P2786">
            <v>1.00032817</v>
          </cell>
          <cell r="Q2786">
            <v>5.5621179560993452</v>
          </cell>
        </row>
        <row r="2787">
          <cell r="O2787">
            <v>40192</v>
          </cell>
          <cell r="P2787">
            <v>1.00032817</v>
          </cell>
          <cell r="Q2787">
            <v>5.563943276348998</v>
          </cell>
        </row>
        <row r="2788">
          <cell r="O2788">
            <v>40193</v>
          </cell>
          <cell r="P2788">
            <v>1.00032817</v>
          </cell>
          <cell r="Q2788">
            <v>5.5657691956139974</v>
          </cell>
        </row>
        <row r="2789">
          <cell r="O2789">
            <v>40196</v>
          </cell>
          <cell r="P2789">
            <v>1.0003278</v>
          </cell>
          <cell r="Q2789">
            <v>5.5675936547563198</v>
          </cell>
        </row>
        <row r="2790">
          <cell r="O2790">
            <v>40197</v>
          </cell>
          <cell r="P2790">
            <v>1.0003278</v>
          </cell>
          <cell r="Q2790">
            <v>5.5694187119563487</v>
          </cell>
        </row>
        <row r="2791">
          <cell r="O2791">
            <v>40198</v>
          </cell>
          <cell r="P2791">
            <v>1.0003278</v>
          </cell>
          <cell r="Q2791">
            <v>5.5712443674101282</v>
          </cell>
        </row>
        <row r="2792">
          <cell r="O2792">
            <v>40199</v>
          </cell>
          <cell r="P2792">
            <v>1.00032817</v>
          </cell>
          <cell r="Q2792">
            <v>5.573072682674181</v>
          </cell>
        </row>
        <row r="2793">
          <cell r="O2793">
            <v>40200</v>
          </cell>
          <cell r="P2793">
            <v>1.00032817</v>
          </cell>
          <cell r="Q2793">
            <v>5.5749015979364538</v>
          </cell>
        </row>
        <row r="2794">
          <cell r="O2794">
            <v>40203</v>
          </cell>
          <cell r="P2794">
            <v>1.00032817</v>
          </cell>
          <cell r="Q2794">
            <v>5.5767311133938486</v>
          </cell>
        </row>
        <row r="2795">
          <cell r="O2795">
            <v>40204</v>
          </cell>
          <cell r="P2795">
            <v>1.00032817</v>
          </cell>
          <cell r="Q2795">
            <v>5.5785612292433306</v>
          </cell>
        </row>
        <row r="2796">
          <cell r="O2796">
            <v>40205</v>
          </cell>
          <cell r="P2796">
            <v>1.00032817</v>
          </cell>
          <cell r="Q2796">
            <v>5.5803919456819315</v>
          </cell>
        </row>
        <row r="2797">
          <cell r="O2797">
            <v>40206</v>
          </cell>
          <cell r="P2797">
            <v>1.00032817</v>
          </cell>
          <cell r="Q2797">
            <v>5.5822232629067461</v>
          </cell>
        </row>
        <row r="2798">
          <cell r="O2798">
            <v>40207</v>
          </cell>
          <cell r="P2798">
            <v>1.00032817</v>
          </cell>
          <cell r="Q2798">
            <v>5.5840551811149339</v>
          </cell>
        </row>
        <row r="2799">
          <cell r="O2799">
            <v>40210</v>
          </cell>
          <cell r="P2799">
            <v>1.0003285399999999</v>
          </cell>
          <cell r="Q2799">
            <v>5.5858897666041374</v>
          </cell>
        </row>
        <row r="2800">
          <cell r="O2800">
            <v>40211</v>
          </cell>
          <cell r="P2800">
            <v>1.0003285399999999</v>
          </cell>
          <cell r="Q2800">
            <v>5.5877249548280572</v>
          </cell>
        </row>
        <row r="2801">
          <cell r="O2801">
            <v>40212</v>
          </cell>
          <cell r="P2801">
            <v>1.00032817</v>
          </cell>
          <cell r="Q2801">
            <v>5.5895586785264832</v>
          </cell>
        </row>
        <row r="2802">
          <cell r="O2802">
            <v>40213</v>
          </cell>
          <cell r="P2802">
            <v>1.0003278</v>
          </cell>
          <cell r="Q2802">
            <v>5.5913909358613045</v>
          </cell>
        </row>
        <row r="2803">
          <cell r="O2803">
            <v>40214</v>
          </cell>
          <cell r="P2803">
            <v>1.00032817</v>
          </cell>
          <cell r="Q2803">
            <v>5.5932258626247258</v>
          </cell>
        </row>
        <row r="2804">
          <cell r="O2804">
            <v>40217</v>
          </cell>
          <cell r="P2804">
            <v>1.00032817</v>
          </cell>
          <cell r="Q2804">
            <v>5.5950613915560634</v>
          </cell>
        </row>
        <row r="2805">
          <cell r="O2805">
            <v>40218</v>
          </cell>
          <cell r="P2805">
            <v>1.00032817</v>
          </cell>
          <cell r="Q2805">
            <v>5.5968975228529301</v>
          </cell>
        </row>
        <row r="2806">
          <cell r="O2806">
            <v>40219</v>
          </cell>
          <cell r="P2806">
            <v>1.00032817</v>
          </cell>
          <cell r="Q2806">
            <v>5.5987342567130041</v>
          </cell>
        </row>
        <row r="2807">
          <cell r="O2807">
            <v>40220</v>
          </cell>
          <cell r="P2807">
            <v>1.00032817</v>
          </cell>
          <cell r="Q2807">
            <v>5.6005715933340294</v>
          </cell>
        </row>
        <row r="2808">
          <cell r="O2808">
            <v>40221</v>
          </cell>
          <cell r="P2808">
            <v>1.00032817</v>
          </cell>
          <cell r="Q2808">
            <v>5.6024095329138133</v>
          </cell>
        </row>
        <row r="2809">
          <cell r="O2809">
            <v>40226</v>
          </cell>
          <cell r="P2809">
            <v>1.00032817</v>
          </cell>
          <cell r="Q2809">
            <v>5.6042480756502293</v>
          </cell>
        </row>
        <row r="2810">
          <cell r="O2810">
            <v>40227</v>
          </cell>
          <cell r="P2810">
            <v>1.00032817</v>
          </cell>
          <cell r="Q2810">
            <v>5.6060872217412152</v>
          </cell>
        </row>
        <row r="2811">
          <cell r="O2811">
            <v>40228</v>
          </cell>
          <cell r="P2811">
            <v>1.0003285399999999</v>
          </cell>
          <cell r="Q2811">
            <v>5.6079290456370456</v>
          </cell>
        </row>
        <row r="2812">
          <cell r="O2812">
            <v>40231</v>
          </cell>
          <cell r="P2812">
            <v>1.0003285399999999</v>
          </cell>
          <cell r="Q2812">
            <v>5.609771474645699</v>
          </cell>
        </row>
        <row r="2813">
          <cell r="O2813">
            <v>40232</v>
          </cell>
          <cell r="P2813">
            <v>1.0003285399999999</v>
          </cell>
          <cell r="Q2813">
            <v>5.611614508965979</v>
          </cell>
        </row>
        <row r="2814">
          <cell r="O2814">
            <v>40233</v>
          </cell>
          <cell r="P2814">
            <v>1.0003285399999999</v>
          </cell>
          <cell r="Q2814">
            <v>5.6134581487967541</v>
          </cell>
        </row>
        <row r="2815">
          <cell r="O2815">
            <v>40234</v>
          </cell>
          <cell r="P2815">
            <v>1.00032817</v>
          </cell>
          <cell r="Q2815">
            <v>5.6153003173574447</v>
          </cell>
        </row>
        <row r="2816">
          <cell r="O2816">
            <v>40235</v>
          </cell>
          <cell r="P2816">
            <v>1.00032817</v>
          </cell>
          <cell r="Q2816">
            <v>5.6171430904625916</v>
          </cell>
        </row>
        <row r="2817">
          <cell r="O2817">
            <v>40238</v>
          </cell>
          <cell r="P2817">
            <v>1.00032817</v>
          </cell>
          <cell r="Q2817">
            <v>5.6189864683105881</v>
          </cell>
        </row>
        <row r="2818">
          <cell r="O2818">
            <v>40239</v>
          </cell>
          <cell r="P2818">
            <v>1.0003278</v>
          </cell>
          <cell r="Q2818">
            <v>5.6208283720749002</v>
          </cell>
        </row>
        <row r="2819">
          <cell r="O2819">
            <v>40240</v>
          </cell>
          <cell r="P2819">
            <v>1.00032817</v>
          </cell>
          <cell r="Q2819">
            <v>5.6226729593217639</v>
          </cell>
        </row>
        <row r="2820">
          <cell r="O2820">
            <v>40241</v>
          </cell>
          <cell r="P2820">
            <v>1.00032817</v>
          </cell>
          <cell r="Q2820">
            <v>5.6245181519068241</v>
          </cell>
        </row>
        <row r="2821">
          <cell r="O2821">
            <v>40242</v>
          </cell>
          <cell r="P2821">
            <v>1.0003278</v>
          </cell>
          <cell r="Q2821">
            <v>5.6263618689570194</v>
          </cell>
        </row>
        <row r="2822">
          <cell r="O2822">
            <v>40245</v>
          </cell>
          <cell r="P2822">
            <v>1.0003278</v>
          </cell>
          <cell r="Q2822">
            <v>5.6282061903776635</v>
          </cell>
        </row>
        <row r="2823">
          <cell r="O2823">
            <v>40246</v>
          </cell>
          <cell r="P2823">
            <v>1.0003285399999999</v>
          </cell>
          <cell r="Q2823">
            <v>5.63005528123945</v>
          </cell>
        </row>
        <row r="2824">
          <cell r="O2824">
            <v>40247</v>
          </cell>
          <cell r="P2824">
            <v>1.0003285399999999</v>
          </cell>
          <cell r="Q2824">
            <v>5.6319049796015479</v>
          </cell>
        </row>
        <row r="2825">
          <cell r="O2825">
            <v>40248</v>
          </cell>
          <cell r="P2825">
            <v>1.0003285399999999</v>
          </cell>
          <cell r="Q2825">
            <v>5.633755285663546</v>
          </cell>
        </row>
        <row r="2826">
          <cell r="O2826">
            <v>40249</v>
          </cell>
          <cell r="P2826">
            <v>1.00032817</v>
          </cell>
          <cell r="Q2826">
            <v>5.6356041151356422</v>
          </cell>
        </row>
        <row r="2827">
          <cell r="O2827">
            <v>40252</v>
          </cell>
          <cell r="P2827">
            <v>1.0003278</v>
          </cell>
          <cell r="Q2827">
            <v>5.6374514661645838</v>
          </cell>
        </row>
        <row r="2828">
          <cell r="O2828">
            <v>40253</v>
          </cell>
          <cell r="P2828">
            <v>1.00032817</v>
          </cell>
          <cell r="Q2828">
            <v>5.6393015086122347</v>
          </cell>
        </row>
        <row r="2829">
          <cell r="O2829">
            <v>40254</v>
          </cell>
          <cell r="P2829">
            <v>1.0003278</v>
          </cell>
          <cell r="Q2829">
            <v>5.6411500716467575</v>
          </cell>
        </row>
        <row r="2830">
          <cell r="O2830">
            <v>40255</v>
          </cell>
          <cell r="P2830">
            <v>1.00032817</v>
          </cell>
          <cell r="Q2830">
            <v>5.64300132786577</v>
          </cell>
        </row>
        <row r="2831">
          <cell r="O2831">
            <v>40256</v>
          </cell>
          <cell r="P2831">
            <v>1.0003278</v>
          </cell>
          <cell r="Q2831">
            <v>5.6448511037010443</v>
          </cell>
        </row>
        <row r="2832">
          <cell r="O2832">
            <v>40259</v>
          </cell>
          <cell r="P2832">
            <v>1.00032817</v>
          </cell>
          <cell r="Q2832">
            <v>5.6467035744877458</v>
          </cell>
        </row>
        <row r="2833">
          <cell r="O2833">
            <v>40260</v>
          </cell>
          <cell r="P2833">
            <v>1.00032817</v>
          </cell>
          <cell r="Q2833">
            <v>5.6485566531997851</v>
          </cell>
        </row>
        <row r="2834">
          <cell r="O2834">
            <v>40261</v>
          </cell>
          <cell r="P2834">
            <v>1.00032817</v>
          </cell>
          <cell r="Q2834">
            <v>5.6504103400366654</v>
          </cell>
        </row>
        <row r="2835">
          <cell r="O2835">
            <v>40262</v>
          </cell>
          <cell r="P2835">
            <v>1.00032817</v>
          </cell>
          <cell r="Q2835">
            <v>5.6522646351979553</v>
          </cell>
        </row>
        <row r="2836">
          <cell r="O2836">
            <v>40263</v>
          </cell>
          <cell r="P2836">
            <v>1.0003278</v>
          </cell>
          <cell r="Q2836">
            <v>5.6541174475453735</v>
          </cell>
        </row>
        <row r="2837">
          <cell r="O2837">
            <v>40266</v>
          </cell>
          <cell r="P2837">
            <v>1.00032744</v>
          </cell>
          <cell r="Q2837">
            <v>5.6559688317623973</v>
          </cell>
        </row>
        <row r="2838">
          <cell r="O2838">
            <v>40267</v>
          </cell>
          <cell r="P2838">
            <v>1.0003259799999999</v>
          </cell>
          <cell r="Q2838">
            <v>5.6578125644821746</v>
          </cell>
        </row>
        <row r="2839">
          <cell r="O2839">
            <v>40268</v>
          </cell>
          <cell r="P2839">
            <v>1.00032707</v>
          </cell>
          <cell r="Q2839">
            <v>5.6596630652376394</v>
          </cell>
        </row>
        <row r="2840">
          <cell r="O2840">
            <v>40269</v>
          </cell>
          <cell r="P2840">
            <v>1.0003278</v>
          </cell>
          <cell r="Q2840">
            <v>5.6615183027904239</v>
          </cell>
        </row>
        <row r="2841">
          <cell r="O2841">
            <v>40273</v>
          </cell>
          <cell r="P2841">
            <v>1.00032671</v>
          </cell>
          <cell r="Q2841">
            <v>5.6633679774351284</v>
          </cell>
        </row>
        <row r="2842">
          <cell r="O2842">
            <v>40274</v>
          </cell>
          <cell r="P2842">
            <v>1.0003278</v>
          </cell>
          <cell r="Q2842">
            <v>5.6652244294581315</v>
          </cell>
        </row>
        <row r="2843">
          <cell r="O2843">
            <v>40275</v>
          </cell>
          <cell r="P2843">
            <v>1.00032817</v>
          </cell>
          <cell r="Q2843">
            <v>5.6670835861591469</v>
          </cell>
        </row>
        <row r="2844">
          <cell r="O2844">
            <v>40276</v>
          </cell>
          <cell r="P2844">
            <v>1.0003285399999999</v>
          </cell>
          <cell r="Q2844">
            <v>5.6689454498005434</v>
          </cell>
        </row>
        <row r="2845">
          <cell r="O2845">
            <v>40277</v>
          </cell>
          <cell r="P2845">
            <v>1.00032817</v>
          </cell>
          <cell r="Q2845">
            <v>5.6708058276288043</v>
          </cell>
        </row>
        <row r="2846">
          <cell r="O2846">
            <v>40280</v>
          </cell>
          <cell r="P2846">
            <v>1.00032817</v>
          </cell>
          <cell r="Q2846">
            <v>5.6726668159772569</v>
          </cell>
        </row>
        <row r="2847">
          <cell r="O2847">
            <v>40281</v>
          </cell>
          <cell r="P2847">
            <v>1.0003285399999999</v>
          </cell>
          <cell r="Q2847">
            <v>5.6745305139329778</v>
          </cell>
        </row>
        <row r="2848">
          <cell r="O2848">
            <v>40282</v>
          </cell>
          <cell r="P2848">
            <v>1.00032817</v>
          </cell>
          <cell r="Q2848">
            <v>5.6763927246117349</v>
          </cell>
        </row>
        <row r="2849">
          <cell r="O2849">
            <v>40283</v>
          </cell>
          <cell r="P2849">
            <v>1.0003278</v>
          </cell>
          <cell r="Q2849">
            <v>5.6782534461468623</v>
          </cell>
        </row>
        <row r="2850">
          <cell r="O2850">
            <v>40284</v>
          </cell>
          <cell r="P2850">
            <v>1.00032817</v>
          </cell>
          <cell r="Q2850">
            <v>5.680116878580284</v>
          </cell>
        </row>
        <row r="2851">
          <cell r="O2851">
            <v>40287</v>
          </cell>
          <cell r="P2851">
            <v>1.0003285399999999</v>
          </cell>
          <cell r="Q2851">
            <v>5.6819830241795728</v>
          </cell>
        </row>
        <row r="2852">
          <cell r="O2852">
            <v>40288</v>
          </cell>
          <cell r="P2852">
            <v>1.0003285399999999</v>
          </cell>
          <cell r="Q2852">
            <v>5.6838497828823362</v>
          </cell>
        </row>
        <row r="2853">
          <cell r="O2853">
            <v>40290</v>
          </cell>
          <cell r="P2853">
            <v>1.0003285399999999</v>
          </cell>
          <cell r="Q2853">
            <v>5.6857171548900043</v>
          </cell>
        </row>
        <row r="2854">
          <cell r="O2854">
            <v>40291</v>
          </cell>
          <cell r="P2854">
            <v>1.00032817</v>
          </cell>
          <cell r="Q2854">
            <v>5.6875830366887241</v>
          </cell>
        </row>
        <row r="2855">
          <cell r="O2855">
            <v>40294</v>
          </cell>
          <cell r="P2855">
            <v>1.00032817</v>
          </cell>
          <cell r="Q2855">
            <v>5.6894495308138744</v>
          </cell>
        </row>
        <row r="2856">
          <cell r="O2856">
            <v>40295</v>
          </cell>
          <cell r="P2856">
            <v>1.00032817</v>
          </cell>
          <cell r="Q2856">
            <v>5.691316637466401</v>
          </cell>
        </row>
        <row r="2857">
          <cell r="O2857">
            <v>40296</v>
          </cell>
          <cell r="P2857">
            <v>1.0003285399999999</v>
          </cell>
          <cell r="Q2857">
            <v>5.6931864626344737</v>
          </cell>
        </row>
        <row r="2858">
          <cell r="O2858">
            <v>40297</v>
          </cell>
          <cell r="P2858">
            <v>1.00032817</v>
          </cell>
          <cell r="Q2858">
            <v>5.6950547956359161</v>
          </cell>
        </row>
        <row r="2859">
          <cell r="O2859">
            <v>40298</v>
          </cell>
          <cell r="P2859">
            <v>1.00035585</v>
          </cell>
          <cell r="Q2859">
            <v>5.697081380884943</v>
          </cell>
        </row>
        <row r="2860">
          <cell r="O2860">
            <v>40301</v>
          </cell>
          <cell r="P2860">
            <v>1.00035585</v>
          </cell>
          <cell r="Q2860">
            <v>5.6991086872943315</v>
          </cell>
        </row>
        <row r="2861">
          <cell r="O2861">
            <v>40302</v>
          </cell>
          <cell r="P2861">
            <v>1.0003569400000001</v>
          </cell>
          <cell r="Q2861">
            <v>5.7011429271491751</v>
          </cell>
        </row>
        <row r="2862">
          <cell r="O2862">
            <v>40303</v>
          </cell>
          <cell r="P2862">
            <v>1.0003569400000001</v>
          </cell>
          <cell r="Q2862">
            <v>5.7031778931055923</v>
          </cell>
        </row>
        <row r="2863">
          <cell r="O2863">
            <v>40304</v>
          </cell>
          <cell r="P2863">
            <v>1.0003569400000001</v>
          </cell>
          <cell r="Q2863">
            <v>5.7052135854227579</v>
          </cell>
        </row>
        <row r="2864">
          <cell r="O2864">
            <v>40305</v>
          </cell>
          <cell r="P2864">
            <v>1.0003562100000001</v>
          </cell>
          <cell r="Q2864">
            <v>5.7072458395540222</v>
          </cell>
        </row>
        <row r="2865">
          <cell r="O2865">
            <v>40308</v>
          </cell>
          <cell r="P2865">
            <v>1.0003562100000001</v>
          </cell>
          <cell r="Q2865">
            <v>5.7092788175945302</v>
          </cell>
        </row>
        <row r="2866">
          <cell r="O2866">
            <v>40309</v>
          </cell>
          <cell r="P2866">
            <v>1.00035585</v>
          </cell>
          <cell r="Q2866">
            <v>5.7113104644617714</v>
          </cell>
        </row>
        <row r="2867">
          <cell r="O2867">
            <v>40310</v>
          </cell>
          <cell r="P2867">
            <v>1.00035549</v>
          </cell>
          <cell r="Q2867">
            <v>5.7133407782187833</v>
          </cell>
        </row>
        <row r="2868">
          <cell r="O2868">
            <v>40311</v>
          </cell>
          <cell r="P2868">
            <v>1.00035585</v>
          </cell>
          <cell r="Q2868">
            <v>5.7153738705347124</v>
          </cell>
        </row>
        <row r="2869">
          <cell r="O2869">
            <v>40312</v>
          </cell>
          <cell r="P2869">
            <v>1.00035585</v>
          </cell>
          <cell r="Q2869">
            <v>5.7174076863265428</v>
          </cell>
        </row>
        <row r="2870">
          <cell r="O2870">
            <v>40315</v>
          </cell>
          <cell r="P2870">
            <v>1.00035585</v>
          </cell>
          <cell r="Q2870">
            <v>5.7194422258517221</v>
          </cell>
        </row>
        <row r="2871">
          <cell r="O2871">
            <v>40316</v>
          </cell>
          <cell r="P2871">
            <v>1.00035585</v>
          </cell>
          <cell r="Q2871">
            <v>5.7214774893677918</v>
          </cell>
        </row>
        <row r="2872">
          <cell r="O2872">
            <v>40317</v>
          </cell>
          <cell r="P2872">
            <v>1.00035549</v>
          </cell>
          <cell r="Q2872">
            <v>5.7235114174004869</v>
          </cell>
        </row>
        <row r="2873">
          <cell r="O2873">
            <v>40318</v>
          </cell>
          <cell r="P2873">
            <v>1.00035549</v>
          </cell>
          <cell r="Q2873">
            <v>5.7255460684742587</v>
          </cell>
        </row>
        <row r="2874">
          <cell r="O2874">
            <v>40319</v>
          </cell>
          <cell r="P2874">
            <v>1.00035549</v>
          </cell>
          <cell r="Q2874">
            <v>5.7275814428461409</v>
          </cell>
        </row>
        <row r="2875">
          <cell r="O2875">
            <v>40322</v>
          </cell>
          <cell r="P2875">
            <v>1.00035549</v>
          </cell>
          <cell r="Q2875">
            <v>5.7296175407732584</v>
          </cell>
        </row>
        <row r="2876">
          <cell r="O2876">
            <v>40323</v>
          </cell>
          <cell r="P2876">
            <v>1.00035585</v>
          </cell>
          <cell r="Q2876">
            <v>5.7316564251751432</v>
          </cell>
        </row>
        <row r="2877">
          <cell r="O2877">
            <v>40324</v>
          </cell>
          <cell r="P2877">
            <v>1.00035585</v>
          </cell>
          <cell r="Q2877">
            <v>5.7336960351140416</v>
          </cell>
        </row>
        <row r="2878">
          <cell r="O2878">
            <v>40325</v>
          </cell>
          <cell r="P2878">
            <v>1.00035585</v>
          </cell>
          <cell r="Q2878">
            <v>5.7357363708481373</v>
          </cell>
        </row>
        <row r="2879">
          <cell r="O2879">
            <v>40326</v>
          </cell>
          <cell r="P2879">
            <v>1.00035549</v>
          </cell>
          <cell r="Q2879">
            <v>5.7377753677706105</v>
          </cell>
        </row>
        <row r="2880">
          <cell r="O2880">
            <v>40329</v>
          </cell>
          <cell r="P2880">
            <v>1.00035585</v>
          </cell>
          <cell r="Q2880">
            <v>5.7398171551352322</v>
          </cell>
        </row>
        <row r="2881">
          <cell r="O2881">
            <v>40330</v>
          </cell>
          <cell r="P2881">
            <v>1.00035549</v>
          </cell>
          <cell r="Q2881">
            <v>5.7418576027357116</v>
          </cell>
        </row>
        <row r="2882">
          <cell r="O2882">
            <v>40331</v>
          </cell>
          <cell r="P2882">
            <v>1.0003565699999999</v>
          </cell>
          <cell r="Q2882">
            <v>5.7439049769011188</v>
          </cell>
        </row>
        <row r="2883">
          <cell r="O2883">
            <v>40333</v>
          </cell>
          <cell r="P2883">
            <v>1.0003565699999999</v>
          </cell>
          <cell r="Q2883">
            <v>5.7459530810987314</v>
          </cell>
        </row>
        <row r="2884">
          <cell r="O2884">
            <v>40336</v>
          </cell>
          <cell r="P2884">
            <v>1.0003562100000001</v>
          </cell>
          <cell r="Q2884">
            <v>5.7479998470457501</v>
          </cell>
        </row>
        <row r="2885">
          <cell r="O2885">
            <v>40337</v>
          </cell>
          <cell r="P2885">
            <v>1.0003565699999999</v>
          </cell>
          <cell r="Q2885">
            <v>5.7500494113512106</v>
          </cell>
        </row>
        <row r="2886">
          <cell r="O2886">
            <v>40338</v>
          </cell>
          <cell r="P2886">
            <v>1.0003562100000001</v>
          </cell>
          <cell r="Q2886">
            <v>5.7520976364520289</v>
          </cell>
        </row>
        <row r="2887">
          <cell r="O2887">
            <v>40339</v>
          </cell>
          <cell r="P2887">
            <v>1.00035585</v>
          </cell>
          <cell r="Q2887">
            <v>5.7541445203959602</v>
          </cell>
        </row>
        <row r="2888">
          <cell r="O2888">
            <v>40340</v>
          </cell>
          <cell r="P2888">
            <v>1.0003826099999999</v>
          </cell>
          <cell r="Q2888">
            <v>5.7563461136309089</v>
          </cell>
        </row>
        <row r="2889">
          <cell r="O2889">
            <v>40343</v>
          </cell>
          <cell r="P2889">
            <v>1.00038117</v>
          </cell>
          <cell r="Q2889">
            <v>5.7585402600790419</v>
          </cell>
        </row>
        <row r="2890">
          <cell r="O2890">
            <v>40344</v>
          </cell>
          <cell r="P2890">
            <v>1.0003822499999999</v>
          </cell>
          <cell r="Q2890">
            <v>5.7607414620934563</v>
          </cell>
        </row>
        <row r="2891">
          <cell r="O2891">
            <v>40345</v>
          </cell>
          <cell r="P2891">
            <v>1.0003829799999999</v>
          </cell>
          <cell r="Q2891">
            <v>5.762947710858608</v>
          </cell>
        </row>
        <row r="2892">
          <cell r="O2892">
            <v>40346</v>
          </cell>
          <cell r="P2892">
            <v>1.0003826099999999</v>
          </cell>
          <cell r="Q2892">
            <v>5.7651526722822597</v>
          </cell>
        </row>
        <row r="2893">
          <cell r="O2893">
            <v>40347</v>
          </cell>
          <cell r="P2893">
            <v>1.0003826099999999</v>
          </cell>
          <cell r="Q2893">
            <v>5.7673584773462014</v>
          </cell>
        </row>
        <row r="2894">
          <cell r="O2894">
            <v>40350</v>
          </cell>
          <cell r="P2894">
            <v>1.0003829799999999</v>
          </cell>
          <cell r="Q2894">
            <v>5.7695672602958554</v>
          </cell>
        </row>
        <row r="2895">
          <cell r="O2895">
            <v>40351</v>
          </cell>
          <cell r="P2895">
            <v>1.0003829799999999</v>
          </cell>
          <cell r="Q2895">
            <v>5.7717768891652028</v>
          </cell>
        </row>
        <row r="2896">
          <cell r="O2896">
            <v>40352</v>
          </cell>
          <cell r="P2896">
            <v>1.0003829799999999</v>
          </cell>
          <cell r="Q2896">
            <v>5.7739873642782147</v>
          </cell>
        </row>
        <row r="2897">
          <cell r="O2897">
            <v>40353</v>
          </cell>
          <cell r="P2897">
            <v>1.0003829799999999</v>
          </cell>
          <cell r="Q2897">
            <v>5.7761986859589856</v>
          </cell>
        </row>
        <row r="2898">
          <cell r="O2898">
            <v>40354</v>
          </cell>
          <cell r="P2898">
            <v>1.0003829799999999</v>
          </cell>
          <cell r="Q2898">
            <v>5.7784108545317334</v>
          </cell>
        </row>
        <row r="2899">
          <cell r="O2899">
            <v>40357</v>
          </cell>
          <cell r="P2899">
            <v>1.0003829799999999</v>
          </cell>
          <cell r="Q2899">
            <v>5.7806238703208015</v>
          </cell>
        </row>
        <row r="2900">
          <cell r="O2900">
            <v>40358</v>
          </cell>
          <cell r="P2900">
            <v>1.0003829799999999</v>
          </cell>
          <cell r="Q2900">
            <v>5.7828377336506565</v>
          </cell>
        </row>
        <row r="2901">
          <cell r="O2901">
            <v>40359</v>
          </cell>
          <cell r="P2901">
            <v>1.0003829799999999</v>
          </cell>
          <cell r="Q2901">
            <v>5.7850524448458893</v>
          </cell>
        </row>
        <row r="2902">
          <cell r="O2902">
            <v>40360</v>
          </cell>
          <cell r="P2902">
            <v>1.0003826099999999</v>
          </cell>
          <cell r="Q2902">
            <v>5.787265863761812</v>
          </cell>
        </row>
        <row r="2903">
          <cell r="O2903">
            <v>40361</v>
          </cell>
          <cell r="P2903">
            <v>1.00038334</v>
          </cell>
          <cell r="Q2903">
            <v>5.7894843542580263</v>
          </cell>
        </row>
        <row r="2904">
          <cell r="O2904">
            <v>40364</v>
          </cell>
          <cell r="P2904">
            <v>1.00038334</v>
          </cell>
          <cell r="Q2904">
            <v>5.7917036951903871</v>
          </cell>
        </row>
        <row r="2905">
          <cell r="O2905">
            <v>40365</v>
          </cell>
          <cell r="P2905">
            <v>1.00038334</v>
          </cell>
          <cell r="Q2905">
            <v>5.793923886884901</v>
          </cell>
        </row>
        <row r="2906">
          <cell r="O2906">
            <v>40366</v>
          </cell>
          <cell r="P2906">
            <v>1.00038334</v>
          </cell>
          <cell r="Q2906">
            <v>5.7961449296676992</v>
          </cell>
        </row>
        <row r="2907">
          <cell r="O2907">
            <v>40367</v>
          </cell>
          <cell r="P2907">
            <v>1.00038334</v>
          </cell>
          <cell r="Q2907">
            <v>5.7983668238650381</v>
          </cell>
        </row>
        <row r="2908">
          <cell r="O2908">
            <v>40368</v>
          </cell>
          <cell r="P2908">
            <v>1.00038334</v>
          </cell>
          <cell r="Q2908">
            <v>5.8005895698032983</v>
          </cell>
        </row>
        <row r="2909">
          <cell r="O2909">
            <v>40371</v>
          </cell>
          <cell r="P2909">
            <v>1.00038334</v>
          </cell>
          <cell r="Q2909">
            <v>5.8028131678089867</v>
          </cell>
        </row>
        <row r="2910">
          <cell r="O2910">
            <v>40372</v>
          </cell>
          <cell r="P2910">
            <v>1.00038334</v>
          </cell>
          <cell r="Q2910">
            <v>5.8050376182087344</v>
          </cell>
        </row>
        <row r="2911">
          <cell r="O2911">
            <v>40373</v>
          </cell>
          <cell r="P2911">
            <v>1.00038334</v>
          </cell>
          <cell r="Q2911">
            <v>5.8072629213292979</v>
          </cell>
        </row>
        <row r="2912">
          <cell r="O2912">
            <v>40374</v>
          </cell>
          <cell r="P2912">
            <v>1.0003829799999999</v>
          </cell>
          <cell r="Q2912">
            <v>5.8094869868829084</v>
          </cell>
        </row>
        <row r="2913">
          <cell r="O2913">
            <v>40375</v>
          </cell>
          <cell r="P2913">
            <v>1.00038334</v>
          </cell>
          <cell r="Q2913">
            <v>5.8117139956244595</v>
          </cell>
        </row>
        <row r="2914">
          <cell r="O2914">
            <v>40378</v>
          </cell>
          <cell r="P2914">
            <v>1.00038334</v>
          </cell>
          <cell r="Q2914">
            <v>5.8139418580675422</v>
          </cell>
        </row>
        <row r="2915">
          <cell r="O2915">
            <v>40379</v>
          </cell>
          <cell r="P2915">
            <v>1.0003829799999999</v>
          </cell>
          <cell r="Q2915">
            <v>5.8161684815203447</v>
          </cell>
        </row>
        <row r="2916">
          <cell r="O2916">
            <v>40380</v>
          </cell>
          <cell r="P2916">
            <v>1.00038334</v>
          </cell>
          <cell r="Q2916">
            <v>5.8183980515460503</v>
          </cell>
        </row>
        <row r="2917">
          <cell r="O2917">
            <v>40381</v>
          </cell>
          <cell r="P2917">
            <v>1.00038334</v>
          </cell>
          <cell r="Q2917">
            <v>5.8206284762551297</v>
          </cell>
        </row>
        <row r="2918">
          <cell r="O2918">
            <v>40382</v>
          </cell>
          <cell r="P2918">
            <v>1.0004013199999999</v>
          </cell>
          <cell r="Q2918">
            <v>5.8229644108752199</v>
          </cell>
        </row>
        <row r="2919">
          <cell r="O2919">
            <v>40385</v>
          </cell>
          <cell r="P2919">
            <v>1.0004013199999999</v>
          </cell>
          <cell r="Q2919">
            <v>5.8253012829525916</v>
          </cell>
        </row>
        <row r="2920">
          <cell r="O2920">
            <v>40386</v>
          </cell>
          <cell r="P2920">
            <v>1.0004013199999999</v>
          </cell>
          <cell r="Q2920">
            <v>5.8276390928634658</v>
          </cell>
        </row>
        <row r="2921">
          <cell r="O2921">
            <v>40387</v>
          </cell>
          <cell r="P2921">
            <v>1.0004009599999999</v>
          </cell>
          <cell r="Q2921">
            <v>5.8299757430341401</v>
          </cell>
        </row>
        <row r="2922">
          <cell r="O2922">
            <v>40388</v>
          </cell>
          <cell r="P2922">
            <v>1.0004009599999999</v>
          </cell>
          <cell r="Q2922">
            <v>5.8323133301080663</v>
          </cell>
        </row>
        <row r="2923">
          <cell r="O2923">
            <v>40389</v>
          </cell>
          <cell r="P2923">
            <v>1.0004009599999999</v>
          </cell>
          <cell r="Q2923">
            <v>5.8346518544609056</v>
          </cell>
        </row>
        <row r="2924">
          <cell r="O2924">
            <v>40392</v>
          </cell>
          <cell r="P2924">
            <v>1.0004009599999999</v>
          </cell>
          <cell r="Q2924">
            <v>5.8369913164684695</v>
          </cell>
        </row>
        <row r="2925">
          <cell r="O2925">
            <v>40393</v>
          </cell>
          <cell r="P2925">
            <v>1.00040168</v>
          </cell>
          <cell r="Q2925">
            <v>5.8393359191404679</v>
          </cell>
        </row>
        <row r="2926">
          <cell r="O2926">
            <v>40394</v>
          </cell>
          <cell r="P2926">
            <v>1.0004013199999999</v>
          </cell>
          <cell r="Q2926">
            <v>5.8416793614315372</v>
          </cell>
        </row>
        <row r="2927">
          <cell r="O2927">
            <v>40395</v>
          </cell>
          <cell r="P2927">
            <v>1.0004013199999999</v>
          </cell>
          <cell r="Q2927">
            <v>5.8440237441928664</v>
          </cell>
        </row>
        <row r="2928">
          <cell r="O2928">
            <v>40396</v>
          </cell>
          <cell r="P2928">
            <v>1.0004013199999999</v>
          </cell>
          <cell r="Q2928">
            <v>5.8463690678018851</v>
          </cell>
        </row>
        <row r="2929">
          <cell r="O2929">
            <v>40399</v>
          </cell>
          <cell r="P2929">
            <v>1.0004013199999999</v>
          </cell>
          <cell r="Q2929">
            <v>5.8487153326361749</v>
          </cell>
        </row>
        <row r="2930">
          <cell r="O2930">
            <v>40400</v>
          </cell>
          <cell r="P2930">
            <v>1.0004013199999999</v>
          </cell>
          <cell r="Q2930">
            <v>5.8510625390734683</v>
          </cell>
        </row>
        <row r="2931">
          <cell r="O2931">
            <v>40401</v>
          </cell>
          <cell r="P2931">
            <v>1.0004013199999999</v>
          </cell>
          <cell r="Q2931">
            <v>5.8534106874916487</v>
          </cell>
        </row>
        <row r="2932">
          <cell r="O2932">
            <v>40402</v>
          </cell>
          <cell r="P2932">
            <v>1.0004013199999999</v>
          </cell>
          <cell r="Q2932">
            <v>5.8557597782687525</v>
          </cell>
        </row>
        <row r="2933">
          <cell r="O2933">
            <v>40403</v>
          </cell>
          <cell r="P2933">
            <v>1.0004013199999999</v>
          </cell>
          <cell r="Q2933">
            <v>5.8581098117829669</v>
          </cell>
        </row>
        <row r="2934">
          <cell r="O2934">
            <v>40406</v>
          </cell>
          <cell r="P2934">
            <v>1.0004013199999999</v>
          </cell>
          <cell r="Q2934">
            <v>5.860460788412631</v>
          </cell>
        </row>
        <row r="2935">
          <cell r="O2935">
            <v>40407</v>
          </cell>
          <cell r="P2935">
            <v>1.0004013199999999</v>
          </cell>
          <cell r="Q2935">
            <v>5.8628127085362367</v>
          </cell>
        </row>
        <row r="2936">
          <cell r="O2936">
            <v>40408</v>
          </cell>
          <cell r="P2936">
            <v>1.0004013199999999</v>
          </cell>
          <cell r="Q2936">
            <v>5.8651655725324261</v>
          </cell>
        </row>
        <row r="2937">
          <cell r="O2937">
            <v>40409</v>
          </cell>
          <cell r="P2937">
            <v>1.0004009599999999</v>
          </cell>
          <cell r="Q2937">
            <v>5.8675172693203876</v>
          </cell>
        </row>
        <row r="2938">
          <cell r="O2938">
            <v>40410</v>
          </cell>
          <cell r="P2938">
            <v>1.0004009599999999</v>
          </cell>
          <cell r="Q2938">
            <v>5.8698699090446933</v>
          </cell>
        </row>
        <row r="2939">
          <cell r="O2939">
            <v>40413</v>
          </cell>
          <cell r="P2939">
            <v>1.0004009599999999</v>
          </cell>
          <cell r="Q2939">
            <v>5.8722234920834229</v>
          </cell>
        </row>
        <row r="2940">
          <cell r="O2940">
            <v>40414</v>
          </cell>
          <cell r="P2940">
            <v>1.0004009599999999</v>
          </cell>
          <cell r="Q2940">
            <v>5.874578018814808</v>
          </cell>
        </row>
        <row r="2941">
          <cell r="O2941">
            <v>40415</v>
          </cell>
          <cell r="P2941">
            <v>1.0004009599999999</v>
          </cell>
          <cell r="Q2941">
            <v>5.8769334896172314</v>
          </cell>
        </row>
        <row r="2942">
          <cell r="O2942">
            <v>40416</v>
          </cell>
          <cell r="P2942">
            <v>1.0004013199999999</v>
          </cell>
          <cell r="Q2942">
            <v>5.8792920205652841</v>
          </cell>
        </row>
        <row r="2943">
          <cell r="O2943">
            <v>40417</v>
          </cell>
          <cell r="P2943">
            <v>1.0004009599999999</v>
          </cell>
          <cell r="Q2943">
            <v>5.8816493814938493</v>
          </cell>
        </row>
        <row r="2944">
          <cell r="O2944">
            <v>40420</v>
          </cell>
          <cell r="P2944">
            <v>1.0004013199999999</v>
          </cell>
          <cell r="Q2944">
            <v>5.8840098050236298</v>
          </cell>
        </row>
        <row r="2945">
          <cell r="O2945">
            <v>40421</v>
          </cell>
          <cell r="P2945">
            <v>1.0004002400000001</v>
          </cell>
          <cell r="Q2945">
            <v>5.8863648211079926</v>
          </cell>
        </row>
        <row r="2946">
          <cell r="O2946">
            <v>40422</v>
          </cell>
          <cell r="P2946">
            <v>1.0004009599999999</v>
          </cell>
          <cell r="Q2946">
            <v>5.8887250179466637</v>
          </cell>
        </row>
        <row r="2947">
          <cell r="O2947">
            <v>40423</v>
          </cell>
          <cell r="P2947">
            <v>1.0004009599999999</v>
          </cell>
          <cell r="Q2947">
            <v>5.8910861611298593</v>
          </cell>
        </row>
        <row r="2948">
          <cell r="O2948">
            <v>40424</v>
          </cell>
          <cell r="P2948">
            <v>1.0004009599999999</v>
          </cell>
          <cell r="Q2948">
            <v>5.8934482510370252</v>
          </cell>
        </row>
        <row r="2949">
          <cell r="O2949">
            <v>40427</v>
          </cell>
          <cell r="P2949">
            <v>1.0004006000000001</v>
          </cell>
          <cell r="Q2949">
            <v>5.8958091664063907</v>
          </cell>
        </row>
        <row r="2950">
          <cell r="O2950">
            <v>40429</v>
          </cell>
          <cell r="P2950">
            <v>1.0004002400000001</v>
          </cell>
          <cell r="Q2950">
            <v>5.8981689050671537</v>
          </cell>
        </row>
        <row r="2951">
          <cell r="O2951">
            <v>40430</v>
          </cell>
          <cell r="P2951">
            <v>1.0004006000000001</v>
          </cell>
          <cell r="Q2951">
            <v>5.9005317115305242</v>
          </cell>
        </row>
        <row r="2952">
          <cell r="O2952">
            <v>40431</v>
          </cell>
          <cell r="P2952">
            <v>1.0004013199999999</v>
          </cell>
          <cell r="Q2952">
            <v>5.9028997129169953</v>
          </cell>
        </row>
        <row r="2953">
          <cell r="O2953">
            <v>40434</v>
          </cell>
          <cell r="P2953">
            <v>1.0004009599999999</v>
          </cell>
          <cell r="Q2953">
            <v>5.9052665395858863</v>
          </cell>
        </row>
        <row r="2954">
          <cell r="O2954">
            <v>40435</v>
          </cell>
          <cell r="P2954">
            <v>1.0004006000000001</v>
          </cell>
          <cell r="Q2954">
            <v>5.907632189361645</v>
          </cell>
        </row>
        <row r="2955">
          <cell r="O2955">
            <v>40436</v>
          </cell>
          <cell r="P2955">
            <v>1.0004006000000001</v>
          </cell>
          <cell r="Q2955">
            <v>5.9099987868167041</v>
          </cell>
        </row>
        <row r="2956">
          <cell r="O2956">
            <v>40437</v>
          </cell>
          <cell r="P2956">
            <v>1.00039916</v>
          </cell>
          <cell r="Q2956">
            <v>5.9123578219324493</v>
          </cell>
        </row>
        <row r="2957">
          <cell r="O2957">
            <v>40438</v>
          </cell>
          <cell r="P2957">
            <v>1.00039988</v>
          </cell>
          <cell r="Q2957">
            <v>5.9147220555782836</v>
          </cell>
        </row>
        <row r="2958">
          <cell r="O2958">
            <v>40441</v>
          </cell>
          <cell r="P2958">
            <v>1.0004006000000001</v>
          </cell>
          <cell r="Q2958">
            <v>5.9170914932337491</v>
          </cell>
        </row>
        <row r="2959">
          <cell r="O2959">
            <v>40442</v>
          </cell>
          <cell r="P2959">
            <v>1.0004006000000001</v>
          </cell>
          <cell r="Q2959">
            <v>5.9194618800859393</v>
          </cell>
        </row>
        <row r="2960">
          <cell r="O2960">
            <v>40443</v>
          </cell>
          <cell r="P2960">
            <v>1.0004006000000001</v>
          </cell>
          <cell r="Q2960">
            <v>5.9218332165151022</v>
          </cell>
        </row>
        <row r="2961">
          <cell r="O2961">
            <v>40444</v>
          </cell>
          <cell r="P2961">
            <v>1.0004006000000001</v>
          </cell>
          <cell r="Q2961">
            <v>5.9242055029016383</v>
          </cell>
        </row>
        <row r="2962">
          <cell r="O2962">
            <v>40445</v>
          </cell>
          <cell r="P2962">
            <v>1.0004009599999999</v>
          </cell>
          <cell r="Q2962">
            <v>5.9265808723400815</v>
          </cell>
        </row>
        <row r="2963">
          <cell r="O2963">
            <v>40448</v>
          </cell>
          <cell r="P2963">
            <v>1.0004009599999999</v>
          </cell>
          <cell r="Q2963">
            <v>5.9289571942066539</v>
          </cell>
        </row>
        <row r="2964">
          <cell r="O2964">
            <v>40449</v>
          </cell>
          <cell r="P2964">
            <v>1.0004009599999999</v>
          </cell>
          <cell r="Q2964">
            <v>5.9313344688832421</v>
          </cell>
        </row>
        <row r="2965">
          <cell r="O2965">
            <v>40450</v>
          </cell>
          <cell r="P2965">
            <v>1.0004006000000001</v>
          </cell>
          <cell r="Q2965">
            <v>5.9337105614714769</v>
          </cell>
        </row>
        <row r="2966">
          <cell r="O2966">
            <v>40451</v>
          </cell>
          <cell r="P2966">
            <v>1.00039988</v>
          </cell>
          <cell r="Q2966">
            <v>5.9360833336507985</v>
          </cell>
        </row>
        <row r="2967">
          <cell r="O2967">
            <v>40452</v>
          </cell>
          <cell r="P2967">
            <v>1.0004002400000001</v>
          </cell>
          <cell r="Q2967">
            <v>5.9384591916442595</v>
          </cell>
        </row>
        <row r="2968">
          <cell r="O2968">
            <v>40455</v>
          </cell>
          <cell r="P2968">
            <v>1.0004013199999999</v>
          </cell>
          <cell r="Q2968">
            <v>5.9408424140870499</v>
          </cell>
        </row>
        <row r="2969">
          <cell r="O2969">
            <v>40456</v>
          </cell>
          <cell r="P2969">
            <v>1.0004013199999999</v>
          </cell>
          <cell r="Q2969">
            <v>5.9432265929646713</v>
          </cell>
        </row>
        <row r="2970">
          <cell r="O2970">
            <v>40457</v>
          </cell>
          <cell r="P2970">
            <v>1.0004013199999999</v>
          </cell>
          <cell r="Q2970">
            <v>5.9456117286609595</v>
          </cell>
        </row>
        <row r="2971">
          <cell r="O2971">
            <v>40458</v>
          </cell>
          <cell r="P2971">
            <v>1.0004013199999999</v>
          </cell>
          <cell r="Q2971">
            <v>5.9479978215599054</v>
          </cell>
        </row>
        <row r="2972">
          <cell r="O2972">
            <v>40459</v>
          </cell>
          <cell r="P2972">
            <v>1.0004013199999999</v>
          </cell>
          <cell r="Q2972">
            <v>5.9503848720456531</v>
          </cell>
        </row>
        <row r="2973">
          <cell r="O2973">
            <v>40462</v>
          </cell>
          <cell r="P2973">
            <v>1.0004013199999999</v>
          </cell>
          <cell r="Q2973">
            <v>5.9527728805025024</v>
          </cell>
        </row>
        <row r="2974">
          <cell r="O2974">
            <v>40464</v>
          </cell>
          <cell r="P2974">
            <v>1.0004013199999999</v>
          </cell>
          <cell r="Q2974">
            <v>5.9551618473149048</v>
          </cell>
        </row>
        <row r="2975">
          <cell r="O2975">
            <v>40465</v>
          </cell>
          <cell r="P2975">
            <v>1.0004013199999999</v>
          </cell>
          <cell r="Q2975">
            <v>5.9575517728674692</v>
          </cell>
        </row>
        <row r="2976">
          <cell r="O2976">
            <v>40466</v>
          </cell>
          <cell r="P2976">
            <v>1.0004009599999999</v>
          </cell>
          <cell r="Q2976">
            <v>5.9599405128263179</v>
          </cell>
        </row>
        <row r="2977">
          <cell r="O2977">
            <v>40469</v>
          </cell>
          <cell r="P2977">
            <v>1.0004013199999999</v>
          </cell>
          <cell r="Q2977">
            <v>5.9623323561529249</v>
          </cell>
        </row>
        <row r="2978">
          <cell r="O2978">
            <v>40470</v>
          </cell>
          <cell r="P2978">
            <v>1.0004013199999999</v>
          </cell>
          <cell r="Q2978">
            <v>5.9647251593740958</v>
          </cell>
        </row>
        <row r="2979">
          <cell r="O2979">
            <v>40471</v>
          </cell>
          <cell r="P2979">
            <v>1.0004013199999999</v>
          </cell>
          <cell r="Q2979">
            <v>5.9671189228750556</v>
          </cell>
        </row>
        <row r="2980">
          <cell r="O2980">
            <v>40472</v>
          </cell>
          <cell r="P2980">
            <v>1.0004013199999999</v>
          </cell>
          <cell r="Q2980">
            <v>5.9695136470411834</v>
          </cell>
        </row>
        <row r="2981">
          <cell r="O2981">
            <v>40473</v>
          </cell>
          <cell r="P2981">
            <v>1.0004013199999999</v>
          </cell>
          <cell r="Q2981">
            <v>5.9719093322580132</v>
          </cell>
        </row>
        <row r="2982">
          <cell r="O2982">
            <v>40476</v>
          </cell>
          <cell r="P2982">
            <v>1.0004013199999999</v>
          </cell>
          <cell r="Q2982">
            <v>5.9743059789112349</v>
          </cell>
        </row>
        <row r="2983">
          <cell r="O2983">
            <v>40477</v>
          </cell>
          <cell r="P2983">
            <v>1.0004013199999999</v>
          </cell>
          <cell r="Q2983">
            <v>5.9767035873866909</v>
          </cell>
        </row>
        <row r="2984">
          <cell r="O2984">
            <v>40478</v>
          </cell>
          <cell r="P2984">
            <v>1.0004013199999999</v>
          </cell>
          <cell r="Q2984">
            <v>5.9791021580703809</v>
          </cell>
        </row>
        <row r="2985">
          <cell r="O2985">
            <v>40479</v>
          </cell>
          <cell r="P2985">
            <v>1.0004013199999999</v>
          </cell>
          <cell r="Q2985">
            <v>5.9815016913484573</v>
          </cell>
        </row>
        <row r="2986">
          <cell r="O2986">
            <v>40480</v>
          </cell>
          <cell r="P2986">
            <v>1.0004013199999999</v>
          </cell>
          <cell r="Q2986">
            <v>5.9839021876072289</v>
          </cell>
        </row>
        <row r="2987">
          <cell r="O2987">
            <v>40483</v>
          </cell>
          <cell r="P2987">
            <v>1.0004013199999999</v>
          </cell>
          <cell r="Q2987">
            <v>5.986303647233159</v>
          </cell>
        </row>
        <row r="2988">
          <cell r="O2988">
            <v>40485</v>
          </cell>
          <cell r="P2988">
            <v>1.0004013199999999</v>
          </cell>
          <cell r="Q2988">
            <v>5.9887060706128663</v>
          </cell>
        </row>
        <row r="2989">
          <cell r="O2989">
            <v>40486</v>
          </cell>
          <cell r="P2989">
            <v>1.0004013199999999</v>
          </cell>
          <cell r="Q2989">
            <v>5.9911094581331241</v>
          </cell>
        </row>
        <row r="2990">
          <cell r="O2990">
            <v>40487</v>
          </cell>
          <cell r="P2990">
            <v>1.0004013199999999</v>
          </cell>
          <cell r="Q2990">
            <v>5.993513810180862</v>
          </cell>
        </row>
        <row r="2991">
          <cell r="O2991">
            <v>40490</v>
          </cell>
          <cell r="P2991">
            <v>1.0004013199999999</v>
          </cell>
          <cell r="Q2991">
            <v>5.9959191271431633</v>
          </cell>
        </row>
        <row r="2992">
          <cell r="O2992">
            <v>40491</v>
          </cell>
          <cell r="P2992">
            <v>1.0004013199999999</v>
          </cell>
          <cell r="Q2992">
            <v>5.9983254094072675</v>
          </cell>
        </row>
        <row r="2993">
          <cell r="O2993">
            <v>40492</v>
          </cell>
          <cell r="P2993">
            <v>1.0004013199999999</v>
          </cell>
          <cell r="Q2993">
            <v>6.0007326573605706</v>
          </cell>
        </row>
        <row r="2994">
          <cell r="O2994">
            <v>40493</v>
          </cell>
          <cell r="P2994">
            <v>1.0004009599999999</v>
          </cell>
          <cell r="Q2994">
            <v>6.0031387111268657</v>
          </cell>
        </row>
        <row r="2995">
          <cell r="O2995">
            <v>40494</v>
          </cell>
          <cell r="P2995">
            <v>1.0004009599999999</v>
          </cell>
          <cell r="Q2995">
            <v>6.0055457296244787</v>
          </cell>
        </row>
        <row r="2996">
          <cell r="O2996">
            <v>40498</v>
          </cell>
          <cell r="P2996">
            <v>1.0004013199999999</v>
          </cell>
          <cell r="Q2996">
            <v>6.0079558752366911</v>
          </cell>
        </row>
        <row r="2997">
          <cell r="O2997">
            <v>40499</v>
          </cell>
          <cell r="P2997">
            <v>1.0004013199999999</v>
          </cell>
          <cell r="Q2997">
            <v>6.0103669880885402</v>
          </cell>
        </row>
        <row r="2998">
          <cell r="O2998">
            <v>40500</v>
          </cell>
          <cell r="P2998">
            <v>1.0004013199999999</v>
          </cell>
          <cell r="Q2998">
            <v>6.0127790685681992</v>
          </cell>
        </row>
        <row r="2999">
          <cell r="O2999">
            <v>40501</v>
          </cell>
          <cell r="P2999">
            <v>1.0004013199999999</v>
          </cell>
          <cell r="Q2999">
            <v>6.0151921170639966</v>
          </cell>
        </row>
        <row r="3000">
          <cell r="O3000">
            <v>40504</v>
          </cell>
          <cell r="P3000">
            <v>1.0004013199999999</v>
          </cell>
          <cell r="Q3000">
            <v>6.0176061339644162</v>
          </cell>
        </row>
        <row r="3001">
          <cell r="O3001">
            <v>40505</v>
          </cell>
          <cell r="P3001">
            <v>1.0004013199999999</v>
          </cell>
          <cell r="Q3001">
            <v>6.0200211196580984</v>
          </cell>
        </row>
        <row r="3002">
          <cell r="O3002">
            <v>40506</v>
          </cell>
          <cell r="P3002">
            <v>1.0004013199999999</v>
          </cell>
          <cell r="Q3002">
            <v>6.0224370745338387</v>
          </cell>
        </row>
        <row r="3003">
          <cell r="O3003">
            <v>40507</v>
          </cell>
          <cell r="P3003">
            <v>1.0004013199999999</v>
          </cell>
          <cell r="Q3003">
            <v>6.02485399898059</v>
          </cell>
        </row>
        <row r="3004">
          <cell r="O3004">
            <v>40508</v>
          </cell>
          <cell r="P3004">
            <v>1.0004013199999999</v>
          </cell>
          <cell r="Q3004">
            <v>6.0272718933874607</v>
          </cell>
        </row>
        <row r="3005">
          <cell r="O3005">
            <v>40511</v>
          </cell>
          <cell r="P3005">
            <v>1.0004013199999999</v>
          </cell>
          <cell r="Q3005">
            <v>6.0296907581437145</v>
          </cell>
        </row>
        <row r="3006">
          <cell r="O3006">
            <v>40512</v>
          </cell>
          <cell r="P3006">
            <v>1.0004013199999999</v>
          </cell>
          <cell r="Q3006">
            <v>6.0321105936387722</v>
          </cell>
        </row>
        <row r="3007">
          <cell r="O3007">
            <v>40513</v>
          </cell>
          <cell r="P3007">
            <v>1.0004013199999999</v>
          </cell>
          <cell r="Q3007">
            <v>6.0345314002622112</v>
          </cell>
        </row>
        <row r="3008">
          <cell r="O3008">
            <v>40514</v>
          </cell>
          <cell r="P3008">
            <v>1.0004013199999999</v>
          </cell>
          <cell r="Q3008">
            <v>6.0369531784037642</v>
          </cell>
        </row>
        <row r="3009">
          <cell r="O3009">
            <v>40515</v>
          </cell>
          <cell r="P3009">
            <v>1.0004013199999999</v>
          </cell>
          <cell r="Q3009">
            <v>6.0393759284533211</v>
          </cell>
        </row>
        <row r="3010">
          <cell r="O3010">
            <v>40518</v>
          </cell>
          <cell r="P3010">
            <v>1.0004013199999999</v>
          </cell>
          <cell r="Q3010">
            <v>6.0417996508009271</v>
          </cell>
        </row>
        <row r="3011">
          <cell r="O3011">
            <v>40519</v>
          </cell>
          <cell r="P3011">
            <v>1.0004013199999999</v>
          </cell>
          <cell r="Q3011">
            <v>6.0442243458367857</v>
          </cell>
        </row>
        <row r="3012">
          <cell r="O3012">
            <v>40520</v>
          </cell>
          <cell r="P3012">
            <v>1.0004013199999999</v>
          </cell>
          <cell r="Q3012">
            <v>6.0466500139512567</v>
          </cell>
        </row>
        <row r="3013">
          <cell r="O3013">
            <v>40521</v>
          </cell>
          <cell r="P3013">
            <v>1.0004013199999999</v>
          </cell>
          <cell r="Q3013">
            <v>6.0490766555348552</v>
          </cell>
        </row>
        <row r="3014">
          <cell r="O3014">
            <v>40522</v>
          </cell>
          <cell r="P3014">
            <v>1.0004013199999999</v>
          </cell>
          <cell r="Q3014">
            <v>6.0515042709782536</v>
          </cell>
        </row>
        <row r="3015">
          <cell r="O3015">
            <v>40525</v>
          </cell>
          <cell r="P3015">
            <v>1.00040168</v>
          </cell>
          <cell r="Q3015">
            <v>6.0539350392138198</v>
          </cell>
        </row>
        <row r="3016">
          <cell r="O3016">
            <v>40526</v>
          </cell>
          <cell r="P3016">
            <v>1.0004013199999999</v>
          </cell>
          <cell r="Q3016">
            <v>6.0563646044237567</v>
          </cell>
        </row>
        <row r="3017">
          <cell r="O3017">
            <v>40527</v>
          </cell>
          <cell r="P3017">
            <v>1.0004013199999999</v>
          </cell>
          <cell r="Q3017">
            <v>6.0587951446668038</v>
          </cell>
        </row>
        <row r="3018">
          <cell r="O3018">
            <v>40528</v>
          </cell>
          <cell r="P3018">
            <v>1.0004013199999999</v>
          </cell>
          <cell r="Q3018">
            <v>6.0612266603342606</v>
          </cell>
        </row>
        <row r="3019">
          <cell r="O3019">
            <v>40529</v>
          </cell>
          <cell r="P3019">
            <v>1.0004013199999999</v>
          </cell>
          <cell r="Q3019">
            <v>6.0636591518175855</v>
          </cell>
        </row>
        <row r="3020">
          <cell r="O3020">
            <v>40532</v>
          </cell>
          <cell r="P3020">
            <v>1.0004013199999999</v>
          </cell>
          <cell r="Q3020">
            <v>6.0660926195083924</v>
          </cell>
        </row>
        <row r="3021">
          <cell r="O3021">
            <v>40533</v>
          </cell>
          <cell r="P3021">
            <v>1.0004013199999999</v>
          </cell>
          <cell r="Q3021">
            <v>6.0685270637984532</v>
          </cell>
        </row>
        <row r="3022">
          <cell r="O3022">
            <v>40534</v>
          </cell>
          <cell r="P3022">
            <v>1.0004013199999999</v>
          </cell>
          <cell r="Q3022">
            <v>6.0709624850796962</v>
          </cell>
        </row>
        <row r="3023">
          <cell r="O3023">
            <v>40535</v>
          </cell>
          <cell r="P3023">
            <v>1.0004013199999999</v>
          </cell>
          <cell r="Q3023">
            <v>6.0733988837442077</v>
          </cell>
        </row>
        <row r="3024">
          <cell r="O3024">
            <v>40536</v>
          </cell>
          <cell r="P3024">
            <v>1.0004013199999999</v>
          </cell>
          <cell r="Q3024">
            <v>6.0758362601842313</v>
          </cell>
        </row>
        <row r="3025">
          <cell r="O3025">
            <v>40539</v>
          </cell>
          <cell r="P3025">
            <v>1.0004013199999999</v>
          </cell>
          <cell r="Q3025">
            <v>6.0782746147921678</v>
          </cell>
        </row>
        <row r="3026">
          <cell r="O3026">
            <v>40540</v>
          </cell>
          <cell r="P3026">
            <v>1.0004013199999999</v>
          </cell>
          <cell r="Q3026">
            <v>6.0807139479605761</v>
          </cell>
        </row>
        <row r="3027">
          <cell r="O3027">
            <v>40541</v>
          </cell>
          <cell r="P3027">
            <v>1.0004013199999999</v>
          </cell>
          <cell r="Q3027">
            <v>6.0831542600821713</v>
          </cell>
        </row>
        <row r="3028">
          <cell r="O3028">
            <v>40542</v>
          </cell>
          <cell r="P3028">
            <v>1.0004013199999999</v>
          </cell>
          <cell r="Q3028">
            <v>6.0855955515498268</v>
          </cell>
        </row>
        <row r="3029">
          <cell r="O3029">
            <v>40543</v>
          </cell>
          <cell r="P3029">
            <v>1.0004013199999999</v>
          </cell>
          <cell r="Q3029">
            <v>6.0880378227565739</v>
          </cell>
        </row>
        <row r="3030">
          <cell r="O3030">
            <v>40546</v>
          </cell>
          <cell r="P3030">
            <v>1.0004013199999999</v>
          </cell>
          <cell r="Q3030">
            <v>6.0904810740956021</v>
          </cell>
        </row>
        <row r="3031">
          <cell r="O3031">
            <v>40547</v>
          </cell>
          <cell r="P3031">
            <v>1.0004013199999999</v>
          </cell>
          <cell r="Q3031">
            <v>6.0929253059602582</v>
          </cell>
        </row>
        <row r="3032">
          <cell r="O3032">
            <v>40548</v>
          </cell>
          <cell r="P3032">
            <v>1.0004013199999999</v>
          </cell>
          <cell r="Q3032">
            <v>6.0953705187440459</v>
          </cell>
        </row>
        <row r="3033">
          <cell r="O3033">
            <v>40549</v>
          </cell>
          <cell r="P3033">
            <v>1.0004013199999999</v>
          </cell>
          <cell r="Q3033">
            <v>6.0978167128406282</v>
          </cell>
        </row>
        <row r="3034">
          <cell r="O3034">
            <v>40550</v>
          </cell>
          <cell r="P3034">
            <v>1.0004013199999999</v>
          </cell>
          <cell r="Q3034">
            <v>6.1002638886438252</v>
          </cell>
        </row>
        <row r="3035">
          <cell r="O3035">
            <v>40553</v>
          </cell>
          <cell r="P3035">
            <v>1.0004013199999999</v>
          </cell>
          <cell r="Q3035">
            <v>6.102712046547615</v>
          </cell>
        </row>
        <row r="3036">
          <cell r="O3036">
            <v>40554</v>
          </cell>
          <cell r="P3036">
            <v>1.0004013199999999</v>
          </cell>
          <cell r="Q3036">
            <v>6.1051611869461349</v>
          </cell>
        </row>
        <row r="3037">
          <cell r="O3037">
            <v>40555</v>
          </cell>
          <cell r="P3037">
            <v>1.0004013199999999</v>
          </cell>
          <cell r="Q3037">
            <v>6.10761131023368</v>
          </cell>
        </row>
        <row r="3038">
          <cell r="O3038">
            <v>40556</v>
          </cell>
          <cell r="P3038">
            <v>1.0004013199999999</v>
          </cell>
          <cell r="Q3038">
            <v>6.1100624168047029</v>
          </cell>
        </row>
        <row r="3039">
          <cell r="O3039">
            <v>40557</v>
          </cell>
          <cell r="P3039">
            <v>1.0004013199999999</v>
          </cell>
          <cell r="Q3039">
            <v>6.1125145070538141</v>
          </cell>
        </row>
        <row r="3040">
          <cell r="O3040">
            <v>40560</v>
          </cell>
          <cell r="P3040">
            <v>1.0004013199999999</v>
          </cell>
          <cell r="Q3040">
            <v>6.114967581375784</v>
          </cell>
        </row>
        <row r="3041">
          <cell r="O3041">
            <v>40561</v>
          </cell>
          <cell r="P3041">
            <v>1.0004013199999999</v>
          </cell>
          <cell r="Q3041">
            <v>6.1174216401655412</v>
          </cell>
        </row>
        <row r="3042">
          <cell r="O3042">
            <v>40562</v>
          </cell>
          <cell r="P3042">
            <v>1.0004013199999999</v>
          </cell>
          <cell r="Q3042">
            <v>6.1198766838181724</v>
          </cell>
        </row>
        <row r="3043">
          <cell r="O3043">
            <v>40563</v>
          </cell>
          <cell r="P3043">
            <v>1.0004013199999999</v>
          </cell>
          <cell r="Q3043">
            <v>6.1223327127289222</v>
          </cell>
        </row>
        <row r="3044">
          <cell r="O3044">
            <v>40564</v>
          </cell>
          <cell r="P3044">
            <v>1.0004192199999999</v>
          </cell>
          <cell r="Q3044">
            <v>6.1248993170487518</v>
          </cell>
        </row>
        <row r="3045">
          <cell r="O3045">
            <v>40567</v>
          </cell>
          <cell r="P3045">
            <v>1.0004192199999999</v>
          </cell>
          <cell r="Q3045">
            <v>6.127466997340445</v>
          </cell>
        </row>
        <row r="3046">
          <cell r="O3046">
            <v>40568</v>
          </cell>
          <cell r="P3046">
            <v>1.0004192199999999</v>
          </cell>
          <cell r="Q3046">
            <v>6.1300357540550694</v>
          </cell>
        </row>
        <row r="3047">
          <cell r="O3047">
            <v>40569</v>
          </cell>
          <cell r="P3047">
            <v>1.0004192199999999</v>
          </cell>
          <cell r="Q3047">
            <v>6.1326055876438836</v>
          </cell>
        </row>
        <row r="3048">
          <cell r="O3048">
            <v>40570</v>
          </cell>
          <cell r="P3048">
            <v>1.0004192199999999</v>
          </cell>
          <cell r="Q3048">
            <v>6.1351764985583355</v>
          </cell>
        </row>
        <row r="3049">
          <cell r="O3049">
            <v>40571</v>
          </cell>
          <cell r="P3049">
            <v>1.0004192199999999</v>
          </cell>
          <cell r="Q3049">
            <v>6.1377484872500609</v>
          </cell>
        </row>
        <row r="3050">
          <cell r="O3050">
            <v>40574</v>
          </cell>
          <cell r="P3050">
            <v>1.0004192199999999</v>
          </cell>
          <cell r="Q3050">
            <v>6.1403215541708853</v>
          </cell>
        </row>
        <row r="3051">
          <cell r="O3051">
            <v>40575</v>
          </cell>
          <cell r="P3051">
            <v>1.0004192199999999</v>
          </cell>
          <cell r="Q3051">
            <v>6.1428956997728248</v>
          </cell>
        </row>
        <row r="3052">
          <cell r="O3052">
            <v>40576</v>
          </cell>
          <cell r="P3052">
            <v>1.0004192199999999</v>
          </cell>
          <cell r="Q3052">
            <v>6.145470924508083</v>
          </cell>
        </row>
        <row r="3053">
          <cell r="O3053">
            <v>40577</v>
          </cell>
          <cell r="P3053">
            <v>1.0004192199999999</v>
          </cell>
          <cell r="Q3053">
            <v>6.1480472288290553</v>
          </cell>
        </row>
        <row r="3054">
          <cell r="O3054">
            <v>40578</v>
          </cell>
          <cell r="P3054">
            <v>1.0004192199999999</v>
          </cell>
          <cell r="Q3054">
            <v>6.1506246131883247</v>
          </cell>
        </row>
        <row r="3055">
          <cell r="O3055">
            <v>40581</v>
          </cell>
          <cell r="P3055">
            <v>1.0004192199999999</v>
          </cell>
          <cell r="Q3055">
            <v>6.1532030780386648</v>
          </cell>
        </row>
        <row r="3056">
          <cell r="O3056">
            <v>40582</v>
          </cell>
          <cell r="P3056">
            <v>1.0004192199999999</v>
          </cell>
          <cell r="Q3056">
            <v>6.1557826238330398</v>
          </cell>
        </row>
        <row r="3057">
          <cell r="O3057">
            <v>40583</v>
          </cell>
          <cell r="P3057">
            <v>1.0004192199999999</v>
          </cell>
          <cell r="Q3057">
            <v>6.1583632510246025</v>
          </cell>
        </row>
        <row r="3058">
          <cell r="O3058">
            <v>40584</v>
          </cell>
          <cell r="P3058">
            <v>1.0004192199999999</v>
          </cell>
          <cell r="Q3058">
            <v>6.160944960066697</v>
          </cell>
        </row>
        <row r="3059">
          <cell r="O3059">
            <v>40585</v>
          </cell>
          <cell r="P3059">
            <v>1.00041957</v>
          </cell>
          <cell r="Q3059">
            <v>6.1635299077435928</v>
          </cell>
        </row>
        <row r="3060">
          <cell r="O3060">
            <v>40588</v>
          </cell>
          <cell r="P3060">
            <v>1.0004192199999999</v>
          </cell>
          <cell r="Q3060">
            <v>6.1661137827515171</v>
          </cell>
        </row>
        <row r="3061">
          <cell r="O3061">
            <v>40589</v>
          </cell>
          <cell r="P3061">
            <v>1.00041957</v>
          </cell>
          <cell r="Q3061">
            <v>6.1687008991113466</v>
          </cell>
        </row>
        <row r="3062">
          <cell r="O3062">
            <v>40590</v>
          </cell>
          <cell r="P3062">
            <v>1.00041957</v>
          </cell>
          <cell r="Q3062">
            <v>6.171289100947587</v>
          </cell>
        </row>
        <row r="3063">
          <cell r="O3063">
            <v>40591</v>
          </cell>
          <cell r="P3063">
            <v>1.00041957</v>
          </cell>
          <cell r="Q3063">
            <v>6.1738783887156714</v>
          </cell>
        </row>
        <row r="3064">
          <cell r="O3064">
            <v>40592</v>
          </cell>
          <cell r="P3064">
            <v>1.00041957</v>
          </cell>
          <cell r="Q3064">
            <v>6.1764687628712247</v>
          </cell>
        </row>
        <row r="3065">
          <cell r="O3065">
            <v>40595</v>
          </cell>
          <cell r="P3065">
            <v>1.0004199300000001</v>
          </cell>
          <cell r="Q3065">
            <v>6.1790624473988176</v>
          </cell>
        </row>
        <row r="3066">
          <cell r="O3066">
            <v>40596</v>
          </cell>
          <cell r="P3066">
            <v>1.0004199300000001</v>
          </cell>
          <cell r="Q3066">
            <v>6.1816572210923546</v>
          </cell>
        </row>
        <row r="3067">
          <cell r="O3067">
            <v>40597</v>
          </cell>
          <cell r="P3067">
            <v>1.0004199300000001</v>
          </cell>
          <cell r="Q3067">
            <v>6.1842530844092085</v>
          </cell>
        </row>
        <row r="3068">
          <cell r="O3068">
            <v>40598</v>
          </cell>
          <cell r="P3068">
            <v>1.0004199300000001</v>
          </cell>
          <cell r="Q3068">
            <v>6.1868500378069449</v>
          </cell>
        </row>
        <row r="3069">
          <cell r="O3069">
            <v>40599</v>
          </cell>
          <cell r="P3069">
            <v>1.0004199300000001</v>
          </cell>
          <cell r="Q3069">
            <v>6.1894480817433219</v>
          </cell>
        </row>
        <row r="3070">
          <cell r="O3070">
            <v>40602</v>
          </cell>
          <cell r="P3070">
            <v>1.0004199300000001</v>
          </cell>
          <cell r="Q3070">
            <v>6.192047216676289</v>
          </cell>
        </row>
        <row r="3071">
          <cell r="O3071">
            <v>40603</v>
          </cell>
          <cell r="P3071">
            <v>1.00041957</v>
          </cell>
          <cell r="Q3071">
            <v>6.1946452139269903</v>
          </cell>
        </row>
        <row r="3072">
          <cell r="O3072">
            <v>40604</v>
          </cell>
          <cell r="P3072">
            <v>1.0004199300000001</v>
          </cell>
          <cell r="Q3072">
            <v>6.1972465312916754</v>
          </cell>
        </row>
        <row r="3073">
          <cell r="O3073">
            <v>40605</v>
          </cell>
          <cell r="P3073">
            <v>1.0004199300000001</v>
          </cell>
          <cell r="Q3073">
            <v>6.199848941027561</v>
          </cell>
        </row>
        <row r="3074">
          <cell r="O3074">
            <v>40606</v>
          </cell>
          <cell r="P3074">
            <v>1.00043704</v>
          </cell>
          <cell r="Q3074">
            <v>6.2025585230087481</v>
          </cell>
        </row>
        <row r="3075">
          <cell r="O3075">
            <v>40611</v>
          </cell>
          <cell r="P3075">
            <v>1.00043704</v>
          </cell>
          <cell r="Q3075">
            <v>6.2052692891856438</v>
          </cell>
        </row>
        <row r="3076">
          <cell r="O3076">
            <v>40612</v>
          </cell>
          <cell r="P3076">
            <v>1.00043704</v>
          </cell>
          <cell r="Q3076">
            <v>6.2079812400757897</v>
          </cell>
        </row>
        <row r="3077">
          <cell r="O3077">
            <v>40613</v>
          </cell>
          <cell r="P3077">
            <v>1.00043704</v>
          </cell>
          <cell r="Q3077">
            <v>6.210694376196952</v>
          </cell>
        </row>
        <row r="3078">
          <cell r="O3078">
            <v>40616</v>
          </cell>
          <cell r="P3078">
            <v>1.00043704</v>
          </cell>
          <cell r="Q3078">
            <v>6.2134086980671253</v>
          </cell>
        </row>
        <row r="3079">
          <cell r="O3079">
            <v>40617</v>
          </cell>
          <cell r="P3079">
            <v>1.00043704</v>
          </cell>
          <cell r="Q3079">
            <v>6.2161242062045288</v>
          </cell>
        </row>
        <row r="3080">
          <cell r="O3080">
            <v>40618</v>
          </cell>
          <cell r="P3080">
            <v>1.0004373900000001</v>
          </cell>
          <cell r="Q3080">
            <v>6.2188430767710807</v>
          </cell>
        </row>
        <row r="3081">
          <cell r="O3081">
            <v>40619</v>
          </cell>
          <cell r="P3081">
            <v>1.0004373900000001</v>
          </cell>
          <cell r="Q3081">
            <v>6.2215631365444306</v>
          </cell>
        </row>
        <row r="3082">
          <cell r="O3082">
            <v>40620</v>
          </cell>
          <cell r="P3082">
            <v>1.00043704</v>
          </cell>
          <cell r="Q3082">
            <v>6.2242822084976259</v>
          </cell>
        </row>
        <row r="3083">
          <cell r="O3083">
            <v>40623</v>
          </cell>
          <cell r="P3083">
            <v>1.0004373900000001</v>
          </cell>
          <cell r="Q3083">
            <v>6.2270046472928016</v>
          </cell>
        </row>
        <row r="3084">
          <cell r="O3084">
            <v>40624</v>
          </cell>
          <cell r="P3084">
            <v>1.00043704</v>
          </cell>
          <cell r="Q3084">
            <v>6.2297260974038542</v>
          </cell>
        </row>
        <row r="3085">
          <cell r="O3085">
            <v>40625</v>
          </cell>
          <cell r="P3085">
            <v>1.00043704</v>
          </cell>
          <cell r="Q3085">
            <v>6.2324487368974637</v>
          </cell>
        </row>
        <row r="3086">
          <cell r="O3086">
            <v>40626</v>
          </cell>
          <cell r="P3086">
            <v>1.0004373900000001</v>
          </cell>
          <cell r="Q3086">
            <v>6.235174747650496</v>
          </cell>
        </row>
        <row r="3087">
          <cell r="O3087">
            <v>40627</v>
          </cell>
          <cell r="P3087">
            <v>1.0004373900000001</v>
          </cell>
          <cell r="Q3087">
            <v>6.2379019507333711</v>
          </cell>
        </row>
        <row r="3088">
          <cell r="O3088">
            <v>40630</v>
          </cell>
          <cell r="P3088">
            <v>1.0004373900000001</v>
          </cell>
          <cell r="Q3088">
            <v>6.2406303466676025</v>
          </cell>
        </row>
        <row r="3089">
          <cell r="O3089">
            <v>40631</v>
          </cell>
          <cell r="P3089">
            <v>1.0004377499999999</v>
          </cell>
          <cell r="Q3089">
            <v>6.2433621826018557</v>
          </cell>
        </row>
        <row r="3090">
          <cell r="O3090">
            <v>40632</v>
          </cell>
          <cell r="P3090">
            <v>1.0004377499999999</v>
          </cell>
          <cell r="Q3090">
            <v>6.2460952143972888</v>
          </cell>
        </row>
        <row r="3091">
          <cell r="O3091">
            <v>40633</v>
          </cell>
          <cell r="P3091">
            <v>1.0004377499999999</v>
          </cell>
          <cell r="Q3091">
            <v>6.2488294425773905</v>
          </cell>
        </row>
        <row r="3092">
          <cell r="O3092">
            <v>40634</v>
          </cell>
          <cell r="P3092">
            <v>1.0004377499999999</v>
          </cell>
          <cell r="Q3092">
            <v>6.2515648676658779</v>
          </cell>
        </row>
        <row r="3093">
          <cell r="O3093">
            <v>40637</v>
          </cell>
          <cell r="P3093">
            <v>1.0004381</v>
          </cell>
          <cell r="Q3093">
            <v>6.2543036782344021</v>
          </cell>
        </row>
        <row r="3094">
          <cell r="O3094">
            <v>40638</v>
          </cell>
          <cell r="P3094">
            <v>1.0004377499999999</v>
          </cell>
          <cell r="Q3094">
            <v>6.2570414996695485</v>
          </cell>
        </row>
        <row r="3095">
          <cell r="O3095">
            <v>40639</v>
          </cell>
          <cell r="P3095">
            <v>1.0004373900000001</v>
          </cell>
          <cell r="Q3095">
            <v>6.2597782670510895</v>
          </cell>
        </row>
        <row r="3096">
          <cell r="O3096">
            <v>40640</v>
          </cell>
          <cell r="P3096">
            <v>1.00043704</v>
          </cell>
          <cell r="Q3096">
            <v>6.2625140405449216</v>
          </cell>
        </row>
        <row r="3097">
          <cell r="O3097">
            <v>40641</v>
          </cell>
          <cell r="P3097">
            <v>1.0004373900000001</v>
          </cell>
          <cell r="Q3097">
            <v>6.2652532015611158</v>
          </cell>
        </row>
        <row r="3098">
          <cell r="O3098">
            <v>40644</v>
          </cell>
          <cell r="P3098">
            <v>1.00043704</v>
          </cell>
          <cell r="Q3098">
            <v>6.2679913678203256</v>
          </cell>
        </row>
        <row r="3099">
          <cell r="O3099">
            <v>40645</v>
          </cell>
          <cell r="P3099">
            <v>1.00043704</v>
          </cell>
          <cell r="Q3099">
            <v>6.2707307307677178</v>
          </cell>
        </row>
        <row r="3100">
          <cell r="O3100">
            <v>40646</v>
          </cell>
          <cell r="P3100">
            <v>1.00043668</v>
          </cell>
          <cell r="Q3100">
            <v>6.273469033463229</v>
          </cell>
        </row>
        <row r="3101">
          <cell r="O3101">
            <v>40647</v>
          </cell>
          <cell r="P3101">
            <v>1.0004373900000001</v>
          </cell>
          <cell r="Q3101">
            <v>6.2762129860837765</v>
          </cell>
        </row>
        <row r="3102">
          <cell r="O3102">
            <v>40648</v>
          </cell>
          <cell r="P3102">
            <v>1.0004377499999999</v>
          </cell>
          <cell r="Q3102">
            <v>6.2789603983184339</v>
          </cell>
        </row>
        <row r="3103">
          <cell r="O3103">
            <v>40651</v>
          </cell>
          <cell r="P3103">
            <v>1.0004377499999999</v>
          </cell>
          <cell r="Q3103">
            <v>6.2817090132327973</v>
          </cell>
        </row>
        <row r="3104">
          <cell r="O3104">
            <v>40652</v>
          </cell>
          <cell r="P3104">
            <v>1.0004388099999999</v>
          </cell>
          <cell r="Q3104">
            <v>6.2844654899648935</v>
          </cell>
        </row>
        <row r="3105">
          <cell r="O3105">
            <v>40653</v>
          </cell>
          <cell r="P3105">
            <v>1.0004377499999999</v>
          </cell>
          <cell r="Q3105">
            <v>6.2872165147331254</v>
          </cell>
        </row>
        <row r="3106">
          <cell r="O3106">
            <v>40658</v>
          </cell>
          <cell r="P3106">
            <v>1.00043704</v>
          </cell>
          <cell r="Q3106">
            <v>6.2899642798387241</v>
          </cell>
        </row>
        <row r="3107">
          <cell r="O3107">
            <v>40659</v>
          </cell>
          <cell r="P3107">
            <v>1.00044556</v>
          </cell>
          <cell r="Q3107">
            <v>6.2927668363232492</v>
          </cell>
        </row>
        <row r="3108">
          <cell r="O3108">
            <v>40660</v>
          </cell>
          <cell r="P3108">
            <v>1.00044592</v>
          </cell>
          <cell r="Q3108">
            <v>6.2955729069109028</v>
          </cell>
        </row>
        <row r="3109">
          <cell r="O3109">
            <v>40661</v>
          </cell>
          <cell r="P3109">
            <v>1.00044592</v>
          </cell>
          <cell r="Q3109">
            <v>6.2983802287815527</v>
          </cell>
        </row>
        <row r="3110">
          <cell r="O3110">
            <v>40662</v>
          </cell>
          <cell r="P3110">
            <v>1.00044592</v>
          </cell>
          <cell r="Q3110">
            <v>6.3011888024931713</v>
          </cell>
        </row>
        <row r="3111">
          <cell r="O3111">
            <v>40665</v>
          </cell>
          <cell r="P3111">
            <v>1.0004466299999999</v>
          </cell>
          <cell r="Q3111">
            <v>6.3040031024480285</v>
          </cell>
        </row>
        <row r="3112">
          <cell r="O3112">
            <v>40666</v>
          </cell>
          <cell r="P3112">
            <v>1.0004462700000001</v>
          </cell>
          <cell r="Q3112">
            <v>6.3068163899125587</v>
          </cell>
        </row>
        <row r="3113">
          <cell r="O3113">
            <v>40667</v>
          </cell>
          <cell r="P3113">
            <v>1.0004462700000001</v>
          </cell>
          <cell r="Q3113">
            <v>6.3096309328628859</v>
          </cell>
        </row>
        <row r="3114">
          <cell r="O3114">
            <v>40668</v>
          </cell>
          <cell r="P3114">
            <v>1.0004462700000001</v>
          </cell>
          <cell r="Q3114">
            <v>6.3124467318592954</v>
          </cell>
        </row>
        <row r="3115">
          <cell r="O3115">
            <v>40669</v>
          </cell>
          <cell r="P3115">
            <v>1.0004462700000001</v>
          </cell>
          <cell r="Q3115">
            <v>6.3152637874623228</v>
          </cell>
        </row>
        <row r="3116">
          <cell r="O3116">
            <v>40672</v>
          </cell>
          <cell r="P3116">
            <v>1.0004462700000001</v>
          </cell>
          <cell r="Q3116">
            <v>6.3180821002327541</v>
          </cell>
        </row>
        <row r="3117">
          <cell r="O3117">
            <v>40673</v>
          </cell>
          <cell r="P3117">
            <v>1.00044592</v>
          </cell>
          <cell r="Q3117">
            <v>6.3208994594028898</v>
          </cell>
        </row>
        <row r="3118">
          <cell r="O3118">
            <v>40674</v>
          </cell>
          <cell r="P3118">
            <v>1.00044592</v>
          </cell>
          <cell r="Q3118">
            <v>6.3237180748898263</v>
          </cell>
        </row>
        <row r="3119">
          <cell r="O3119">
            <v>40675</v>
          </cell>
          <cell r="P3119">
            <v>1.00044556</v>
          </cell>
          <cell r="Q3119">
            <v>6.3265356707152742</v>
          </cell>
        </row>
        <row r="3120">
          <cell r="O3120">
            <v>40676</v>
          </cell>
          <cell r="P3120">
            <v>1.0004452100000001</v>
          </cell>
          <cell r="Q3120">
            <v>6.3293523076612335</v>
          </cell>
        </row>
        <row r="3121">
          <cell r="O3121">
            <v>40679</v>
          </cell>
          <cell r="P3121">
            <v>1.0004452100000001</v>
          </cell>
          <cell r="Q3121">
            <v>6.3321701986021282</v>
          </cell>
        </row>
        <row r="3122">
          <cell r="O3122">
            <v>40680</v>
          </cell>
          <cell r="P3122">
            <v>1.0004448500000001</v>
          </cell>
          <cell r="Q3122">
            <v>6.3349870645149764</v>
          </cell>
        </row>
        <row r="3123">
          <cell r="O3123">
            <v>40681</v>
          </cell>
          <cell r="P3123">
            <v>1.00044556</v>
          </cell>
          <cell r="Q3123">
            <v>6.3378096813514411</v>
          </cell>
        </row>
        <row r="3124">
          <cell r="O3124">
            <v>40682</v>
          </cell>
          <cell r="P3124">
            <v>1.00044556</v>
          </cell>
          <cell r="Q3124">
            <v>6.3406335558330635</v>
          </cell>
        </row>
        <row r="3125">
          <cell r="O3125">
            <v>40683</v>
          </cell>
          <cell r="P3125">
            <v>1.00044556</v>
          </cell>
          <cell r="Q3125">
            <v>6.3434586885202</v>
          </cell>
        </row>
        <row r="3126">
          <cell r="O3126">
            <v>40686</v>
          </cell>
          <cell r="P3126">
            <v>1.0004462700000001</v>
          </cell>
          <cell r="Q3126">
            <v>6.346289583829126</v>
          </cell>
        </row>
        <row r="3127">
          <cell r="O3127">
            <v>40687</v>
          </cell>
          <cell r="P3127">
            <v>1.0004462700000001</v>
          </cell>
          <cell r="Q3127">
            <v>6.3491217424817021</v>
          </cell>
        </row>
        <row r="3128">
          <cell r="O3128">
            <v>40688</v>
          </cell>
          <cell r="P3128">
            <v>1.00044592</v>
          </cell>
          <cell r="Q3128">
            <v>6.3519529428491097</v>
          </cell>
        </row>
        <row r="3129">
          <cell r="O3129">
            <v>40689</v>
          </cell>
          <cell r="P3129">
            <v>1.00044592</v>
          </cell>
          <cell r="Q3129">
            <v>6.3547854057053845</v>
          </cell>
        </row>
        <row r="3130">
          <cell r="O3130">
            <v>40690</v>
          </cell>
          <cell r="P3130">
            <v>1.00044556</v>
          </cell>
          <cell r="Q3130">
            <v>6.3576168438907503</v>
          </cell>
        </row>
        <row r="3131">
          <cell r="O3131">
            <v>40693</v>
          </cell>
          <cell r="P3131">
            <v>1.00044592</v>
          </cell>
          <cell r="Q3131">
            <v>6.3604518323937782</v>
          </cell>
        </row>
        <row r="3132">
          <cell r="O3132">
            <v>40694</v>
          </cell>
          <cell r="P3132">
            <v>1.00044556</v>
          </cell>
          <cell r="Q3132">
            <v>6.3632857953122191</v>
          </cell>
        </row>
        <row r="3133">
          <cell r="O3133">
            <v>40695</v>
          </cell>
          <cell r="P3133">
            <v>1.0004445</v>
          </cell>
          <cell r="Q3133">
            <v>6.3661142758482354</v>
          </cell>
        </row>
        <row r="3134">
          <cell r="O3134">
            <v>40696</v>
          </cell>
          <cell r="P3134">
            <v>1.0004466299999999</v>
          </cell>
          <cell r="Q3134">
            <v>6.3689575734672568</v>
          </cell>
        </row>
        <row r="3135">
          <cell r="O3135">
            <v>40697</v>
          </cell>
          <cell r="P3135">
            <v>1.00044592</v>
          </cell>
          <cell r="Q3135">
            <v>6.3717976190284169</v>
          </cell>
        </row>
        <row r="3136">
          <cell r="O3136">
            <v>40700</v>
          </cell>
          <cell r="P3136">
            <v>1.00044592</v>
          </cell>
          <cell r="Q3136">
            <v>6.3746389310226936</v>
          </cell>
        </row>
        <row r="3137">
          <cell r="O3137">
            <v>40701</v>
          </cell>
          <cell r="P3137">
            <v>1.0004466299999999</v>
          </cell>
          <cell r="Q3137">
            <v>6.377486036008456</v>
          </cell>
        </row>
        <row r="3138">
          <cell r="O3138">
            <v>40702</v>
          </cell>
          <cell r="P3138">
            <v>1.00044592</v>
          </cell>
          <cell r="Q3138">
            <v>6.3803298845816325</v>
          </cell>
        </row>
        <row r="3139">
          <cell r="O3139">
            <v>40703</v>
          </cell>
          <cell r="P3139">
            <v>1.00044556</v>
          </cell>
          <cell r="Q3139">
            <v>6.3831727043650064</v>
          </cell>
        </row>
        <row r="3140">
          <cell r="O3140">
            <v>40704</v>
          </cell>
          <cell r="P3140">
            <v>1.0004523000000001</v>
          </cell>
          <cell r="Q3140">
            <v>6.386059813379191</v>
          </cell>
        </row>
        <row r="3141">
          <cell r="O3141">
            <v>40707</v>
          </cell>
          <cell r="P3141">
            <v>1.00045301</v>
          </cell>
          <cell r="Q3141">
            <v>6.3889527623352498</v>
          </cell>
        </row>
        <row r="3142">
          <cell r="O3142">
            <v>40708</v>
          </cell>
          <cell r="P3142">
            <v>1.0004523000000001</v>
          </cell>
          <cell r="Q3142">
            <v>6.3918424856696543</v>
          </cell>
        </row>
        <row r="3143">
          <cell r="O3143">
            <v>40709</v>
          </cell>
          <cell r="P3143">
            <v>1.00045194</v>
          </cell>
          <cell r="Q3143">
            <v>6.3947312149626283</v>
          </cell>
        </row>
        <row r="3144">
          <cell r="O3144">
            <v>40710</v>
          </cell>
          <cell r="P3144">
            <v>1.0004544200000001</v>
          </cell>
          <cell r="Q3144">
            <v>6.397637108721332</v>
          </cell>
        </row>
        <row r="3145">
          <cell r="O3145">
            <v>40711</v>
          </cell>
          <cell r="P3145">
            <v>1.0004544200000001</v>
          </cell>
          <cell r="Q3145">
            <v>6.4005443229762777</v>
          </cell>
        </row>
        <row r="3146">
          <cell r="O3146">
            <v>40714</v>
          </cell>
          <cell r="P3146">
            <v>1.0004544200000001</v>
          </cell>
          <cell r="Q3146">
            <v>6.4034528583275252</v>
          </cell>
        </row>
        <row r="3147">
          <cell r="O3147">
            <v>40715</v>
          </cell>
          <cell r="P3147">
            <v>1.00045407</v>
          </cell>
          <cell r="Q3147">
            <v>6.406360474166906</v>
          </cell>
        </row>
        <row r="3148">
          <cell r="O3148">
            <v>40716</v>
          </cell>
          <cell r="P3148">
            <v>1.0004547800000001</v>
          </cell>
          <cell r="Q3148">
            <v>6.4092739587833485</v>
          </cell>
        </row>
        <row r="3149">
          <cell r="O3149">
            <v>40718</v>
          </cell>
          <cell r="P3149">
            <v>1.0004544200000001</v>
          </cell>
          <cell r="Q3149">
            <v>6.4121864610556996</v>
          </cell>
        </row>
        <row r="3150">
          <cell r="O3150">
            <v>40721</v>
          </cell>
          <cell r="P3150">
            <v>1.00045407</v>
          </cell>
          <cell r="Q3150">
            <v>6.4150980425620707</v>
          </cell>
        </row>
        <row r="3151">
          <cell r="O3151">
            <v>40722</v>
          </cell>
          <cell r="P3151">
            <v>1.00045407</v>
          </cell>
          <cell r="Q3151">
            <v>6.4180109461302566</v>
          </cell>
        </row>
        <row r="3152">
          <cell r="O3152">
            <v>40723</v>
          </cell>
          <cell r="P3152">
            <v>1.0004537200000001</v>
          </cell>
          <cell r="Q3152">
            <v>6.4209229260567353</v>
          </cell>
        </row>
        <row r="3153">
          <cell r="O3153">
            <v>40724</v>
          </cell>
          <cell r="P3153">
            <v>1.00045407</v>
          </cell>
          <cell r="Q3153">
            <v>6.4238384745297701</v>
          </cell>
        </row>
        <row r="3154">
          <cell r="O3154">
            <v>40725</v>
          </cell>
          <cell r="P3154">
            <v>1.00045513</v>
          </cell>
          <cell r="Q3154">
            <v>6.426762156134683</v>
          </cell>
        </row>
        <row r="3155">
          <cell r="O3155">
            <v>40728</v>
          </cell>
          <cell r="P3155">
            <v>1.00045513</v>
          </cell>
          <cell r="Q3155">
            <v>6.4296871683948043</v>
          </cell>
        </row>
        <row r="3156">
          <cell r="O3156">
            <v>40729</v>
          </cell>
          <cell r="P3156">
            <v>1.00045513</v>
          </cell>
          <cell r="Q3156">
            <v>6.4326135119157559</v>
          </cell>
        </row>
        <row r="3157">
          <cell r="O3157">
            <v>40730</v>
          </cell>
          <cell r="P3157">
            <v>1.00045549</v>
          </cell>
          <cell r="Q3157">
            <v>6.4355435030442987</v>
          </cell>
        </row>
        <row r="3158">
          <cell r="O3158">
            <v>40731</v>
          </cell>
          <cell r="P3158">
            <v>1.00045513</v>
          </cell>
          <cell r="Q3158">
            <v>6.4384725119588389</v>
          </cell>
        </row>
        <row r="3159">
          <cell r="O3159">
            <v>40732</v>
          </cell>
          <cell r="P3159">
            <v>1.00045513</v>
          </cell>
          <cell r="Q3159">
            <v>6.4414028539532069</v>
          </cell>
        </row>
        <row r="3160">
          <cell r="O3160">
            <v>40735</v>
          </cell>
          <cell r="P3160">
            <v>1.00045513</v>
          </cell>
          <cell r="Q3160">
            <v>6.4443345296341263</v>
          </cell>
        </row>
        <row r="3161">
          <cell r="O3161">
            <v>40736</v>
          </cell>
          <cell r="P3161">
            <v>1.00045513</v>
          </cell>
          <cell r="Q3161">
            <v>6.4472675396085988</v>
          </cell>
        </row>
        <row r="3162">
          <cell r="O3162">
            <v>40737</v>
          </cell>
          <cell r="P3162">
            <v>1.00045513</v>
          </cell>
          <cell r="Q3162">
            <v>6.4502018844839011</v>
          </cell>
        </row>
        <row r="3163">
          <cell r="O3163">
            <v>40738</v>
          </cell>
          <cell r="P3163">
            <v>1.00045549</v>
          </cell>
          <cell r="Q3163">
            <v>6.4531398869402645</v>
          </cell>
        </row>
        <row r="3164">
          <cell r="O3164">
            <v>40739</v>
          </cell>
          <cell r="P3164">
            <v>1.00045549</v>
          </cell>
          <cell r="Q3164">
            <v>6.4560792276273666</v>
          </cell>
        </row>
        <row r="3165">
          <cell r="O3165">
            <v>40742</v>
          </cell>
          <cell r="P3165">
            <v>1.00045549</v>
          </cell>
          <cell r="Q3165">
            <v>6.4590199071547589</v>
          </cell>
        </row>
        <row r="3166">
          <cell r="O3166">
            <v>40743</v>
          </cell>
          <cell r="P3166">
            <v>1.00045549</v>
          </cell>
          <cell r="Q3166">
            <v>6.4619619261322692</v>
          </cell>
        </row>
        <row r="3167">
          <cell r="O3167">
            <v>40744</v>
          </cell>
          <cell r="P3167">
            <v>1.00045513</v>
          </cell>
          <cell r="Q3167">
            <v>6.4649029588637097</v>
          </cell>
        </row>
        <row r="3168">
          <cell r="O3168">
            <v>40745</v>
          </cell>
          <cell r="P3168">
            <v>1.00045513</v>
          </cell>
          <cell r="Q3168">
            <v>6.4678453301473775</v>
          </cell>
        </row>
        <row r="3169">
          <cell r="O3169">
            <v>40746</v>
          </cell>
          <cell r="P3169">
            <v>1.00046397</v>
          </cell>
          <cell r="Q3169">
            <v>6.4708462163452056</v>
          </cell>
        </row>
        <row r="3170">
          <cell r="O3170">
            <v>40749</v>
          </cell>
          <cell r="P3170">
            <v>1.00046397</v>
          </cell>
          <cell r="Q3170">
            <v>6.4738484948642032</v>
          </cell>
        </row>
        <row r="3171">
          <cell r="O3171">
            <v>40750</v>
          </cell>
          <cell r="P3171">
            <v>1.0004643200000001</v>
          </cell>
          <cell r="Q3171">
            <v>6.4768544321973387</v>
          </cell>
        </row>
        <row r="3172">
          <cell r="O3172">
            <v>40751</v>
          </cell>
          <cell r="P3172">
            <v>1.00046397</v>
          </cell>
          <cell r="Q3172">
            <v>6.4798594983482456</v>
          </cell>
        </row>
        <row r="3173">
          <cell r="O3173">
            <v>40752</v>
          </cell>
          <cell r="P3173">
            <v>1.00046397</v>
          </cell>
          <cell r="Q3173">
            <v>6.4828659587596942</v>
          </cell>
        </row>
        <row r="3174">
          <cell r="O3174">
            <v>40753</v>
          </cell>
          <cell r="P3174">
            <v>1.00046397</v>
          </cell>
          <cell r="Q3174">
            <v>6.4858738140785794</v>
          </cell>
        </row>
        <row r="3175">
          <cell r="O3175">
            <v>40756</v>
          </cell>
          <cell r="P3175">
            <v>1.00046397</v>
          </cell>
          <cell r="Q3175">
            <v>6.4888830649520974</v>
          </cell>
        </row>
        <row r="3176">
          <cell r="O3176">
            <v>40757</v>
          </cell>
          <cell r="P3176">
            <v>1.0004643200000001</v>
          </cell>
          <cell r="Q3176">
            <v>6.4918959831368168</v>
          </cell>
        </row>
        <row r="3177">
          <cell r="O3177">
            <v>40758</v>
          </cell>
          <cell r="P3177">
            <v>1.00046397</v>
          </cell>
          <cell r="Q3177">
            <v>6.4949080281161127</v>
          </cell>
        </row>
        <row r="3178">
          <cell r="O3178">
            <v>40759</v>
          </cell>
          <cell r="P3178">
            <v>1.00046397</v>
          </cell>
          <cell r="Q3178">
            <v>6.4979214705939174</v>
          </cell>
        </row>
        <row r="3179">
          <cell r="O3179">
            <v>40760</v>
          </cell>
          <cell r="P3179">
            <v>1.00046397</v>
          </cell>
          <cell r="Q3179">
            <v>6.5009363112186289</v>
          </cell>
        </row>
        <row r="3180">
          <cell r="O3180">
            <v>40763</v>
          </cell>
          <cell r="P3180">
            <v>1.00046397</v>
          </cell>
          <cell r="Q3180">
            <v>6.5039525506389451</v>
          </cell>
        </row>
        <row r="3181">
          <cell r="O3181">
            <v>40764</v>
          </cell>
          <cell r="P3181">
            <v>1.00046397</v>
          </cell>
          <cell r="Q3181">
            <v>6.506970189503865</v>
          </cell>
        </row>
        <row r="3182">
          <cell r="O3182">
            <v>40765</v>
          </cell>
          <cell r="P3182">
            <v>1.00046397</v>
          </cell>
          <cell r="Q3182">
            <v>6.5099892284626888</v>
          </cell>
        </row>
        <row r="3183">
          <cell r="O3183">
            <v>40766</v>
          </cell>
          <cell r="P3183">
            <v>1.00046397</v>
          </cell>
          <cell r="Q3183">
            <v>6.5130096681650187</v>
          </cell>
        </row>
        <row r="3184">
          <cell r="O3184">
            <v>40767</v>
          </cell>
          <cell r="P3184">
            <v>1.00046397</v>
          </cell>
          <cell r="Q3184">
            <v>6.516031509260757</v>
          </cell>
        </row>
        <row r="3185">
          <cell r="O3185">
            <v>40770</v>
          </cell>
          <cell r="P3185">
            <v>1.00046397</v>
          </cell>
          <cell r="Q3185">
            <v>6.519054752400109</v>
          </cell>
        </row>
        <row r="3186">
          <cell r="O3186">
            <v>40771</v>
          </cell>
          <cell r="P3186">
            <v>1.00046397</v>
          </cell>
          <cell r="Q3186">
            <v>6.5220793982335801</v>
          </cell>
        </row>
        <row r="3187">
          <cell r="O3187">
            <v>40772</v>
          </cell>
          <cell r="P3187">
            <v>1.00046397</v>
          </cell>
          <cell r="Q3187">
            <v>6.5251054474119785</v>
          </cell>
        </row>
        <row r="3188">
          <cell r="O3188">
            <v>40773</v>
          </cell>
          <cell r="P3188">
            <v>1.00046397</v>
          </cell>
          <cell r="Q3188">
            <v>6.5281329005864137</v>
          </cell>
        </row>
        <row r="3189">
          <cell r="O3189">
            <v>40774</v>
          </cell>
          <cell r="P3189">
            <v>1.0004636200000001</v>
          </cell>
          <cell r="Q3189">
            <v>6.5311594735617842</v>
          </cell>
        </row>
        <row r="3190">
          <cell r="O3190">
            <v>40777</v>
          </cell>
          <cell r="P3190">
            <v>1.00046397</v>
          </cell>
          <cell r="Q3190">
            <v>6.5341897356227321</v>
          </cell>
        </row>
        <row r="3191">
          <cell r="O3191">
            <v>40778</v>
          </cell>
          <cell r="P3191">
            <v>1.0004636200000001</v>
          </cell>
          <cell r="Q3191">
            <v>6.5372191166679618</v>
          </cell>
        </row>
        <row r="3192">
          <cell r="O3192">
            <v>40779</v>
          </cell>
          <cell r="P3192">
            <v>1.00046397</v>
          </cell>
          <cell r="Q3192">
            <v>6.5402521902215218</v>
          </cell>
        </row>
        <row r="3193">
          <cell r="O3193">
            <v>40780</v>
          </cell>
          <cell r="P3193">
            <v>1.00046397</v>
          </cell>
          <cell r="Q3193">
            <v>6.5432866710302191</v>
          </cell>
        </row>
        <row r="3194">
          <cell r="O3194">
            <v>40781</v>
          </cell>
          <cell r="P3194">
            <v>1.0004636200000001</v>
          </cell>
          <cell r="Q3194">
            <v>6.5463202695966425</v>
          </cell>
        </row>
        <row r="3195">
          <cell r="O3195">
            <v>40784</v>
          </cell>
          <cell r="P3195">
            <v>1.0004636200000001</v>
          </cell>
          <cell r="Q3195">
            <v>6.5493552746000336</v>
          </cell>
        </row>
        <row r="3196">
          <cell r="O3196">
            <v>40785</v>
          </cell>
          <cell r="P3196">
            <v>1.0004636200000001</v>
          </cell>
          <cell r="Q3196">
            <v>6.5523916866924443</v>
          </cell>
        </row>
        <row r="3197">
          <cell r="O3197">
            <v>40786</v>
          </cell>
          <cell r="P3197">
            <v>1.0004636200000001</v>
          </cell>
          <cell r="Q3197">
            <v>6.5554295065262291</v>
          </cell>
        </row>
        <row r="3198">
          <cell r="O3198">
            <v>40787</v>
          </cell>
          <cell r="P3198">
            <v>1.0004636200000001</v>
          </cell>
          <cell r="Q3198">
            <v>6.5584687347540456</v>
          </cell>
        </row>
        <row r="3199">
          <cell r="O3199">
            <v>40788</v>
          </cell>
          <cell r="P3199">
            <v>1.00044556</v>
          </cell>
          <cell r="Q3199">
            <v>6.5613909260835026</v>
          </cell>
        </row>
        <row r="3200">
          <cell r="O3200">
            <v>40791</v>
          </cell>
          <cell r="P3200">
            <v>1.00044556</v>
          </cell>
          <cell r="Q3200">
            <v>6.5643144194245284</v>
          </cell>
        </row>
        <row r="3201">
          <cell r="O3201">
            <v>40792</v>
          </cell>
          <cell r="P3201">
            <v>1.00044556</v>
          </cell>
          <cell r="Q3201">
            <v>6.5672392153572465</v>
          </cell>
        </row>
        <row r="3202">
          <cell r="O3202">
            <v>40794</v>
          </cell>
          <cell r="P3202">
            <v>1.00044556</v>
          </cell>
          <cell r="Q3202">
            <v>6.5701653144620407</v>
          </cell>
        </row>
        <row r="3203">
          <cell r="O3203">
            <v>40795</v>
          </cell>
          <cell r="P3203">
            <v>1.00044556</v>
          </cell>
          <cell r="Q3203">
            <v>6.5730927173195521</v>
          </cell>
        </row>
        <row r="3204">
          <cell r="O3204">
            <v>40798</v>
          </cell>
          <cell r="P3204">
            <v>1.00044556</v>
          </cell>
          <cell r="Q3204">
            <v>6.5760214245106807</v>
          </cell>
        </row>
        <row r="3205">
          <cell r="O3205">
            <v>40799</v>
          </cell>
          <cell r="P3205">
            <v>1.00044556</v>
          </cell>
          <cell r="Q3205">
            <v>6.5789514366165855</v>
          </cell>
        </row>
        <row r="3206">
          <cell r="O3206">
            <v>40800</v>
          </cell>
          <cell r="P3206">
            <v>1.00044556</v>
          </cell>
          <cell r="Q3206">
            <v>6.5818827542186842</v>
          </cell>
        </row>
        <row r="3207">
          <cell r="O3207">
            <v>40801</v>
          </cell>
          <cell r="P3207">
            <v>1.00044556</v>
          </cell>
          <cell r="Q3207">
            <v>6.5848153778986536</v>
          </cell>
        </row>
        <row r="3208">
          <cell r="O3208">
            <v>40802</v>
          </cell>
          <cell r="P3208">
            <v>1.00044556</v>
          </cell>
          <cell r="Q3208">
            <v>6.58774930823843</v>
          </cell>
        </row>
        <row r="3209">
          <cell r="O3209">
            <v>40805</v>
          </cell>
          <cell r="P3209">
            <v>1.00044556</v>
          </cell>
          <cell r="Q3209">
            <v>6.5906845458202081</v>
          </cell>
        </row>
        <row r="3210">
          <cell r="O3210">
            <v>40806</v>
          </cell>
          <cell r="P3210">
            <v>1.0004452100000001</v>
          </cell>
          <cell r="Q3210">
            <v>6.5936187844868535</v>
          </cell>
        </row>
        <row r="3211">
          <cell r="O3211">
            <v>40807</v>
          </cell>
          <cell r="P3211">
            <v>1.0004452100000001</v>
          </cell>
          <cell r="Q3211">
            <v>6.5965543295058957</v>
          </cell>
        </row>
        <row r="3212">
          <cell r="O3212">
            <v>40808</v>
          </cell>
          <cell r="P3212">
            <v>1.00044556</v>
          </cell>
          <cell r="Q3212">
            <v>6.5994934902529501</v>
          </cell>
        </row>
        <row r="3213">
          <cell r="O3213">
            <v>40809</v>
          </cell>
          <cell r="P3213">
            <v>1.00044556</v>
          </cell>
          <cell r="Q3213">
            <v>6.6024339605724665</v>
          </cell>
        </row>
        <row r="3214">
          <cell r="O3214">
            <v>40812</v>
          </cell>
          <cell r="P3214">
            <v>1.00044556</v>
          </cell>
          <cell r="Q3214">
            <v>6.605375741047939</v>
          </cell>
        </row>
        <row r="3215">
          <cell r="O3215">
            <v>40813</v>
          </cell>
          <cell r="P3215">
            <v>1.00044556</v>
          </cell>
          <cell r="Q3215">
            <v>6.6083188322631203</v>
          </cell>
        </row>
        <row r="3216">
          <cell r="O3216">
            <v>40814</v>
          </cell>
          <cell r="P3216">
            <v>1.00044556</v>
          </cell>
          <cell r="Q3216">
            <v>6.6112632348020233</v>
          </cell>
        </row>
        <row r="3217">
          <cell r="O3217">
            <v>40815</v>
          </cell>
          <cell r="P3217">
            <v>1.00044556</v>
          </cell>
          <cell r="Q3217">
            <v>6.6142089492489218</v>
          </cell>
        </row>
        <row r="3218">
          <cell r="O3218">
            <v>40816</v>
          </cell>
          <cell r="P3218">
            <v>1.00044556</v>
          </cell>
          <cell r="Q3218">
            <v>6.6171559761883492</v>
          </cell>
        </row>
        <row r="3219">
          <cell r="O3219">
            <v>40819</v>
          </cell>
          <cell r="P3219">
            <v>1.00044556</v>
          </cell>
          <cell r="Q3219">
            <v>6.620104316205099</v>
          </cell>
        </row>
        <row r="3220">
          <cell r="O3220">
            <v>40820</v>
          </cell>
          <cell r="P3220">
            <v>1.00044592</v>
          </cell>
          <cell r="Q3220">
            <v>6.6230563531217808</v>
          </cell>
        </row>
        <row r="3221">
          <cell r="O3221">
            <v>40821</v>
          </cell>
          <cell r="P3221">
            <v>1.00044556</v>
          </cell>
          <cell r="Q3221">
            <v>6.6260073221104774</v>
          </cell>
        </row>
        <row r="3222">
          <cell r="O3222">
            <v>40822</v>
          </cell>
          <cell r="P3222">
            <v>1.00044556</v>
          </cell>
          <cell r="Q3222">
            <v>6.6289596059329163</v>
          </cell>
        </row>
        <row r="3223">
          <cell r="O3223">
            <v>40823</v>
          </cell>
          <cell r="P3223">
            <v>1.00044556</v>
          </cell>
          <cell r="Q3223">
            <v>6.6319132051749357</v>
          </cell>
        </row>
        <row r="3224">
          <cell r="O3224">
            <v>40826</v>
          </cell>
          <cell r="P3224">
            <v>1.00044556</v>
          </cell>
          <cell r="Q3224">
            <v>6.6348681204226327</v>
          </cell>
        </row>
        <row r="3225">
          <cell r="O3225">
            <v>40827</v>
          </cell>
          <cell r="P3225">
            <v>1.00044556</v>
          </cell>
          <cell r="Q3225">
            <v>6.6378243522623679</v>
          </cell>
        </row>
        <row r="3226">
          <cell r="O3226">
            <v>40829</v>
          </cell>
          <cell r="P3226">
            <v>1.00044556</v>
          </cell>
          <cell r="Q3226">
            <v>6.6407819012807616</v>
          </cell>
        </row>
        <row r="3227">
          <cell r="O3227">
            <v>40830</v>
          </cell>
          <cell r="P3227">
            <v>1.0004452100000001</v>
          </cell>
          <cell r="Q3227">
            <v>6.6437384437910314</v>
          </cell>
        </row>
        <row r="3228">
          <cell r="O3228">
            <v>40833</v>
          </cell>
          <cell r="P3228">
            <v>1.0004452100000001</v>
          </cell>
          <cell r="Q3228">
            <v>6.6466963025835923</v>
          </cell>
        </row>
        <row r="3229">
          <cell r="O3229">
            <v>40834</v>
          </cell>
          <cell r="P3229">
            <v>1.0004452100000001</v>
          </cell>
          <cell r="Q3229">
            <v>6.6496554782444663</v>
          </cell>
        </row>
        <row r="3230">
          <cell r="O3230">
            <v>40835</v>
          </cell>
          <cell r="P3230">
            <v>1.0004452100000001</v>
          </cell>
          <cell r="Q3230">
            <v>6.6526159713599364</v>
          </cell>
        </row>
        <row r="3231">
          <cell r="O3231">
            <v>40836</v>
          </cell>
          <cell r="P3231">
            <v>1.00044556</v>
          </cell>
          <cell r="Q3231">
            <v>6.6555801109321351</v>
          </cell>
        </row>
        <row r="3232">
          <cell r="O3232">
            <v>40837</v>
          </cell>
          <cell r="P3232">
            <v>1.0004281399999999</v>
          </cell>
          <cell r="Q3232">
            <v>6.6584296310008293</v>
          </cell>
        </row>
        <row r="3233">
          <cell r="O3233">
            <v>40840</v>
          </cell>
          <cell r="P3233">
            <v>1.0004281399999999</v>
          </cell>
          <cell r="Q3233">
            <v>6.6612803710630457</v>
          </cell>
        </row>
        <row r="3234">
          <cell r="O3234">
            <v>40841</v>
          </cell>
          <cell r="P3234">
            <v>1.0004281399999999</v>
          </cell>
          <cell r="Q3234">
            <v>6.6641323316411123</v>
          </cell>
        </row>
        <row r="3235">
          <cell r="O3235">
            <v>40842</v>
          </cell>
          <cell r="P3235">
            <v>1.0004281399999999</v>
          </cell>
          <cell r="Q3235">
            <v>6.6669855132575808</v>
          </cell>
        </row>
        <row r="3236">
          <cell r="O3236">
            <v>40843</v>
          </cell>
          <cell r="P3236">
            <v>1.0004281399999999</v>
          </cell>
          <cell r="Q3236">
            <v>6.669839916435226</v>
          </cell>
        </row>
        <row r="3237">
          <cell r="O3237">
            <v>40844</v>
          </cell>
          <cell r="P3237">
            <v>1.0004281399999999</v>
          </cell>
          <cell r="Q3237">
            <v>6.6726955416970481</v>
          </cell>
        </row>
        <row r="3238">
          <cell r="O3238">
            <v>40847</v>
          </cell>
          <cell r="P3238">
            <v>1.0004281399999999</v>
          </cell>
          <cell r="Q3238">
            <v>6.6755523895662696</v>
          </cell>
        </row>
        <row r="3239">
          <cell r="O3239">
            <v>40848</v>
          </cell>
          <cell r="P3239">
            <v>1.0004281399999999</v>
          </cell>
          <cell r="Q3239">
            <v>6.6784104605663384</v>
          </cell>
        </row>
        <row r="3240">
          <cell r="O3240">
            <v>40850</v>
          </cell>
          <cell r="P3240">
            <v>1.0004281399999999</v>
          </cell>
          <cell r="Q3240">
            <v>6.6812697552209244</v>
          </cell>
        </row>
        <row r="3241">
          <cell r="O3241">
            <v>40851</v>
          </cell>
          <cell r="P3241">
            <v>1.00042849</v>
          </cell>
          <cell r="Q3241">
            <v>6.6841326124983391</v>
          </cell>
        </row>
        <row r="3242">
          <cell r="O3242">
            <v>40854</v>
          </cell>
          <cell r="P3242">
            <v>1.0004281399999999</v>
          </cell>
          <cell r="Q3242">
            <v>6.6869943570350534</v>
          </cell>
        </row>
        <row r="3243">
          <cell r="O3243">
            <v>40855</v>
          </cell>
          <cell r="P3243">
            <v>1.0004292100000001</v>
          </cell>
          <cell r="Q3243">
            <v>6.6898644818830366</v>
          </cell>
        </row>
        <row r="3244">
          <cell r="O3244">
            <v>40856</v>
          </cell>
          <cell r="P3244">
            <v>1.0004281399999999</v>
          </cell>
          <cell r="Q3244">
            <v>6.6927286804623094</v>
          </cell>
        </row>
        <row r="3245">
          <cell r="O3245">
            <v>40857</v>
          </cell>
          <cell r="P3245">
            <v>1.0004277800000001</v>
          </cell>
          <cell r="Q3245">
            <v>6.6955916959372379</v>
          </cell>
        </row>
        <row r="3246">
          <cell r="O3246">
            <v>40858</v>
          </cell>
          <cell r="P3246">
            <v>1.0004274200000001</v>
          </cell>
          <cell r="Q3246">
            <v>6.6984535257399163</v>
          </cell>
        </row>
        <row r="3247">
          <cell r="O3247">
            <v>40861</v>
          </cell>
          <cell r="P3247">
            <v>1.0004274200000001</v>
          </cell>
          <cell r="Q3247">
            <v>6.7013165787458888</v>
          </cell>
        </row>
        <row r="3248">
          <cell r="O3248">
            <v>40863</v>
          </cell>
          <cell r="P3248">
            <v>1.0004267099999999</v>
          </cell>
          <cell r="Q3248">
            <v>6.704176097543205</v>
          </cell>
        </row>
        <row r="3249">
          <cell r="O3249">
            <v>40864</v>
          </cell>
          <cell r="P3249">
            <v>1.00042707</v>
          </cell>
          <cell r="Q3249">
            <v>6.7070392500291822</v>
          </cell>
        </row>
        <row r="3250">
          <cell r="O3250">
            <v>40865</v>
          </cell>
          <cell r="P3250">
            <v>1.00042707</v>
          </cell>
          <cell r="Q3250">
            <v>6.7099036252816919</v>
          </cell>
        </row>
        <row r="3251">
          <cell r="O3251">
            <v>40868</v>
          </cell>
          <cell r="P3251">
            <v>1.0004274200000001</v>
          </cell>
          <cell r="Q3251">
            <v>6.7127715722892098</v>
          </cell>
        </row>
        <row r="3252">
          <cell r="O3252">
            <v>40869</v>
          </cell>
          <cell r="P3252">
            <v>1.0004277800000001</v>
          </cell>
          <cell r="Q3252">
            <v>6.7156431617124044</v>
          </cell>
        </row>
        <row r="3253">
          <cell r="O3253">
            <v>40870</v>
          </cell>
          <cell r="P3253">
            <v>1.0004277800000001</v>
          </cell>
          <cell r="Q3253">
            <v>6.7185159795441223</v>
          </cell>
        </row>
        <row r="3254">
          <cell r="O3254">
            <v>40871</v>
          </cell>
          <cell r="P3254">
            <v>1.0004277800000001</v>
          </cell>
          <cell r="Q3254">
            <v>6.7213900263098525</v>
          </cell>
        </row>
        <row r="3255">
          <cell r="O3255">
            <v>40872</v>
          </cell>
          <cell r="P3255">
            <v>1.0004277800000001</v>
          </cell>
          <cell r="Q3255">
            <v>6.7242653025353079</v>
          </cell>
        </row>
        <row r="3256">
          <cell r="O3256">
            <v>40875</v>
          </cell>
          <cell r="P3256">
            <v>1.00042707</v>
          </cell>
          <cell r="Q3256">
            <v>6.7271370345180612</v>
          </cell>
        </row>
        <row r="3257">
          <cell r="O3257">
            <v>40876</v>
          </cell>
          <cell r="P3257">
            <v>1.0004267099999999</v>
          </cell>
          <cell r="Q3257">
            <v>6.7300075711620604</v>
          </cell>
        </row>
        <row r="3258">
          <cell r="O3258">
            <v>40877</v>
          </cell>
          <cell r="P3258">
            <v>1.0004263499999999</v>
          </cell>
          <cell r="Q3258">
            <v>6.7328769098900247</v>
          </cell>
        </row>
        <row r="3259">
          <cell r="O3259">
            <v>40878</v>
          </cell>
          <cell r="P3259">
            <v>1.00042707</v>
          </cell>
          <cell r="Q3259">
            <v>6.7357523196319313</v>
          </cell>
        </row>
        <row r="3260">
          <cell r="O3260">
            <v>40879</v>
          </cell>
          <cell r="P3260">
            <v>1.00040956</v>
          </cell>
          <cell r="Q3260">
            <v>6.7385110143519604</v>
          </cell>
        </row>
        <row r="3261">
          <cell r="O3261">
            <v>40882</v>
          </cell>
          <cell r="P3261">
            <v>1.0004099200000001</v>
          </cell>
          <cell r="Q3261">
            <v>6.7412732647869644</v>
          </cell>
        </row>
        <row r="3262">
          <cell r="O3262">
            <v>40883</v>
          </cell>
          <cell r="P3262">
            <v>1.0004102800000001</v>
          </cell>
          <cell r="Q3262">
            <v>6.7440390743820418</v>
          </cell>
        </row>
        <row r="3263">
          <cell r="O3263">
            <v>40884</v>
          </cell>
          <cell r="P3263">
            <v>1.0004099200000001</v>
          </cell>
          <cell r="Q3263">
            <v>6.7468035908794128</v>
          </cell>
        </row>
        <row r="3264">
          <cell r="O3264">
            <v>40885</v>
          </cell>
          <cell r="P3264">
            <v>1.00040956</v>
          </cell>
          <cell r="Q3264">
            <v>6.7495668117580934</v>
          </cell>
        </row>
        <row r="3265">
          <cell r="O3265">
            <v>40886</v>
          </cell>
          <cell r="P3265">
            <v>1.00040884</v>
          </cell>
          <cell r="Q3265">
            <v>6.7523263046534119</v>
          </cell>
        </row>
        <row r="3266">
          <cell r="O3266">
            <v>40889</v>
          </cell>
          <cell r="P3266">
            <v>1.0004081300000001</v>
          </cell>
          <cell r="Q3266">
            <v>6.7550821315881304</v>
          </cell>
        </row>
        <row r="3267">
          <cell r="O3267">
            <v>40890</v>
          </cell>
          <cell r="P3267">
            <v>1.00040777</v>
          </cell>
          <cell r="Q3267">
            <v>6.7578366514289288</v>
          </cell>
        </row>
        <row r="3268">
          <cell r="O3268">
            <v>40891</v>
          </cell>
          <cell r="P3268">
            <v>1.0004081300000001</v>
          </cell>
          <cell r="Q3268">
            <v>6.760594727301477</v>
          </cell>
        </row>
        <row r="3269">
          <cell r="O3269">
            <v>40892</v>
          </cell>
          <cell r="P3269">
            <v>1.0004092</v>
          </cell>
          <cell r="Q3269">
            <v>6.7633611626638892</v>
          </cell>
        </row>
        <row r="3270">
          <cell r="O3270">
            <v>40893</v>
          </cell>
          <cell r="P3270">
            <v>1.00040956</v>
          </cell>
          <cell r="Q3270">
            <v>6.7661311648616698</v>
          </cell>
        </row>
        <row r="3271">
          <cell r="O3271">
            <v>40896</v>
          </cell>
          <cell r="P3271">
            <v>1.0004099200000001</v>
          </cell>
          <cell r="Q3271">
            <v>6.7689047373487705</v>
          </cell>
        </row>
        <row r="3272">
          <cell r="O3272">
            <v>40897</v>
          </cell>
          <cell r="P3272">
            <v>1.0004102800000001</v>
          </cell>
          <cell r="Q3272">
            <v>6.771681883584411</v>
          </cell>
        </row>
        <row r="3273">
          <cell r="O3273">
            <v>40898</v>
          </cell>
          <cell r="P3273">
            <v>1.00041063</v>
          </cell>
          <cell r="Q3273">
            <v>6.774462539316267</v>
          </cell>
        </row>
        <row r="3274">
          <cell r="O3274">
            <v>40899</v>
          </cell>
          <cell r="P3274">
            <v>1.0004102800000001</v>
          </cell>
          <cell r="Q3274">
            <v>6.7772419658068985</v>
          </cell>
        </row>
        <row r="3275">
          <cell r="O3275">
            <v>40900</v>
          </cell>
          <cell r="P3275">
            <v>1.0004099200000001</v>
          </cell>
          <cell r="Q3275">
            <v>6.7800200928335226</v>
          </cell>
        </row>
        <row r="3276">
          <cell r="O3276">
            <v>40903</v>
          </cell>
          <cell r="P3276">
            <v>1.0004099200000001</v>
          </cell>
          <cell r="Q3276">
            <v>6.7827993586699771</v>
          </cell>
        </row>
        <row r="3277">
          <cell r="O3277">
            <v>40904</v>
          </cell>
          <cell r="P3277">
            <v>1.00040884</v>
          </cell>
          <cell r="Q3277">
            <v>6.7855724383597753</v>
          </cell>
        </row>
        <row r="3278">
          <cell r="O3278">
            <v>40905</v>
          </cell>
          <cell r="P3278">
            <v>1.0004092</v>
          </cell>
          <cell r="Q3278">
            <v>6.7883490946015526</v>
          </cell>
        </row>
        <row r="3279">
          <cell r="O3279">
            <v>40906</v>
          </cell>
          <cell r="P3279">
            <v>1.00040884</v>
          </cell>
          <cell r="Q3279">
            <v>6.7911244432453897</v>
          </cell>
        </row>
        <row r="3280">
          <cell r="O3280">
            <v>40907</v>
          </cell>
          <cell r="P3280">
            <v>1.00040956</v>
          </cell>
          <cell r="Q3280">
            <v>6.7939058161723658</v>
          </cell>
        </row>
        <row r="3281">
          <cell r="O3281">
            <v>40910</v>
          </cell>
          <cell r="P3281">
            <v>1.00040956</v>
          </cell>
          <cell r="Q3281">
            <v>6.7966883282384378</v>
          </cell>
        </row>
        <row r="3282">
          <cell r="O3282">
            <v>40911</v>
          </cell>
          <cell r="P3282">
            <v>1.0004102800000001</v>
          </cell>
          <cell r="Q3282">
            <v>6.799476873525748</v>
          </cell>
        </row>
        <row r="3283">
          <cell r="O3283">
            <v>40912</v>
          </cell>
          <cell r="P3283">
            <v>1.0004099200000001</v>
          </cell>
          <cell r="Q3283">
            <v>6.8022641150857446</v>
          </cell>
        </row>
        <row r="3284">
          <cell r="O3284">
            <v>40913</v>
          </cell>
          <cell r="P3284">
            <v>1.0004099200000001</v>
          </cell>
          <cell r="Q3284">
            <v>6.8050524991918007</v>
          </cell>
        </row>
        <row r="3285">
          <cell r="O3285">
            <v>40914</v>
          </cell>
          <cell r="P3285">
            <v>1.00040884</v>
          </cell>
          <cell r="Q3285">
            <v>6.8078346768555704</v>
          </cell>
        </row>
        <row r="3286">
          <cell r="O3286">
            <v>40917</v>
          </cell>
          <cell r="P3286">
            <v>1.0004092</v>
          </cell>
          <cell r="Q3286">
            <v>6.8106204428053401</v>
          </cell>
        </row>
        <row r="3287">
          <cell r="O3287">
            <v>40918</v>
          </cell>
          <cell r="P3287">
            <v>1.00040777</v>
          </cell>
          <cell r="Q3287">
            <v>6.8133976095033031</v>
          </cell>
        </row>
        <row r="3288">
          <cell r="O3288">
            <v>40919</v>
          </cell>
          <cell r="P3288">
            <v>1.0004081300000001</v>
          </cell>
          <cell r="Q3288">
            <v>6.81617836146967</v>
          </cell>
        </row>
        <row r="3289">
          <cell r="O3289">
            <v>40920</v>
          </cell>
          <cell r="P3289">
            <v>1.00040777</v>
          </cell>
          <cell r="Q3289">
            <v>6.8189577945201263</v>
          </cell>
        </row>
        <row r="3290">
          <cell r="O3290">
            <v>40921</v>
          </cell>
          <cell r="P3290">
            <v>1.00040741</v>
          </cell>
          <cell r="Q3290">
            <v>6.8217359061151921</v>
          </cell>
        </row>
        <row r="3291">
          <cell r="O3291">
            <v>40924</v>
          </cell>
          <cell r="P3291">
            <v>1.00040777</v>
          </cell>
          <cell r="Q3291">
            <v>6.8245176053656289</v>
          </cell>
        </row>
        <row r="3292">
          <cell r="O3292">
            <v>40925</v>
          </cell>
          <cell r="P3292">
            <v>1.00040777</v>
          </cell>
          <cell r="Q3292">
            <v>6.8273004389095693</v>
          </cell>
        </row>
        <row r="3293">
          <cell r="O3293">
            <v>40926</v>
          </cell>
          <cell r="P3293">
            <v>1.00040741</v>
          </cell>
          <cell r="Q3293">
            <v>6.8300819493813858</v>
          </cell>
        </row>
        <row r="3294">
          <cell r="O3294">
            <v>40927</v>
          </cell>
          <cell r="P3294">
            <v>1.00040705</v>
          </cell>
          <cell r="Q3294">
            <v>6.8328621342388809</v>
          </cell>
        </row>
        <row r="3295">
          <cell r="O3295">
            <v>40928</v>
          </cell>
          <cell r="P3295">
            <v>1.0003894600000001</v>
          </cell>
          <cell r="Q3295">
            <v>6.8355232607256822</v>
          </cell>
        </row>
        <row r="3296">
          <cell r="O3296">
            <v>40931</v>
          </cell>
          <cell r="P3296">
            <v>1.0003898200000001</v>
          </cell>
          <cell r="Q3296">
            <v>6.8381878844031787</v>
          </cell>
        </row>
        <row r="3297">
          <cell r="O3297">
            <v>40932</v>
          </cell>
          <cell r="P3297">
            <v>1.0003898200000001</v>
          </cell>
          <cell r="Q3297">
            <v>6.8408535468042775</v>
          </cell>
        </row>
        <row r="3298">
          <cell r="O3298">
            <v>40933</v>
          </cell>
          <cell r="P3298">
            <v>1.0003901799999999</v>
          </cell>
          <cell r="Q3298">
            <v>6.8435227110411692</v>
          </cell>
        </row>
        <row r="3299">
          <cell r="O3299">
            <v>40934</v>
          </cell>
          <cell r="P3299">
            <v>1.0003901799999999</v>
          </cell>
          <cell r="Q3299">
            <v>6.8461929167325621</v>
          </cell>
        </row>
        <row r="3300">
          <cell r="O3300">
            <v>40935</v>
          </cell>
          <cell r="P3300">
            <v>1.0003894600000001</v>
          </cell>
          <cell r="Q3300">
            <v>6.8488592350259134</v>
          </cell>
        </row>
        <row r="3301">
          <cell r="O3301">
            <v>40938</v>
          </cell>
          <cell r="P3301">
            <v>1.0003891</v>
          </cell>
          <cell r="Q3301">
            <v>6.8515241261542625</v>
          </cell>
        </row>
        <row r="3302">
          <cell r="O3302">
            <v>40939</v>
          </cell>
          <cell r="P3302">
            <v>1.0003891</v>
          </cell>
          <cell r="Q3302">
            <v>6.8541900541917498</v>
          </cell>
        </row>
        <row r="3303">
          <cell r="O3303">
            <v>40940</v>
          </cell>
          <cell r="P3303">
            <v>1.0003894600000001</v>
          </cell>
          <cell r="Q3303">
            <v>6.8568594870502553</v>
          </cell>
        </row>
        <row r="3304">
          <cell r="O3304">
            <v>40941</v>
          </cell>
          <cell r="P3304">
            <v>1.0003891</v>
          </cell>
          <cell r="Q3304">
            <v>6.8595274910766664</v>
          </cell>
        </row>
        <row r="3305">
          <cell r="O3305">
            <v>40942</v>
          </cell>
          <cell r="P3305">
            <v>1.0003891</v>
          </cell>
          <cell r="Q3305">
            <v>6.8621965332234449</v>
          </cell>
        </row>
        <row r="3306">
          <cell r="O3306">
            <v>40945</v>
          </cell>
          <cell r="P3306">
            <v>1.0003898200000001</v>
          </cell>
          <cell r="Q3306">
            <v>6.8648715546760268</v>
          </cell>
        </row>
        <row r="3307">
          <cell r="O3307">
            <v>40946</v>
          </cell>
          <cell r="P3307">
            <v>1.0003891</v>
          </cell>
          <cell r="Q3307">
            <v>6.8675426761979512</v>
          </cell>
        </row>
        <row r="3308">
          <cell r="O3308">
            <v>40947</v>
          </cell>
          <cell r="P3308">
            <v>1.0003891</v>
          </cell>
          <cell r="Q3308">
            <v>6.8702148370532603</v>
          </cell>
        </row>
        <row r="3309">
          <cell r="O3309">
            <v>40948</v>
          </cell>
          <cell r="P3309">
            <v>1.00038874</v>
          </cell>
          <cell r="Q3309">
            <v>6.8728855643690165</v>
          </cell>
        </row>
        <row r="3310">
          <cell r="O3310">
            <v>40949</v>
          </cell>
          <cell r="P3310">
            <v>1.0003891</v>
          </cell>
          <cell r="Q3310">
            <v>6.8755598041421129</v>
          </cell>
        </row>
        <row r="3311">
          <cell r="O3311">
            <v>40952</v>
          </cell>
          <cell r="P3311">
            <v>1.0003891</v>
          </cell>
          <cell r="Q3311">
            <v>6.8782350844619051</v>
          </cell>
        </row>
        <row r="3312">
          <cell r="O3312">
            <v>40953</v>
          </cell>
          <cell r="P3312">
            <v>1.00038838</v>
          </cell>
          <cell r="Q3312">
            <v>6.8809064534040081</v>
          </cell>
        </row>
        <row r="3313">
          <cell r="O3313">
            <v>40954</v>
          </cell>
          <cell r="P3313">
            <v>1.00038874</v>
          </cell>
          <cell r="Q3313">
            <v>6.883581336978704</v>
          </cell>
        </row>
        <row r="3314">
          <cell r="O3314">
            <v>40955</v>
          </cell>
          <cell r="P3314">
            <v>1.00038874</v>
          </cell>
          <cell r="Q3314">
            <v>6.8862572603876409</v>
          </cell>
        </row>
        <row r="3315">
          <cell r="O3315">
            <v>40956</v>
          </cell>
          <cell r="P3315">
            <v>1.00038838</v>
          </cell>
          <cell r="Q3315">
            <v>6.8889317449824299</v>
          </cell>
        </row>
        <row r="3316">
          <cell r="O3316">
            <v>40961</v>
          </cell>
          <cell r="P3316">
            <v>1.0003898200000001</v>
          </cell>
          <cell r="Q3316">
            <v>6.8916171883552595</v>
          </cell>
        </row>
        <row r="3317">
          <cell r="O3317">
            <v>40962</v>
          </cell>
          <cell r="P3317">
            <v>1.00038874</v>
          </cell>
          <cell r="Q3317">
            <v>6.8942962356210611</v>
          </cell>
        </row>
        <row r="3318">
          <cell r="O3318">
            <v>40963</v>
          </cell>
          <cell r="P3318">
            <v>1.00038874</v>
          </cell>
          <cell r="Q3318">
            <v>6.896976324339696</v>
          </cell>
        </row>
        <row r="3319">
          <cell r="O3319">
            <v>40966</v>
          </cell>
          <cell r="P3319">
            <v>1.0003894600000001</v>
          </cell>
          <cell r="Q3319">
            <v>6.8996624207389736</v>
          </cell>
        </row>
        <row r="3320">
          <cell r="O3320">
            <v>40967</v>
          </cell>
          <cell r="P3320">
            <v>1.0003894600000001</v>
          </cell>
          <cell r="Q3320">
            <v>6.9023495632653553</v>
          </cell>
        </row>
        <row r="3321">
          <cell r="O3321">
            <v>40968</v>
          </cell>
          <cell r="P3321">
            <v>1.00038838</v>
          </cell>
          <cell r="Q3321">
            <v>6.9050302977887359</v>
          </cell>
        </row>
        <row r="3322">
          <cell r="O3322">
            <v>40969</v>
          </cell>
          <cell r="P3322">
            <v>1.0003880199999999</v>
          </cell>
          <cell r="Q3322">
            <v>6.9077095876448835</v>
          </cell>
        </row>
        <row r="3323">
          <cell r="O3323">
            <v>40970</v>
          </cell>
          <cell r="P3323">
            <v>1.0003880199999999</v>
          </cell>
          <cell r="Q3323">
            <v>6.9103899171190815</v>
          </cell>
        </row>
        <row r="3324">
          <cell r="O3324">
            <v>40973</v>
          </cell>
          <cell r="P3324">
            <v>1.0003876599999999</v>
          </cell>
          <cell r="Q3324">
            <v>6.9130687988743516</v>
          </cell>
        </row>
        <row r="3325">
          <cell r="O3325">
            <v>40974</v>
          </cell>
          <cell r="P3325">
            <v>1.0003876599999999</v>
          </cell>
          <cell r="Q3325">
            <v>6.9157487191249221</v>
          </cell>
        </row>
        <row r="3326">
          <cell r="O3326">
            <v>40975</v>
          </cell>
          <cell r="P3326">
            <v>1.0003873000000001</v>
          </cell>
          <cell r="Q3326">
            <v>6.9184271886038395</v>
          </cell>
        </row>
        <row r="3327">
          <cell r="O3327">
            <v>40976</v>
          </cell>
          <cell r="P3327">
            <v>1.00038622</v>
          </cell>
          <cell r="Q3327">
            <v>6.9210992235526216</v>
          </cell>
        </row>
        <row r="3328">
          <cell r="O3328">
            <v>40977</v>
          </cell>
          <cell r="P3328">
            <v>1.0003612900000001</v>
          </cell>
          <cell r="Q3328">
            <v>6.9235997474910995</v>
          </cell>
        </row>
        <row r="3329">
          <cell r="O3329">
            <v>40980</v>
          </cell>
          <cell r="P3329">
            <v>1.0003605600000001</v>
          </cell>
          <cell r="Q3329">
            <v>6.9260961206160552</v>
          </cell>
        </row>
        <row r="3330">
          <cell r="O3330">
            <v>40981</v>
          </cell>
          <cell r="P3330">
            <v>1.00035948</v>
          </cell>
          <cell r="Q3330">
            <v>6.9285859136494938</v>
          </cell>
        </row>
        <row r="3331">
          <cell r="O3331">
            <v>40982</v>
          </cell>
          <cell r="P3331">
            <v>1.00035875</v>
          </cell>
          <cell r="Q3331">
            <v>6.9310715438460155</v>
          </cell>
        </row>
        <row r="3332">
          <cell r="O3332">
            <v>40983</v>
          </cell>
          <cell r="P3332">
            <v>1.0003583899999999</v>
          </cell>
          <cell r="Q3332">
            <v>6.9335555705766136</v>
          </cell>
        </row>
        <row r="3333">
          <cell r="O3333">
            <v>40984</v>
          </cell>
          <cell r="P3333">
            <v>1.0003583899999999</v>
          </cell>
          <cell r="Q3333">
            <v>6.9360404875575519</v>
          </cell>
        </row>
        <row r="3334">
          <cell r="O3334">
            <v>40987</v>
          </cell>
          <cell r="P3334">
            <v>1.00035984</v>
          </cell>
          <cell r="Q3334">
            <v>6.9385363523665946</v>
          </cell>
        </row>
        <row r="3335">
          <cell r="O3335">
            <v>40988</v>
          </cell>
          <cell r="P3335">
            <v>1.00035948</v>
          </cell>
          <cell r="Q3335">
            <v>6.9410306174145431</v>
          </cell>
        </row>
        <row r="3336">
          <cell r="O3336">
            <v>40989</v>
          </cell>
          <cell r="P3336">
            <v>1.00035948</v>
          </cell>
          <cell r="Q3336">
            <v>6.9435257791008906</v>
          </cell>
        </row>
        <row r="3337">
          <cell r="O3337">
            <v>40990</v>
          </cell>
          <cell r="P3337">
            <v>1.00035948</v>
          </cell>
          <cell r="Q3337">
            <v>6.9460218377479617</v>
          </cell>
        </row>
        <row r="3338">
          <cell r="O3338">
            <v>40991</v>
          </cell>
          <cell r="P3338">
            <v>1.00035948</v>
          </cell>
          <cell r="Q3338">
            <v>6.9485187936781951</v>
          </cell>
        </row>
        <row r="3339">
          <cell r="O3339">
            <v>40994</v>
          </cell>
          <cell r="P3339">
            <v>1.00036093</v>
          </cell>
          <cell r="Q3339">
            <v>6.9510267225663975</v>
          </cell>
        </row>
        <row r="3340">
          <cell r="O3340">
            <v>40995</v>
          </cell>
          <cell r="P3340">
            <v>1.00035984</v>
          </cell>
          <cell r="Q3340">
            <v>6.9535279800222458</v>
          </cell>
        </row>
        <row r="3341">
          <cell r="O3341">
            <v>40996</v>
          </cell>
          <cell r="P3341">
            <v>1.00035984</v>
          </cell>
          <cell r="Q3341">
            <v>6.9560301375305773</v>
          </cell>
        </row>
        <row r="3342">
          <cell r="O3342">
            <v>40997</v>
          </cell>
          <cell r="P3342">
            <v>1.00035948</v>
          </cell>
          <cell r="Q3342">
            <v>6.9585306912444169</v>
          </cell>
        </row>
        <row r="3343">
          <cell r="O3343">
            <v>40998</v>
          </cell>
          <cell r="P3343">
            <v>1.00035948</v>
          </cell>
          <cell r="Q3343">
            <v>6.9610321438573051</v>
          </cell>
        </row>
        <row r="3344">
          <cell r="O3344">
            <v>41001</v>
          </cell>
          <cell r="P3344">
            <v>1.00036093</v>
          </cell>
          <cell r="Q3344">
            <v>6.963544589188988</v>
          </cell>
        </row>
        <row r="3345">
          <cell r="O3345">
            <v>41002</v>
          </cell>
          <cell r="P3345">
            <v>1.0003602</v>
          </cell>
          <cell r="Q3345">
            <v>6.9660528579500145</v>
          </cell>
        </row>
        <row r="3346">
          <cell r="O3346">
            <v>41003</v>
          </cell>
          <cell r="P3346">
            <v>1.0003602</v>
          </cell>
          <cell r="Q3346">
            <v>6.9685620301894486</v>
          </cell>
        </row>
        <row r="3347">
          <cell r="O3347">
            <v>41004</v>
          </cell>
          <cell r="P3347">
            <v>1.0003612900000001</v>
          </cell>
          <cell r="Q3347">
            <v>6.9710797019653361</v>
          </cell>
        </row>
        <row r="3348">
          <cell r="O3348">
            <v>41008</v>
          </cell>
          <cell r="P3348">
            <v>1.00036093</v>
          </cell>
          <cell r="Q3348">
            <v>6.9735957737621668</v>
          </cell>
        </row>
        <row r="3349">
          <cell r="O3349">
            <v>41009</v>
          </cell>
          <cell r="P3349">
            <v>1.0003602</v>
          </cell>
          <cell r="Q3349">
            <v>6.9761076629598762</v>
          </cell>
        </row>
        <row r="3350">
          <cell r="O3350">
            <v>41010</v>
          </cell>
          <cell r="P3350">
            <v>1.00036093</v>
          </cell>
          <cell r="Q3350">
            <v>6.9786255494986689</v>
          </cell>
        </row>
        <row r="3351">
          <cell r="O3351">
            <v>41011</v>
          </cell>
          <cell r="P3351">
            <v>1.00035984</v>
          </cell>
          <cell r="Q3351">
            <v>6.9811367381164002</v>
          </cell>
        </row>
        <row r="3352">
          <cell r="O3352">
            <v>41012</v>
          </cell>
          <cell r="P3352">
            <v>1.00035948</v>
          </cell>
          <cell r="Q3352">
            <v>6.9836463171510177</v>
          </cell>
        </row>
        <row r="3353">
          <cell r="O3353">
            <v>41015</v>
          </cell>
          <cell r="P3353">
            <v>1.00035948</v>
          </cell>
          <cell r="Q3353">
            <v>6.9861567983291071</v>
          </cell>
        </row>
        <row r="3354">
          <cell r="O3354">
            <v>41016</v>
          </cell>
          <cell r="P3354">
            <v>1.00035911</v>
          </cell>
          <cell r="Q3354">
            <v>6.9886655970969551</v>
          </cell>
        </row>
        <row r="3355">
          <cell r="O3355">
            <v>41017</v>
          </cell>
          <cell r="P3355">
            <v>1.00035875</v>
          </cell>
          <cell r="Q3355">
            <v>6.9911727808799133</v>
          </cell>
        </row>
        <row r="3356">
          <cell r="O3356">
            <v>41018</v>
          </cell>
          <cell r="P3356">
            <v>1.00035911</v>
          </cell>
          <cell r="Q3356">
            <v>6.9936833809372549</v>
          </cell>
        </row>
        <row r="3357">
          <cell r="O3357">
            <v>41019</v>
          </cell>
          <cell r="P3357">
            <v>1.00033182</v>
          </cell>
          <cell r="Q3357">
            <v>6.9960040249567177</v>
          </cell>
        </row>
        <row r="3358">
          <cell r="O3358">
            <v>41022</v>
          </cell>
          <cell r="P3358">
            <v>1.00033219</v>
          </cell>
          <cell r="Q3358">
            <v>6.998328027533768</v>
          </cell>
        </row>
        <row r="3359">
          <cell r="O3359">
            <v>41023</v>
          </cell>
          <cell r="P3359">
            <v>1.00033365</v>
          </cell>
          <cell r="Q3359">
            <v>7.0006630196801547</v>
          </cell>
        </row>
        <row r="3360">
          <cell r="O3360">
            <v>41024</v>
          </cell>
          <cell r="P3360">
            <v>1.00033182</v>
          </cell>
          <cell r="Q3360">
            <v>7.0029859796833449</v>
          </cell>
        </row>
        <row r="3361">
          <cell r="O3361">
            <v>41025</v>
          </cell>
          <cell r="P3361">
            <v>1.00033182</v>
          </cell>
          <cell r="Q3361">
            <v>7.0053097104911233</v>
          </cell>
        </row>
        <row r="3362">
          <cell r="O3362">
            <v>41026</v>
          </cell>
          <cell r="P3362">
            <v>1.00033182</v>
          </cell>
          <cell r="Q3362">
            <v>7.0076342123592585</v>
          </cell>
        </row>
        <row r="3363">
          <cell r="O3363">
            <v>41029</v>
          </cell>
          <cell r="P3363">
            <v>1.00033219</v>
          </cell>
          <cell r="Q3363">
            <v>7.0099620783682619</v>
          </cell>
        </row>
        <row r="3364">
          <cell r="O3364">
            <v>41031</v>
          </cell>
          <cell r="P3364">
            <v>1.00033109</v>
          </cell>
          <cell r="Q3364">
            <v>7.0122830067127886</v>
          </cell>
        </row>
        <row r="3365">
          <cell r="O3365">
            <v>41032</v>
          </cell>
          <cell r="P3365">
            <v>1.00033328</v>
          </cell>
          <cell r="Q3365">
            <v>7.0146200603932654</v>
          </cell>
        </row>
        <row r="3366">
          <cell r="O3366">
            <v>41033</v>
          </cell>
          <cell r="P3366">
            <v>1.00033328</v>
          </cell>
          <cell r="Q3366">
            <v>7.0169578929669933</v>
          </cell>
        </row>
        <row r="3367">
          <cell r="O3367">
            <v>41036</v>
          </cell>
          <cell r="P3367">
            <v>1.00033146</v>
          </cell>
          <cell r="Q3367">
            <v>7.0192837338301954</v>
          </cell>
        </row>
        <row r="3368">
          <cell r="O3368">
            <v>41037</v>
          </cell>
          <cell r="P3368">
            <v>1.00033146</v>
          </cell>
          <cell r="Q3368">
            <v>7.0216103456166108</v>
          </cell>
        </row>
        <row r="3369">
          <cell r="O3369">
            <v>41038</v>
          </cell>
          <cell r="P3369">
            <v>1.0003307299999999</v>
          </cell>
          <cell r="Q3369">
            <v>7.0239326028062159</v>
          </cell>
        </row>
        <row r="3370">
          <cell r="O3370">
            <v>41039</v>
          </cell>
          <cell r="P3370">
            <v>1.0003307299999999</v>
          </cell>
          <cell r="Q3370">
            <v>7.0262556280359414</v>
          </cell>
        </row>
        <row r="3371">
          <cell r="O3371">
            <v>41040</v>
          </cell>
          <cell r="P3371">
            <v>1.00033036</v>
          </cell>
          <cell r="Q3371">
            <v>7.0285768218452196</v>
          </cell>
        </row>
        <row r="3372">
          <cell r="O3372">
            <v>41043</v>
          </cell>
          <cell r="P3372">
            <v>1.00033036</v>
          </cell>
          <cell r="Q3372">
            <v>7.0308987824840843</v>
          </cell>
        </row>
        <row r="3373">
          <cell r="O3373">
            <v>41044</v>
          </cell>
          <cell r="P3373">
            <v>1.0003285399999999</v>
          </cell>
          <cell r="Q3373">
            <v>7.0332087139700814</v>
          </cell>
        </row>
        <row r="3374">
          <cell r="O3374">
            <v>41045</v>
          </cell>
          <cell r="P3374">
            <v>1.00033182</v>
          </cell>
          <cell r="Q3374">
            <v>7.0355424732855507</v>
          </cell>
        </row>
        <row r="3375">
          <cell r="O3375">
            <v>41046</v>
          </cell>
          <cell r="P3375">
            <v>1.00033219</v>
          </cell>
          <cell r="Q3375">
            <v>7.0378796101397514</v>
          </cell>
        </row>
        <row r="3376">
          <cell r="O3376">
            <v>41047</v>
          </cell>
          <cell r="P3376">
            <v>1.00033255</v>
          </cell>
          <cell r="Q3376">
            <v>7.0402200570041034</v>
          </cell>
        </row>
        <row r="3377">
          <cell r="O3377">
            <v>41050</v>
          </cell>
          <cell r="P3377">
            <v>1.00033328</v>
          </cell>
          <cell r="Q3377">
            <v>7.0425664215447012</v>
          </cell>
        </row>
        <row r="3378">
          <cell r="O3378">
            <v>41051</v>
          </cell>
          <cell r="P3378">
            <v>1.00033219</v>
          </cell>
          <cell r="Q3378">
            <v>7.0449058916842739</v>
          </cell>
        </row>
        <row r="3379">
          <cell r="O3379">
            <v>41052</v>
          </cell>
          <cell r="P3379">
            <v>1.00033365</v>
          </cell>
          <cell r="Q3379">
            <v>7.0472564245350338</v>
          </cell>
        </row>
        <row r="3380">
          <cell r="O3380">
            <v>41053</v>
          </cell>
          <cell r="P3380">
            <v>1.00033401</v>
          </cell>
          <cell r="Q3380">
            <v>7.0496102786533923</v>
          </cell>
        </row>
        <row r="3381">
          <cell r="O3381">
            <v>41054</v>
          </cell>
          <cell r="P3381">
            <v>1.00033401</v>
          </cell>
          <cell r="Q3381">
            <v>7.0519649189825655</v>
          </cell>
        </row>
        <row r="3382">
          <cell r="O3382">
            <v>41057</v>
          </cell>
          <cell r="P3382">
            <v>1.00033438</v>
          </cell>
          <cell r="Q3382">
            <v>7.0543229550121751</v>
          </cell>
        </row>
        <row r="3383">
          <cell r="O3383">
            <v>41058</v>
          </cell>
          <cell r="P3383">
            <v>1.00033401</v>
          </cell>
          <cell r="Q3383">
            <v>7.0566791694223783</v>
          </cell>
        </row>
        <row r="3384">
          <cell r="O3384">
            <v>41059</v>
          </cell>
          <cell r="P3384">
            <v>1.00033438</v>
          </cell>
          <cell r="Q3384">
            <v>7.0590387818030491</v>
          </cell>
        </row>
        <row r="3385">
          <cell r="O3385">
            <v>41060</v>
          </cell>
          <cell r="P3385">
            <v>1.00033511</v>
          </cell>
          <cell r="Q3385">
            <v>7.0614043362892192</v>
          </cell>
        </row>
        <row r="3386">
          <cell r="O3386">
            <v>41061</v>
          </cell>
          <cell r="P3386">
            <v>1.0003175600000001</v>
          </cell>
          <cell r="Q3386">
            <v>7.0636467558502511</v>
          </cell>
        </row>
        <row r="3387">
          <cell r="O3387">
            <v>41064</v>
          </cell>
          <cell r="P3387">
            <v>1.0003179200000001</v>
          </cell>
          <cell r="Q3387">
            <v>7.0658924304268718</v>
          </cell>
        </row>
        <row r="3388">
          <cell r="O3388">
            <v>41065</v>
          </cell>
          <cell r="P3388">
            <v>1.0003182900000001</v>
          </cell>
          <cell r="Q3388">
            <v>7.0681414333285524</v>
          </cell>
        </row>
        <row r="3389">
          <cell r="O3389">
            <v>41066</v>
          </cell>
          <cell r="P3389">
            <v>1.00031866</v>
          </cell>
          <cell r="Q3389">
            <v>7.0703937672776966</v>
          </cell>
        </row>
        <row r="3390">
          <cell r="O3390">
            <v>41068</v>
          </cell>
          <cell r="P3390">
            <v>1.0003171900000001</v>
          </cell>
          <cell r="Q3390">
            <v>7.0726364254767402</v>
          </cell>
        </row>
        <row r="3391">
          <cell r="O3391">
            <v>41071</v>
          </cell>
          <cell r="P3391">
            <v>1.00031866</v>
          </cell>
          <cell r="Q3391">
            <v>7.0748901918000824</v>
          </cell>
        </row>
        <row r="3392">
          <cell r="O3392">
            <v>41072</v>
          </cell>
          <cell r="P3392">
            <v>1.0003171900000001</v>
          </cell>
          <cell r="Q3392">
            <v>7.0771342762200202</v>
          </cell>
        </row>
        <row r="3393">
          <cell r="O3393">
            <v>41073</v>
          </cell>
          <cell r="P3393">
            <v>1.0003179200000001</v>
          </cell>
          <cell r="Q3393">
            <v>7.0793842387491166</v>
          </cell>
        </row>
        <row r="3394">
          <cell r="O3394">
            <v>41074</v>
          </cell>
          <cell r="P3394">
            <v>1.0003182900000001</v>
          </cell>
          <cell r="Q3394">
            <v>7.0816375359584685</v>
          </cell>
        </row>
        <row r="3395">
          <cell r="O3395">
            <v>41075</v>
          </cell>
          <cell r="P3395">
            <v>1.0003179200000001</v>
          </cell>
          <cell r="Q3395">
            <v>7.0838889301639005</v>
          </cell>
        </row>
        <row r="3396">
          <cell r="O3396">
            <v>41078</v>
          </cell>
          <cell r="P3396">
            <v>1.0003171900000001</v>
          </cell>
          <cell r="Q3396">
            <v>7.0861358688936598</v>
          </cell>
        </row>
        <row r="3397">
          <cell r="O3397">
            <v>41079</v>
          </cell>
          <cell r="P3397">
            <v>1.0003182900000001</v>
          </cell>
          <cell r="Q3397">
            <v>7.0883913150793703</v>
          </cell>
        </row>
        <row r="3398">
          <cell r="O3398">
            <v>41080</v>
          </cell>
          <cell r="P3398">
            <v>1.0003171900000001</v>
          </cell>
          <cell r="Q3398">
            <v>7.0906396819206012</v>
          </cell>
        </row>
        <row r="3399">
          <cell r="O3399">
            <v>41081</v>
          </cell>
          <cell r="P3399">
            <v>1.0003190200000001</v>
          </cell>
          <cell r="Q3399">
            <v>7.0929017377919283</v>
          </cell>
        </row>
        <row r="3400">
          <cell r="O3400">
            <v>41082</v>
          </cell>
          <cell r="P3400">
            <v>1.00031939</v>
          </cell>
          <cell r="Q3400">
            <v>7.0951671396779616</v>
          </cell>
        </row>
        <row r="3401">
          <cell r="O3401">
            <v>41085</v>
          </cell>
          <cell r="P3401">
            <v>1.00031866</v>
          </cell>
          <cell r="Q3401">
            <v>7.0974280856386915</v>
          </cell>
        </row>
        <row r="3402">
          <cell r="O3402">
            <v>41086</v>
          </cell>
          <cell r="P3402">
            <v>1.00031939</v>
          </cell>
          <cell r="Q3402">
            <v>7.0996949331949635</v>
          </cell>
        </row>
        <row r="3403">
          <cell r="O3403">
            <v>41087</v>
          </cell>
          <cell r="P3403">
            <v>1.0003182900000001</v>
          </cell>
          <cell r="Q3403">
            <v>7.1019546950952508</v>
          </cell>
        </row>
        <row r="3404">
          <cell r="O3404">
            <v>41088</v>
          </cell>
          <cell r="P3404">
            <v>1.0003190200000001</v>
          </cell>
          <cell r="Q3404">
            <v>7.1042203606820804</v>
          </cell>
        </row>
        <row r="3405">
          <cell r="O3405">
            <v>41089</v>
          </cell>
          <cell r="P3405">
            <v>1.00031866</v>
          </cell>
          <cell r="Q3405">
            <v>7.1064841915422159</v>
          </cell>
        </row>
        <row r="3406">
          <cell r="O3406">
            <v>41092</v>
          </cell>
          <cell r="P3406">
            <v>1.00031939</v>
          </cell>
          <cell r="Q3406">
            <v>7.1087539315281525</v>
          </cell>
        </row>
        <row r="3407">
          <cell r="O3407">
            <v>41093</v>
          </cell>
          <cell r="P3407">
            <v>1.00031866</v>
          </cell>
          <cell r="Q3407">
            <v>7.111019207055973</v>
          </cell>
        </row>
        <row r="3408">
          <cell r="O3408">
            <v>41094</v>
          </cell>
          <cell r="P3408">
            <v>1.00031866</v>
          </cell>
          <cell r="Q3408">
            <v>7.1132852044364938</v>
          </cell>
        </row>
        <row r="3409">
          <cell r="O3409">
            <v>41095</v>
          </cell>
          <cell r="P3409">
            <v>1.0003190200000001</v>
          </cell>
          <cell r="Q3409">
            <v>7.1155544846824137</v>
          </cell>
        </row>
        <row r="3410">
          <cell r="O3410">
            <v>41096</v>
          </cell>
          <cell r="P3410">
            <v>1.00031866</v>
          </cell>
          <cell r="Q3410">
            <v>7.1178219272745027</v>
          </cell>
        </row>
        <row r="3411">
          <cell r="O3411">
            <v>41099</v>
          </cell>
          <cell r="P3411">
            <v>1.0003179200000001</v>
          </cell>
          <cell r="Q3411">
            <v>7.120084825221622</v>
          </cell>
        </row>
        <row r="3412">
          <cell r="O3412">
            <v>41100</v>
          </cell>
          <cell r="P3412">
            <v>1.00031866</v>
          </cell>
          <cell r="Q3412">
            <v>7.1223537114520274</v>
          </cell>
        </row>
        <row r="3413">
          <cell r="O3413">
            <v>41101</v>
          </cell>
          <cell r="P3413">
            <v>1.0003171900000001</v>
          </cell>
          <cell r="Q3413">
            <v>7.1246128508257636</v>
          </cell>
        </row>
        <row r="3414">
          <cell r="O3414">
            <v>41102</v>
          </cell>
          <cell r="P3414">
            <v>1.0003164600000001</v>
          </cell>
          <cell r="Q3414">
            <v>7.1268675058085362</v>
          </cell>
        </row>
        <row r="3415">
          <cell r="O3415">
            <v>41103</v>
          </cell>
          <cell r="P3415">
            <v>1.0002999299999999</v>
          </cell>
          <cell r="Q3415">
            <v>7.1290050671795528</v>
          </cell>
        </row>
        <row r="3416">
          <cell r="O3416">
            <v>41106</v>
          </cell>
          <cell r="P3416">
            <v>1.00029919</v>
          </cell>
          <cell r="Q3416">
            <v>7.1311379942056021</v>
          </cell>
        </row>
        <row r="3417">
          <cell r="O3417">
            <v>41107</v>
          </cell>
          <cell r="P3417">
            <v>1.0002999299999999</v>
          </cell>
          <cell r="Q3417">
            <v>7.1332768364242041</v>
          </cell>
        </row>
        <row r="3418">
          <cell r="O3418">
            <v>41108</v>
          </cell>
          <cell r="P3418">
            <v>1.00029883</v>
          </cell>
          <cell r="Q3418">
            <v>7.1354084735412329</v>
          </cell>
        </row>
        <row r="3419">
          <cell r="O3419">
            <v>41109</v>
          </cell>
          <cell r="P3419">
            <v>1.00029809</v>
          </cell>
          <cell r="Q3419">
            <v>7.1375354674531106</v>
          </cell>
        </row>
        <row r="3420">
          <cell r="O3420">
            <v>41110</v>
          </cell>
          <cell r="P3420">
            <v>1.00029919</v>
          </cell>
          <cell r="Q3420">
            <v>7.139670946689618</v>
          </cell>
        </row>
        <row r="3421">
          <cell r="O3421">
            <v>41113</v>
          </cell>
          <cell r="P3421">
            <v>1.00029956</v>
          </cell>
          <cell r="Q3421">
            <v>7.1418097065184085</v>
          </cell>
        </row>
        <row r="3422">
          <cell r="O3422">
            <v>41114</v>
          </cell>
          <cell r="P3422">
            <v>1.00029956</v>
          </cell>
          <cell r="Q3422">
            <v>7.1439491070340928</v>
          </cell>
        </row>
        <row r="3423">
          <cell r="O3423">
            <v>41115</v>
          </cell>
          <cell r="P3423">
            <v>1.00029883</v>
          </cell>
          <cell r="Q3423">
            <v>7.1460839333457473</v>
          </cell>
        </row>
        <row r="3424">
          <cell r="O3424">
            <v>41116</v>
          </cell>
          <cell r="P3424">
            <v>1.00029956</v>
          </cell>
          <cell r="Q3424">
            <v>7.1482246142488206</v>
          </cell>
        </row>
        <row r="3425">
          <cell r="O3425">
            <v>41117</v>
          </cell>
          <cell r="P3425">
            <v>1.00029846</v>
          </cell>
          <cell r="Q3425">
            <v>7.1503580733671894</v>
          </cell>
        </row>
        <row r="3426">
          <cell r="O3426">
            <v>41120</v>
          </cell>
          <cell r="P3426">
            <v>1.0002977200000001</v>
          </cell>
          <cell r="Q3426">
            <v>7.1524868779727928</v>
          </cell>
        </row>
        <row r="3427">
          <cell r="O3427">
            <v>41121</v>
          </cell>
          <cell r="P3427">
            <v>1.00029919</v>
          </cell>
          <cell r="Q3427">
            <v>7.1546268305218135</v>
          </cell>
        </row>
        <row r="3428">
          <cell r="O3428">
            <v>41122</v>
          </cell>
          <cell r="P3428">
            <v>1.00029919</v>
          </cell>
          <cell r="Q3428">
            <v>7.1567674233232372</v>
          </cell>
        </row>
        <row r="3429">
          <cell r="O3429">
            <v>41123</v>
          </cell>
          <cell r="P3429">
            <v>1.00029919</v>
          </cell>
          <cell r="Q3429">
            <v>7.1589086565686211</v>
          </cell>
        </row>
        <row r="3430">
          <cell r="O3430">
            <v>41124</v>
          </cell>
          <cell r="P3430">
            <v>1.00029883</v>
          </cell>
          <cell r="Q3430">
            <v>7.1610479532424636</v>
          </cell>
        </row>
        <row r="3431">
          <cell r="O3431">
            <v>41127</v>
          </cell>
          <cell r="P3431">
            <v>1.00029919</v>
          </cell>
          <cell r="Q3431">
            <v>7.1631904671795938</v>
          </cell>
        </row>
        <row r="3432">
          <cell r="O3432">
            <v>41128</v>
          </cell>
          <cell r="P3432">
            <v>1.00029883</v>
          </cell>
          <cell r="Q3432">
            <v>7.1653310433869013</v>
          </cell>
        </row>
        <row r="3433">
          <cell r="O3433">
            <v>41129</v>
          </cell>
          <cell r="P3433">
            <v>1.00029883</v>
          </cell>
          <cell r="Q3433">
            <v>7.1674722592625963</v>
          </cell>
        </row>
        <row r="3434">
          <cell r="O3434">
            <v>41130</v>
          </cell>
          <cell r="P3434">
            <v>1.00029883</v>
          </cell>
          <cell r="Q3434">
            <v>7.1696141149978319</v>
          </cell>
        </row>
        <row r="3435">
          <cell r="O3435">
            <v>41131</v>
          </cell>
          <cell r="P3435">
            <v>1.00029883</v>
          </cell>
          <cell r="Q3435">
            <v>7.1717566107838167</v>
          </cell>
        </row>
        <row r="3436">
          <cell r="O3436">
            <v>41134</v>
          </cell>
          <cell r="P3436">
            <v>1.00029883</v>
          </cell>
          <cell r="Q3436">
            <v>7.1738997468118173</v>
          </cell>
        </row>
        <row r="3437">
          <cell r="O3437">
            <v>41135</v>
          </cell>
          <cell r="P3437">
            <v>1.00029809</v>
          </cell>
          <cell r="Q3437">
            <v>7.1760382145873445</v>
          </cell>
        </row>
        <row r="3438">
          <cell r="O3438">
            <v>41136</v>
          </cell>
          <cell r="P3438">
            <v>1.00029919</v>
          </cell>
          <cell r="Q3438">
            <v>7.1781852134607673</v>
          </cell>
        </row>
        <row r="3439">
          <cell r="O3439">
            <v>41137</v>
          </cell>
          <cell r="P3439">
            <v>1.00029919</v>
          </cell>
          <cell r="Q3439">
            <v>7.1803328546947824</v>
          </cell>
        </row>
        <row r="3440">
          <cell r="O3440">
            <v>41138</v>
          </cell>
          <cell r="P3440">
            <v>1.00029883</v>
          </cell>
          <cell r="Q3440">
            <v>7.1824785535617508</v>
          </cell>
        </row>
        <row r="3441">
          <cell r="O3441">
            <v>41141</v>
          </cell>
          <cell r="P3441">
            <v>1.00029956</v>
          </cell>
          <cell r="Q3441">
            <v>7.1846301368372556</v>
          </cell>
        </row>
        <row r="3442">
          <cell r="O3442">
            <v>41142</v>
          </cell>
          <cell r="P3442">
            <v>1.0002999299999999</v>
          </cell>
          <cell r="Q3442">
            <v>7.1867850229541972</v>
          </cell>
        </row>
        <row r="3443">
          <cell r="O3443">
            <v>41143</v>
          </cell>
          <cell r="P3443">
            <v>1.00029883</v>
          </cell>
          <cell r="Q3443">
            <v>7.1889326499226067</v>
          </cell>
        </row>
        <row r="3444">
          <cell r="O3444">
            <v>41144</v>
          </cell>
          <cell r="P3444">
            <v>1.00029846</v>
          </cell>
          <cell r="Q3444">
            <v>7.1910782587613022</v>
          </cell>
        </row>
        <row r="3445">
          <cell r="O3445">
            <v>41145</v>
          </cell>
          <cell r="P3445">
            <v>1.00029846</v>
          </cell>
          <cell r="Q3445">
            <v>7.1932245079784121</v>
          </cell>
        </row>
        <row r="3446">
          <cell r="O3446">
            <v>41148</v>
          </cell>
          <cell r="P3446">
            <v>1.00029883</v>
          </cell>
          <cell r="Q3446">
            <v>7.195374059258131</v>
          </cell>
        </row>
        <row r="3447">
          <cell r="O3447">
            <v>41149</v>
          </cell>
          <cell r="P3447">
            <v>1.00029919</v>
          </cell>
          <cell r="Q3447">
            <v>7.1975268432229207</v>
          </cell>
        </row>
        <row r="3448">
          <cell r="O3448">
            <v>41150</v>
          </cell>
          <cell r="P3448">
            <v>1.00029919</v>
          </cell>
          <cell r="Q3448">
            <v>7.1996802712791448</v>
          </cell>
        </row>
        <row r="3449">
          <cell r="O3449">
            <v>41151</v>
          </cell>
          <cell r="P3449">
            <v>1.00029883</v>
          </cell>
          <cell r="Q3449">
            <v>7.2018317517346109</v>
          </cell>
        </row>
        <row r="3450">
          <cell r="O3450">
            <v>41152</v>
          </cell>
          <cell r="P3450">
            <v>1.0002825900000001</v>
          </cell>
          <cell r="Q3450">
            <v>7.2038669173693339</v>
          </cell>
        </row>
        <row r="3451">
          <cell r="O3451">
            <v>41155</v>
          </cell>
          <cell r="P3451">
            <v>1.0002825900000001</v>
          </cell>
          <cell r="Q3451">
            <v>7.2059026581215138</v>
          </cell>
        </row>
        <row r="3452">
          <cell r="O3452">
            <v>41156</v>
          </cell>
          <cell r="P3452">
            <v>1.0002837</v>
          </cell>
          <cell r="Q3452">
            <v>7.2079469727056225</v>
          </cell>
        </row>
        <row r="3453">
          <cell r="O3453">
            <v>41157</v>
          </cell>
          <cell r="P3453">
            <v>1.0002829600000001</v>
          </cell>
          <cell r="Q3453">
            <v>7.20998653338102</v>
          </cell>
        </row>
        <row r="3454">
          <cell r="O3454">
            <v>41158</v>
          </cell>
          <cell r="P3454">
            <v>1.0002829600000001</v>
          </cell>
          <cell r="Q3454">
            <v>7.2120266711705057</v>
          </cell>
        </row>
        <row r="3455">
          <cell r="O3455">
            <v>41162</v>
          </cell>
          <cell r="P3455">
            <v>1.0002829600000001</v>
          </cell>
          <cell r="Q3455">
            <v>7.2140673862373808</v>
          </cell>
        </row>
        <row r="3456">
          <cell r="O3456">
            <v>41163</v>
          </cell>
          <cell r="P3456">
            <v>1.0002825900000001</v>
          </cell>
          <cell r="Q3456">
            <v>7.2161060095400584</v>
          </cell>
        </row>
        <row r="3457">
          <cell r="O3457">
            <v>41164</v>
          </cell>
          <cell r="P3457">
            <v>1.0002822200000001</v>
          </cell>
          <cell r="Q3457">
            <v>7.2181425389780713</v>
          </cell>
        </row>
        <row r="3458">
          <cell r="O3458">
            <v>41165</v>
          </cell>
          <cell r="P3458">
            <v>1.0002818600000001</v>
          </cell>
          <cell r="Q3458">
            <v>7.2201770446341085</v>
          </cell>
        </row>
        <row r="3459">
          <cell r="O3459">
            <v>41166</v>
          </cell>
          <cell r="P3459">
            <v>1.0002818600000001</v>
          </cell>
          <cell r="Q3459">
            <v>7.2222121237359094</v>
          </cell>
        </row>
        <row r="3460">
          <cell r="O3460">
            <v>41169</v>
          </cell>
          <cell r="P3460">
            <v>1.0002814900000001</v>
          </cell>
          <cell r="Q3460">
            <v>7.2242451042266209</v>
          </cell>
        </row>
        <row r="3461">
          <cell r="O3461">
            <v>41170</v>
          </cell>
          <cell r="P3461">
            <v>1.0002811199999999</v>
          </cell>
          <cell r="Q3461">
            <v>7.2262759840103206</v>
          </cell>
        </row>
        <row r="3462">
          <cell r="O3462">
            <v>41171</v>
          </cell>
          <cell r="P3462">
            <v>1.0002807499999999</v>
          </cell>
          <cell r="Q3462">
            <v>7.228304760992831</v>
          </cell>
        </row>
        <row r="3463">
          <cell r="O3463">
            <v>41172</v>
          </cell>
          <cell r="P3463">
            <v>1.0002807499999999</v>
          </cell>
          <cell r="Q3463">
            <v>7.2303341075544791</v>
          </cell>
        </row>
        <row r="3464">
          <cell r="O3464">
            <v>41173</v>
          </cell>
          <cell r="P3464">
            <v>1.0002814900000001</v>
          </cell>
          <cell r="Q3464">
            <v>7.2323693743024151</v>
          </cell>
        </row>
        <row r="3465">
          <cell r="O3465">
            <v>41176</v>
          </cell>
          <cell r="P3465">
            <v>1.0002814900000001</v>
          </cell>
          <cell r="Q3465">
            <v>7.2344052139575883</v>
          </cell>
        </row>
        <row r="3466">
          <cell r="O3466">
            <v>41177</v>
          </cell>
          <cell r="P3466">
            <v>1.0002814900000001</v>
          </cell>
          <cell r="Q3466">
            <v>7.2364416266812661</v>
          </cell>
        </row>
        <row r="3467">
          <cell r="O3467">
            <v>41178</v>
          </cell>
          <cell r="P3467">
            <v>1.0002825900000001</v>
          </cell>
          <cell r="Q3467">
            <v>7.238486572720551</v>
          </cell>
        </row>
        <row r="3468">
          <cell r="O3468">
            <v>41179</v>
          </cell>
          <cell r="P3468">
            <v>1.0002822200000001</v>
          </cell>
          <cell r="Q3468">
            <v>7.2405294184011053</v>
          </cell>
        </row>
        <row r="3469">
          <cell r="O3469">
            <v>41180</v>
          </cell>
          <cell r="P3469">
            <v>1.0002818600000001</v>
          </cell>
          <cell r="Q3469">
            <v>7.2425702340229767</v>
          </cell>
        </row>
        <row r="3470">
          <cell r="O3470">
            <v>41183</v>
          </cell>
          <cell r="P3470">
            <v>1.0002818600000001</v>
          </cell>
          <cell r="Q3470">
            <v>7.2446116248691386</v>
          </cell>
        </row>
        <row r="3471">
          <cell r="O3471">
            <v>41184</v>
          </cell>
          <cell r="P3471">
            <v>1.0002818600000001</v>
          </cell>
          <cell r="Q3471">
            <v>7.2466535911017251</v>
          </cell>
        </row>
        <row r="3472">
          <cell r="O3472">
            <v>41185</v>
          </cell>
          <cell r="P3472">
            <v>1.0002814900000001</v>
          </cell>
          <cell r="Q3472">
            <v>7.2486934516210848</v>
          </cell>
        </row>
        <row r="3473">
          <cell r="O3473">
            <v>41186</v>
          </cell>
          <cell r="P3473">
            <v>1.0002818600000001</v>
          </cell>
          <cell r="Q3473">
            <v>7.2507365683573592</v>
          </cell>
        </row>
        <row r="3474">
          <cell r="O3474">
            <v>41187</v>
          </cell>
          <cell r="P3474">
            <v>1.0002818600000001</v>
          </cell>
          <cell r="Q3474">
            <v>7.2527802609665173</v>
          </cell>
        </row>
        <row r="3475">
          <cell r="O3475">
            <v>41190</v>
          </cell>
          <cell r="P3475">
            <v>1.0002818600000001</v>
          </cell>
          <cell r="Q3475">
            <v>7.2548245296108735</v>
          </cell>
        </row>
        <row r="3476">
          <cell r="O3476">
            <v>41191</v>
          </cell>
          <cell r="P3476">
            <v>1.0002818600000001</v>
          </cell>
          <cell r="Q3476">
            <v>7.2568693744527906</v>
          </cell>
        </row>
        <row r="3477">
          <cell r="O3477">
            <v>41192</v>
          </cell>
          <cell r="P3477">
            <v>1.0002814900000001</v>
          </cell>
          <cell r="Q3477">
            <v>7.2589121106130063</v>
          </cell>
        </row>
        <row r="3478">
          <cell r="O3478">
            <v>41193</v>
          </cell>
          <cell r="P3478">
            <v>1.0002807499999999</v>
          </cell>
          <cell r="Q3478">
            <v>7.2609500501880602</v>
          </cell>
        </row>
        <row r="3479">
          <cell r="O3479">
            <v>41197</v>
          </cell>
          <cell r="P3479">
            <v>1.0002700099999999</v>
          </cell>
          <cell r="Q3479">
            <v>7.2629105793111108</v>
          </cell>
        </row>
        <row r="3480">
          <cell r="O3480">
            <v>41198</v>
          </cell>
          <cell r="P3480">
            <v>1.0002700099999999</v>
          </cell>
          <cell r="Q3480">
            <v>7.26487163779663</v>
          </cell>
        </row>
        <row r="3481">
          <cell r="O3481">
            <v>41199</v>
          </cell>
          <cell r="P3481">
            <v>1.0002703799999999</v>
          </cell>
          <cell r="Q3481">
            <v>7.2668359137900564</v>
          </cell>
        </row>
        <row r="3482">
          <cell r="O3482">
            <v>41200</v>
          </cell>
          <cell r="P3482">
            <v>1.0002707500000001</v>
          </cell>
          <cell r="Q3482">
            <v>7.2688034096137155</v>
          </cell>
        </row>
        <row r="3483">
          <cell r="O3483">
            <v>41201</v>
          </cell>
          <cell r="P3483">
            <v>1.00027149</v>
          </cell>
          <cell r="Q3483">
            <v>7.2707768170513916</v>
          </cell>
        </row>
        <row r="3484">
          <cell r="O3484">
            <v>41204</v>
          </cell>
          <cell r="P3484">
            <v>1.00027149</v>
          </cell>
          <cell r="Q3484">
            <v>7.272750760249453</v>
          </cell>
        </row>
        <row r="3485">
          <cell r="O3485">
            <v>41205</v>
          </cell>
          <cell r="P3485">
            <v>1.0002729699999999</v>
          </cell>
          <cell r="Q3485">
            <v>7.2747360030244774</v>
          </cell>
        </row>
        <row r="3486">
          <cell r="O3486">
            <v>41206</v>
          </cell>
          <cell r="P3486">
            <v>1.0002729699999999</v>
          </cell>
          <cell r="Q3486">
            <v>7.2767217877112227</v>
          </cell>
        </row>
        <row r="3487">
          <cell r="O3487">
            <v>41207</v>
          </cell>
          <cell r="P3487">
            <v>1.0002733399999999</v>
          </cell>
          <cell r="Q3487">
            <v>7.2787108068446749</v>
          </cell>
        </row>
        <row r="3488">
          <cell r="O3488">
            <v>41208</v>
          </cell>
          <cell r="P3488">
            <v>1.0002726</v>
          </cell>
          <cell r="Q3488">
            <v>7.28069498341062</v>
          </cell>
        </row>
        <row r="3489">
          <cell r="O3489">
            <v>41211</v>
          </cell>
          <cell r="P3489">
            <v>1.00027186</v>
          </cell>
          <cell r="Q3489">
            <v>7.2826743131488101</v>
          </cell>
        </row>
        <row r="3490">
          <cell r="O3490">
            <v>41212</v>
          </cell>
          <cell r="P3490">
            <v>1.00027149</v>
          </cell>
          <cell r="Q3490">
            <v>7.2846514863980873</v>
          </cell>
        </row>
        <row r="3491">
          <cell r="O3491">
            <v>41213</v>
          </cell>
          <cell r="P3491">
            <v>1.0002711200000001</v>
          </cell>
          <cell r="Q3491">
            <v>7.2866265011090805</v>
          </cell>
        </row>
        <row r="3492">
          <cell r="O3492">
            <v>41214</v>
          </cell>
          <cell r="P3492">
            <v>1.00027186</v>
          </cell>
          <cell r="Q3492">
            <v>7.2886074433896724</v>
          </cell>
        </row>
        <row r="3493">
          <cell r="O3493">
            <v>41218</v>
          </cell>
          <cell r="P3493">
            <v>1.0002726</v>
          </cell>
          <cell r="Q3493">
            <v>7.2905943177787398</v>
          </cell>
        </row>
        <row r="3494">
          <cell r="O3494">
            <v>41219</v>
          </cell>
          <cell r="P3494">
            <v>1.0002729699999999</v>
          </cell>
          <cell r="Q3494">
            <v>7.2925844313096633</v>
          </cell>
        </row>
        <row r="3495">
          <cell r="O3495">
            <v>41220</v>
          </cell>
          <cell r="P3495">
            <v>1.0002729699999999</v>
          </cell>
          <cell r="Q3495">
            <v>7.2945750880818769</v>
          </cell>
        </row>
        <row r="3496">
          <cell r="O3496">
            <v>41221</v>
          </cell>
          <cell r="P3496">
            <v>1.0002733399999999</v>
          </cell>
          <cell r="Q3496">
            <v>7.2965689872364523</v>
          </cell>
        </row>
        <row r="3497">
          <cell r="O3497">
            <v>41222</v>
          </cell>
          <cell r="P3497">
            <v>1.00027186</v>
          </cell>
          <cell r="Q3497">
            <v>7.2985526324813224</v>
          </cell>
        </row>
        <row r="3498">
          <cell r="O3498">
            <v>41225</v>
          </cell>
          <cell r="P3498">
            <v>1.00027186</v>
          </cell>
          <cell r="Q3498">
            <v>7.3005368169999887</v>
          </cell>
        </row>
        <row r="3499">
          <cell r="O3499">
            <v>41226</v>
          </cell>
          <cell r="P3499">
            <v>1.0002711200000001</v>
          </cell>
          <cell r="Q3499">
            <v>7.3025161385418143</v>
          </cell>
        </row>
        <row r="3500">
          <cell r="O3500">
            <v>41227</v>
          </cell>
          <cell r="P3500">
            <v>1.0002707500000001</v>
          </cell>
          <cell r="Q3500">
            <v>7.304493294786325</v>
          </cell>
        </row>
        <row r="3501">
          <cell r="O3501">
            <v>41229</v>
          </cell>
          <cell r="P3501">
            <v>1.0002707500000001</v>
          </cell>
          <cell r="Q3501">
            <v>7.3064709863458894</v>
          </cell>
        </row>
        <row r="3502">
          <cell r="O3502">
            <v>41232</v>
          </cell>
          <cell r="P3502">
            <v>1.0002703799999999</v>
          </cell>
          <cell r="Q3502">
            <v>7.3084465099711773</v>
          </cell>
        </row>
        <row r="3503">
          <cell r="O3503">
            <v>41233</v>
          </cell>
          <cell r="P3503">
            <v>1.00026964</v>
          </cell>
          <cell r="Q3503">
            <v>7.310417159488126</v>
          </cell>
        </row>
        <row r="3504">
          <cell r="O3504">
            <v>41234</v>
          </cell>
          <cell r="P3504">
            <v>1.0002688900000001</v>
          </cell>
          <cell r="Q3504">
            <v>7.3123828575581413</v>
          </cell>
        </row>
        <row r="3505">
          <cell r="O3505">
            <v>41235</v>
          </cell>
          <cell r="P3505">
            <v>1.0002681499999999</v>
          </cell>
          <cell r="Q3505">
            <v>7.3143436730213951</v>
          </cell>
        </row>
        <row r="3506">
          <cell r="O3506">
            <v>41236</v>
          </cell>
          <cell r="P3506">
            <v>1.00027186</v>
          </cell>
          <cell r="Q3506">
            <v>7.3163321504923431</v>
          </cell>
        </row>
        <row r="3507">
          <cell r="O3507">
            <v>41239</v>
          </cell>
          <cell r="P3507">
            <v>1.0002729699999999</v>
          </cell>
          <cell r="Q3507">
            <v>7.3183292896794621</v>
          </cell>
        </row>
        <row r="3508">
          <cell r="O3508">
            <v>41240</v>
          </cell>
          <cell r="P3508">
            <v>1.0002733399999999</v>
          </cell>
          <cell r="Q3508">
            <v>7.3203296818075021</v>
          </cell>
        </row>
        <row r="3509">
          <cell r="O3509">
            <v>41241</v>
          </cell>
          <cell r="P3509">
            <v>1.0002729699999999</v>
          </cell>
          <cell r="Q3509">
            <v>7.3223279122007447</v>
          </cell>
        </row>
        <row r="3510">
          <cell r="O3510">
            <v>41242</v>
          </cell>
          <cell r="P3510">
            <v>1.0002726</v>
          </cell>
          <cell r="Q3510">
            <v>7.3243239787896099</v>
          </cell>
        </row>
        <row r="3511">
          <cell r="O3511">
            <v>41243</v>
          </cell>
          <cell r="P3511">
            <v>1.0002711200000001</v>
          </cell>
          <cell r="Q3511">
            <v>7.3263097495067395</v>
          </cell>
        </row>
        <row r="3512">
          <cell r="O3512">
            <v>41246</v>
          </cell>
          <cell r="P3512">
            <v>1.0002707500000001</v>
          </cell>
          <cell r="Q3512">
            <v>7.3282933478714192</v>
          </cell>
        </row>
        <row r="3513">
          <cell r="O3513">
            <v>41247</v>
          </cell>
          <cell r="P3513">
            <v>1.0002711200000001</v>
          </cell>
          <cell r="Q3513">
            <v>7.3302801947638949</v>
          </cell>
        </row>
        <row r="3514">
          <cell r="O3514">
            <v>41248</v>
          </cell>
          <cell r="P3514">
            <v>1.0002711200000001</v>
          </cell>
          <cell r="Q3514">
            <v>7.3322675803303001</v>
          </cell>
        </row>
        <row r="3515">
          <cell r="O3515">
            <v>41249</v>
          </cell>
          <cell r="P3515">
            <v>1.0002707500000001</v>
          </cell>
          <cell r="Q3515">
            <v>7.3342527917776756</v>
          </cell>
        </row>
        <row r="3516">
          <cell r="O3516">
            <v>41250</v>
          </cell>
          <cell r="P3516">
            <v>1.0002703799999999</v>
          </cell>
          <cell r="Q3516">
            <v>7.3362358270475161</v>
          </cell>
        </row>
        <row r="3517">
          <cell r="O3517">
            <v>41253</v>
          </cell>
          <cell r="P3517">
            <v>1.0002700099999999</v>
          </cell>
          <cell r="Q3517">
            <v>7.3382166840831768</v>
          </cell>
        </row>
        <row r="3518">
          <cell r="O3518">
            <v>41254</v>
          </cell>
          <cell r="P3518">
            <v>1.0002688900000001</v>
          </cell>
          <cell r="Q3518">
            <v>7.3401898571673607</v>
          </cell>
        </row>
        <row r="3519">
          <cell r="O3519">
            <v>41255</v>
          </cell>
          <cell r="P3519">
            <v>1.00026741</v>
          </cell>
          <cell r="Q3519">
            <v>7.3421526973370659</v>
          </cell>
        </row>
        <row r="3520">
          <cell r="O3520">
            <v>41256</v>
          </cell>
          <cell r="P3520">
            <v>1.00026741</v>
          </cell>
          <cell r="Q3520">
            <v>7.3441160623898609</v>
          </cell>
        </row>
        <row r="3521">
          <cell r="O3521">
            <v>41257</v>
          </cell>
          <cell r="P3521">
            <v>1.00026667</v>
          </cell>
          <cell r="Q3521">
            <v>7.3460745178202185</v>
          </cell>
        </row>
        <row r="3522">
          <cell r="O3522">
            <v>41260</v>
          </cell>
          <cell r="P3522">
            <v>1.00026481</v>
          </cell>
          <cell r="Q3522">
            <v>7.3480198318132821</v>
          </cell>
        </row>
        <row r="3523">
          <cell r="O3523">
            <v>41261</v>
          </cell>
          <cell r="P3523">
            <v>1.00026444</v>
          </cell>
          <cell r="Q3523">
            <v>7.3499629421776067</v>
          </cell>
        </row>
        <row r="3524">
          <cell r="O3524">
            <v>41262</v>
          </cell>
          <cell r="P3524">
            <v>1.0002637000000001</v>
          </cell>
          <cell r="Q3524">
            <v>7.3519011274054593</v>
          </cell>
        </row>
        <row r="3525">
          <cell r="O3525">
            <v>41263</v>
          </cell>
          <cell r="P3525">
            <v>1.00026258</v>
          </cell>
          <cell r="Q3525">
            <v>7.3538315896034936</v>
          </cell>
        </row>
        <row r="3526">
          <cell r="O3526">
            <v>41264</v>
          </cell>
          <cell r="P3526">
            <v>1.00026295</v>
          </cell>
          <cell r="Q3526">
            <v>7.3557652796199795</v>
          </cell>
        </row>
        <row r="3527">
          <cell r="O3527">
            <v>41267</v>
          </cell>
          <cell r="P3527">
            <v>1.0002637000000001</v>
          </cell>
          <cell r="Q3527">
            <v>7.3577049949242159</v>
          </cell>
        </row>
        <row r="3528">
          <cell r="O3528">
            <v>41269</v>
          </cell>
          <cell r="P3528">
            <v>1.0002637000000001</v>
          </cell>
          <cell r="Q3528">
            <v>7.3596452217313777</v>
          </cell>
        </row>
        <row r="3529">
          <cell r="O3529">
            <v>41270</v>
          </cell>
          <cell r="P3529">
            <v>1.00026481</v>
          </cell>
          <cell r="Q3529">
            <v>7.361594129382544</v>
          </cell>
        </row>
        <row r="3530">
          <cell r="O3530">
            <v>41271</v>
          </cell>
          <cell r="P3530">
            <v>1.00026481</v>
          </cell>
          <cell r="Q3530">
            <v>7.3635435531239457</v>
          </cell>
        </row>
        <row r="3531">
          <cell r="O3531">
            <v>41274</v>
          </cell>
          <cell r="P3531">
            <v>1.00026481</v>
          </cell>
          <cell r="Q3531">
            <v>7.3654934930922487</v>
          </cell>
        </row>
        <row r="3532">
          <cell r="O3532">
            <v>41276</v>
          </cell>
          <cell r="P3532">
            <v>1.00026481</v>
          </cell>
          <cell r="Q3532">
            <v>7.3674439494241541</v>
          </cell>
        </row>
        <row r="3533">
          <cell r="O3533">
            <v>41277</v>
          </cell>
          <cell r="P3533">
            <v>1.0002655499999999</v>
          </cell>
          <cell r="Q3533">
            <v>7.3694003741649237</v>
          </cell>
        </row>
        <row r="3534">
          <cell r="O3534">
            <v>41278</v>
          </cell>
          <cell r="P3534">
            <v>1.0002655499999999</v>
          </cell>
          <cell r="Q3534">
            <v>7.3713573184342831</v>
          </cell>
        </row>
        <row r="3535">
          <cell r="O3535">
            <v>41281</v>
          </cell>
          <cell r="P3535">
            <v>1.0002659300000001</v>
          </cell>
          <cell r="Q3535">
            <v>7.3733175834859752</v>
          </cell>
        </row>
        <row r="3536">
          <cell r="O3536">
            <v>41282</v>
          </cell>
          <cell r="P3536">
            <v>1.0002655499999999</v>
          </cell>
          <cell r="Q3536">
            <v>7.3752755679702693</v>
          </cell>
        </row>
        <row r="3537">
          <cell r="O3537">
            <v>41283</v>
          </cell>
          <cell r="P3537">
            <v>1.00026518</v>
          </cell>
          <cell r="Q3537">
            <v>7.3772313435453833</v>
          </cell>
        </row>
        <row r="3538">
          <cell r="O3538">
            <v>41284</v>
          </cell>
          <cell r="P3538">
            <v>1.00026481</v>
          </cell>
          <cell r="Q3538">
            <v>7.3791849081774679</v>
          </cell>
        </row>
        <row r="3539">
          <cell r="O3539">
            <v>41285</v>
          </cell>
          <cell r="P3539">
            <v>1.00026518</v>
          </cell>
          <cell r="Q3539">
            <v>7.381141720431418</v>
          </cell>
        </row>
        <row r="3540">
          <cell r="O3540">
            <v>41288</v>
          </cell>
          <cell r="P3540">
            <v>1.0002655499999999</v>
          </cell>
          <cell r="Q3540">
            <v>7.3831017826152783</v>
          </cell>
        </row>
        <row r="3541">
          <cell r="O3541">
            <v>41289</v>
          </cell>
          <cell r="P3541">
            <v>1.0002659300000001</v>
          </cell>
          <cell r="Q3541">
            <v>7.3850651708723296</v>
          </cell>
        </row>
        <row r="3542">
          <cell r="O3542">
            <v>41290</v>
          </cell>
          <cell r="P3542">
            <v>1.0002663000000001</v>
          </cell>
          <cell r="Q3542">
            <v>7.387031813727333</v>
          </cell>
        </row>
        <row r="3543">
          <cell r="O3543">
            <v>41291</v>
          </cell>
          <cell r="P3543">
            <v>1.0002663000000001</v>
          </cell>
          <cell r="Q3543">
            <v>7.3889989802993288</v>
          </cell>
        </row>
        <row r="3544">
          <cell r="O3544">
            <v>41292</v>
          </cell>
          <cell r="P3544">
            <v>1.0002663000000001</v>
          </cell>
          <cell r="Q3544">
            <v>7.3909666707277832</v>
          </cell>
        </row>
        <row r="3545">
          <cell r="O3545">
            <v>41295</v>
          </cell>
          <cell r="P3545">
            <v>1.0002655499999999</v>
          </cell>
          <cell r="Q3545">
            <v>7.3929293419271946</v>
          </cell>
        </row>
        <row r="3546">
          <cell r="O3546">
            <v>41296</v>
          </cell>
          <cell r="P3546">
            <v>1.0002659300000001</v>
          </cell>
          <cell r="Q3546">
            <v>7.3948953436270939</v>
          </cell>
        </row>
        <row r="3547">
          <cell r="O3547">
            <v>41297</v>
          </cell>
          <cell r="P3547">
            <v>1.0002659300000001</v>
          </cell>
          <cell r="Q3547">
            <v>7.3968618681458249</v>
          </cell>
        </row>
        <row r="3548">
          <cell r="O3548">
            <v>41298</v>
          </cell>
          <cell r="P3548">
            <v>1.0002659300000001</v>
          </cell>
          <cell r="Q3548">
            <v>7.3988289156224214</v>
          </cell>
        </row>
        <row r="3549">
          <cell r="O3549">
            <v>41299</v>
          </cell>
          <cell r="P3549">
            <v>1.0002659300000001</v>
          </cell>
          <cell r="Q3549">
            <v>7.4007964861959534</v>
          </cell>
        </row>
        <row r="3550">
          <cell r="O3550">
            <v>41302</v>
          </cell>
          <cell r="P3550">
            <v>1.0002663000000001</v>
          </cell>
          <cell r="Q3550">
            <v>7.4027673183002278</v>
          </cell>
        </row>
        <row r="3551">
          <cell r="O3551">
            <v>41303</v>
          </cell>
          <cell r="P3551">
            <v>1.0002663000000001</v>
          </cell>
          <cell r="Q3551">
            <v>7.4047386752370912</v>
          </cell>
        </row>
        <row r="3552">
          <cell r="O3552">
            <v>41304</v>
          </cell>
          <cell r="P3552">
            <v>1.00026667</v>
          </cell>
          <cell r="Q3552">
            <v>7.4067132968996168</v>
          </cell>
        </row>
        <row r="3553">
          <cell r="O3553">
            <v>41305</v>
          </cell>
          <cell r="P3553">
            <v>1.00026667</v>
          </cell>
          <cell r="Q3553">
            <v>7.4086884451345014</v>
          </cell>
        </row>
        <row r="3554">
          <cell r="O3554">
            <v>41306</v>
          </cell>
          <cell r="P3554">
            <v>1.00026667</v>
          </cell>
          <cell r="Q3554">
            <v>7.4106641200821652</v>
          </cell>
        </row>
        <row r="3555">
          <cell r="O3555">
            <v>41309</v>
          </cell>
          <cell r="P3555">
            <v>1.00026667</v>
          </cell>
          <cell r="Q3555">
            <v>7.4126403218830674</v>
          </cell>
        </row>
        <row r="3556">
          <cell r="O3556">
            <v>41310</v>
          </cell>
          <cell r="P3556">
            <v>1.00026704</v>
          </cell>
          <cell r="Q3556">
            <v>7.414619793354623</v>
          </cell>
        </row>
        <row r="3557">
          <cell r="O3557">
            <v>41311</v>
          </cell>
          <cell r="P3557">
            <v>1.00026704</v>
          </cell>
          <cell r="Q3557">
            <v>7.4165997934242407</v>
          </cell>
        </row>
        <row r="3558">
          <cell r="O3558">
            <v>41312</v>
          </cell>
          <cell r="P3558">
            <v>1.00026704</v>
          </cell>
          <cell r="Q3558">
            <v>7.4185803222330771</v>
          </cell>
        </row>
        <row r="3559">
          <cell r="O3559">
            <v>41313</v>
          </cell>
          <cell r="P3559">
            <v>1.00026667</v>
          </cell>
          <cell r="Q3559">
            <v>7.4205586350476072</v>
          </cell>
        </row>
        <row r="3560">
          <cell r="O3560">
            <v>41318</v>
          </cell>
          <cell r="P3560">
            <v>1.00026667</v>
          </cell>
          <cell r="Q3560">
            <v>7.4225374754188156</v>
          </cell>
        </row>
        <row r="3561">
          <cell r="O3561">
            <v>41319</v>
          </cell>
          <cell r="P3561">
            <v>1.00026667</v>
          </cell>
          <cell r="Q3561">
            <v>7.4245168434873854</v>
          </cell>
        </row>
        <row r="3562">
          <cell r="O3562">
            <v>41320</v>
          </cell>
          <cell r="P3562">
            <v>1.0002663000000001</v>
          </cell>
          <cell r="Q3562">
            <v>7.4264939923228068</v>
          </cell>
        </row>
        <row r="3563">
          <cell r="O3563">
            <v>41323</v>
          </cell>
          <cell r="P3563">
            <v>1.0002663000000001</v>
          </cell>
          <cell r="Q3563">
            <v>7.4284716676729632</v>
          </cell>
        </row>
        <row r="3564">
          <cell r="O3564">
            <v>41324</v>
          </cell>
          <cell r="P3564">
            <v>1.0002663000000001</v>
          </cell>
          <cell r="Q3564">
            <v>7.430449869678065</v>
          </cell>
        </row>
        <row r="3565">
          <cell r="O3565">
            <v>41325</v>
          </cell>
          <cell r="P3565">
            <v>1.0002659300000001</v>
          </cell>
          <cell r="Q3565">
            <v>7.4324258492119091</v>
          </cell>
        </row>
        <row r="3566">
          <cell r="O3566">
            <v>41326</v>
          </cell>
          <cell r="P3566">
            <v>1.00026667</v>
          </cell>
          <cell r="Q3566">
            <v>7.4344078542131182</v>
          </cell>
        </row>
        <row r="3567">
          <cell r="O3567">
            <v>41327</v>
          </cell>
          <cell r="P3567">
            <v>1.00026667</v>
          </cell>
          <cell r="Q3567">
            <v>7.4363903877556012</v>
          </cell>
        </row>
        <row r="3568">
          <cell r="O3568">
            <v>41330</v>
          </cell>
          <cell r="P3568">
            <v>1.00026704</v>
          </cell>
          <cell r="Q3568">
            <v>7.4383762014447479</v>
          </cell>
        </row>
        <row r="3569">
          <cell r="O3569">
            <v>41331</v>
          </cell>
          <cell r="P3569">
            <v>1.0002685200000001</v>
          </cell>
          <cell r="Q3569">
            <v>7.4403735542223606</v>
          </cell>
        </row>
        <row r="3570">
          <cell r="O3570">
            <v>41332</v>
          </cell>
          <cell r="P3570">
            <v>1.0002677799999999</v>
          </cell>
          <cell r="Q3570">
            <v>7.4423659374527098</v>
          </cell>
        </row>
        <row r="3571">
          <cell r="O3571">
            <v>41333</v>
          </cell>
          <cell r="P3571">
            <v>1.0002677799999999</v>
          </cell>
          <cell r="Q3571">
            <v>7.4443588542034407</v>
          </cell>
        </row>
        <row r="3572">
          <cell r="O3572">
            <v>41334</v>
          </cell>
          <cell r="P3572">
            <v>1.0002677799999999</v>
          </cell>
          <cell r="Q3572">
            <v>7.4463523046174185</v>
          </cell>
        </row>
        <row r="3573">
          <cell r="O3573">
            <v>41337</v>
          </cell>
          <cell r="P3573">
            <v>1.0002677799999999</v>
          </cell>
          <cell r="Q3573">
            <v>7.4483462888375485</v>
          </cell>
        </row>
        <row r="3574">
          <cell r="O3574">
            <v>41338</v>
          </cell>
          <cell r="P3574">
            <v>1.0002681499999999</v>
          </cell>
          <cell r="Q3574">
            <v>7.4503435628948997</v>
          </cell>
        </row>
        <row r="3575">
          <cell r="O3575">
            <v>41339</v>
          </cell>
          <cell r="P3575">
            <v>1.0002681499999999</v>
          </cell>
          <cell r="Q3575">
            <v>7.452341372521289</v>
          </cell>
        </row>
        <row r="3576">
          <cell r="O3576">
            <v>41340</v>
          </cell>
          <cell r="P3576">
            <v>1.0002681499999999</v>
          </cell>
          <cell r="Q3576">
            <v>7.4543397178603303</v>
          </cell>
        </row>
        <row r="3577">
          <cell r="O3577">
            <v>41341</v>
          </cell>
          <cell r="P3577">
            <v>1.0002681499999999</v>
          </cell>
          <cell r="Q3577">
            <v>7.4563385990556741</v>
          </cell>
        </row>
        <row r="3578">
          <cell r="O3578">
            <v>41344</v>
          </cell>
          <cell r="P3578">
            <v>1.0002681499999999</v>
          </cell>
          <cell r="Q3578">
            <v>7.4583380162510098</v>
          </cell>
        </row>
        <row r="3579">
          <cell r="O3579">
            <v>41345</v>
          </cell>
          <cell r="P3579">
            <v>1.0002681499999999</v>
          </cell>
          <cell r="Q3579">
            <v>7.4603379695900669</v>
          </cell>
        </row>
        <row r="3580">
          <cell r="O3580">
            <v>41346</v>
          </cell>
          <cell r="P3580">
            <v>1.0002681499999999</v>
          </cell>
          <cell r="Q3580">
            <v>7.4623384592166122</v>
          </cell>
        </row>
        <row r="3581">
          <cell r="O3581">
            <v>41347</v>
          </cell>
          <cell r="P3581">
            <v>1.0002681499999999</v>
          </cell>
          <cell r="Q3581">
            <v>7.4643394852744507</v>
          </cell>
        </row>
        <row r="3582">
          <cell r="O3582">
            <v>41348</v>
          </cell>
          <cell r="P3582">
            <v>1.0002681499999999</v>
          </cell>
          <cell r="Q3582">
            <v>7.4663410479074264</v>
          </cell>
        </row>
        <row r="3583">
          <cell r="O3583">
            <v>41351</v>
          </cell>
          <cell r="P3583">
            <v>1.0002681499999999</v>
          </cell>
          <cell r="Q3583">
            <v>7.4683431472594224</v>
          </cell>
        </row>
        <row r="3584">
          <cell r="O3584">
            <v>41352</v>
          </cell>
          <cell r="P3584">
            <v>1.0002681499999999</v>
          </cell>
          <cell r="Q3584">
            <v>7.4703457834743592</v>
          </cell>
        </row>
        <row r="3585">
          <cell r="O3585">
            <v>41353</v>
          </cell>
          <cell r="P3585">
            <v>1.0002681499999999</v>
          </cell>
          <cell r="Q3585">
            <v>7.4723489566961971</v>
          </cell>
        </row>
        <row r="3586">
          <cell r="O3586">
            <v>41354</v>
          </cell>
          <cell r="P3586">
            <v>1.0002681499999999</v>
          </cell>
          <cell r="Q3586">
            <v>7.4743526670689349</v>
          </cell>
        </row>
        <row r="3587">
          <cell r="O3587">
            <v>41355</v>
          </cell>
          <cell r="P3587">
            <v>1.0002681499999999</v>
          </cell>
          <cell r="Q3587">
            <v>7.4763569147366091</v>
          </cell>
        </row>
        <row r="3588">
          <cell r="O3588">
            <v>41358</v>
          </cell>
          <cell r="P3588">
            <v>1.0002681499999999</v>
          </cell>
          <cell r="Q3588">
            <v>7.4783616998432949</v>
          </cell>
        </row>
        <row r="3589">
          <cell r="O3589">
            <v>41359</v>
          </cell>
          <cell r="P3589">
            <v>1.0002681499999999</v>
          </cell>
          <cell r="Q3589">
            <v>7.4803670225331071</v>
          </cell>
        </row>
        <row r="3590">
          <cell r="O3590">
            <v>41360</v>
          </cell>
          <cell r="P3590">
            <v>1.0002681499999999</v>
          </cell>
          <cell r="Q3590">
            <v>7.482372882950199</v>
          </cell>
        </row>
        <row r="3591">
          <cell r="O3591">
            <v>41361</v>
          </cell>
          <cell r="P3591">
            <v>1.0002681499999999</v>
          </cell>
          <cell r="Q3591">
            <v>7.4843792812387617</v>
          </cell>
        </row>
        <row r="3592">
          <cell r="O3592">
            <v>41365</v>
          </cell>
          <cell r="P3592">
            <v>1.0002688900000001</v>
          </cell>
          <cell r="Q3592">
            <v>7.4863917559836946</v>
          </cell>
        </row>
        <row r="3593">
          <cell r="O3593">
            <v>41366</v>
          </cell>
          <cell r="P3593">
            <v>1.00026926</v>
          </cell>
          <cell r="Q3593">
            <v>7.488407541827911</v>
          </cell>
        </row>
        <row r="3594">
          <cell r="O3594">
            <v>41367</v>
          </cell>
          <cell r="P3594">
            <v>1.00026926</v>
          </cell>
          <cell r="Q3594">
            <v>7.4904238704426236</v>
          </cell>
        </row>
        <row r="3595">
          <cell r="O3595">
            <v>41368</v>
          </cell>
          <cell r="P3595">
            <v>1.0002688900000001</v>
          </cell>
          <cell r="Q3595">
            <v>7.4924379705171473</v>
          </cell>
        </row>
        <row r="3596">
          <cell r="O3596">
            <v>41369</v>
          </cell>
          <cell r="P3596">
            <v>1.0002688900000001</v>
          </cell>
          <cell r="Q3596">
            <v>7.4944526121630402</v>
          </cell>
        </row>
        <row r="3597">
          <cell r="O3597">
            <v>41372</v>
          </cell>
          <cell r="P3597">
            <v>1.0002688900000001</v>
          </cell>
          <cell r="Q3597">
            <v>7.4964677955259251</v>
          </cell>
        </row>
        <row r="3598">
          <cell r="O3598">
            <v>41373</v>
          </cell>
          <cell r="P3598">
            <v>1.0002688900000001</v>
          </cell>
          <cell r="Q3598">
            <v>7.4984835207514644</v>
          </cell>
        </row>
        <row r="3599">
          <cell r="O3599">
            <v>41374</v>
          </cell>
          <cell r="P3599">
            <v>1.0002688900000001</v>
          </cell>
          <cell r="Q3599">
            <v>7.5004997879853601</v>
          </cell>
        </row>
        <row r="3600">
          <cell r="O3600">
            <v>41375</v>
          </cell>
          <cell r="P3600">
            <v>1.0002688900000001</v>
          </cell>
          <cell r="Q3600">
            <v>7.5025165973733516</v>
          </cell>
        </row>
        <row r="3601">
          <cell r="O3601">
            <v>41376</v>
          </cell>
          <cell r="P3601">
            <v>1.0002688900000001</v>
          </cell>
          <cell r="Q3601">
            <v>7.5045339490612202</v>
          </cell>
        </row>
        <row r="3602">
          <cell r="O3602">
            <v>41379</v>
          </cell>
          <cell r="P3602">
            <v>1.0002688900000001</v>
          </cell>
          <cell r="Q3602">
            <v>7.5065518431947842</v>
          </cell>
        </row>
        <row r="3603">
          <cell r="O3603">
            <v>41380</v>
          </cell>
          <cell r="P3603">
            <v>1.0002688900000001</v>
          </cell>
          <cell r="Q3603">
            <v>7.5085702799199012</v>
          </cell>
        </row>
        <row r="3604">
          <cell r="O3604">
            <v>41381</v>
          </cell>
          <cell r="P3604">
            <v>1.0002685200000001</v>
          </cell>
          <cell r="Q3604">
            <v>7.5105864812114662</v>
          </cell>
        </row>
        <row r="3605">
          <cell r="O3605">
            <v>41382</v>
          </cell>
          <cell r="P3605">
            <v>1.0002685200000001</v>
          </cell>
          <cell r="Q3605">
            <v>7.512603223893402</v>
          </cell>
        </row>
        <row r="3606">
          <cell r="O3606">
            <v>41383</v>
          </cell>
          <cell r="P3606">
            <v>1.00027742</v>
          </cell>
          <cell r="Q3606">
            <v>7.5146873702797743</v>
          </cell>
        </row>
        <row r="3607">
          <cell r="O3607">
            <v>41386</v>
          </cell>
          <cell r="P3607">
            <v>1.00027742</v>
          </cell>
          <cell r="Q3607">
            <v>7.5167720948500367</v>
          </cell>
        </row>
        <row r="3608">
          <cell r="O3608">
            <v>41387</v>
          </cell>
          <cell r="P3608">
            <v>1.00027742</v>
          </cell>
          <cell r="Q3608">
            <v>7.5188573977645898</v>
          </cell>
        </row>
        <row r="3609">
          <cell r="O3609">
            <v>41388</v>
          </cell>
          <cell r="P3609">
            <v>1.00027742</v>
          </cell>
          <cell r="Q3609">
            <v>7.5209432791838777</v>
          </cell>
        </row>
        <row r="3610">
          <cell r="O3610">
            <v>41389</v>
          </cell>
          <cell r="P3610">
            <v>1.00027742</v>
          </cell>
          <cell r="Q3610">
            <v>7.5230297392683889</v>
          </cell>
        </row>
        <row r="3611">
          <cell r="O3611">
            <v>41390</v>
          </cell>
          <cell r="P3611">
            <v>1.00027742</v>
          </cell>
          <cell r="Q3611">
            <v>7.5251167781786563</v>
          </cell>
        </row>
        <row r="3612">
          <cell r="O3612">
            <v>41393</v>
          </cell>
          <cell r="P3612">
            <v>1.00027705</v>
          </cell>
          <cell r="Q3612">
            <v>7.5272016117820506</v>
          </cell>
        </row>
        <row r="3613">
          <cell r="O3613">
            <v>41394</v>
          </cell>
          <cell r="P3613">
            <v>1.00027705</v>
          </cell>
          <cell r="Q3613">
            <v>7.5292870229885951</v>
          </cell>
        </row>
        <row r="3614">
          <cell r="O3614">
            <v>41396</v>
          </cell>
          <cell r="P3614">
            <v>1.00027705</v>
          </cell>
          <cell r="Q3614">
            <v>7.5313730119583138</v>
          </cell>
        </row>
        <row r="3615">
          <cell r="O3615">
            <v>41397</v>
          </cell>
          <cell r="P3615">
            <v>1.00027705</v>
          </cell>
          <cell r="Q3615">
            <v>7.5334595788512768</v>
          </cell>
        </row>
        <row r="3616">
          <cell r="O3616">
            <v>41400</v>
          </cell>
          <cell r="P3616">
            <v>1.00027705</v>
          </cell>
          <cell r="Q3616">
            <v>7.5355467238275979</v>
          </cell>
        </row>
        <row r="3617">
          <cell r="O3617">
            <v>41401</v>
          </cell>
          <cell r="P3617">
            <v>1.00027742</v>
          </cell>
          <cell r="Q3617">
            <v>7.5376372351997221</v>
          </cell>
        </row>
        <row r="3618">
          <cell r="O3618">
            <v>41402</v>
          </cell>
          <cell r="P3618">
            <v>1.00027742</v>
          </cell>
          <cell r="Q3618">
            <v>7.5397283265215114</v>
          </cell>
        </row>
        <row r="3619">
          <cell r="O3619">
            <v>41403</v>
          </cell>
          <cell r="P3619">
            <v>1.00027705</v>
          </cell>
          <cell r="Q3619">
            <v>7.5418172082543737</v>
          </cell>
        </row>
        <row r="3620">
          <cell r="O3620">
            <v>41404</v>
          </cell>
          <cell r="P3620">
            <v>1.00027742</v>
          </cell>
          <cell r="Q3620">
            <v>7.5439094591842872</v>
          </cell>
        </row>
        <row r="3621">
          <cell r="O3621">
            <v>41407</v>
          </cell>
          <cell r="P3621">
            <v>1.00027705</v>
          </cell>
          <cell r="Q3621">
            <v>7.5459994992999544</v>
          </cell>
        </row>
        <row r="3622">
          <cell r="O3622">
            <v>41408</v>
          </cell>
          <cell r="P3622">
            <v>1.00027668</v>
          </cell>
          <cell r="Q3622">
            <v>7.5480873264414212</v>
          </cell>
        </row>
        <row r="3623">
          <cell r="O3623">
            <v>41409</v>
          </cell>
          <cell r="P3623">
            <v>1.00027668</v>
          </cell>
          <cell r="Q3623">
            <v>7.5501757312429012</v>
          </cell>
        </row>
        <row r="3624">
          <cell r="O3624">
            <v>41410</v>
          </cell>
          <cell r="P3624">
            <v>1.00027668</v>
          </cell>
          <cell r="Q3624">
            <v>7.552264713864222</v>
          </cell>
        </row>
        <row r="3625">
          <cell r="O3625">
            <v>41411</v>
          </cell>
          <cell r="P3625">
            <v>1.00027668</v>
          </cell>
          <cell r="Q3625">
            <v>7.5543542744652541</v>
          </cell>
        </row>
        <row r="3626">
          <cell r="O3626">
            <v>41414</v>
          </cell>
          <cell r="P3626">
            <v>1.00027668</v>
          </cell>
          <cell r="Q3626">
            <v>7.556444413205913</v>
          </cell>
        </row>
        <row r="3627">
          <cell r="O3627">
            <v>41415</v>
          </cell>
          <cell r="P3627">
            <v>1.00027668</v>
          </cell>
          <cell r="Q3627">
            <v>7.5585351302461588</v>
          </cell>
        </row>
        <row r="3628">
          <cell r="O3628">
            <v>41416</v>
          </cell>
          <cell r="P3628">
            <v>1.00027668</v>
          </cell>
          <cell r="Q3628">
            <v>7.5606264257459959</v>
          </cell>
        </row>
        <row r="3629">
          <cell r="O3629">
            <v>41417</v>
          </cell>
          <cell r="P3629">
            <v>1.00027668</v>
          </cell>
          <cell r="Q3629">
            <v>7.5627182998654714</v>
          </cell>
        </row>
        <row r="3630">
          <cell r="O3630">
            <v>41418</v>
          </cell>
          <cell r="P3630">
            <v>1.00027668</v>
          </cell>
          <cell r="Q3630">
            <v>7.5648107527646786</v>
          </cell>
        </row>
        <row r="3631">
          <cell r="O3631">
            <v>41421</v>
          </cell>
          <cell r="P3631">
            <v>1.00027668</v>
          </cell>
          <cell r="Q3631">
            <v>7.5669037846037535</v>
          </cell>
        </row>
        <row r="3632">
          <cell r="O3632">
            <v>41422</v>
          </cell>
          <cell r="P3632">
            <v>1.00027668</v>
          </cell>
          <cell r="Q3632">
            <v>7.568997395542878</v>
          </cell>
        </row>
        <row r="3633">
          <cell r="O3633">
            <v>41423</v>
          </cell>
          <cell r="P3633">
            <v>1.00027668</v>
          </cell>
          <cell r="Q3633">
            <v>7.5710915857422769</v>
          </cell>
        </row>
        <row r="3634">
          <cell r="O3634">
            <v>41425</v>
          </cell>
          <cell r="P3634">
            <v>1.00027668</v>
          </cell>
          <cell r="Q3634">
            <v>7.5731863553622203</v>
          </cell>
        </row>
        <row r="3635">
          <cell r="O3635">
            <v>41428</v>
          </cell>
          <cell r="P3635">
            <v>1.00029514</v>
          </cell>
          <cell r="Q3635">
            <v>7.575421505583142</v>
          </cell>
        </row>
        <row r="3636">
          <cell r="O3636">
            <v>41429</v>
          </cell>
          <cell r="P3636">
            <v>1.00029514</v>
          </cell>
          <cell r="Q3636">
            <v>7.5776573154862996</v>
          </cell>
        </row>
        <row r="3637">
          <cell r="O3637">
            <v>41430</v>
          </cell>
          <cell r="P3637">
            <v>1.00029514</v>
          </cell>
          <cell r="Q3637">
            <v>7.5798937852663917</v>
          </cell>
        </row>
        <row r="3638">
          <cell r="O3638">
            <v>41431</v>
          </cell>
          <cell r="P3638">
            <v>1.00029514</v>
          </cell>
          <cell r="Q3638">
            <v>7.5821309151181753</v>
          </cell>
        </row>
        <row r="3639">
          <cell r="O3639">
            <v>41432</v>
          </cell>
          <cell r="P3639">
            <v>1.00029514</v>
          </cell>
          <cell r="Q3639">
            <v>7.5843687052364634</v>
          </cell>
        </row>
        <row r="3640">
          <cell r="O3640">
            <v>41435</v>
          </cell>
          <cell r="P3640">
            <v>1.00029514</v>
          </cell>
          <cell r="Q3640">
            <v>7.586607155816127</v>
          </cell>
        </row>
        <row r="3641">
          <cell r="O3641">
            <v>41436</v>
          </cell>
          <cell r="P3641">
            <v>1.00029514</v>
          </cell>
          <cell r="Q3641">
            <v>7.5888462670520944</v>
          </cell>
        </row>
        <row r="3642">
          <cell r="O3642">
            <v>41437</v>
          </cell>
          <cell r="P3642">
            <v>1.00029514</v>
          </cell>
          <cell r="Q3642">
            <v>7.591086039139352</v>
          </cell>
        </row>
        <row r="3643">
          <cell r="O3643">
            <v>41438</v>
          </cell>
          <cell r="P3643">
            <v>1.00029514</v>
          </cell>
          <cell r="Q3643">
            <v>7.5933264722729437</v>
          </cell>
        </row>
        <row r="3644">
          <cell r="O3644">
            <v>41439</v>
          </cell>
          <cell r="P3644">
            <v>1.00029514</v>
          </cell>
          <cell r="Q3644">
            <v>7.5955675666479703</v>
          </cell>
        </row>
        <row r="3645">
          <cell r="O3645">
            <v>41442</v>
          </cell>
          <cell r="P3645">
            <v>1.00029514</v>
          </cell>
          <cell r="Q3645">
            <v>7.5978093224595904</v>
          </cell>
        </row>
        <row r="3646">
          <cell r="O3646">
            <v>41443</v>
          </cell>
          <cell r="P3646">
            <v>1.00029514</v>
          </cell>
          <cell r="Q3646">
            <v>7.6000517399030212</v>
          </cell>
        </row>
        <row r="3647">
          <cell r="O3647">
            <v>41444</v>
          </cell>
          <cell r="P3647">
            <v>1.00029514</v>
          </cell>
          <cell r="Q3647">
            <v>7.6022948191735358</v>
          </cell>
        </row>
        <row r="3648">
          <cell r="O3648">
            <v>41445</v>
          </cell>
          <cell r="P3648">
            <v>1.00029514</v>
          </cell>
          <cell r="Q3648">
            <v>7.6045385604664668</v>
          </cell>
        </row>
        <row r="3649">
          <cell r="O3649">
            <v>41446</v>
          </cell>
          <cell r="P3649">
            <v>1.00029514</v>
          </cell>
          <cell r="Q3649">
            <v>7.6067829639772029</v>
          </cell>
        </row>
        <row r="3650">
          <cell r="O3650">
            <v>41449</v>
          </cell>
          <cell r="P3650">
            <v>1.00029514</v>
          </cell>
          <cell r="Q3650">
            <v>7.6090280299011912</v>
          </cell>
        </row>
        <row r="3651">
          <cell r="O3651">
            <v>41450</v>
          </cell>
          <cell r="P3651">
            <v>1.00029514</v>
          </cell>
          <cell r="Q3651">
            <v>7.6112737584339358</v>
          </cell>
        </row>
        <row r="3652">
          <cell r="O3652">
            <v>41451</v>
          </cell>
          <cell r="P3652">
            <v>1.00029514</v>
          </cell>
          <cell r="Q3652">
            <v>7.6135201497709994</v>
          </cell>
        </row>
        <row r="3653">
          <cell r="O3653">
            <v>41452</v>
          </cell>
          <cell r="P3653">
            <v>1.00029514</v>
          </cell>
          <cell r="Q3653">
            <v>7.6157672041080025</v>
          </cell>
        </row>
        <row r="3654">
          <cell r="O3654">
            <v>41453</v>
          </cell>
          <cell r="P3654">
            <v>1.00029514</v>
          </cell>
          <cell r="Q3654">
            <v>7.618014921640623</v>
          </cell>
        </row>
        <row r="3655">
          <cell r="O3655">
            <v>41456</v>
          </cell>
          <cell r="P3655">
            <v>1.00029514</v>
          </cell>
          <cell r="Q3655">
            <v>7.6202633025645961</v>
          </cell>
        </row>
        <row r="3656">
          <cell r="O3656">
            <v>41457</v>
          </cell>
          <cell r="P3656">
            <v>1.00029514</v>
          </cell>
          <cell r="Q3656">
            <v>7.6225123470757143</v>
          </cell>
        </row>
        <row r="3657">
          <cell r="O3657">
            <v>41458</v>
          </cell>
          <cell r="P3657">
            <v>1.00029514</v>
          </cell>
          <cell r="Q3657">
            <v>7.6247620553698301</v>
          </cell>
        </row>
        <row r="3658">
          <cell r="O3658">
            <v>41459</v>
          </cell>
          <cell r="P3658">
            <v>1.00029514</v>
          </cell>
          <cell r="Q3658">
            <v>7.6270124276428515</v>
          </cell>
        </row>
        <row r="3659">
          <cell r="O3659">
            <v>41460</v>
          </cell>
          <cell r="P3659">
            <v>1.00029514</v>
          </cell>
          <cell r="Q3659">
            <v>7.6292634640907462</v>
          </cell>
        </row>
        <row r="3660">
          <cell r="O3660">
            <v>41463</v>
          </cell>
          <cell r="P3660">
            <v>1.00029514</v>
          </cell>
          <cell r="Q3660">
            <v>7.6315151649095379</v>
          </cell>
        </row>
        <row r="3661">
          <cell r="O3661">
            <v>41464</v>
          </cell>
          <cell r="P3661">
            <v>1.00029514</v>
          </cell>
          <cell r="Q3661">
            <v>7.6337675302953087</v>
          </cell>
        </row>
        <row r="3662">
          <cell r="O3662">
            <v>41465</v>
          </cell>
          <cell r="P3662">
            <v>1.00029514</v>
          </cell>
          <cell r="Q3662">
            <v>7.6360205604441997</v>
          </cell>
        </row>
        <row r="3663">
          <cell r="O3663">
            <v>41466</v>
          </cell>
          <cell r="P3663">
            <v>1.00029514</v>
          </cell>
          <cell r="Q3663">
            <v>7.6382742555524095</v>
          </cell>
        </row>
        <row r="3664">
          <cell r="O3664">
            <v>41467</v>
          </cell>
          <cell r="P3664">
            <v>1.0003135299999999</v>
          </cell>
          <cell r="Q3664">
            <v>7.6406690836797519</v>
          </cell>
        </row>
        <row r="3665">
          <cell r="O3665">
            <v>41470</v>
          </cell>
          <cell r="P3665">
            <v>1.0003135299999999</v>
          </cell>
          <cell r="Q3665">
            <v>7.6430646626575571</v>
          </cell>
        </row>
        <row r="3666">
          <cell r="O3666">
            <v>41471</v>
          </cell>
          <cell r="P3666">
            <v>1.0003135299999999</v>
          </cell>
          <cell r="Q3666">
            <v>7.6454609927212394</v>
          </cell>
        </row>
        <row r="3667">
          <cell r="O3667">
            <v>41472</v>
          </cell>
          <cell r="P3667">
            <v>1.0003135299999999</v>
          </cell>
          <cell r="Q3667">
            <v>7.6478580741062867</v>
          </cell>
        </row>
        <row r="3668">
          <cell r="O3668">
            <v>41473</v>
          </cell>
          <cell r="P3668">
            <v>1.0003135299999999</v>
          </cell>
          <cell r="Q3668">
            <v>7.6502559070482601</v>
          </cell>
        </row>
        <row r="3669">
          <cell r="O3669">
            <v>41474</v>
          </cell>
          <cell r="P3669">
            <v>1.0003135299999999</v>
          </cell>
          <cell r="Q3669">
            <v>7.6526544917827959</v>
          </cell>
        </row>
        <row r="3670">
          <cell r="O3670">
            <v>41477</v>
          </cell>
          <cell r="P3670">
            <v>1.0003135299999999</v>
          </cell>
          <cell r="Q3670">
            <v>7.6550538285456033</v>
          </cell>
        </row>
        <row r="3671">
          <cell r="O3671">
            <v>41478</v>
          </cell>
          <cell r="P3671">
            <v>1.0003135299999999</v>
          </cell>
          <cell r="Q3671">
            <v>7.6574539175724663</v>
          </cell>
        </row>
        <row r="3672">
          <cell r="O3672">
            <v>41479</v>
          </cell>
          <cell r="P3672">
            <v>1.0003135299999999</v>
          </cell>
          <cell r="Q3672">
            <v>7.6598547590992423</v>
          </cell>
        </row>
        <row r="3673">
          <cell r="O3673">
            <v>41480</v>
          </cell>
          <cell r="P3673">
            <v>1.0003135299999999</v>
          </cell>
          <cell r="Q3673">
            <v>7.6622563533618617</v>
          </cell>
        </row>
        <row r="3674">
          <cell r="O3674">
            <v>41481</v>
          </cell>
          <cell r="P3674">
            <v>1.0003135299999999</v>
          </cell>
          <cell r="Q3674">
            <v>7.6646587005963305</v>
          </cell>
        </row>
        <row r="3675">
          <cell r="O3675">
            <v>41484</v>
          </cell>
          <cell r="P3675">
            <v>1.0003135299999999</v>
          </cell>
          <cell r="Q3675">
            <v>7.6670618010387273</v>
          </cell>
        </row>
        <row r="3676">
          <cell r="O3676">
            <v>41485</v>
          </cell>
          <cell r="P3676">
            <v>1.0003135299999999</v>
          </cell>
          <cell r="Q3676">
            <v>7.6694656549252063</v>
          </cell>
        </row>
        <row r="3677">
          <cell r="O3677">
            <v>41486</v>
          </cell>
          <cell r="P3677">
            <v>1.0003135299999999</v>
          </cell>
          <cell r="Q3677">
            <v>7.6718702624919946</v>
          </cell>
        </row>
        <row r="3678">
          <cell r="O3678">
            <v>41487</v>
          </cell>
          <cell r="P3678">
            <v>1.0003135299999999</v>
          </cell>
          <cell r="Q3678">
            <v>7.6742756239753929</v>
          </cell>
        </row>
        <row r="3679">
          <cell r="O3679">
            <v>41488</v>
          </cell>
          <cell r="P3679">
            <v>1.0003138899999999</v>
          </cell>
          <cell r="Q3679">
            <v>7.6766845023510015</v>
          </cell>
        </row>
        <row r="3680">
          <cell r="O3680">
            <v>41491</v>
          </cell>
          <cell r="P3680">
            <v>1.0003138899999999</v>
          </cell>
          <cell r="Q3680">
            <v>7.6790941368494439</v>
          </cell>
        </row>
        <row r="3681">
          <cell r="O3681">
            <v>41492</v>
          </cell>
          <cell r="P3681">
            <v>1.0003135299999999</v>
          </cell>
          <cell r="Q3681">
            <v>7.6815017632341691</v>
          </cell>
        </row>
        <row r="3682">
          <cell r="O3682">
            <v>41493</v>
          </cell>
          <cell r="P3682">
            <v>1.0003135299999999</v>
          </cell>
          <cell r="Q3682">
            <v>7.6839101444819953</v>
          </cell>
        </row>
        <row r="3683">
          <cell r="O3683">
            <v>41494</v>
          </cell>
          <cell r="P3683">
            <v>1.0003135299999999</v>
          </cell>
          <cell r="Q3683">
            <v>7.6863192808295935</v>
          </cell>
        </row>
        <row r="3684">
          <cell r="O3684">
            <v>41495</v>
          </cell>
          <cell r="P3684">
            <v>1.0003135299999999</v>
          </cell>
          <cell r="Q3684">
            <v>7.6887291725137112</v>
          </cell>
        </row>
        <row r="3685">
          <cell r="O3685">
            <v>41498</v>
          </cell>
          <cell r="P3685">
            <v>1.0003135299999999</v>
          </cell>
          <cell r="Q3685">
            <v>7.6911398197711689</v>
          </cell>
        </row>
        <row r="3686">
          <cell r="O3686">
            <v>41499</v>
          </cell>
          <cell r="P3686">
            <v>1.0003135299999999</v>
          </cell>
          <cell r="Q3686">
            <v>7.6935512228388605</v>
          </cell>
        </row>
        <row r="3687">
          <cell r="O3687">
            <v>41500</v>
          </cell>
          <cell r="P3687">
            <v>1.0003135299999999</v>
          </cell>
          <cell r="Q3687">
            <v>7.6959633819537565</v>
          </cell>
        </row>
        <row r="3688">
          <cell r="O3688">
            <v>41501</v>
          </cell>
          <cell r="P3688">
            <v>1.0003135299999999</v>
          </cell>
          <cell r="Q3688">
            <v>7.6983762973528993</v>
          </cell>
        </row>
        <row r="3689">
          <cell r="O3689">
            <v>41502</v>
          </cell>
          <cell r="P3689">
            <v>1.0003135299999999</v>
          </cell>
          <cell r="Q3689">
            <v>7.7007899692734076</v>
          </cell>
        </row>
        <row r="3690">
          <cell r="O3690">
            <v>41505</v>
          </cell>
          <cell r="P3690">
            <v>1.0003135299999999</v>
          </cell>
          <cell r="Q3690">
            <v>7.7032043979524731</v>
          </cell>
        </row>
        <row r="3691">
          <cell r="O3691">
            <v>41506</v>
          </cell>
          <cell r="P3691">
            <v>1.0003135299999999</v>
          </cell>
          <cell r="Q3691">
            <v>7.705619583627362</v>
          </cell>
        </row>
        <row r="3692">
          <cell r="O3692">
            <v>41507</v>
          </cell>
          <cell r="P3692">
            <v>1.0003135299999999</v>
          </cell>
          <cell r="Q3692">
            <v>7.7080355265354159</v>
          </cell>
        </row>
        <row r="3693">
          <cell r="O3693">
            <v>41508</v>
          </cell>
          <cell r="P3693">
            <v>1.0003135299999999</v>
          </cell>
          <cell r="Q3693">
            <v>7.7104522269140494</v>
          </cell>
        </row>
        <row r="3694">
          <cell r="O3694">
            <v>41509</v>
          </cell>
          <cell r="P3694">
            <v>1.0003135299999999</v>
          </cell>
          <cell r="Q3694">
            <v>7.7128696850007525</v>
          </cell>
        </row>
        <row r="3695">
          <cell r="O3695">
            <v>41512</v>
          </cell>
          <cell r="P3695">
            <v>1.0003135299999999</v>
          </cell>
          <cell r="Q3695">
            <v>7.7152879010330899</v>
          </cell>
        </row>
        <row r="3696">
          <cell r="O3696">
            <v>41513</v>
          </cell>
          <cell r="P3696">
            <v>1.0003135299999999</v>
          </cell>
          <cell r="Q3696">
            <v>7.7177068752486999</v>
          </cell>
        </row>
        <row r="3697">
          <cell r="O3697">
            <v>41514</v>
          </cell>
          <cell r="P3697">
            <v>1.0003135299999999</v>
          </cell>
          <cell r="Q3697">
            <v>7.7201266078852955</v>
          </cell>
        </row>
        <row r="3698">
          <cell r="O3698">
            <v>41515</v>
          </cell>
          <cell r="P3698">
            <v>1.0003135299999999</v>
          </cell>
          <cell r="Q3698">
            <v>7.7225470991806651</v>
          </cell>
        </row>
        <row r="3699">
          <cell r="O3699">
            <v>41516</v>
          </cell>
          <cell r="P3699">
            <v>1.00033182</v>
          </cell>
          <cell r="Q3699">
            <v>7.7251095947591146</v>
          </cell>
        </row>
        <row r="3700">
          <cell r="O3700">
            <v>41519</v>
          </cell>
          <cell r="P3700">
            <v>1.00033182</v>
          </cell>
          <cell r="Q3700">
            <v>7.7276729406248474</v>
          </cell>
        </row>
        <row r="3701">
          <cell r="O3701">
            <v>41520</v>
          </cell>
          <cell r="P3701">
            <v>1.00033182</v>
          </cell>
          <cell r="Q3701">
            <v>7.7302371370600058</v>
          </cell>
        </row>
        <row r="3702">
          <cell r="O3702">
            <v>41521</v>
          </cell>
          <cell r="P3702">
            <v>1.00033182</v>
          </cell>
          <cell r="Q3702">
            <v>7.7328021843468253</v>
          </cell>
        </row>
        <row r="3703">
          <cell r="O3703">
            <v>41522</v>
          </cell>
          <cell r="P3703">
            <v>1.00033182</v>
          </cell>
          <cell r="Q3703">
            <v>7.7353680827676348</v>
          </cell>
        </row>
        <row r="3704">
          <cell r="O3704">
            <v>41523</v>
          </cell>
          <cell r="P3704">
            <v>1.00033182</v>
          </cell>
          <cell r="Q3704">
            <v>7.7379348326048589</v>
          </cell>
        </row>
        <row r="3705">
          <cell r="O3705">
            <v>41526</v>
          </cell>
          <cell r="P3705">
            <v>1.00033182</v>
          </cell>
          <cell r="Q3705">
            <v>7.740502434141014</v>
          </cell>
        </row>
        <row r="3706">
          <cell r="O3706">
            <v>41527</v>
          </cell>
          <cell r="P3706">
            <v>1.00033182</v>
          </cell>
          <cell r="Q3706">
            <v>7.7430708876587104</v>
          </cell>
        </row>
        <row r="3707">
          <cell r="O3707">
            <v>41528</v>
          </cell>
          <cell r="P3707">
            <v>1.00033182</v>
          </cell>
          <cell r="Q3707">
            <v>7.7456401934406536</v>
          </cell>
        </row>
        <row r="3708">
          <cell r="O3708">
            <v>41529</v>
          </cell>
          <cell r="P3708">
            <v>1.00033182</v>
          </cell>
          <cell r="Q3708">
            <v>7.7482103517696412</v>
          </cell>
        </row>
        <row r="3709">
          <cell r="O3709">
            <v>41530</v>
          </cell>
          <cell r="P3709">
            <v>1.00033182</v>
          </cell>
          <cell r="Q3709">
            <v>7.7507813629285653</v>
          </cell>
        </row>
        <row r="3710">
          <cell r="O3710">
            <v>41533</v>
          </cell>
          <cell r="P3710">
            <v>1.00033182</v>
          </cell>
          <cell r="Q3710">
            <v>7.753353227200412</v>
          </cell>
        </row>
        <row r="3711">
          <cell r="O3711">
            <v>41534</v>
          </cell>
          <cell r="P3711">
            <v>1.00033182</v>
          </cell>
          <cell r="Q3711">
            <v>7.7559259448682614</v>
          </cell>
        </row>
        <row r="3712">
          <cell r="O3712">
            <v>41535</v>
          </cell>
          <cell r="P3712">
            <v>1.00033182</v>
          </cell>
          <cell r="Q3712">
            <v>7.758499516215287</v>
          </cell>
        </row>
        <row r="3713">
          <cell r="O3713">
            <v>41536</v>
          </cell>
          <cell r="P3713">
            <v>1.00033182</v>
          </cell>
          <cell r="Q3713">
            <v>7.7610739415247574</v>
          </cell>
        </row>
        <row r="3714">
          <cell r="O3714">
            <v>41537</v>
          </cell>
          <cell r="P3714">
            <v>1.00033146</v>
          </cell>
          <cell r="Q3714">
            <v>7.7636464270934145</v>
          </cell>
        </row>
        <row r="3715">
          <cell r="O3715">
            <v>41540</v>
          </cell>
          <cell r="P3715">
            <v>1.00033109</v>
          </cell>
          <cell r="Q3715">
            <v>7.766216892788961</v>
          </cell>
        </row>
        <row r="3716">
          <cell r="O3716">
            <v>41541</v>
          </cell>
          <cell r="P3716">
            <v>1.00033109</v>
          </cell>
          <cell r="Q3716">
            <v>7.768788209539994</v>
          </cell>
        </row>
        <row r="3717">
          <cell r="O3717">
            <v>41542</v>
          </cell>
          <cell r="P3717">
            <v>1.00033109</v>
          </cell>
          <cell r="Q3717">
            <v>7.7713603776282909</v>
          </cell>
        </row>
        <row r="3718">
          <cell r="O3718">
            <v>41543</v>
          </cell>
          <cell r="P3718">
            <v>1.00033511</v>
          </cell>
          <cell r="Q3718">
            <v>7.7739646382044381</v>
          </cell>
        </row>
        <row r="3719">
          <cell r="O3719">
            <v>41544</v>
          </cell>
          <cell r="P3719">
            <v>1.00033182</v>
          </cell>
          <cell r="Q3719">
            <v>7.7765441951506871</v>
          </cell>
        </row>
        <row r="3720">
          <cell r="O3720">
            <v>41547</v>
          </cell>
          <cell r="P3720">
            <v>1.00033146</v>
          </cell>
          <cell r="Q3720">
            <v>7.7791218084896112</v>
          </cell>
        </row>
        <row r="3721">
          <cell r="O3721">
            <v>41548</v>
          </cell>
          <cell r="P3721">
            <v>1.00033146</v>
          </cell>
          <cell r="Q3721">
            <v>7.7817002762042531</v>
          </cell>
        </row>
        <row r="3722">
          <cell r="O3722">
            <v>41549</v>
          </cell>
          <cell r="P3722">
            <v>1.00033146</v>
          </cell>
          <cell r="Q3722">
            <v>7.784279598577803</v>
          </cell>
        </row>
        <row r="3723">
          <cell r="O3723">
            <v>41550</v>
          </cell>
          <cell r="P3723">
            <v>1.00033109</v>
          </cell>
          <cell r="Q3723">
            <v>7.7868568957100956</v>
          </cell>
        </row>
        <row r="3724">
          <cell r="O3724">
            <v>41551</v>
          </cell>
          <cell r="P3724">
            <v>1.00033109</v>
          </cell>
          <cell r="Q3724">
            <v>7.7894350461596957</v>
          </cell>
        </row>
        <row r="3725">
          <cell r="O3725">
            <v>41554</v>
          </cell>
          <cell r="P3725">
            <v>1.00033584</v>
          </cell>
          <cell r="Q3725">
            <v>7.7920510500255977</v>
          </cell>
        </row>
        <row r="3726">
          <cell r="O3726">
            <v>41555</v>
          </cell>
          <cell r="P3726">
            <v>1.00033511</v>
          </cell>
          <cell r="Q3726">
            <v>7.7946622442529714</v>
          </cell>
        </row>
        <row r="3727">
          <cell r="O3727">
            <v>41556</v>
          </cell>
          <cell r="P3727">
            <v>1.00033511</v>
          </cell>
          <cell r="Q3727">
            <v>7.7972743135176428</v>
          </cell>
        </row>
        <row r="3728">
          <cell r="O3728">
            <v>41557</v>
          </cell>
          <cell r="P3728">
            <v>1.00033657</v>
          </cell>
          <cell r="Q3728">
            <v>7.7998986421333436</v>
          </cell>
        </row>
        <row r="3729">
          <cell r="O3729">
            <v>41558</v>
          </cell>
          <cell r="P3729">
            <v>1.00035512</v>
          </cell>
          <cell r="Q3729">
            <v>7.8026685421391386</v>
          </cell>
        </row>
        <row r="3730">
          <cell r="O3730">
            <v>41561</v>
          </cell>
          <cell r="P3730">
            <v>1.00035367</v>
          </cell>
          <cell r="Q3730">
            <v>7.8054281119224367</v>
          </cell>
        </row>
        <row r="3731">
          <cell r="O3731">
            <v>41562</v>
          </cell>
          <cell r="P3731">
            <v>1.00035476</v>
          </cell>
          <cell r="Q3731">
            <v>7.808197165599422</v>
          </cell>
        </row>
        <row r="3732">
          <cell r="O3732">
            <v>41563</v>
          </cell>
          <cell r="P3732">
            <v>1.00035476</v>
          </cell>
          <cell r="Q3732">
            <v>7.81096720162589</v>
          </cell>
        </row>
        <row r="3733">
          <cell r="O3733">
            <v>41564</v>
          </cell>
          <cell r="P3733">
            <v>1.00035476</v>
          </cell>
          <cell r="Q3733">
            <v>7.8137382203503387</v>
          </cell>
        </row>
        <row r="3734">
          <cell r="O3734">
            <v>41565</v>
          </cell>
          <cell r="P3734">
            <v>1.00035476</v>
          </cell>
          <cell r="Q3734">
            <v>7.8165102221213907</v>
          </cell>
        </row>
        <row r="3735">
          <cell r="O3735">
            <v>41568</v>
          </cell>
          <cell r="P3735">
            <v>1.00035367</v>
          </cell>
          <cell r="Q3735">
            <v>7.8192746872916485</v>
          </cell>
        </row>
        <row r="3736">
          <cell r="O3736">
            <v>41569</v>
          </cell>
          <cell r="P3736">
            <v>1.00035476</v>
          </cell>
          <cell r="Q3736">
            <v>7.8220486531797118</v>
          </cell>
        </row>
        <row r="3737">
          <cell r="O3737">
            <v>41570</v>
          </cell>
          <cell r="P3737">
            <v>1.00035476</v>
          </cell>
          <cell r="Q3737">
            <v>7.8248236031599134</v>
          </cell>
        </row>
        <row r="3738">
          <cell r="O3738">
            <v>41571</v>
          </cell>
          <cell r="P3738">
            <v>1.00035367</v>
          </cell>
          <cell r="Q3738">
            <v>7.8275910085236431</v>
          </cell>
        </row>
        <row r="3739">
          <cell r="O3739">
            <v>41572</v>
          </cell>
          <cell r="P3739">
            <v>1.00035367</v>
          </cell>
          <cell r="Q3739">
            <v>7.8303593926356276</v>
          </cell>
        </row>
        <row r="3740">
          <cell r="O3740">
            <v>41575</v>
          </cell>
          <cell r="P3740">
            <v>1.00035367</v>
          </cell>
          <cell r="Q3740">
            <v>7.8331287558420213</v>
          </cell>
        </row>
        <row r="3741">
          <cell r="O3741">
            <v>41576</v>
          </cell>
          <cell r="P3741">
            <v>1.00035367</v>
          </cell>
          <cell r="Q3741">
            <v>7.8358990984890999</v>
          </cell>
        </row>
        <row r="3742">
          <cell r="O3742">
            <v>41577</v>
          </cell>
          <cell r="P3742">
            <v>1.00035367</v>
          </cell>
          <cell r="Q3742">
            <v>7.838670420923262</v>
          </cell>
        </row>
        <row r="3743">
          <cell r="O3743">
            <v>41578</v>
          </cell>
          <cell r="P3743">
            <v>1.00035367</v>
          </cell>
          <cell r="Q3743">
            <v>7.8414427234910296</v>
          </cell>
        </row>
        <row r="3744">
          <cell r="O3744">
            <v>41579</v>
          </cell>
          <cell r="P3744">
            <v>1.00035367</v>
          </cell>
          <cell r="Q3744">
            <v>7.844216006539046</v>
          </cell>
        </row>
        <row r="3745">
          <cell r="O3745">
            <v>41582</v>
          </cell>
          <cell r="P3745">
            <v>1.00035367</v>
          </cell>
          <cell r="Q3745">
            <v>7.8469902704140786</v>
          </cell>
        </row>
        <row r="3746">
          <cell r="O3746">
            <v>41583</v>
          </cell>
          <cell r="P3746">
            <v>1.0003522199999999</v>
          </cell>
          <cell r="Q3746">
            <v>7.8497541373271229</v>
          </cell>
        </row>
        <row r="3747">
          <cell r="O3747">
            <v>41584</v>
          </cell>
          <cell r="P3747">
            <v>1.0003522199999999</v>
          </cell>
          <cell r="Q3747">
            <v>7.8525189777293711</v>
          </cell>
        </row>
        <row r="3748">
          <cell r="O3748">
            <v>41585</v>
          </cell>
          <cell r="P3748">
            <v>1.0003522199999999</v>
          </cell>
          <cell r="Q3748">
            <v>7.8552847919637063</v>
          </cell>
        </row>
        <row r="3749">
          <cell r="O3749">
            <v>41586</v>
          </cell>
          <cell r="P3749">
            <v>1.0003522199999999</v>
          </cell>
          <cell r="Q3749">
            <v>7.8580515803731315</v>
          </cell>
        </row>
        <row r="3750">
          <cell r="O3750">
            <v>41589</v>
          </cell>
          <cell r="P3750">
            <v>1.0003522199999999</v>
          </cell>
          <cell r="Q3750">
            <v>7.8608193433007694</v>
          </cell>
        </row>
        <row r="3751">
          <cell r="O3751">
            <v>41590</v>
          </cell>
          <cell r="P3751">
            <v>1.0003522199999999</v>
          </cell>
          <cell r="Q3751">
            <v>7.8635880810898664</v>
          </cell>
        </row>
        <row r="3752">
          <cell r="O3752">
            <v>41591</v>
          </cell>
          <cell r="P3752">
            <v>1.0003522199999999</v>
          </cell>
          <cell r="Q3752">
            <v>7.866357794083787</v>
          </cell>
        </row>
        <row r="3753">
          <cell r="O3753">
            <v>41592</v>
          </cell>
          <cell r="P3753">
            <v>1.0003522199999999</v>
          </cell>
          <cell r="Q3753">
            <v>7.8691284826260182</v>
          </cell>
        </row>
        <row r="3754">
          <cell r="O3754">
            <v>41596</v>
          </cell>
          <cell r="P3754">
            <v>1.0003522199999999</v>
          </cell>
          <cell r="Q3754">
            <v>7.8719001470601677</v>
          </cell>
        </row>
        <row r="3755">
          <cell r="O3755">
            <v>41597</v>
          </cell>
          <cell r="P3755">
            <v>1.0003522199999999</v>
          </cell>
          <cell r="Q3755">
            <v>7.8746727877299643</v>
          </cell>
        </row>
        <row r="3756">
          <cell r="O3756">
            <v>41598</v>
          </cell>
          <cell r="P3756">
            <v>1.0003522199999999</v>
          </cell>
          <cell r="Q3756">
            <v>7.8774464049792581</v>
          </cell>
        </row>
        <row r="3757">
          <cell r="O3757">
            <v>41599</v>
          </cell>
          <cell r="P3757">
            <v>1.0003522199999999</v>
          </cell>
          <cell r="Q3757">
            <v>7.8802209991520193</v>
          </cell>
        </row>
        <row r="3758">
          <cell r="O3758">
            <v>41600</v>
          </cell>
          <cell r="P3758">
            <v>1.0003522199999999</v>
          </cell>
          <cell r="Q3758">
            <v>7.8829965705923399</v>
          </cell>
        </row>
        <row r="3759">
          <cell r="O3759">
            <v>41603</v>
          </cell>
          <cell r="P3759">
            <v>1.0003522199999999</v>
          </cell>
          <cell r="Q3759">
            <v>7.8857731196444334</v>
          </cell>
        </row>
        <row r="3760">
          <cell r="O3760">
            <v>41604</v>
          </cell>
          <cell r="P3760">
            <v>1.0003522199999999</v>
          </cell>
          <cell r="Q3760">
            <v>7.8885506466526341</v>
          </cell>
        </row>
        <row r="3761">
          <cell r="O3761">
            <v>41605</v>
          </cell>
          <cell r="P3761">
            <v>1.0003522199999999</v>
          </cell>
          <cell r="Q3761">
            <v>7.8913291519613971</v>
          </cell>
        </row>
        <row r="3762">
          <cell r="O3762">
            <v>41606</v>
          </cell>
          <cell r="P3762">
            <v>1.0003522199999999</v>
          </cell>
          <cell r="Q3762">
            <v>7.8941086359153001</v>
          </cell>
        </row>
        <row r="3763">
          <cell r="O3763">
            <v>41607</v>
          </cell>
          <cell r="P3763">
            <v>1.0003699800000001</v>
          </cell>
          <cell r="Q3763">
            <v>7.8970292982284169</v>
          </cell>
        </row>
        <row r="3764">
          <cell r="O3764">
            <v>41610</v>
          </cell>
          <cell r="P3764">
            <v>1.0003699800000001</v>
          </cell>
          <cell r="Q3764">
            <v>7.8999510411281761</v>
          </cell>
        </row>
        <row r="3765">
          <cell r="O3765">
            <v>41611</v>
          </cell>
          <cell r="P3765">
            <v>1.0003699800000001</v>
          </cell>
          <cell r="Q3765">
            <v>7.9028738650143735</v>
          </cell>
        </row>
        <row r="3766">
          <cell r="O3766">
            <v>41612</v>
          </cell>
          <cell r="P3766">
            <v>1.0003699800000001</v>
          </cell>
          <cell r="Q3766">
            <v>7.9057977702869522</v>
          </cell>
        </row>
        <row r="3767">
          <cell r="O3767">
            <v>41613</v>
          </cell>
          <cell r="P3767">
            <v>1.0003699800000001</v>
          </cell>
          <cell r="Q3767">
            <v>7.9087227573460037</v>
          </cell>
        </row>
        <row r="3768">
          <cell r="O3768">
            <v>41614</v>
          </cell>
          <cell r="P3768">
            <v>1.0003699800000001</v>
          </cell>
          <cell r="Q3768">
            <v>7.911648826591767</v>
          </cell>
        </row>
        <row r="3769">
          <cell r="O3769">
            <v>41617</v>
          </cell>
          <cell r="P3769">
            <v>1.0003696200000001</v>
          </cell>
          <cell r="Q3769">
            <v>7.9145731302310525</v>
          </cell>
        </row>
        <row r="3770">
          <cell r="O3770">
            <v>41618</v>
          </cell>
          <cell r="P3770">
            <v>1.0003728700000001</v>
          </cell>
          <cell r="Q3770">
            <v>7.9175242371141223</v>
          </cell>
        </row>
        <row r="3771">
          <cell r="O3771">
            <v>41619</v>
          </cell>
          <cell r="P3771">
            <v>1.0003699800000001</v>
          </cell>
          <cell r="Q3771">
            <v>7.920453562731371</v>
          </cell>
        </row>
        <row r="3772">
          <cell r="O3772">
            <v>41620</v>
          </cell>
          <cell r="P3772">
            <v>1.0003699800000001</v>
          </cell>
          <cell r="Q3772">
            <v>7.9233839721405115</v>
          </cell>
        </row>
        <row r="3773">
          <cell r="O3773">
            <v>41621</v>
          </cell>
          <cell r="P3773">
            <v>1.0003699800000001</v>
          </cell>
          <cell r="Q3773">
            <v>7.9263154657425252</v>
          </cell>
        </row>
        <row r="3774">
          <cell r="O3774">
            <v>41624</v>
          </cell>
          <cell r="P3774">
            <v>1.0003699800000001</v>
          </cell>
          <cell r="Q3774">
            <v>7.9292480439385411</v>
          </cell>
        </row>
        <row r="3775">
          <cell r="O3775">
            <v>41625</v>
          </cell>
          <cell r="P3775">
            <v>1.0003728700000001</v>
          </cell>
          <cell r="Q3775">
            <v>7.9322046226566849</v>
          </cell>
        </row>
        <row r="3776">
          <cell r="O3776">
            <v>41626</v>
          </cell>
          <cell r="P3776">
            <v>1.0003699800000001</v>
          </cell>
          <cell r="Q3776">
            <v>7.9351393797229761</v>
          </cell>
        </row>
        <row r="3777">
          <cell r="O3777">
            <v>41627</v>
          </cell>
          <cell r="P3777">
            <v>1.0003699800000001</v>
          </cell>
          <cell r="Q3777">
            <v>7.9380752225906868</v>
          </cell>
        </row>
        <row r="3778">
          <cell r="O3778">
            <v>41628</v>
          </cell>
          <cell r="P3778">
            <v>1.0003699800000001</v>
          </cell>
          <cell r="Q3778">
            <v>7.9410121516615417</v>
          </cell>
        </row>
        <row r="3779">
          <cell r="O3779">
            <v>41631</v>
          </cell>
          <cell r="P3779">
            <v>1.0003699800000001</v>
          </cell>
          <cell r="Q3779">
            <v>7.9439501673374142</v>
          </cell>
        </row>
        <row r="3780">
          <cell r="O3780">
            <v>41632</v>
          </cell>
          <cell r="P3780">
            <v>1.0003699800000001</v>
          </cell>
          <cell r="Q3780">
            <v>7.9468892700203266</v>
          </cell>
        </row>
        <row r="3781">
          <cell r="O3781">
            <v>41634</v>
          </cell>
          <cell r="P3781">
            <v>1.0003699800000001</v>
          </cell>
          <cell r="Q3781">
            <v>7.9498294601124497</v>
          </cell>
        </row>
        <row r="3782">
          <cell r="O3782">
            <v>41635</v>
          </cell>
          <cell r="P3782">
            <v>1.0003699800000001</v>
          </cell>
          <cell r="Q3782">
            <v>7.9527707380161026</v>
          </cell>
        </row>
        <row r="3783">
          <cell r="O3783">
            <v>41638</v>
          </cell>
          <cell r="P3783">
            <v>1.0003699800000001</v>
          </cell>
          <cell r="Q3783">
            <v>7.9557131041337543</v>
          </cell>
        </row>
        <row r="3784">
          <cell r="O3784">
            <v>41639</v>
          </cell>
          <cell r="P3784">
            <v>1.0003699800000001</v>
          </cell>
          <cell r="Q3784">
            <v>7.9586565588680225</v>
          </cell>
        </row>
        <row r="3785">
          <cell r="O3785">
            <v>41641</v>
          </cell>
          <cell r="P3785">
            <v>1.0003699800000001</v>
          </cell>
          <cell r="Q3785">
            <v>7.9616011026216729</v>
          </cell>
        </row>
        <row r="3786">
          <cell r="O3786">
            <v>41642</v>
          </cell>
          <cell r="P3786">
            <v>1.0003699800000001</v>
          </cell>
          <cell r="Q3786">
            <v>7.9645467357976214</v>
          </cell>
        </row>
        <row r="3787">
          <cell r="O3787">
            <v>41645</v>
          </cell>
          <cell r="P3787">
            <v>1.0003699800000001</v>
          </cell>
          <cell r="Q3787">
            <v>7.9674934587989323</v>
          </cell>
        </row>
        <row r="3788">
          <cell r="O3788">
            <v>41646</v>
          </cell>
          <cell r="P3788">
            <v>1.0003699800000001</v>
          </cell>
          <cell r="Q3788">
            <v>7.97044127202882</v>
          </cell>
        </row>
        <row r="3789">
          <cell r="O3789">
            <v>41647</v>
          </cell>
          <cell r="P3789">
            <v>1.0003699800000001</v>
          </cell>
          <cell r="Q3789">
            <v>7.9733901758906462</v>
          </cell>
        </row>
        <row r="3790">
          <cell r="O3790">
            <v>41648</v>
          </cell>
          <cell r="P3790">
            <v>1.0003699800000001</v>
          </cell>
          <cell r="Q3790">
            <v>7.9763401707879229</v>
          </cell>
        </row>
        <row r="3791">
          <cell r="O3791">
            <v>41649</v>
          </cell>
          <cell r="P3791">
            <v>1.0003699800000001</v>
          </cell>
          <cell r="Q3791">
            <v>7.979291257124312</v>
          </cell>
        </row>
        <row r="3792">
          <cell r="O3792">
            <v>41652</v>
          </cell>
          <cell r="P3792">
            <v>1.0003699800000001</v>
          </cell>
          <cell r="Q3792">
            <v>7.9822434353036238</v>
          </cell>
        </row>
        <row r="3793">
          <cell r="O3793">
            <v>41653</v>
          </cell>
          <cell r="P3793">
            <v>1.0003699800000001</v>
          </cell>
          <cell r="Q3793">
            <v>7.9851967057298179</v>
          </cell>
        </row>
        <row r="3794">
          <cell r="O3794">
            <v>41654</v>
          </cell>
          <cell r="P3794">
            <v>1.0003699800000001</v>
          </cell>
          <cell r="Q3794">
            <v>7.9881510688070048</v>
          </cell>
        </row>
        <row r="3795">
          <cell r="O3795">
            <v>41655</v>
          </cell>
          <cell r="P3795">
            <v>1.0003699800000001</v>
          </cell>
          <cell r="Q3795">
            <v>7.9911065249394424</v>
          </cell>
        </row>
        <row r="3796">
          <cell r="O3796">
            <v>41656</v>
          </cell>
          <cell r="P3796">
            <v>1.0003880199999999</v>
          </cell>
          <cell r="Q3796">
            <v>7.9942072340932491</v>
          </cell>
        </row>
        <row r="3797">
          <cell r="O3797">
            <v>41659</v>
          </cell>
          <cell r="P3797">
            <v>1.0003905399999999</v>
          </cell>
          <cell r="Q3797">
            <v>7.9973292917864516</v>
          </cell>
        </row>
        <row r="3798">
          <cell r="O3798">
            <v>41660</v>
          </cell>
          <cell r="P3798">
            <v>1.0003909</v>
          </cell>
          <cell r="Q3798">
            <v>8.0004554478066101</v>
          </cell>
        </row>
        <row r="3799">
          <cell r="O3799">
            <v>41661</v>
          </cell>
          <cell r="P3799">
            <v>1.0003909</v>
          </cell>
          <cell r="Q3799">
            <v>8.003582825841157</v>
          </cell>
        </row>
        <row r="3800">
          <cell r="O3800">
            <v>41662</v>
          </cell>
          <cell r="P3800">
            <v>1.0003880199999999</v>
          </cell>
          <cell r="Q3800">
            <v>8.0066883760492402</v>
          </cell>
        </row>
        <row r="3801">
          <cell r="O3801">
            <v>41663</v>
          </cell>
          <cell r="P3801">
            <v>1.0003880199999999</v>
          </cell>
          <cell r="Q3801">
            <v>8.0097951312729148</v>
          </cell>
        </row>
        <row r="3802">
          <cell r="O3802">
            <v>41666</v>
          </cell>
          <cell r="P3802">
            <v>1.0003880199999999</v>
          </cell>
          <cell r="Q3802">
            <v>8.0129030919797515</v>
          </cell>
        </row>
        <row r="3803">
          <cell r="O3803">
            <v>41667</v>
          </cell>
          <cell r="P3803">
            <v>1.0003880199999999</v>
          </cell>
          <cell r="Q3803">
            <v>8.0160122586375007</v>
          </cell>
        </row>
        <row r="3804">
          <cell r="O3804">
            <v>41668</v>
          </cell>
          <cell r="P3804">
            <v>1.0003880199999999</v>
          </cell>
          <cell r="Q3804">
            <v>8.0191226317140973</v>
          </cell>
        </row>
        <row r="3805">
          <cell r="O3805">
            <v>41669</v>
          </cell>
          <cell r="P3805">
            <v>1.0003880199999999</v>
          </cell>
          <cell r="Q3805">
            <v>8.0222342116776542</v>
          </cell>
        </row>
        <row r="3806">
          <cell r="O3806">
            <v>41670</v>
          </cell>
          <cell r="P3806">
            <v>1.0003880199999999</v>
          </cell>
          <cell r="Q3806">
            <v>8.0253469989964685</v>
          </cell>
        </row>
        <row r="3807">
          <cell r="O3807">
            <v>41673</v>
          </cell>
          <cell r="P3807">
            <v>1.0003880199999999</v>
          </cell>
          <cell r="Q3807">
            <v>8.028460994139019</v>
          </cell>
        </row>
        <row r="3808">
          <cell r="O3808">
            <v>41674</v>
          </cell>
          <cell r="P3808">
            <v>1.0003880199999999</v>
          </cell>
          <cell r="Q3808">
            <v>8.0315761975739637</v>
          </cell>
        </row>
        <row r="3809">
          <cell r="O3809">
            <v>41675</v>
          </cell>
          <cell r="P3809">
            <v>1.00038874</v>
          </cell>
          <cell r="Q3809">
            <v>8.0346983925050086</v>
          </cell>
        </row>
        <row r="3810">
          <cell r="O3810">
            <v>41676</v>
          </cell>
          <cell r="P3810">
            <v>1.00038874</v>
          </cell>
          <cell r="Q3810">
            <v>8.0378218011581115</v>
          </cell>
        </row>
        <row r="3811">
          <cell r="O3811">
            <v>41677</v>
          </cell>
          <cell r="P3811">
            <v>1.00038874</v>
          </cell>
          <cell r="Q3811">
            <v>8.0409464240050941</v>
          </cell>
        </row>
        <row r="3812">
          <cell r="O3812">
            <v>41680</v>
          </cell>
          <cell r="P3812">
            <v>1.00038874</v>
          </cell>
          <cell r="Q3812">
            <v>8.044072261517961</v>
          </cell>
        </row>
        <row r="3813">
          <cell r="O3813">
            <v>41681</v>
          </cell>
          <cell r="P3813">
            <v>1.00038874</v>
          </cell>
          <cell r="Q3813">
            <v>8.0471993141689033</v>
          </cell>
        </row>
        <row r="3814">
          <cell r="O3814">
            <v>41682</v>
          </cell>
          <cell r="P3814">
            <v>1.00038874</v>
          </cell>
          <cell r="Q3814">
            <v>8.0503275824302936</v>
          </cell>
        </row>
        <row r="3815">
          <cell r="O3815">
            <v>41683</v>
          </cell>
          <cell r="P3815">
            <v>1.00038874</v>
          </cell>
          <cell r="Q3815">
            <v>8.053457066774687</v>
          </cell>
        </row>
        <row r="3816">
          <cell r="O3816">
            <v>41684</v>
          </cell>
          <cell r="P3816">
            <v>1.00038874</v>
          </cell>
          <cell r="Q3816">
            <v>8.0565877676748254</v>
          </cell>
        </row>
        <row r="3817">
          <cell r="O3817">
            <v>41687</v>
          </cell>
          <cell r="P3817">
            <v>1.00038874</v>
          </cell>
          <cell r="Q3817">
            <v>8.0597196856036319</v>
          </cell>
        </row>
        <row r="3818">
          <cell r="O3818">
            <v>41688</v>
          </cell>
          <cell r="P3818">
            <v>1.00038874</v>
          </cell>
          <cell r="Q3818">
            <v>8.0628528210342143</v>
          </cell>
        </row>
        <row r="3819">
          <cell r="O3819">
            <v>41689</v>
          </cell>
          <cell r="P3819">
            <v>1.00038874</v>
          </cell>
          <cell r="Q3819">
            <v>8.0659871744398632</v>
          </cell>
        </row>
        <row r="3820">
          <cell r="O3820">
            <v>41690</v>
          </cell>
          <cell r="P3820">
            <v>1.00038874</v>
          </cell>
          <cell r="Q3820">
            <v>8.0691227462940542</v>
          </cell>
        </row>
        <row r="3821">
          <cell r="O3821">
            <v>41691</v>
          </cell>
          <cell r="P3821">
            <v>1.00038874</v>
          </cell>
          <cell r="Q3821">
            <v>8.0722595370704493</v>
          </cell>
        </row>
        <row r="3822">
          <cell r="O3822">
            <v>41694</v>
          </cell>
          <cell r="P3822">
            <v>1.00038874</v>
          </cell>
          <cell r="Q3822">
            <v>8.0753975472428898</v>
          </cell>
        </row>
        <row r="3823">
          <cell r="O3823">
            <v>41695</v>
          </cell>
          <cell r="P3823">
            <v>1.00038874</v>
          </cell>
          <cell r="Q3823">
            <v>8.0785367772854055</v>
          </cell>
        </row>
        <row r="3824">
          <cell r="O3824">
            <v>41696</v>
          </cell>
          <cell r="P3824">
            <v>1.00038874</v>
          </cell>
          <cell r="Q3824">
            <v>8.0816772276722073</v>
          </cell>
        </row>
        <row r="3825">
          <cell r="O3825">
            <v>41697</v>
          </cell>
          <cell r="P3825">
            <v>1.0003909</v>
          </cell>
          <cell r="Q3825">
            <v>8.0848363553005047</v>
          </cell>
        </row>
        <row r="3826">
          <cell r="O3826">
            <v>41698</v>
          </cell>
          <cell r="P3826">
            <v>1.00039952</v>
          </cell>
          <cell r="Q3826">
            <v>8.0880664091211738</v>
          </cell>
        </row>
        <row r="3827">
          <cell r="O3827">
            <v>41703</v>
          </cell>
          <cell r="P3827">
            <v>1.00039952</v>
          </cell>
          <cell r="Q3827">
            <v>8.0912977534129453</v>
          </cell>
        </row>
        <row r="3828">
          <cell r="O3828">
            <v>41704</v>
          </cell>
          <cell r="P3828">
            <v>1.00039809</v>
          </cell>
          <cell r="Q3828">
            <v>8.0945188181356009</v>
          </cell>
        </row>
        <row r="3829">
          <cell r="O3829">
            <v>41705</v>
          </cell>
          <cell r="P3829">
            <v>1.00039809</v>
          </cell>
          <cell r="Q3829">
            <v>8.0977411651319127</v>
          </cell>
        </row>
        <row r="3830">
          <cell r="O3830">
            <v>41708</v>
          </cell>
          <cell r="P3830">
            <v>1.00039809</v>
          </cell>
          <cell r="Q3830">
            <v>8.1009647949123398</v>
          </cell>
        </row>
        <row r="3831">
          <cell r="O3831">
            <v>41709</v>
          </cell>
          <cell r="P3831">
            <v>1.00039809</v>
          </cell>
          <cell r="Q3831">
            <v>8.1041897079875458</v>
          </cell>
        </row>
        <row r="3832">
          <cell r="O3832">
            <v>41710</v>
          </cell>
          <cell r="P3832">
            <v>1.00039809</v>
          </cell>
          <cell r="Q3832">
            <v>8.1074159048683985</v>
          </cell>
        </row>
        <row r="3833">
          <cell r="O3833">
            <v>41711</v>
          </cell>
          <cell r="P3833">
            <v>1.00039809</v>
          </cell>
          <cell r="Q3833">
            <v>8.1106433860659681</v>
          </cell>
        </row>
        <row r="3834">
          <cell r="O3834">
            <v>41712</v>
          </cell>
          <cell r="P3834">
            <v>1.00039809</v>
          </cell>
          <cell r="Q3834">
            <v>8.1138721520915276</v>
          </cell>
        </row>
        <row r="3835">
          <cell r="O3835">
            <v>41715</v>
          </cell>
          <cell r="P3835">
            <v>1.00039809</v>
          </cell>
          <cell r="Q3835">
            <v>8.1171022034565539</v>
          </cell>
        </row>
        <row r="3836">
          <cell r="O3836">
            <v>41716</v>
          </cell>
          <cell r="P3836">
            <v>1.00039809</v>
          </cell>
          <cell r="Q3836">
            <v>8.1203335406727284</v>
          </cell>
        </row>
        <row r="3837">
          <cell r="O3837">
            <v>41717</v>
          </cell>
          <cell r="P3837">
            <v>1.00039809</v>
          </cell>
          <cell r="Q3837">
            <v>8.123566164251935</v>
          </cell>
        </row>
        <row r="3838">
          <cell r="O3838">
            <v>41718</v>
          </cell>
          <cell r="P3838">
            <v>1.00039952</v>
          </cell>
          <cell r="Q3838">
            <v>8.1268116914058766</v>
          </cell>
        </row>
        <row r="3839">
          <cell r="O3839">
            <v>41719</v>
          </cell>
          <cell r="P3839">
            <v>1.00039952</v>
          </cell>
          <cell r="Q3839">
            <v>8.1300585152128271</v>
          </cell>
        </row>
        <row r="3840">
          <cell r="O3840">
            <v>41722</v>
          </cell>
          <cell r="P3840">
            <v>1.00039952</v>
          </cell>
          <cell r="Q3840">
            <v>8.1333066361908255</v>
          </cell>
        </row>
        <row r="3841">
          <cell r="O3841">
            <v>41723</v>
          </cell>
          <cell r="P3841">
            <v>1.00039952</v>
          </cell>
          <cell r="Q3841">
            <v>8.1365560548581168</v>
          </cell>
        </row>
        <row r="3842">
          <cell r="O3842">
            <v>41724</v>
          </cell>
          <cell r="P3842">
            <v>1.00039952</v>
          </cell>
          <cell r="Q3842">
            <v>8.1398067717331539</v>
          </cell>
        </row>
        <row r="3843">
          <cell r="O3843">
            <v>41725</v>
          </cell>
          <cell r="P3843">
            <v>1.00039952</v>
          </cell>
          <cell r="Q3843">
            <v>8.1430587873345974</v>
          </cell>
        </row>
        <row r="3844">
          <cell r="O3844">
            <v>41726</v>
          </cell>
          <cell r="P3844">
            <v>1.00039809</v>
          </cell>
          <cell r="Q3844">
            <v>8.1463004576072482</v>
          </cell>
        </row>
        <row r="3845">
          <cell r="O3845">
            <v>41729</v>
          </cell>
          <cell r="P3845">
            <v>1.00039809</v>
          </cell>
          <cell r="Q3845">
            <v>8.1495434183564175</v>
          </cell>
        </row>
        <row r="3846">
          <cell r="O3846">
            <v>41730</v>
          </cell>
          <cell r="P3846">
            <v>1.00039809</v>
          </cell>
          <cell r="Q3846">
            <v>8.1527876700958313</v>
          </cell>
        </row>
        <row r="3847">
          <cell r="O3847">
            <v>41731</v>
          </cell>
          <cell r="P3847">
            <v>1.00039809</v>
          </cell>
          <cell r="Q3847">
            <v>8.1560332133394198</v>
          </cell>
        </row>
        <row r="3848">
          <cell r="O3848">
            <v>41732</v>
          </cell>
          <cell r="P3848">
            <v>1.00039809</v>
          </cell>
          <cell r="Q3848">
            <v>8.1592800486013175</v>
          </cell>
        </row>
        <row r="3849">
          <cell r="O3849">
            <v>41733</v>
          </cell>
          <cell r="P3849">
            <v>1.00040705</v>
          </cell>
          <cell r="Q3849">
            <v>8.1626012835451007</v>
          </cell>
        </row>
        <row r="3850">
          <cell r="O3850">
            <v>41736</v>
          </cell>
          <cell r="P3850">
            <v>1.00040705</v>
          </cell>
          <cell r="Q3850">
            <v>8.1659238703975667</v>
          </cell>
        </row>
        <row r="3851">
          <cell r="O3851">
            <v>41737</v>
          </cell>
          <cell r="P3851">
            <v>1.00040705</v>
          </cell>
          <cell r="Q3851">
            <v>8.1692478097090113</v>
          </cell>
        </row>
        <row r="3852">
          <cell r="O3852">
            <v>41738</v>
          </cell>
          <cell r="P3852">
            <v>1.00040705</v>
          </cell>
          <cell r="Q3852">
            <v>8.1725731020299524</v>
          </cell>
        </row>
        <row r="3853">
          <cell r="O3853">
            <v>41739</v>
          </cell>
          <cell r="P3853">
            <v>1.00040705</v>
          </cell>
          <cell r="Q3853">
            <v>8.1758997479111333</v>
          </cell>
        </row>
        <row r="3854">
          <cell r="O3854">
            <v>41740</v>
          </cell>
          <cell r="P3854">
            <v>1.00040705</v>
          </cell>
          <cell r="Q3854">
            <v>8.1792277479035196</v>
          </cell>
        </row>
        <row r="3855">
          <cell r="O3855">
            <v>41743</v>
          </cell>
          <cell r="P3855">
            <v>1.00040705</v>
          </cell>
          <cell r="Q3855">
            <v>8.1825571025583042</v>
          </cell>
        </row>
        <row r="3856">
          <cell r="O3856">
            <v>41744</v>
          </cell>
          <cell r="P3856">
            <v>1.00040705</v>
          </cell>
          <cell r="Q3856">
            <v>8.1858878124269001</v>
          </cell>
        </row>
        <row r="3857">
          <cell r="O3857">
            <v>41745</v>
          </cell>
          <cell r="P3857">
            <v>1.00040705</v>
          </cell>
          <cell r="Q3857">
            <v>8.189219878060948</v>
          </cell>
        </row>
        <row r="3858">
          <cell r="O3858">
            <v>41746</v>
          </cell>
          <cell r="P3858">
            <v>1.00040705</v>
          </cell>
          <cell r="Q3858">
            <v>8.1925533000123121</v>
          </cell>
        </row>
        <row r="3859">
          <cell r="O3859">
            <v>41751</v>
          </cell>
          <cell r="P3859">
            <v>1.00040705</v>
          </cell>
          <cell r="Q3859">
            <v>8.1958880788330823</v>
          </cell>
        </row>
        <row r="3860">
          <cell r="O3860">
            <v>41752</v>
          </cell>
          <cell r="P3860">
            <v>1.00040705</v>
          </cell>
          <cell r="Q3860">
            <v>8.1992242150755708</v>
          </cell>
        </row>
        <row r="3861">
          <cell r="O3861">
            <v>41753</v>
          </cell>
          <cell r="P3861">
            <v>1.00040705</v>
          </cell>
          <cell r="Q3861">
            <v>8.2025617092923166</v>
          </cell>
        </row>
        <row r="3862">
          <cell r="O3862">
            <v>41754</v>
          </cell>
          <cell r="P3862">
            <v>1.00040705</v>
          </cell>
          <cell r="Q3862">
            <v>8.2059005620360832</v>
          </cell>
        </row>
        <row r="3863">
          <cell r="O3863">
            <v>41757</v>
          </cell>
          <cell r="P3863">
            <v>1.00040705</v>
          </cell>
          <cell r="Q3863">
            <v>8.2092407738598592</v>
          </cell>
        </row>
        <row r="3864">
          <cell r="O3864">
            <v>41758</v>
          </cell>
          <cell r="P3864">
            <v>1.00040705</v>
          </cell>
          <cell r="Q3864">
            <v>8.2125823453168589</v>
          </cell>
        </row>
        <row r="3865">
          <cell r="O3865">
            <v>41759</v>
          </cell>
          <cell r="P3865">
            <v>1.00040705</v>
          </cell>
          <cell r="Q3865">
            <v>8.2159252769605207</v>
          </cell>
        </row>
        <row r="3866">
          <cell r="O3866">
            <v>41761</v>
          </cell>
          <cell r="P3866">
            <v>1.00040705</v>
          </cell>
          <cell r="Q3866">
            <v>8.2192695693445064</v>
          </cell>
        </row>
        <row r="3867">
          <cell r="O3867">
            <v>41764</v>
          </cell>
          <cell r="P3867">
            <v>1.00040705</v>
          </cell>
          <cell r="Q3867">
            <v>8.2226152230227072</v>
          </cell>
        </row>
        <row r="3868">
          <cell r="O3868">
            <v>41765</v>
          </cell>
          <cell r="P3868">
            <v>1.00040705</v>
          </cell>
          <cell r="Q3868">
            <v>8.2259622385492381</v>
          </cell>
        </row>
        <row r="3869">
          <cell r="O3869">
            <v>41766</v>
          </cell>
          <cell r="P3869">
            <v>1.00040705</v>
          </cell>
          <cell r="Q3869">
            <v>8.2293106164784398</v>
          </cell>
        </row>
        <row r="3870">
          <cell r="O3870">
            <v>41767</v>
          </cell>
          <cell r="P3870">
            <v>1.00040705</v>
          </cell>
          <cell r="Q3870">
            <v>8.2326603573648764</v>
          </cell>
        </row>
        <row r="3871">
          <cell r="O3871">
            <v>41768</v>
          </cell>
          <cell r="P3871">
            <v>1.00040705</v>
          </cell>
          <cell r="Q3871">
            <v>8.2360114617633418</v>
          </cell>
        </row>
        <row r="3872">
          <cell r="O3872">
            <v>41771</v>
          </cell>
          <cell r="P3872">
            <v>1.00040705</v>
          </cell>
          <cell r="Q3872">
            <v>8.2393639302288531</v>
          </cell>
        </row>
        <row r="3873">
          <cell r="O3873">
            <v>41772</v>
          </cell>
          <cell r="P3873">
            <v>1.00040705</v>
          </cell>
          <cell r="Q3873">
            <v>8.2427177633166533</v>
          </cell>
        </row>
        <row r="3874">
          <cell r="O3874">
            <v>41773</v>
          </cell>
          <cell r="P3874">
            <v>1.00040705</v>
          </cell>
          <cell r="Q3874">
            <v>8.246072961582211</v>
          </cell>
        </row>
        <row r="3875">
          <cell r="O3875">
            <v>41774</v>
          </cell>
          <cell r="P3875">
            <v>1.00040705</v>
          </cell>
          <cell r="Q3875">
            <v>8.2494295255812222</v>
          </cell>
        </row>
        <row r="3876">
          <cell r="O3876">
            <v>41775</v>
          </cell>
          <cell r="P3876">
            <v>1.00040705</v>
          </cell>
          <cell r="Q3876">
            <v>8.2527874558696102</v>
          </cell>
        </row>
        <row r="3877">
          <cell r="O3877">
            <v>41778</v>
          </cell>
          <cell r="P3877">
            <v>1.00040705</v>
          </cell>
          <cell r="Q3877">
            <v>8.256146753003522</v>
          </cell>
        </row>
        <row r="3878">
          <cell r="O3878">
            <v>41779</v>
          </cell>
          <cell r="P3878">
            <v>1.00040705</v>
          </cell>
          <cell r="Q3878">
            <v>8.2595074175393322</v>
          </cell>
        </row>
        <row r="3879">
          <cell r="O3879">
            <v>41780</v>
          </cell>
          <cell r="P3879">
            <v>1.00040705</v>
          </cell>
          <cell r="Q3879">
            <v>8.2628694500336408</v>
          </cell>
        </row>
        <row r="3880">
          <cell r="O3880">
            <v>41781</v>
          </cell>
          <cell r="P3880">
            <v>1.00040705</v>
          </cell>
          <cell r="Q3880">
            <v>8.2662328510432772</v>
          </cell>
        </row>
        <row r="3881">
          <cell r="O3881">
            <v>41782</v>
          </cell>
          <cell r="P3881">
            <v>1.00040705</v>
          </cell>
          <cell r="Q3881">
            <v>8.2695976211252944</v>
          </cell>
        </row>
        <row r="3882">
          <cell r="O3882">
            <v>41785</v>
          </cell>
          <cell r="P3882">
            <v>1.00040705</v>
          </cell>
          <cell r="Q3882">
            <v>8.2729637608369728</v>
          </cell>
        </row>
        <row r="3883">
          <cell r="O3883">
            <v>41786</v>
          </cell>
          <cell r="P3883">
            <v>1.00040705</v>
          </cell>
          <cell r="Q3883">
            <v>8.2763312707358221</v>
          </cell>
        </row>
        <row r="3884">
          <cell r="O3884">
            <v>41787</v>
          </cell>
          <cell r="P3884">
            <v>1.00040705</v>
          </cell>
          <cell r="Q3884">
            <v>8.2797001513795756</v>
          </cell>
        </row>
        <row r="3885">
          <cell r="O3885">
            <v>41788</v>
          </cell>
          <cell r="P3885">
            <v>1.00040705</v>
          </cell>
          <cell r="Q3885">
            <v>8.2830704033261942</v>
          </cell>
        </row>
        <row r="3886">
          <cell r="O3886">
            <v>41789</v>
          </cell>
          <cell r="P3886">
            <v>1.00040705</v>
          </cell>
          <cell r="Q3886">
            <v>8.2864420271338677</v>
          </cell>
        </row>
        <row r="3887">
          <cell r="O3887">
            <v>41792</v>
          </cell>
          <cell r="P3887">
            <v>1.00040705</v>
          </cell>
          <cell r="Q3887">
            <v>8.2898150233610117</v>
          </cell>
        </row>
        <row r="3888">
          <cell r="O3888">
            <v>41793</v>
          </cell>
          <cell r="P3888">
            <v>1.00040705</v>
          </cell>
          <cell r="Q3888">
            <v>8.293189392566271</v>
          </cell>
        </row>
        <row r="3889">
          <cell r="O3889">
            <v>41794</v>
          </cell>
          <cell r="P3889">
            <v>1.00040705</v>
          </cell>
          <cell r="Q3889">
            <v>8.2965651353085139</v>
          </cell>
        </row>
        <row r="3890">
          <cell r="O3890">
            <v>41795</v>
          </cell>
          <cell r="P3890">
            <v>1.00040705</v>
          </cell>
          <cell r="Q3890">
            <v>8.2999422521468418</v>
          </cell>
        </row>
        <row r="3891">
          <cell r="O3891">
            <v>41796</v>
          </cell>
          <cell r="P3891">
            <v>1.00040705</v>
          </cell>
          <cell r="Q3891">
            <v>8.3033207436405778</v>
          </cell>
        </row>
        <row r="3892">
          <cell r="O3892">
            <v>41799</v>
          </cell>
          <cell r="P3892">
            <v>1.00040705</v>
          </cell>
          <cell r="Q3892">
            <v>8.3067006103492762</v>
          </cell>
        </row>
        <row r="3893">
          <cell r="O3893">
            <v>41800</v>
          </cell>
          <cell r="P3893">
            <v>1.0004084900000001</v>
          </cell>
          <cell r="Q3893">
            <v>8.3100938144815988</v>
          </cell>
        </row>
        <row r="3894">
          <cell r="O3894">
            <v>41801</v>
          </cell>
          <cell r="P3894">
            <v>1.00040705</v>
          </cell>
          <cell r="Q3894">
            <v>8.3134764381687827</v>
          </cell>
        </row>
        <row r="3895">
          <cell r="O3895">
            <v>41802</v>
          </cell>
          <cell r="P3895">
            <v>1.00040705</v>
          </cell>
          <cell r="Q3895">
            <v>8.3168604387529381</v>
          </cell>
        </row>
        <row r="3896">
          <cell r="O3896">
            <v>41803</v>
          </cell>
          <cell r="P3896">
            <v>1.00040705</v>
          </cell>
          <cell r="Q3896">
            <v>8.3202458167945323</v>
          </cell>
        </row>
        <row r="3897">
          <cell r="O3897">
            <v>41806</v>
          </cell>
          <cell r="P3897">
            <v>1.00040705</v>
          </cell>
          <cell r="Q3897">
            <v>8.3236325728542582</v>
          </cell>
        </row>
        <row r="3898">
          <cell r="O3898">
            <v>41807</v>
          </cell>
          <cell r="P3898">
            <v>1.00040705</v>
          </cell>
          <cell r="Q3898">
            <v>8.3270207074930376</v>
          </cell>
        </row>
        <row r="3899">
          <cell r="O3899">
            <v>41808</v>
          </cell>
          <cell r="P3899">
            <v>1.00040705</v>
          </cell>
          <cell r="Q3899">
            <v>8.3304102212720217</v>
          </cell>
        </row>
        <row r="3900">
          <cell r="O3900">
            <v>41810</v>
          </cell>
          <cell r="P3900">
            <v>1.00040705</v>
          </cell>
          <cell r="Q3900">
            <v>8.3338011147525908</v>
          </cell>
        </row>
        <row r="3901">
          <cell r="O3901">
            <v>41813</v>
          </cell>
          <cell r="P3901">
            <v>1.00040705</v>
          </cell>
          <cell r="Q3901">
            <v>8.3371933884963507</v>
          </cell>
        </row>
        <row r="3902">
          <cell r="O3902">
            <v>41814</v>
          </cell>
          <cell r="P3902">
            <v>1.00040705</v>
          </cell>
          <cell r="Q3902">
            <v>8.3405870430651383</v>
          </cell>
        </row>
        <row r="3903">
          <cell r="O3903">
            <v>41815</v>
          </cell>
          <cell r="P3903">
            <v>1.00040705</v>
          </cell>
          <cell r="Q3903">
            <v>8.3439820790210177</v>
          </cell>
        </row>
        <row r="3904">
          <cell r="O3904">
            <v>41816</v>
          </cell>
          <cell r="P3904">
            <v>1.00040705</v>
          </cell>
          <cell r="Q3904">
            <v>8.3473784969262823</v>
          </cell>
        </row>
        <row r="3905">
          <cell r="O3905">
            <v>41817</v>
          </cell>
          <cell r="P3905">
            <v>1.00040705</v>
          </cell>
          <cell r="Q3905">
            <v>8.3507762973434563</v>
          </cell>
        </row>
        <row r="3906">
          <cell r="O3906">
            <v>41820</v>
          </cell>
          <cell r="P3906">
            <v>1.00040705</v>
          </cell>
          <cell r="Q3906">
            <v>8.3541754808352895</v>
          </cell>
        </row>
        <row r="3907">
          <cell r="O3907">
            <v>41821</v>
          </cell>
          <cell r="P3907">
            <v>1.00040705</v>
          </cell>
          <cell r="Q3907">
            <v>8.3575760479647627</v>
          </cell>
        </row>
        <row r="3908">
          <cell r="O3908">
            <v>41822</v>
          </cell>
          <cell r="P3908">
            <v>1.00040705</v>
          </cell>
          <cell r="Q3908">
            <v>8.3609779992950859</v>
          </cell>
        </row>
        <row r="3909">
          <cell r="O3909">
            <v>41823</v>
          </cell>
          <cell r="P3909">
            <v>1.00040705</v>
          </cell>
          <cell r="Q3909">
            <v>8.3643813353896981</v>
          </cell>
        </row>
        <row r="3910">
          <cell r="O3910">
            <v>41824</v>
          </cell>
          <cell r="P3910">
            <v>1.00040705</v>
          </cell>
          <cell r="Q3910">
            <v>8.3677860568122675</v>
          </cell>
        </row>
        <row r="3911">
          <cell r="O3911">
            <v>41827</v>
          </cell>
          <cell r="P3911">
            <v>1.00040705</v>
          </cell>
          <cell r="Q3911">
            <v>8.3711921641266933</v>
          </cell>
        </row>
        <row r="3912">
          <cell r="O3912">
            <v>41828</v>
          </cell>
          <cell r="P3912">
            <v>1.00040705</v>
          </cell>
          <cell r="Q3912">
            <v>8.3745996578971003</v>
          </cell>
        </row>
        <row r="3913">
          <cell r="O3913">
            <v>41829</v>
          </cell>
          <cell r="P3913">
            <v>1.00040705</v>
          </cell>
          <cell r="Q3913">
            <v>8.3780085386878476</v>
          </cell>
        </row>
        <row r="3914">
          <cell r="O3914">
            <v>41830</v>
          </cell>
          <cell r="P3914">
            <v>1.00040705</v>
          </cell>
          <cell r="Q3914">
            <v>8.38141880706352</v>
          </cell>
        </row>
        <row r="3915">
          <cell r="O3915">
            <v>41831</v>
          </cell>
          <cell r="P3915">
            <v>1.00040705</v>
          </cell>
          <cell r="Q3915">
            <v>8.3848304635889352</v>
          </cell>
        </row>
        <row r="3916">
          <cell r="O3916">
            <v>41834</v>
          </cell>
          <cell r="P3916">
            <v>1.00040705</v>
          </cell>
          <cell r="Q3916">
            <v>8.3882435088291381</v>
          </cell>
        </row>
        <row r="3917">
          <cell r="O3917">
            <v>41835</v>
          </cell>
          <cell r="P3917">
            <v>1.00040705</v>
          </cell>
          <cell r="Q3917">
            <v>8.3916579433494061</v>
          </cell>
        </row>
        <row r="3918">
          <cell r="O3918">
            <v>41836</v>
          </cell>
          <cell r="P3918">
            <v>1.00040705</v>
          </cell>
          <cell r="Q3918">
            <v>8.395073767715246</v>
          </cell>
        </row>
        <row r="3919">
          <cell r="O3919">
            <v>41837</v>
          </cell>
          <cell r="P3919">
            <v>1.00040705</v>
          </cell>
          <cell r="Q3919">
            <v>8.3984909824923939</v>
          </cell>
        </row>
        <row r="3920">
          <cell r="O3920">
            <v>41838</v>
          </cell>
          <cell r="P3920">
            <v>1.00040705</v>
          </cell>
          <cell r="Q3920">
            <v>8.4019095882468164</v>
          </cell>
        </row>
        <row r="3921">
          <cell r="O3921">
            <v>41841</v>
          </cell>
          <cell r="P3921">
            <v>1.00040705</v>
          </cell>
          <cell r="Q3921">
            <v>8.4053295855447114</v>
          </cell>
        </row>
        <row r="3922">
          <cell r="O3922">
            <v>41842</v>
          </cell>
          <cell r="P3922">
            <v>1.00040705</v>
          </cell>
          <cell r="Q3922">
            <v>8.4087509749525076</v>
          </cell>
        </row>
        <row r="3923">
          <cell r="O3923">
            <v>41843</v>
          </cell>
          <cell r="P3923">
            <v>1.00040705</v>
          </cell>
          <cell r="Q3923">
            <v>8.4121737570368609</v>
          </cell>
        </row>
        <row r="3924">
          <cell r="O3924">
            <v>41844</v>
          </cell>
          <cell r="P3924">
            <v>1.00040705</v>
          </cell>
          <cell r="Q3924">
            <v>8.4155979323646619</v>
          </cell>
        </row>
        <row r="3925">
          <cell r="O3925">
            <v>41845</v>
          </cell>
          <cell r="P3925">
            <v>1.00040705</v>
          </cell>
          <cell r="Q3925">
            <v>8.4190235015030304</v>
          </cell>
        </row>
        <row r="3926">
          <cell r="O3926">
            <v>41848</v>
          </cell>
          <cell r="P3926">
            <v>1.00040705</v>
          </cell>
          <cell r="Q3926">
            <v>8.4224504650193168</v>
          </cell>
        </row>
        <row r="3927">
          <cell r="O3927">
            <v>41849</v>
          </cell>
          <cell r="P3927">
            <v>1.00040705</v>
          </cell>
          <cell r="Q3927">
            <v>8.4258788234811028</v>
          </cell>
        </row>
        <row r="3928">
          <cell r="O3928">
            <v>41850</v>
          </cell>
          <cell r="P3928">
            <v>1.00040705</v>
          </cell>
          <cell r="Q3928">
            <v>8.4293085774562009</v>
          </cell>
        </row>
        <row r="3929">
          <cell r="O3929">
            <v>41851</v>
          </cell>
          <cell r="P3929">
            <v>1.00040705</v>
          </cell>
          <cell r="Q3929">
            <v>8.4327397275126543</v>
          </cell>
        </row>
        <row r="3930">
          <cell r="O3930">
            <v>41852</v>
          </cell>
          <cell r="P3930">
            <v>1.00040705</v>
          </cell>
          <cell r="Q3930">
            <v>8.4361722742187375</v>
          </cell>
        </row>
        <row r="3931">
          <cell r="O3931">
            <v>41855</v>
          </cell>
          <cell r="P3931">
            <v>1.00040705</v>
          </cell>
          <cell r="Q3931">
            <v>8.4396062181429574</v>
          </cell>
        </row>
        <row r="3932">
          <cell r="O3932">
            <v>41856</v>
          </cell>
          <cell r="P3932">
            <v>1.00040741</v>
          </cell>
          <cell r="Q3932">
            <v>8.4430445981122908</v>
          </cell>
        </row>
        <row r="3933">
          <cell r="O3933">
            <v>41857</v>
          </cell>
          <cell r="P3933">
            <v>1.00040741</v>
          </cell>
          <cell r="Q3933">
            <v>8.4464843789120074</v>
          </cell>
        </row>
        <row r="3934">
          <cell r="O3934">
            <v>41858</v>
          </cell>
          <cell r="P3934">
            <v>1.00040741</v>
          </cell>
          <cell r="Q3934">
            <v>8.4499255611128206</v>
          </cell>
        </row>
        <row r="3935">
          <cell r="O3935">
            <v>41859</v>
          </cell>
          <cell r="P3935">
            <v>1.00040741</v>
          </cell>
          <cell r="Q3935">
            <v>8.4533681452856744</v>
          </cell>
        </row>
        <row r="3936">
          <cell r="O3936">
            <v>41862</v>
          </cell>
          <cell r="P3936">
            <v>1.00040741</v>
          </cell>
          <cell r="Q3936">
            <v>8.4568121320017458</v>
          </cell>
        </row>
        <row r="3937">
          <cell r="O3937">
            <v>41863</v>
          </cell>
          <cell r="P3937">
            <v>1.00040741</v>
          </cell>
          <cell r="Q3937">
            <v>8.4602575218324443</v>
          </cell>
        </row>
        <row r="3938">
          <cell r="O3938">
            <v>41864</v>
          </cell>
          <cell r="P3938">
            <v>1.00040741</v>
          </cell>
          <cell r="Q3938">
            <v>8.463704315349414</v>
          </cell>
        </row>
        <row r="3939">
          <cell r="O3939">
            <v>41865</v>
          </cell>
          <cell r="P3939">
            <v>1.00040741</v>
          </cell>
          <cell r="Q3939">
            <v>8.46715251312453</v>
          </cell>
        </row>
        <row r="3940">
          <cell r="O3940">
            <v>41866</v>
          </cell>
          <cell r="P3940">
            <v>1.00040741</v>
          </cell>
          <cell r="Q3940">
            <v>8.4706021157299016</v>
          </cell>
        </row>
        <row r="3941">
          <cell r="O3941">
            <v>41869</v>
          </cell>
          <cell r="P3941">
            <v>1.00040777</v>
          </cell>
          <cell r="Q3941">
            <v>8.4740561731546329</v>
          </cell>
        </row>
        <row r="3942">
          <cell r="O3942">
            <v>41870</v>
          </cell>
          <cell r="P3942">
            <v>1.00040741</v>
          </cell>
          <cell r="Q3942">
            <v>8.4775085883801378</v>
          </cell>
        </row>
        <row r="3943">
          <cell r="O3943">
            <v>41871</v>
          </cell>
          <cell r="P3943">
            <v>1.00040741</v>
          </cell>
          <cell r="Q3943">
            <v>8.4809624101541292</v>
          </cell>
        </row>
        <row r="3944">
          <cell r="O3944">
            <v>41872</v>
          </cell>
          <cell r="P3944">
            <v>1.0004084900000001</v>
          </cell>
          <cell r="Q3944">
            <v>8.4844267984890536</v>
          </cell>
        </row>
        <row r="3945">
          <cell r="O3945">
            <v>41873</v>
          </cell>
          <cell r="P3945">
            <v>1.00040777</v>
          </cell>
          <cell r="Q3945">
            <v>8.4878864932046731</v>
          </cell>
        </row>
        <row r="3946">
          <cell r="O3946">
            <v>41876</v>
          </cell>
          <cell r="P3946">
            <v>1.00040741</v>
          </cell>
          <cell r="Q3946">
            <v>8.4913445430408689</v>
          </cell>
        </row>
        <row r="3947">
          <cell r="O3947">
            <v>41877</v>
          </cell>
          <cell r="P3947">
            <v>1.0004084900000001</v>
          </cell>
          <cell r="Q3947">
            <v>8.4948131723732558</v>
          </cell>
        </row>
        <row r="3948">
          <cell r="O3948">
            <v>41878</v>
          </cell>
          <cell r="P3948">
            <v>1.0004084900000001</v>
          </cell>
          <cell r="Q3948">
            <v>8.4982832186060389</v>
          </cell>
        </row>
        <row r="3949">
          <cell r="O3949">
            <v>41879</v>
          </cell>
          <cell r="P3949">
            <v>1.00040741</v>
          </cell>
          <cell r="Q3949">
            <v>8.5017455041721313</v>
          </cell>
        </row>
        <row r="3950">
          <cell r="O3950">
            <v>41880</v>
          </cell>
          <cell r="P3950">
            <v>1.0004084900000001</v>
          </cell>
          <cell r="Q3950">
            <v>8.5052183821931315</v>
          </cell>
        </row>
        <row r="3951">
          <cell r="O3951">
            <v>41883</v>
          </cell>
          <cell r="P3951">
            <v>1.00040741</v>
          </cell>
          <cell r="Q3951">
            <v>8.508683493214221</v>
          </cell>
        </row>
        <row r="3952">
          <cell r="O3952">
            <v>41884</v>
          </cell>
          <cell r="P3952">
            <v>1.00040741</v>
          </cell>
          <cell r="Q3952">
            <v>8.5121500159561911</v>
          </cell>
        </row>
        <row r="3953">
          <cell r="O3953">
            <v>41885</v>
          </cell>
          <cell r="P3953">
            <v>1.00040741</v>
          </cell>
          <cell r="Q3953">
            <v>8.5156179509941925</v>
          </cell>
        </row>
        <row r="3954">
          <cell r="O3954">
            <v>41886</v>
          </cell>
          <cell r="P3954">
            <v>1.00040741</v>
          </cell>
          <cell r="Q3954">
            <v>8.5190872989036066</v>
          </cell>
        </row>
        <row r="3955">
          <cell r="O3955">
            <v>41887</v>
          </cell>
          <cell r="P3955">
            <v>1.00040741</v>
          </cell>
          <cell r="Q3955">
            <v>8.522558060260053</v>
          </cell>
        </row>
        <row r="3956">
          <cell r="O3956">
            <v>41890</v>
          </cell>
          <cell r="P3956">
            <v>1.00040741</v>
          </cell>
          <cell r="Q3956">
            <v>8.526030235639384</v>
          </cell>
        </row>
        <row r="3957">
          <cell r="O3957">
            <v>41891</v>
          </cell>
          <cell r="P3957">
            <v>1.00040741</v>
          </cell>
          <cell r="Q3957">
            <v>8.5295038256176863</v>
          </cell>
        </row>
        <row r="3958">
          <cell r="O3958">
            <v>41892</v>
          </cell>
          <cell r="P3958">
            <v>1.00040741</v>
          </cell>
          <cell r="Q3958">
            <v>8.5329788307712811</v>
          </cell>
        </row>
        <row r="3959">
          <cell r="O3959">
            <v>41893</v>
          </cell>
          <cell r="P3959">
            <v>1.0004084900000001</v>
          </cell>
          <cell r="Q3959">
            <v>8.5364644672938628</v>
          </cell>
        </row>
        <row r="3960">
          <cell r="O3960">
            <v>41894</v>
          </cell>
          <cell r="P3960">
            <v>1.00040741</v>
          </cell>
          <cell r="Q3960">
            <v>8.5399423082824821</v>
          </cell>
        </row>
        <row r="3961">
          <cell r="O3961">
            <v>41897</v>
          </cell>
          <cell r="P3961">
            <v>1.00040741</v>
          </cell>
          <cell r="Q3961">
            <v>8.5434215661782993</v>
          </cell>
        </row>
        <row r="3962">
          <cell r="O3962">
            <v>41898</v>
          </cell>
          <cell r="P3962">
            <v>1.00040741</v>
          </cell>
          <cell r="Q3962">
            <v>8.5469022415585751</v>
          </cell>
        </row>
        <row r="3963">
          <cell r="O3963">
            <v>41899</v>
          </cell>
          <cell r="P3963">
            <v>1.00040741</v>
          </cell>
          <cell r="Q3963">
            <v>8.5503843350008086</v>
          </cell>
        </row>
        <row r="3964">
          <cell r="O3964">
            <v>41900</v>
          </cell>
          <cell r="P3964">
            <v>1.00040741</v>
          </cell>
          <cell r="Q3964">
            <v>8.5538678470827314</v>
          </cell>
        </row>
        <row r="3965">
          <cell r="O3965">
            <v>41901</v>
          </cell>
          <cell r="P3965">
            <v>1.00040741</v>
          </cell>
          <cell r="Q3965">
            <v>8.5573527783823113</v>
          </cell>
        </row>
        <row r="3966">
          <cell r="O3966">
            <v>41904</v>
          </cell>
          <cell r="P3966">
            <v>1.00040741</v>
          </cell>
          <cell r="Q3966">
            <v>8.5608391294777526</v>
          </cell>
        </row>
        <row r="3967">
          <cell r="O3967">
            <v>41905</v>
          </cell>
          <cell r="P3967">
            <v>1.00040741</v>
          </cell>
          <cell r="Q3967">
            <v>8.5643269009474938</v>
          </cell>
        </row>
        <row r="3968">
          <cell r="O3968">
            <v>41906</v>
          </cell>
          <cell r="P3968">
            <v>1.0004084900000001</v>
          </cell>
          <cell r="Q3968">
            <v>8.5678253428432622</v>
          </cell>
        </row>
        <row r="3969">
          <cell r="O3969">
            <v>41907</v>
          </cell>
          <cell r="P3969">
            <v>1.0004084900000001</v>
          </cell>
          <cell r="Q3969">
            <v>8.5713252138175609</v>
          </cell>
        </row>
        <row r="3970">
          <cell r="O3970">
            <v>41908</v>
          </cell>
          <cell r="P3970">
            <v>1.0004084900000001</v>
          </cell>
          <cell r="Q3970">
            <v>8.5748265144541538</v>
          </cell>
        </row>
        <row r="3971">
          <cell r="O3971">
            <v>41911</v>
          </cell>
          <cell r="P3971">
            <v>1.00040741</v>
          </cell>
          <cell r="Q3971">
            <v>8.5783199845244074</v>
          </cell>
        </row>
        <row r="3972">
          <cell r="O3972">
            <v>41912</v>
          </cell>
          <cell r="P3972">
            <v>1.00040741</v>
          </cell>
          <cell r="Q3972">
            <v>8.5818148778693022</v>
          </cell>
        </row>
        <row r="3973">
          <cell r="O3973">
            <v>41913</v>
          </cell>
          <cell r="P3973">
            <v>1.00040741</v>
          </cell>
          <cell r="Q3973">
            <v>8.5853111950686944</v>
          </cell>
        </row>
        <row r="3974">
          <cell r="O3974">
            <v>41914</v>
          </cell>
          <cell r="P3974">
            <v>1.00040741</v>
          </cell>
          <cell r="Q3974">
            <v>8.5888089367026765</v>
          </cell>
        </row>
        <row r="3975">
          <cell r="O3975">
            <v>41915</v>
          </cell>
          <cell r="P3975">
            <v>1.00040741</v>
          </cell>
          <cell r="Q3975">
            <v>8.5923081033515789</v>
          </cell>
        </row>
        <row r="3976">
          <cell r="O3976">
            <v>41918</v>
          </cell>
          <cell r="P3976">
            <v>1.00040741</v>
          </cell>
          <cell r="Q3976">
            <v>8.5958086955959647</v>
          </cell>
        </row>
        <row r="3977">
          <cell r="O3977">
            <v>41919</v>
          </cell>
          <cell r="P3977">
            <v>1.00040741</v>
          </cell>
          <cell r="Q3977">
            <v>8.5993107140166369</v>
          </cell>
        </row>
        <row r="3978">
          <cell r="O3978">
            <v>41920</v>
          </cell>
          <cell r="P3978">
            <v>1.0004084900000001</v>
          </cell>
          <cell r="Q3978">
            <v>8.6028234464502056</v>
          </cell>
        </row>
        <row r="3979">
          <cell r="O3979">
            <v>41921</v>
          </cell>
          <cell r="P3979">
            <v>1.0004084900000001</v>
          </cell>
          <cell r="Q3979">
            <v>8.6063376137998464</v>
          </cell>
        </row>
        <row r="3980">
          <cell r="O3980">
            <v>41922</v>
          </cell>
          <cell r="P3980">
            <v>1.0004084900000001</v>
          </cell>
          <cell r="Q3980">
            <v>8.6098532166517074</v>
          </cell>
        </row>
        <row r="3981">
          <cell r="O3981">
            <v>41925</v>
          </cell>
          <cell r="P3981">
            <v>1.0004084900000001</v>
          </cell>
          <cell r="Q3981">
            <v>8.6133702555921783</v>
          </cell>
        </row>
        <row r="3982">
          <cell r="O3982">
            <v>41926</v>
          </cell>
          <cell r="P3982">
            <v>1.00040741</v>
          </cell>
          <cell r="Q3982">
            <v>8.6168794287680086</v>
          </cell>
        </row>
        <row r="3983">
          <cell r="O3983">
            <v>41927</v>
          </cell>
          <cell r="P3983">
            <v>1.0004084900000001</v>
          </cell>
          <cell r="Q3983">
            <v>8.6203993378458676</v>
          </cell>
        </row>
        <row r="3984">
          <cell r="O3984">
            <v>41928</v>
          </cell>
          <cell r="P3984">
            <v>1.00040741</v>
          </cell>
          <cell r="Q3984">
            <v>8.6239113747400999</v>
          </cell>
        </row>
        <row r="3985">
          <cell r="O3985">
            <v>41929</v>
          </cell>
          <cell r="P3985">
            <v>1.0004084900000001</v>
          </cell>
          <cell r="Q3985">
            <v>8.6274341562975678</v>
          </cell>
        </row>
        <row r="3986">
          <cell r="O3986">
            <v>41932</v>
          </cell>
          <cell r="P3986">
            <v>1.0004084900000001</v>
          </cell>
          <cell r="Q3986">
            <v>8.6309583768760749</v>
          </cell>
        </row>
        <row r="3987">
          <cell r="O3987">
            <v>41933</v>
          </cell>
          <cell r="P3987">
            <v>1.0004084900000001</v>
          </cell>
          <cell r="Q3987">
            <v>8.6344840370634461</v>
          </cell>
        </row>
        <row r="3988">
          <cell r="O3988">
            <v>41934</v>
          </cell>
          <cell r="P3988">
            <v>1.0004084900000001</v>
          </cell>
          <cell r="Q3988">
            <v>8.6380111374477462</v>
          </cell>
        </row>
        <row r="3989">
          <cell r="O3989">
            <v>41935</v>
          </cell>
          <cell r="P3989">
            <v>1.0004084900000001</v>
          </cell>
          <cell r="Q3989">
            <v>8.6415396786172831</v>
          </cell>
        </row>
        <row r="3990">
          <cell r="O3990">
            <v>41936</v>
          </cell>
          <cell r="P3990">
            <v>1.0004084900000001</v>
          </cell>
          <cell r="Q3990">
            <v>8.645069661160603</v>
          </cell>
        </row>
        <row r="3991">
          <cell r="O3991">
            <v>41939</v>
          </cell>
          <cell r="P3991">
            <v>1.0004084900000001</v>
          </cell>
          <cell r="Q3991">
            <v>8.6486010856664919</v>
          </cell>
        </row>
        <row r="3992">
          <cell r="O3992">
            <v>41940</v>
          </cell>
          <cell r="P3992">
            <v>1.0004084900000001</v>
          </cell>
          <cell r="Q3992">
            <v>8.6521339527239771</v>
          </cell>
        </row>
        <row r="3993">
          <cell r="O3993">
            <v>41941</v>
          </cell>
          <cell r="P3993">
            <v>1.0004084900000001</v>
          </cell>
          <cell r="Q3993">
            <v>8.6556682629223261</v>
          </cell>
        </row>
        <row r="3994">
          <cell r="O3994">
            <v>41942</v>
          </cell>
          <cell r="P3994">
            <v>1.0004084900000001</v>
          </cell>
          <cell r="Q3994">
            <v>8.6592040168510476</v>
          </cell>
        </row>
        <row r="3995">
          <cell r="O3995">
            <v>41943</v>
          </cell>
          <cell r="P3995">
            <v>1.0004174299999999</v>
          </cell>
          <cell r="Q3995">
            <v>8.6628186283838016</v>
          </cell>
        </row>
        <row r="3996">
          <cell r="O3996">
            <v>41946</v>
          </cell>
          <cell r="P3996">
            <v>1.00041636</v>
          </cell>
          <cell r="Q3996">
            <v>8.6664254795479163</v>
          </cell>
        </row>
        <row r="3997">
          <cell r="O3997">
            <v>41947</v>
          </cell>
          <cell r="P3997">
            <v>1.00041636</v>
          </cell>
          <cell r="Q3997">
            <v>8.6700338324605806</v>
          </cell>
        </row>
        <row r="3998">
          <cell r="O3998">
            <v>41948</v>
          </cell>
          <cell r="P3998">
            <v>1.00041636</v>
          </cell>
          <cell r="Q3998">
            <v>8.6736436877470631</v>
          </cell>
        </row>
        <row r="3999">
          <cell r="O3999">
            <v>41949</v>
          </cell>
          <cell r="P3999">
            <v>1.0004174299999999</v>
          </cell>
          <cell r="Q3999">
            <v>8.6772643268316383</v>
          </cell>
        </row>
        <row r="4000">
          <cell r="O4000">
            <v>41950</v>
          </cell>
          <cell r="P4000">
            <v>1.0004174299999999</v>
          </cell>
          <cell r="Q4000">
            <v>8.6808864772795875</v>
          </cell>
        </row>
        <row r="4001">
          <cell r="O4001">
            <v>41953</v>
          </cell>
          <cell r="P4001">
            <v>1.0004174299999999</v>
          </cell>
          <cell r="Q4001">
            <v>8.6845101397217981</v>
          </cell>
        </row>
        <row r="4002">
          <cell r="O4002">
            <v>41954</v>
          </cell>
          <cell r="P4002">
            <v>1.0004174299999999</v>
          </cell>
          <cell r="Q4002">
            <v>8.688135314789422</v>
          </cell>
        </row>
        <row r="4003">
          <cell r="O4003">
            <v>41955</v>
          </cell>
          <cell r="P4003">
            <v>1.0004174299999999</v>
          </cell>
          <cell r="Q4003">
            <v>8.6917620031138743</v>
          </cell>
        </row>
        <row r="4004">
          <cell r="O4004">
            <v>41956</v>
          </cell>
          <cell r="P4004">
            <v>1.0004174299999999</v>
          </cell>
          <cell r="Q4004">
            <v>8.6953902053268344</v>
          </cell>
        </row>
        <row r="4005">
          <cell r="O4005">
            <v>41957</v>
          </cell>
          <cell r="P4005">
            <v>1.0004174299999999</v>
          </cell>
          <cell r="Q4005">
            <v>8.6990199220602431</v>
          </cell>
        </row>
        <row r="4006">
          <cell r="O4006">
            <v>41960</v>
          </cell>
          <cell r="P4006">
            <v>1.0004174299999999</v>
          </cell>
          <cell r="Q4006">
            <v>8.7026511539463076</v>
          </cell>
        </row>
        <row r="4007">
          <cell r="O4007">
            <v>41961</v>
          </cell>
          <cell r="P4007">
            <v>1.0004174299999999</v>
          </cell>
          <cell r="Q4007">
            <v>8.7062839016174998</v>
          </cell>
        </row>
        <row r="4008">
          <cell r="O4008">
            <v>41962</v>
          </cell>
          <cell r="P4008">
            <v>1.0004174299999999</v>
          </cell>
          <cell r="Q4008">
            <v>8.7099181657065508</v>
          </cell>
        </row>
        <row r="4009">
          <cell r="O4009">
            <v>41963</v>
          </cell>
          <cell r="P4009">
            <v>1.0004174299999999</v>
          </cell>
          <cell r="Q4009">
            <v>8.7135539468464618</v>
          </cell>
        </row>
        <row r="4010">
          <cell r="O4010">
            <v>41964</v>
          </cell>
          <cell r="P4010">
            <v>1.0004174299999999</v>
          </cell>
          <cell r="Q4010">
            <v>8.7171912456704934</v>
          </cell>
        </row>
        <row r="4011">
          <cell r="O4011">
            <v>41967</v>
          </cell>
          <cell r="P4011">
            <v>1.0004174299999999</v>
          </cell>
          <cell r="Q4011">
            <v>8.7208300628121727</v>
          </cell>
        </row>
        <row r="4012">
          <cell r="O4012">
            <v>41968</v>
          </cell>
          <cell r="P4012">
            <v>1.0004174299999999</v>
          </cell>
          <cell r="Q4012">
            <v>8.7244703989052912</v>
          </cell>
        </row>
        <row r="4013">
          <cell r="O4013">
            <v>41969</v>
          </cell>
          <cell r="P4013">
            <v>1.0004174299999999</v>
          </cell>
          <cell r="Q4013">
            <v>8.7281122545839054</v>
          </cell>
        </row>
        <row r="4014">
          <cell r="O4014">
            <v>41970</v>
          </cell>
          <cell r="P4014">
            <v>1.0004174299999999</v>
          </cell>
          <cell r="Q4014">
            <v>8.7317556304823363</v>
          </cell>
        </row>
        <row r="4015">
          <cell r="O4015">
            <v>41971</v>
          </cell>
          <cell r="P4015">
            <v>1.0004174299999999</v>
          </cell>
          <cell r="Q4015">
            <v>8.7354005272351678</v>
          </cell>
        </row>
        <row r="4016">
          <cell r="O4016">
            <v>41974</v>
          </cell>
          <cell r="P4016">
            <v>1.00041636</v>
          </cell>
          <cell r="Q4016">
            <v>8.7390375985986868</v>
          </cell>
        </row>
        <row r="4017">
          <cell r="O4017">
            <v>41975</v>
          </cell>
          <cell r="P4017">
            <v>1.00041636</v>
          </cell>
          <cell r="Q4017">
            <v>8.7426761842932397</v>
          </cell>
        </row>
        <row r="4018">
          <cell r="O4018">
            <v>41976</v>
          </cell>
          <cell r="P4018">
            <v>1.00041636</v>
          </cell>
          <cell r="Q4018">
            <v>8.7463162849493319</v>
          </cell>
        </row>
        <row r="4019">
          <cell r="O4019">
            <v>41977</v>
          </cell>
          <cell r="P4019">
            <v>1.0004174299999999</v>
          </cell>
          <cell r="Q4019">
            <v>8.7499672597561577</v>
          </cell>
        </row>
        <row r="4020">
          <cell r="O4020">
            <v>41978</v>
          </cell>
          <cell r="P4020">
            <v>1.0004352599999999</v>
          </cell>
          <cell r="Q4020">
            <v>8.7537757705056389</v>
          </cell>
        </row>
        <row r="4021">
          <cell r="O4021">
            <v>41981</v>
          </cell>
          <cell r="P4021">
            <v>1.0004352599999999</v>
          </cell>
          <cell r="Q4021">
            <v>8.7575859389475088</v>
          </cell>
        </row>
        <row r="4022">
          <cell r="O4022">
            <v>41982</v>
          </cell>
          <cell r="P4022">
            <v>1.0004352599999999</v>
          </cell>
          <cell r="Q4022">
            <v>8.7613977658032951</v>
          </cell>
        </row>
        <row r="4023">
          <cell r="O4023">
            <v>41983</v>
          </cell>
          <cell r="P4023">
            <v>1.00043455</v>
          </cell>
          <cell r="Q4023">
            <v>8.7652050312024254</v>
          </cell>
        </row>
        <row r="4024">
          <cell r="O4024">
            <v>41984</v>
          </cell>
          <cell r="P4024">
            <v>1.00043455</v>
          </cell>
          <cell r="Q4024">
            <v>8.7690139510487342</v>
          </cell>
        </row>
        <row r="4025">
          <cell r="O4025">
            <v>41985</v>
          </cell>
          <cell r="P4025">
            <v>1.0004352599999999</v>
          </cell>
          <cell r="Q4025">
            <v>8.7728307520610667</v>
          </cell>
        </row>
        <row r="4026">
          <cell r="O4026">
            <v>41988</v>
          </cell>
          <cell r="P4026">
            <v>1.0004352599999999</v>
          </cell>
          <cell r="Q4026">
            <v>8.7766492143742081</v>
          </cell>
        </row>
        <row r="4027">
          <cell r="O4027">
            <v>41989</v>
          </cell>
          <cell r="P4027">
            <v>1.0004352599999999</v>
          </cell>
          <cell r="Q4027">
            <v>8.7804693387112565</v>
          </cell>
        </row>
        <row r="4028">
          <cell r="O4028">
            <v>41990</v>
          </cell>
          <cell r="P4028">
            <v>1.0004352599999999</v>
          </cell>
          <cell r="Q4028">
            <v>8.7842911257956242</v>
          </cell>
        </row>
        <row r="4029">
          <cell r="O4029">
            <v>41991</v>
          </cell>
          <cell r="P4029">
            <v>1.0004352599999999</v>
          </cell>
          <cell r="Q4029">
            <v>8.7881145763510382</v>
          </cell>
        </row>
        <row r="4030">
          <cell r="O4030">
            <v>41992</v>
          </cell>
          <cell r="P4030">
            <v>1.0004352599999999</v>
          </cell>
          <cell r="Q4030">
            <v>8.7919396911015397</v>
          </cell>
        </row>
        <row r="4031">
          <cell r="O4031">
            <v>41995</v>
          </cell>
          <cell r="P4031">
            <v>1.0004352599999999</v>
          </cell>
          <cell r="Q4031">
            <v>8.795766470771488</v>
          </cell>
        </row>
        <row r="4032">
          <cell r="O4032">
            <v>41996</v>
          </cell>
          <cell r="P4032">
            <v>1.0004352599999999</v>
          </cell>
          <cell r="Q4032">
            <v>8.7995949160855549</v>
          </cell>
        </row>
        <row r="4033">
          <cell r="O4033">
            <v>41997</v>
          </cell>
          <cell r="P4033">
            <v>1.00043455</v>
          </cell>
          <cell r="Q4033">
            <v>8.8034187800563402</v>
          </cell>
        </row>
        <row r="4034">
          <cell r="O4034">
            <v>41999</v>
          </cell>
          <cell r="P4034">
            <v>1.00043455</v>
          </cell>
          <cell r="Q4034">
            <v>8.8072443056872132</v>
          </cell>
        </row>
        <row r="4035">
          <cell r="O4035">
            <v>42002</v>
          </cell>
          <cell r="P4035">
            <v>1.00043455</v>
          </cell>
          <cell r="Q4035">
            <v>8.8110714937002506</v>
          </cell>
        </row>
        <row r="4036">
          <cell r="O4036">
            <v>42003</v>
          </cell>
          <cell r="P4036">
            <v>1.0004352599999999</v>
          </cell>
          <cell r="Q4036">
            <v>8.8149066006785972</v>
          </cell>
        </row>
        <row r="4037">
          <cell r="O4037">
            <v>42004</v>
          </cell>
          <cell r="P4037">
            <v>1.00043455</v>
          </cell>
          <cell r="Q4037">
            <v>8.8187371183419216</v>
          </cell>
        </row>
        <row r="4038">
          <cell r="O4038">
            <v>42006</v>
          </cell>
          <cell r="P4038">
            <v>1.00043455</v>
          </cell>
          <cell r="Q4038">
            <v>8.8225693005566974</v>
          </cell>
        </row>
        <row r="4039">
          <cell r="O4039">
            <v>42009</v>
          </cell>
          <cell r="P4039">
            <v>1.00043455</v>
          </cell>
          <cell r="Q4039">
            <v>8.8264031480462553</v>
          </cell>
        </row>
        <row r="4040">
          <cell r="O4040">
            <v>42010</v>
          </cell>
          <cell r="P4040">
            <v>1.00043455</v>
          </cell>
          <cell r="Q4040">
            <v>8.8302386615342385</v>
          </cell>
        </row>
        <row r="4041">
          <cell r="O4041">
            <v>42011</v>
          </cell>
          <cell r="P4041">
            <v>1.00043455</v>
          </cell>
          <cell r="Q4041">
            <v>8.8340758417446086</v>
          </cell>
        </row>
        <row r="4042">
          <cell r="O4042">
            <v>42012</v>
          </cell>
          <cell r="P4042">
            <v>1.00043455</v>
          </cell>
          <cell r="Q4042">
            <v>8.8379146894016394</v>
          </cell>
        </row>
        <row r="4043">
          <cell r="O4043">
            <v>42013</v>
          </cell>
          <cell r="P4043">
            <v>1.00043455</v>
          </cell>
          <cell r="Q4043">
            <v>8.8417552052299193</v>
          </cell>
        </row>
        <row r="4044">
          <cell r="O4044">
            <v>42016</v>
          </cell>
          <cell r="P4044">
            <v>1.00043455</v>
          </cell>
          <cell r="Q4044">
            <v>8.845597389954353</v>
          </cell>
        </row>
        <row r="4045">
          <cell r="O4045">
            <v>42017</v>
          </cell>
          <cell r="P4045">
            <v>1.00043455</v>
          </cell>
          <cell r="Q4045">
            <v>8.8494412443001575</v>
          </cell>
        </row>
        <row r="4046">
          <cell r="O4046">
            <v>42018</v>
          </cell>
          <cell r="P4046">
            <v>1.00043455</v>
          </cell>
          <cell r="Q4046">
            <v>8.8532867689928683</v>
          </cell>
        </row>
        <row r="4047">
          <cell r="O4047">
            <v>42019</v>
          </cell>
          <cell r="P4047">
            <v>1.00043455</v>
          </cell>
          <cell r="Q4047">
            <v>8.8571339647583347</v>
          </cell>
        </row>
        <row r="4048">
          <cell r="O4048">
            <v>42020</v>
          </cell>
          <cell r="P4048">
            <v>1.00043455</v>
          </cell>
          <cell r="Q4048">
            <v>8.8609828323227209</v>
          </cell>
        </row>
        <row r="4049">
          <cell r="O4049">
            <v>42023</v>
          </cell>
          <cell r="P4049">
            <v>1.00043455</v>
          </cell>
          <cell r="Q4049">
            <v>8.864833372412507</v>
          </cell>
        </row>
        <row r="4050">
          <cell r="O4050">
            <v>42024</v>
          </cell>
          <cell r="P4050">
            <v>1.00043455</v>
          </cell>
          <cell r="Q4050">
            <v>8.8686855857544895</v>
          </cell>
        </row>
        <row r="4051">
          <cell r="O4051">
            <v>42025</v>
          </cell>
          <cell r="P4051">
            <v>1.00043455</v>
          </cell>
          <cell r="Q4051">
            <v>8.8725394730757792</v>
          </cell>
        </row>
        <row r="4052">
          <cell r="O4052">
            <v>42026</v>
          </cell>
          <cell r="P4052">
            <v>1.00043455</v>
          </cell>
          <cell r="Q4052">
            <v>8.8763950351038048</v>
          </cell>
        </row>
        <row r="4053">
          <cell r="O4053">
            <v>42027</v>
          </cell>
          <cell r="P4053">
            <v>1.00045301</v>
          </cell>
          <cell r="Q4053">
            <v>8.8804161308186575</v>
          </cell>
        </row>
        <row r="4054">
          <cell r="O4054">
            <v>42030</v>
          </cell>
          <cell r="P4054">
            <v>1.0004526499999999</v>
          </cell>
          <cell r="Q4054">
            <v>8.8844358511802728</v>
          </cell>
        </row>
        <row r="4055">
          <cell r="O4055">
            <v>42031</v>
          </cell>
          <cell r="P4055">
            <v>1.0004526499999999</v>
          </cell>
          <cell r="Q4055">
            <v>8.8884573910683091</v>
          </cell>
        </row>
        <row r="4056">
          <cell r="O4056">
            <v>42032</v>
          </cell>
          <cell r="P4056">
            <v>1.0004526499999999</v>
          </cell>
          <cell r="Q4056">
            <v>8.8924807513063762</v>
          </cell>
        </row>
        <row r="4057">
          <cell r="O4057">
            <v>42033</v>
          </cell>
          <cell r="P4057">
            <v>1.0004526499999999</v>
          </cell>
          <cell r="Q4057">
            <v>8.8965059327184548</v>
          </cell>
        </row>
        <row r="4058">
          <cell r="O4058">
            <v>42034</v>
          </cell>
          <cell r="P4058">
            <v>1.0004526499999999</v>
          </cell>
          <cell r="Q4058">
            <v>8.900532936128899</v>
          </cell>
        </row>
        <row r="4059">
          <cell r="O4059">
            <v>42037</v>
          </cell>
          <cell r="P4059">
            <v>1.0004526499999999</v>
          </cell>
          <cell r="Q4059">
            <v>8.9045617623624373</v>
          </cell>
        </row>
        <row r="4060">
          <cell r="O4060">
            <v>42038</v>
          </cell>
          <cell r="P4060">
            <v>1.0004526499999999</v>
          </cell>
          <cell r="Q4060">
            <v>8.90859241224417</v>
          </cell>
        </row>
        <row r="4061">
          <cell r="O4061">
            <v>42039</v>
          </cell>
          <cell r="P4061">
            <v>1.00045301</v>
          </cell>
          <cell r="Q4061">
            <v>8.9126280936928399</v>
          </cell>
        </row>
        <row r="4062">
          <cell r="O4062">
            <v>42040</v>
          </cell>
          <cell r="P4062">
            <v>1.00045301</v>
          </cell>
          <cell r="Q4062">
            <v>8.9166656033455638</v>
          </cell>
        </row>
        <row r="4063">
          <cell r="O4063">
            <v>42041</v>
          </cell>
          <cell r="P4063">
            <v>1.00045301</v>
          </cell>
          <cell r="Q4063">
            <v>8.920704942030536</v>
          </cell>
        </row>
        <row r="4064">
          <cell r="O4064">
            <v>42044</v>
          </cell>
          <cell r="P4064">
            <v>1.00045301</v>
          </cell>
          <cell r="Q4064">
            <v>8.9247461105763257</v>
          </cell>
        </row>
        <row r="4065">
          <cell r="O4065">
            <v>42045</v>
          </cell>
          <cell r="P4065">
            <v>1.00045301</v>
          </cell>
          <cell r="Q4065">
            <v>8.928789109811877</v>
          </cell>
        </row>
        <row r="4066">
          <cell r="O4066">
            <v>42046</v>
          </cell>
          <cell r="P4066">
            <v>1.00045301</v>
          </cell>
          <cell r="Q4066">
            <v>8.9328339405665123</v>
          </cell>
        </row>
        <row r="4067">
          <cell r="O4067">
            <v>42047</v>
          </cell>
          <cell r="P4067">
            <v>1.00045301</v>
          </cell>
          <cell r="Q4067">
            <v>8.9368806036699286</v>
          </cell>
        </row>
        <row r="4068">
          <cell r="O4068">
            <v>42048</v>
          </cell>
          <cell r="P4068">
            <v>1.00045301</v>
          </cell>
          <cell r="Q4068">
            <v>8.9409290999521964</v>
          </cell>
        </row>
        <row r="4069">
          <cell r="O4069">
            <v>42053</v>
          </cell>
          <cell r="P4069">
            <v>1.00045301</v>
          </cell>
          <cell r="Q4069">
            <v>8.944979430243766</v>
          </cell>
        </row>
        <row r="4070">
          <cell r="O4070">
            <v>42054</v>
          </cell>
          <cell r="P4070">
            <v>1.00045301</v>
          </cell>
          <cell r="Q4070">
            <v>8.9490315953754607</v>
          </cell>
        </row>
        <row r="4071">
          <cell r="O4071">
            <v>42055</v>
          </cell>
          <cell r="P4071">
            <v>1.00045301</v>
          </cell>
          <cell r="Q4071">
            <v>8.9530855961784823</v>
          </cell>
        </row>
        <row r="4072">
          <cell r="O4072">
            <v>42058</v>
          </cell>
          <cell r="P4072">
            <v>1.00045301</v>
          </cell>
          <cell r="Q4072">
            <v>8.9571414334844075</v>
          </cell>
        </row>
        <row r="4073">
          <cell r="O4073">
            <v>42059</v>
          </cell>
          <cell r="P4073">
            <v>1.00045301</v>
          </cell>
          <cell r="Q4073">
            <v>8.9611991081251894</v>
          </cell>
        </row>
        <row r="4074">
          <cell r="O4074">
            <v>42060</v>
          </cell>
          <cell r="P4074">
            <v>1.00045301</v>
          </cell>
          <cell r="Q4074">
            <v>8.9652586209331613</v>
          </cell>
        </row>
        <row r="4075">
          <cell r="O4075">
            <v>42061</v>
          </cell>
          <cell r="P4075">
            <v>1.00045301</v>
          </cell>
          <cell r="Q4075">
            <v>8.9693199727410295</v>
          </cell>
        </row>
        <row r="4076">
          <cell r="O4076">
            <v>42062</v>
          </cell>
          <cell r="P4076">
            <v>1.00045301</v>
          </cell>
          <cell r="Q4076">
            <v>8.9733831643818807</v>
          </cell>
        </row>
        <row r="4077">
          <cell r="O4077">
            <v>42065</v>
          </cell>
          <cell r="P4077">
            <v>1.00045301</v>
          </cell>
          <cell r="Q4077">
            <v>8.9774481966891777</v>
          </cell>
        </row>
        <row r="4078">
          <cell r="O4078">
            <v>42066</v>
          </cell>
          <cell r="P4078">
            <v>1.00045301</v>
          </cell>
          <cell r="Q4078">
            <v>8.9815150704967603</v>
          </cell>
        </row>
        <row r="4079">
          <cell r="O4079">
            <v>42067</v>
          </cell>
          <cell r="P4079">
            <v>1.00045301</v>
          </cell>
          <cell r="Q4079">
            <v>8.9855837866388466</v>
          </cell>
        </row>
        <row r="4080">
          <cell r="O4080">
            <v>42068</v>
          </cell>
          <cell r="P4080">
            <v>1.00045301</v>
          </cell>
          <cell r="Q4080">
            <v>8.9896543459500311</v>
          </cell>
        </row>
        <row r="4081">
          <cell r="O4081">
            <v>42069</v>
          </cell>
          <cell r="P4081">
            <v>1.0004710299999999</v>
          </cell>
          <cell r="Q4081">
            <v>8.993888742836603</v>
          </cell>
        </row>
        <row r="4082">
          <cell r="O4082">
            <v>42072</v>
          </cell>
          <cell r="P4082">
            <v>1.0004710299999999</v>
          </cell>
          <cell r="Q4082">
            <v>8.9981251342511399</v>
          </cell>
        </row>
        <row r="4083">
          <cell r="O4083">
            <v>42073</v>
          </cell>
          <cell r="P4083">
            <v>1.0004710299999999</v>
          </cell>
          <cell r="Q4083">
            <v>9.002363521133125</v>
          </cell>
        </row>
        <row r="4084">
          <cell r="O4084">
            <v>42074</v>
          </cell>
          <cell r="P4084">
            <v>1.0004710299999999</v>
          </cell>
          <cell r="Q4084">
            <v>9.0066039044224837</v>
          </cell>
        </row>
        <row r="4085">
          <cell r="O4085">
            <v>42075</v>
          </cell>
          <cell r="P4085">
            <v>1.0004710299999999</v>
          </cell>
          <cell r="Q4085">
            <v>9.0108462850595838</v>
          </cell>
        </row>
        <row r="4086">
          <cell r="O4086">
            <v>42076</v>
          </cell>
          <cell r="P4086">
            <v>1.0004710299999999</v>
          </cell>
          <cell r="Q4086">
            <v>9.0150906639852355</v>
          </cell>
        </row>
        <row r="4087">
          <cell r="O4087">
            <v>42079</v>
          </cell>
          <cell r="P4087">
            <v>1.0004710299999999</v>
          </cell>
          <cell r="Q4087">
            <v>9.0193370421406911</v>
          </cell>
        </row>
        <row r="4088">
          <cell r="O4088">
            <v>42080</v>
          </cell>
          <cell r="P4088">
            <v>1.0004710299999999</v>
          </cell>
          <cell r="Q4088">
            <v>9.0235854204676507</v>
          </cell>
        </row>
        <row r="4089">
          <cell r="O4089">
            <v>42081</v>
          </cell>
          <cell r="P4089">
            <v>1.0004710299999999</v>
          </cell>
          <cell r="Q4089">
            <v>9.027835799908253</v>
          </cell>
        </row>
        <row r="4090">
          <cell r="O4090">
            <v>42082</v>
          </cell>
          <cell r="P4090">
            <v>1.0004710299999999</v>
          </cell>
          <cell r="Q4090">
            <v>9.0320881814050828</v>
          </cell>
        </row>
        <row r="4091">
          <cell r="O4091">
            <v>42083</v>
          </cell>
          <cell r="P4091">
            <v>1.0004710299999999</v>
          </cell>
          <cell r="Q4091">
            <v>9.0363425659011689</v>
          </cell>
        </row>
        <row r="4092">
          <cell r="O4092">
            <v>42086</v>
          </cell>
          <cell r="P4092">
            <v>1.0004710299999999</v>
          </cell>
          <cell r="Q4092">
            <v>9.0405989543399841</v>
          </cell>
        </row>
        <row r="4093">
          <cell r="O4093">
            <v>42087</v>
          </cell>
          <cell r="P4093">
            <v>1.00047138</v>
          </cell>
          <cell r="Q4093">
            <v>9.0448605118750809</v>
          </cell>
        </row>
        <row r="4094">
          <cell r="O4094">
            <v>42088</v>
          </cell>
          <cell r="P4094">
            <v>1.00047138</v>
          </cell>
          <cell r="Q4094">
            <v>9.0491240782231692</v>
          </cell>
        </row>
        <row r="4095">
          <cell r="O4095">
            <v>42089</v>
          </cell>
          <cell r="P4095">
            <v>1.00047138</v>
          </cell>
          <cell r="Q4095">
            <v>9.0533896543311627</v>
          </cell>
        </row>
        <row r="4096">
          <cell r="O4096">
            <v>42090</v>
          </cell>
          <cell r="P4096">
            <v>1.00047138</v>
          </cell>
          <cell r="Q4096">
            <v>9.0576572411464209</v>
          </cell>
        </row>
        <row r="4097">
          <cell r="O4097">
            <v>42093</v>
          </cell>
          <cell r="P4097">
            <v>1.00047138</v>
          </cell>
          <cell r="Q4097">
            <v>9.0619268396167527</v>
          </cell>
        </row>
        <row r="4098">
          <cell r="O4098">
            <v>42094</v>
          </cell>
          <cell r="P4098">
            <v>1.0004710299999999</v>
          </cell>
          <cell r="Q4098">
            <v>9.0661952790160161</v>
          </cell>
        </row>
        <row r="4099">
          <cell r="O4099">
            <v>42095</v>
          </cell>
          <cell r="P4099">
            <v>1.0004710299999999</v>
          </cell>
          <cell r="Q4099">
            <v>9.0704657289782897</v>
          </cell>
        </row>
        <row r="4100">
          <cell r="O4100">
            <v>42096</v>
          </cell>
          <cell r="P4100">
            <v>1.0004710299999999</v>
          </cell>
          <cell r="Q4100">
            <v>9.0747381904506099</v>
          </cell>
        </row>
        <row r="4101">
          <cell r="O4101">
            <v>42100</v>
          </cell>
          <cell r="P4101">
            <v>1.0004710299999999</v>
          </cell>
          <cell r="Q4101">
            <v>9.079012664380457</v>
          </cell>
        </row>
        <row r="4102">
          <cell r="O4102">
            <v>42101</v>
          </cell>
          <cell r="P4102">
            <v>1.0004710299999999</v>
          </cell>
          <cell r="Q4102">
            <v>9.0832891517157588</v>
          </cell>
        </row>
        <row r="4103">
          <cell r="O4103">
            <v>42102</v>
          </cell>
          <cell r="P4103">
            <v>1.0004710299999999</v>
          </cell>
          <cell r="Q4103">
            <v>9.087567653404891</v>
          </cell>
        </row>
        <row r="4104">
          <cell r="O4104">
            <v>42103</v>
          </cell>
          <cell r="P4104">
            <v>1.0004710299999999</v>
          </cell>
          <cell r="Q4104">
            <v>9.0918481703966734</v>
          </cell>
        </row>
        <row r="4105">
          <cell r="O4105">
            <v>42104</v>
          </cell>
          <cell r="P4105">
            <v>1.0004710299999999</v>
          </cell>
          <cell r="Q4105">
            <v>9.0961307036403749</v>
          </cell>
        </row>
        <row r="4106">
          <cell r="O4106">
            <v>42107</v>
          </cell>
          <cell r="P4106">
            <v>1.0004710299999999</v>
          </cell>
          <cell r="Q4106">
            <v>9.1004152540857106</v>
          </cell>
        </row>
        <row r="4107">
          <cell r="O4107">
            <v>42108</v>
          </cell>
          <cell r="P4107">
            <v>1.0004710299999999</v>
          </cell>
          <cell r="Q4107">
            <v>9.1047018226828413</v>
          </cell>
        </row>
        <row r="4108">
          <cell r="O4108">
            <v>42109</v>
          </cell>
          <cell r="P4108">
            <v>1.0004710299999999</v>
          </cell>
          <cell r="Q4108">
            <v>9.1089904103823791</v>
          </cell>
        </row>
        <row r="4109">
          <cell r="O4109">
            <v>42110</v>
          </cell>
          <cell r="P4109">
            <v>1.0004710299999999</v>
          </cell>
          <cell r="Q4109">
            <v>9.1132810181353801</v>
          </cell>
        </row>
        <row r="4110">
          <cell r="O4110">
            <v>42111</v>
          </cell>
          <cell r="P4110">
            <v>1.0004710299999999</v>
          </cell>
          <cell r="Q4110">
            <v>9.1175736468933515</v>
          </cell>
        </row>
        <row r="4111">
          <cell r="O4111">
            <v>42114</v>
          </cell>
          <cell r="P4111">
            <v>1.0004710299999999</v>
          </cell>
          <cell r="Q4111">
            <v>9.1218682976082466</v>
          </cell>
        </row>
        <row r="4112">
          <cell r="O4112">
            <v>42116</v>
          </cell>
          <cell r="P4112">
            <v>1.0004710299999999</v>
          </cell>
          <cell r="Q4112">
            <v>9.1261649712324679</v>
          </cell>
        </row>
        <row r="4113">
          <cell r="O4113">
            <v>42117</v>
          </cell>
          <cell r="P4113">
            <v>1.0004710299999999</v>
          </cell>
          <cell r="Q4113">
            <v>9.1304636687188676</v>
          </cell>
        </row>
        <row r="4114">
          <cell r="O4114">
            <v>42118</v>
          </cell>
          <cell r="P4114">
            <v>1.0004710299999999</v>
          </cell>
          <cell r="Q4114">
            <v>9.1347643910207434</v>
          </cell>
        </row>
        <row r="4115">
          <cell r="O4115">
            <v>42121</v>
          </cell>
          <cell r="P4115">
            <v>1.0004710299999999</v>
          </cell>
          <cell r="Q4115">
            <v>9.1390671390918445</v>
          </cell>
        </row>
        <row r="4116">
          <cell r="O4116">
            <v>42122</v>
          </cell>
          <cell r="P4116">
            <v>1.00047138</v>
          </cell>
          <cell r="Q4116">
            <v>9.1433751125598697</v>
          </cell>
        </row>
        <row r="4117">
          <cell r="O4117">
            <v>42123</v>
          </cell>
          <cell r="P4117">
            <v>1.0004717299999999</v>
          </cell>
          <cell r="Q4117">
            <v>9.147688316901716</v>
          </cell>
        </row>
        <row r="4118">
          <cell r="O4118">
            <v>42124</v>
          </cell>
          <cell r="P4118">
            <v>1.0004717299999999</v>
          </cell>
          <cell r="Q4118">
            <v>9.1520035559114472</v>
          </cell>
        </row>
        <row r="4119">
          <cell r="O4119">
            <v>42128</v>
          </cell>
          <cell r="P4119">
            <v>1.0004889699999999</v>
          </cell>
          <cell r="Q4119">
            <v>9.156478611090181</v>
          </cell>
        </row>
        <row r="4120">
          <cell r="O4120">
            <v>42129</v>
          </cell>
          <cell r="P4120">
            <v>1.0004889699999999</v>
          </cell>
          <cell r="Q4120">
            <v>9.1609558544366454</v>
          </cell>
        </row>
        <row r="4121">
          <cell r="O4121">
            <v>42130</v>
          </cell>
          <cell r="P4121">
            <v>1.0004896700000001</v>
          </cell>
          <cell r="Q4121">
            <v>9.1654416996898878</v>
          </cell>
        </row>
        <row r="4122">
          <cell r="O4122">
            <v>42131</v>
          </cell>
          <cell r="P4122">
            <v>1.0004896700000001</v>
          </cell>
          <cell r="Q4122">
            <v>9.1699297415269765</v>
          </cell>
        </row>
        <row r="4123">
          <cell r="O4123">
            <v>42132</v>
          </cell>
          <cell r="P4123">
            <v>1.0004896700000001</v>
          </cell>
          <cell r="Q4123">
            <v>9.1744199810235116</v>
          </cell>
        </row>
        <row r="4124">
          <cell r="O4124">
            <v>42135</v>
          </cell>
          <cell r="P4124">
            <v>1.0004896700000001</v>
          </cell>
          <cell r="Q4124">
            <v>9.1789124192556208</v>
          </cell>
        </row>
        <row r="4125">
          <cell r="O4125">
            <v>42136</v>
          </cell>
          <cell r="P4125">
            <v>1.0004896700000001</v>
          </cell>
          <cell r="Q4125">
            <v>9.1834070572999593</v>
          </cell>
        </row>
        <row r="4126">
          <cell r="O4126">
            <v>42137</v>
          </cell>
          <cell r="P4126">
            <v>1.0004896700000001</v>
          </cell>
          <cell r="Q4126">
            <v>9.1879038962337081</v>
          </cell>
        </row>
        <row r="4127">
          <cell r="O4127">
            <v>42138</v>
          </cell>
          <cell r="P4127">
            <v>1.0004896700000001</v>
          </cell>
          <cell r="Q4127">
            <v>9.1924029371345775</v>
          </cell>
        </row>
        <row r="4128">
          <cell r="O4128">
            <v>42139</v>
          </cell>
          <cell r="P4128">
            <v>1.0004896700000001</v>
          </cell>
          <cell r="Q4128">
            <v>9.1969041810808054</v>
          </cell>
        </row>
        <row r="4129">
          <cell r="O4129">
            <v>42142</v>
          </cell>
          <cell r="P4129">
            <v>1.0004896700000001</v>
          </cell>
          <cell r="Q4129">
            <v>9.2014076291511557</v>
          </cell>
        </row>
        <row r="4130">
          <cell r="O4130">
            <v>42143</v>
          </cell>
          <cell r="P4130">
            <v>1.0004896700000001</v>
          </cell>
          <cell r="Q4130">
            <v>9.2059132824249232</v>
          </cell>
        </row>
        <row r="4131">
          <cell r="O4131">
            <v>42144</v>
          </cell>
          <cell r="P4131">
            <v>1.0004896700000001</v>
          </cell>
          <cell r="Q4131">
            <v>9.2104211419819286</v>
          </cell>
        </row>
        <row r="4132">
          <cell r="O4132">
            <v>42145</v>
          </cell>
          <cell r="P4132">
            <v>1.0004896700000001</v>
          </cell>
          <cell r="Q4132">
            <v>9.2149312089025237</v>
          </cell>
        </row>
        <row r="4133">
          <cell r="O4133">
            <v>42146</v>
          </cell>
          <cell r="P4133">
            <v>1.0004896700000001</v>
          </cell>
          <cell r="Q4133">
            <v>9.2194434842675879</v>
          </cell>
        </row>
        <row r="4134">
          <cell r="O4134">
            <v>42149</v>
          </cell>
          <cell r="P4134">
            <v>1.0004896700000001</v>
          </cell>
          <cell r="Q4134">
            <v>9.2239579691585298</v>
          </cell>
        </row>
        <row r="4135">
          <cell r="O4135">
            <v>42150</v>
          </cell>
          <cell r="P4135">
            <v>1.0004896700000001</v>
          </cell>
          <cell r="Q4135">
            <v>9.2284746646572895</v>
          </cell>
        </row>
        <row r="4136">
          <cell r="O4136">
            <v>42151</v>
          </cell>
          <cell r="P4136">
            <v>1.0004896700000001</v>
          </cell>
          <cell r="Q4136">
            <v>9.2329935718463325</v>
          </cell>
        </row>
        <row r="4137">
          <cell r="O4137">
            <v>42152</v>
          </cell>
          <cell r="P4137">
            <v>1.0004896700000001</v>
          </cell>
          <cell r="Q4137">
            <v>9.2375146918086593</v>
          </cell>
        </row>
        <row r="4138">
          <cell r="O4138">
            <v>42153</v>
          </cell>
          <cell r="P4138">
            <v>1.0004896700000001</v>
          </cell>
          <cell r="Q4138">
            <v>9.2420380256277976</v>
          </cell>
        </row>
        <row r="4139">
          <cell r="O4139">
            <v>42156</v>
          </cell>
          <cell r="P4139">
            <v>1.0004896700000001</v>
          </cell>
          <cell r="Q4139">
            <v>9.2465635743878085</v>
          </cell>
        </row>
        <row r="4140">
          <cell r="O4140">
            <v>42157</v>
          </cell>
          <cell r="P4140">
            <v>1.0004896700000001</v>
          </cell>
          <cell r="Q4140">
            <v>9.2510913391732803</v>
          </cell>
        </row>
        <row r="4141">
          <cell r="O4141">
            <v>42158</v>
          </cell>
          <cell r="P4141">
            <v>1.0004896700000001</v>
          </cell>
          <cell r="Q4141">
            <v>9.2556213210693343</v>
          </cell>
        </row>
        <row r="4142">
          <cell r="O4142">
            <v>42160</v>
          </cell>
          <cell r="P4142">
            <v>1.0004896700000001</v>
          </cell>
          <cell r="Q4142">
            <v>9.260153521161623</v>
          </cell>
        </row>
        <row r="4143">
          <cell r="O4143">
            <v>42163</v>
          </cell>
          <cell r="P4143">
            <v>1.0005075299999999</v>
          </cell>
          <cell r="Q4143">
            <v>9.2648533268782174</v>
          </cell>
        </row>
        <row r="4144">
          <cell r="O4144">
            <v>42164</v>
          </cell>
          <cell r="P4144">
            <v>1.0005075299999999</v>
          </cell>
          <cell r="Q4144">
            <v>9.2695555178872073</v>
          </cell>
        </row>
        <row r="4145">
          <cell r="O4145">
            <v>42165</v>
          </cell>
          <cell r="P4145">
            <v>1.0005075299999999</v>
          </cell>
          <cell r="Q4145">
            <v>9.2742600953991996</v>
          </cell>
        </row>
        <row r="4146">
          <cell r="O4146">
            <v>42166</v>
          </cell>
          <cell r="P4146">
            <v>1.0005075299999999</v>
          </cell>
          <cell r="Q4146">
            <v>9.2789670606254173</v>
          </cell>
        </row>
        <row r="4147">
          <cell r="O4147">
            <v>42167</v>
          </cell>
          <cell r="P4147">
            <v>1.0005075299999999</v>
          </cell>
          <cell r="Q4147">
            <v>9.2836764147776965</v>
          </cell>
        </row>
        <row r="4148">
          <cell r="O4148">
            <v>42170</v>
          </cell>
          <cell r="P4148">
            <v>1.0005075299999999</v>
          </cell>
          <cell r="Q4148">
            <v>9.2883881590684876</v>
          </cell>
        </row>
        <row r="4149">
          <cell r="O4149">
            <v>42171</v>
          </cell>
          <cell r="P4149">
            <v>1.0005075299999999</v>
          </cell>
          <cell r="Q4149">
            <v>9.2931022947108595</v>
          </cell>
        </row>
        <row r="4150">
          <cell r="O4150">
            <v>42172</v>
          </cell>
          <cell r="P4150">
            <v>1.0005075299999999</v>
          </cell>
          <cell r="Q4150">
            <v>9.2978188229184937</v>
          </cell>
        </row>
        <row r="4151">
          <cell r="O4151">
            <v>42173</v>
          </cell>
          <cell r="P4151">
            <v>1.0005075299999999</v>
          </cell>
          <cell r="Q4151">
            <v>9.3025377449056883</v>
          </cell>
        </row>
        <row r="4152">
          <cell r="O4152">
            <v>42174</v>
          </cell>
          <cell r="P4152">
            <v>1.0005075299999999</v>
          </cell>
          <cell r="Q4152">
            <v>9.3072590618873594</v>
          </cell>
        </row>
        <row r="4153">
          <cell r="O4153">
            <v>42177</v>
          </cell>
          <cell r="P4153">
            <v>1.0005075299999999</v>
          </cell>
          <cell r="Q4153">
            <v>9.3119827750790378</v>
          </cell>
        </row>
        <row r="4154">
          <cell r="O4154">
            <v>42178</v>
          </cell>
          <cell r="P4154">
            <v>1.0005075299999999</v>
          </cell>
          <cell r="Q4154">
            <v>9.3167088856968725</v>
          </cell>
        </row>
        <row r="4155">
          <cell r="O4155">
            <v>42179</v>
          </cell>
          <cell r="P4155">
            <v>1.0005075299999999</v>
          </cell>
          <cell r="Q4155">
            <v>9.3214373949576288</v>
          </cell>
        </row>
        <row r="4156">
          <cell r="O4156">
            <v>42180</v>
          </cell>
          <cell r="P4156">
            <v>1.0005075299999999</v>
          </cell>
          <cell r="Q4156">
            <v>9.3261683040786902</v>
          </cell>
        </row>
        <row r="4157">
          <cell r="O4157">
            <v>42181</v>
          </cell>
          <cell r="P4157">
            <v>1.0005075299999999</v>
          </cell>
          <cell r="Q4157">
            <v>9.3309016142780585</v>
          </cell>
        </row>
        <row r="4158">
          <cell r="O4158">
            <v>42184</v>
          </cell>
          <cell r="P4158">
            <v>1.0005075299999999</v>
          </cell>
          <cell r="Q4158">
            <v>9.3356373267743518</v>
          </cell>
        </row>
        <row r="4159">
          <cell r="O4159">
            <v>42185</v>
          </cell>
          <cell r="P4159">
            <v>1.0005075299999999</v>
          </cell>
          <cell r="Q4159">
            <v>9.340375442786808</v>
          </cell>
        </row>
        <row r="4160">
          <cell r="O4160">
            <v>42186</v>
          </cell>
          <cell r="P4160">
            <v>1.0005075299999999</v>
          </cell>
          <cell r="Q4160">
            <v>9.3451159635352852</v>
          </cell>
        </row>
        <row r="4161">
          <cell r="O4161">
            <v>42187</v>
          </cell>
          <cell r="P4161">
            <v>1.0005075299999999</v>
          </cell>
          <cell r="Q4161">
            <v>9.3498588902402577</v>
          </cell>
        </row>
        <row r="4162">
          <cell r="O4162">
            <v>42188</v>
          </cell>
          <cell r="P4162">
            <v>1.0005075299999999</v>
          </cell>
          <cell r="Q4162">
            <v>9.35460422412282</v>
          </cell>
        </row>
        <row r="4163">
          <cell r="O4163">
            <v>42191</v>
          </cell>
          <cell r="P4163">
            <v>1.0005075299999999</v>
          </cell>
          <cell r="Q4163">
            <v>9.359351966404688</v>
          </cell>
        </row>
        <row r="4164">
          <cell r="O4164">
            <v>42192</v>
          </cell>
          <cell r="P4164">
            <v>1.0005075299999999</v>
          </cell>
          <cell r="Q4164">
            <v>9.3641021183081961</v>
          </cell>
        </row>
        <row r="4165">
          <cell r="O4165">
            <v>42193</v>
          </cell>
          <cell r="P4165">
            <v>1.0005075299999999</v>
          </cell>
          <cell r="Q4165">
            <v>9.3688546810563</v>
          </cell>
        </row>
        <row r="4166">
          <cell r="O4166">
            <v>42194</v>
          </cell>
          <cell r="P4166">
            <v>1.0005075299999999</v>
          </cell>
          <cell r="Q4166">
            <v>9.3736096558725759</v>
          </cell>
        </row>
        <row r="4167">
          <cell r="O4167">
            <v>42195</v>
          </cell>
          <cell r="P4167">
            <v>1.0005075299999999</v>
          </cell>
          <cell r="Q4167">
            <v>9.3783670439812195</v>
          </cell>
        </row>
        <row r="4168">
          <cell r="O4168">
            <v>42198</v>
          </cell>
          <cell r="P4168">
            <v>1.0005075299999999</v>
          </cell>
          <cell r="Q4168">
            <v>9.3831268466070501</v>
          </cell>
        </row>
        <row r="4169">
          <cell r="O4169">
            <v>42199</v>
          </cell>
          <cell r="P4169">
            <v>1.0005075299999999</v>
          </cell>
          <cell r="Q4169">
            <v>9.3878890649755071</v>
          </cell>
        </row>
        <row r="4170">
          <cell r="O4170">
            <v>42200</v>
          </cell>
          <cell r="P4170">
            <v>1.0005075299999999</v>
          </cell>
          <cell r="Q4170">
            <v>9.3926537003126533</v>
          </cell>
        </row>
        <row r="4171">
          <cell r="O4171">
            <v>42201</v>
          </cell>
          <cell r="P4171">
            <v>1.0005075299999999</v>
          </cell>
          <cell r="Q4171">
            <v>9.3974207538451715</v>
          </cell>
        </row>
        <row r="4172">
          <cell r="O4172">
            <v>42202</v>
          </cell>
          <cell r="P4172">
            <v>1.0005075299999999</v>
          </cell>
          <cell r="Q4172">
            <v>9.4021902268003696</v>
          </cell>
        </row>
        <row r="4173">
          <cell r="O4173">
            <v>42205</v>
          </cell>
          <cell r="P4173">
            <v>1.0005075299999999</v>
          </cell>
          <cell r="Q4173">
            <v>9.4069621204061775</v>
          </cell>
        </row>
        <row r="4174">
          <cell r="O4174">
            <v>42206</v>
          </cell>
          <cell r="P4174">
            <v>1.0005075299999999</v>
          </cell>
          <cell r="Q4174">
            <v>9.4117364358911466</v>
          </cell>
        </row>
        <row r="4175">
          <cell r="O4175">
            <v>42207</v>
          </cell>
          <cell r="P4175">
            <v>1.0005075299999999</v>
          </cell>
          <cell r="Q4175">
            <v>9.4165131744844537</v>
          </cell>
        </row>
        <row r="4176">
          <cell r="O4176">
            <v>42208</v>
          </cell>
          <cell r="P4176">
            <v>1.0005075299999999</v>
          </cell>
          <cell r="Q4176">
            <v>9.421292337415899</v>
          </cell>
        </row>
        <row r="4177">
          <cell r="O4177">
            <v>42209</v>
          </cell>
          <cell r="P4177">
            <v>1.0005075299999999</v>
          </cell>
          <cell r="Q4177">
            <v>9.4260739259159063</v>
          </cell>
        </row>
        <row r="4178">
          <cell r="O4178">
            <v>42212</v>
          </cell>
          <cell r="P4178">
            <v>1.0005075299999999</v>
          </cell>
          <cell r="Q4178">
            <v>9.4308579412155265</v>
          </cell>
        </row>
        <row r="4179">
          <cell r="O4179">
            <v>42213</v>
          </cell>
          <cell r="P4179">
            <v>1.0005075299999999</v>
          </cell>
          <cell r="Q4179">
            <v>9.4356443845464302</v>
          </cell>
        </row>
        <row r="4180">
          <cell r="O4180">
            <v>42214</v>
          </cell>
          <cell r="P4180">
            <v>1.0005075299999999</v>
          </cell>
          <cell r="Q4180">
            <v>9.4404332571409189</v>
          </cell>
        </row>
        <row r="4181">
          <cell r="O4181">
            <v>42215</v>
          </cell>
          <cell r="P4181">
            <v>1.0005075299999999</v>
          </cell>
          <cell r="Q4181">
            <v>9.4452245602319156</v>
          </cell>
        </row>
        <row r="4182">
          <cell r="O4182">
            <v>42216</v>
          </cell>
          <cell r="P4182">
            <v>1.00052461</v>
          </cell>
          <cell r="Q4182">
            <v>9.4501796194884591</v>
          </cell>
        </row>
        <row r="4183">
          <cell r="O4183">
            <v>42219</v>
          </cell>
          <cell r="P4183">
            <v>1.00052461</v>
          </cell>
          <cell r="Q4183">
            <v>9.4551372782186398</v>
          </cell>
        </row>
        <row r="4184">
          <cell r="O4184">
            <v>42220</v>
          </cell>
          <cell r="P4184">
            <v>1.00052461</v>
          </cell>
          <cell r="Q4184">
            <v>9.4600975377861669</v>
          </cell>
        </row>
        <row r="4185">
          <cell r="O4185">
            <v>42221</v>
          </cell>
          <cell r="P4185">
            <v>1.00052461</v>
          </cell>
          <cell r="Q4185">
            <v>9.4650603995554654</v>
          </cell>
        </row>
        <row r="4186">
          <cell r="O4186">
            <v>42222</v>
          </cell>
          <cell r="P4186">
            <v>1.00052461</v>
          </cell>
          <cell r="Q4186">
            <v>9.4700258648916762</v>
          </cell>
        </row>
        <row r="4187">
          <cell r="O4187">
            <v>42223</v>
          </cell>
          <cell r="P4187">
            <v>1.00052461</v>
          </cell>
          <cell r="Q4187">
            <v>9.4749939351606578</v>
          </cell>
        </row>
        <row r="4188">
          <cell r="O4188">
            <v>42226</v>
          </cell>
          <cell r="P4188">
            <v>1.00052461</v>
          </cell>
          <cell r="Q4188">
            <v>9.4799646117289829</v>
          </cell>
        </row>
        <row r="4189">
          <cell r="O4189">
            <v>42227</v>
          </cell>
          <cell r="P4189">
            <v>1.00052461</v>
          </cell>
          <cell r="Q4189">
            <v>9.4849378959639417</v>
          </cell>
        </row>
        <row r="4190">
          <cell r="O4190">
            <v>42228</v>
          </cell>
          <cell r="P4190">
            <v>1.00052461</v>
          </cell>
          <cell r="Q4190">
            <v>9.4899137892335439</v>
          </cell>
        </row>
        <row r="4191">
          <cell r="O4191">
            <v>42229</v>
          </cell>
          <cell r="P4191">
            <v>1.00052461</v>
          </cell>
          <cell r="Q4191">
            <v>9.4948922929065134</v>
          </cell>
        </row>
        <row r="4192">
          <cell r="O4192">
            <v>42230</v>
          </cell>
          <cell r="P4192">
            <v>1.00052461</v>
          </cell>
          <cell r="Q4192">
            <v>9.4998734083522951</v>
          </cell>
        </row>
        <row r="4193">
          <cell r="O4193">
            <v>42233</v>
          </cell>
          <cell r="P4193">
            <v>1.00052461</v>
          </cell>
          <cell r="Q4193">
            <v>9.5048571369410517</v>
          </cell>
        </row>
        <row r="4194">
          <cell r="O4194">
            <v>42234</v>
          </cell>
          <cell r="P4194">
            <v>1.00052461</v>
          </cell>
          <cell r="Q4194">
            <v>9.5098434800436635</v>
          </cell>
        </row>
        <row r="4195">
          <cell r="O4195">
            <v>42235</v>
          </cell>
          <cell r="P4195">
            <v>1.00052461</v>
          </cell>
          <cell r="Q4195">
            <v>9.5148324390317303</v>
          </cell>
        </row>
        <row r="4196">
          <cell r="O4196">
            <v>42236</v>
          </cell>
          <cell r="P4196">
            <v>1.00052461</v>
          </cell>
          <cell r="Q4196">
            <v>9.519824015277571</v>
          </cell>
        </row>
        <row r="4197">
          <cell r="O4197">
            <v>42237</v>
          </cell>
          <cell r="P4197">
            <v>1.00052461</v>
          </cell>
          <cell r="Q4197">
            <v>9.5248182101542263</v>
          </cell>
        </row>
        <row r="4198">
          <cell r="O4198">
            <v>42240</v>
          </cell>
          <cell r="P4198">
            <v>1.00052461</v>
          </cell>
          <cell r="Q4198">
            <v>9.5298150250354556</v>
          </cell>
        </row>
        <row r="4199">
          <cell r="O4199">
            <v>42241</v>
          </cell>
          <cell r="P4199">
            <v>1.00052461</v>
          </cell>
          <cell r="Q4199">
            <v>9.5348144612957402</v>
          </cell>
        </row>
        <row r="4200">
          <cell r="O4200">
            <v>42242</v>
          </cell>
          <cell r="P4200">
            <v>1.00052461</v>
          </cell>
          <cell r="Q4200">
            <v>9.5398165203102803</v>
          </cell>
        </row>
        <row r="4201">
          <cell r="O4201">
            <v>42243</v>
          </cell>
          <cell r="P4201">
            <v>1.00052461</v>
          </cell>
          <cell r="Q4201">
            <v>9.5448212034550011</v>
          </cell>
        </row>
        <row r="4202">
          <cell r="O4202">
            <v>42244</v>
          </cell>
          <cell r="P4202">
            <v>1.00052461</v>
          </cell>
          <cell r="Q4202">
            <v>9.5498285121065454</v>
          </cell>
        </row>
        <row r="4203">
          <cell r="O4203">
            <v>42247</v>
          </cell>
          <cell r="P4203">
            <v>1.00052461</v>
          </cell>
          <cell r="Q4203">
            <v>9.5548384476422825</v>
          </cell>
        </row>
        <row r="4204">
          <cell r="O4204">
            <v>42248</v>
          </cell>
          <cell r="P4204">
            <v>1.00052461</v>
          </cell>
          <cell r="Q4204">
            <v>9.5598510114403012</v>
          </cell>
        </row>
        <row r="4205">
          <cell r="O4205">
            <v>42249</v>
          </cell>
          <cell r="P4205">
            <v>1.00052461</v>
          </cell>
          <cell r="Q4205">
            <v>9.5648662048794133</v>
          </cell>
        </row>
        <row r="4206">
          <cell r="O4206">
            <v>42250</v>
          </cell>
          <cell r="P4206">
            <v>1.00052461</v>
          </cell>
          <cell r="Q4206">
            <v>9.5698840293391552</v>
          </cell>
        </row>
        <row r="4207">
          <cell r="O4207">
            <v>42251</v>
          </cell>
          <cell r="P4207">
            <v>1.00052461</v>
          </cell>
          <cell r="Q4207">
            <v>9.5749044861997863</v>
          </cell>
        </row>
        <row r="4208">
          <cell r="O4208">
            <v>42255</v>
          </cell>
          <cell r="P4208">
            <v>1.00052461</v>
          </cell>
          <cell r="Q4208">
            <v>9.5799275768422927</v>
          </cell>
        </row>
        <row r="4209">
          <cell r="O4209">
            <v>42256</v>
          </cell>
          <cell r="P4209">
            <v>1.00052461</v>
          </cell>
          <cell r="Q4209">
            <v>9.5849533026483797</v>
          </cell>
        </row>
        <row r="4210">
          <cell r="O4210">
            <v>42257</v>
          </cell>
          <cell r="P4210">
            <v>1.00052461</v>
          </cell>
          <cell r="Q4210">
            <v>9.589981665000483</v>
          </cell>
        </row>
        <row r="4211">
          <cell r="O4211">
            <v>42258</v>
          </cell>
          <cell r="P4211">
            <v>1.00052461</v>
          </cell>
          <cell r="Q4211">
            <v>9.5950126652817591</v>
          </cell>
        </row>
        <row r="4212">
          <cell r="O4212">
            <v>42261</v>
          </cell>
          <cell r="P4212">
            <v>1.00052461</v>
          </cell>
          <cell r="Q4212">
            <v>9.6000463048760931</v>
          </cell>
        </row>
        <row r="4213">
          <cell r="O4213">
            <v>42262</v>
          </cell>
          <cell r="P4213">
            <v>1.00052461</v>
          </cell>
          <cell r="Q4213">
            <v>9.6050825851680948</v>
          </cell>
        </row>
        <row r="4214">
          <cell r="O4214">
            <v>42263</v>
          </cell>
          <cell r="P4214">
            <v>1.00052461</v>
          </cell>
          <cell r="Q4214">
            <v>9.6101215075431003</v>
          </cell>
        </row>
        <row r="4215">
          <cell r="O4215">
            <v>42264</v>
          </cell>
          <cell r="P4215">
            <v>1.00052461</v>
          </cell>
          <cell r="Q4215">
            <v>9.6151630733871727</v>
          </cell>
        </row>
        <row r="4216">
          <cell r="O4216">
            <v>42265</v>
          </cell>
          <cell r="P4216">
            <v>1.00052461</v>
          </cell>
          <cell r="Q4216">
            <v>9.6202072840871029</v>
          </cell>
        </row>
        <row r="4217">
          <cell r="O4217">
            <v>42268</v>
          </cell>
          <cell r="P4217">
            <v>1.00052461</v>
          </cell>
          <cell r="Q4217">
            <v>9.6252541410304087</v>
          </cell>
        </row>
        <row r="4218">
          <cell r="O4218">
            <v>42269</v>
          </cell>
          <cell r="P4218">
            <v>1.00052461</v>
          </cell>
          <cell r="Q4218">
            <v>9.6303036456053341</v>
          </cell>
        </row>
        <row r="4219">
          <cell r="O4219">
            <v>42270</v>
          </cell>
          <cell r="P4219">
            <v>1.00052461</v>
          </cell>
          <cell r="Q4219">
            <v>9.6353557992008554</v>
          </cell>
        </row>
        <row r="4220">
          <cell r="O4220">
            <v>42271</v>
          </cell>
          <cell r="P4220">
            <v>1.00052461</v>
          </cell>
          <cell r="Q4220">
            <v>9.640410603206675</v>
          </cell>
        </row>
        <row r="4221">
          <cell r="O4221">
            <v>42272</v>
          </cell>
          <cell r="P4221">
            <v>1.00052461</v>
          </cell>
          <cell r="Q4221">
            <v>9.6454680590132238</v>
          </cell>
        </row>
        <row r="4222">
          <cell r="O4222">
            <v>42275</v>
          </cell>
          <cell r="P4222">
            <v>1.00052461</v>
          </cell>
          <cell r="Q4222">
            <v>9.6505281680116628</v>
          </cell>
        </row>
        <row r="4223">
          <cell r="O4223">
            <v>42276</v>
          </cell>
          <cell r="P4223">
            <v>1.00052461</v>
          </cell>
          <cell r="Q4223">
            <v>9.655590931593883</v>
          </cell>
        </row>
        <row r="4224">
          <cell r="O4224">
            <v>42277</v>
          </cell>
          <cell r="P4224">
            <v>1.00052461</v>
          </cell>
          <cell r="Q4224">
            <v>9.6606563511525074</v>
          </cell>
        </row>
        <row r="4225">
          <cell r="O4225">
            <v>42278</v>
          </cell>
          <cell r="P4225">
            <v>1.00052461</v>
          </cell>
          <cell r="Q4225">
            <v>9.6657244280808854</v>
          </cell>
        </row>
        <row r="4226">
          <cell r="O4226">
            <v>42279</v>
          </cell>
          <cell r="P4226">
            <v>1.00052461</v>
          </cell>
          <cell r="Q4226">
            <v>9.6707951637731018</v>
          </cell>
        </row>
        <row r="4227">
          <cell r="O4227">
            <v>42282</v>
          </cell>
          <cell r="P4227">
            <v>1.00052461</v>
          </cell>
          <cell r="Q4227">
            <v>9.6758685596239697</v>
          </cell>
        </row>
        <row r="4228">
          <cell r="O4228">
            <v>42283</v>
          </cell>
          <cell r="P4228">
            <v>1.00052461</v>
          </cell>
          <cell r="Q4228">
            <v>9.6809446170290343</v>
          </cell>
        </row>
        <row r="4229">
          <cell r="O4229">
            <v>42284</v>
          </cell>
          <cell r="P4229">
            <v>1.00052461</v>
          </cell>
          <cell r="Q4229">
            <v>9.6860233373845741</v>
          </cell>
        </row>
        <row r="4230">
          <cell r="O4230">
            <v>42285</v>
          </cell>
          <cell r="P4230">
            <v>1.00052461</v>
          </cell>
          <cell r="Q4230">
            <v>9.6911047220875997</v>
          </cell>
        </row>
        <row r="4231">
          <cell r="O4231">
            <v>42286</v>
          </cell>
          <cell r="P4231">
            <v>1.00052461</v>
          </cell>
          <cell r="Q4231">
            <v>9.6961887725358551</v>
          </cell>
        </row>
        <row r="4232">
          <cell r="O4232">
            <v>42290</v>
          </cell>
          <cell r="P4232">
            <v>1.00052461</v>
          </cell>
          <cell r="Q4232">
            <v>9.7012754901278146</v>
          </cell>
        </row>
        <row r="4233">
          <cell r="O4233">
            <v>42291</v>
          </cell>
          <cell r="P4233">
            <v>1.00052461</v>
          </cell>
          <cell r="Q4233">
            <v>9.7063648762626915</v>
          </cell>
        </row>
        <row r="4234">
          <cell r="O4234">
            <v>42292</v>
          </cell>
          <cell r="P4234">
            <v>1.00052461</v>
          </cell>
          <cell r="Q4234">
            <v>9.7114569323404272</v>
          </cell>
        </row>
        <row r="4235">
          <cell r="O4235">
            <v>42293</v>
          </cell>
          <cell r="P4235">
            <v>1.00052461</v>
          </cell>
          <cell r="Q4235">
            <v>9.7165516597617021</v>
          </cell>
        </row>
        <row r="4236">
          <cell r="O4236">
            <v>42296</v>
          </cell>
          <cell r="P4236">
            <v>1.00052461</v>
          </cell>
          <cell r="Q4236">
            <v>9.7216490599279304</v>
          </cell>
        </row>
        <row r="4237">
          <cell r="O4237">
            <v>42297</v>
          </cell>
          <cell r="P4237">
            <v>1.00052461</v>
          </cell>
          <cell r="Q4237">
            <v>9.7267491342412598</v>
          </cell>
        </row>
        <row r="4238">
          <cell r="O4238">
            <v>42298</v>
          </cell>
          <cell r="P4238">
            <v>1.00052461</v>
          </cell>
          <cell r="Q4238">
            <v>9.7318518841045751</v>
          </cell>
        </row>
        <row r="4239">
          <cell r="O4239">
            <v>42299</v>
          </cell>
          <cell r="P4239">
            <v>1.00052461</v>
          </cell>
          <cell r="Q4239">
            <v>9.7369573109214951</v>
          </cell>
        </row>
        <row r="4240">
          <cell r="O4240">
            <v>42300</v>
          </cell>
          <cell r="P4240">
            <v>1.0005249599999999</v>
          </cell>
          <cell r="Q4240">
            <v>9.7420688240314348</v>
          </cell>
        </row>
        <row r="4241">
          <cell r="O4241">
            <v>42303</v>
          </cell>
          <cell r="P4241">
            <v>1.0005249599999999</v>
          </cell>
          <cell r="Q4241">
            <v>9.7471830204812981</v>
          </cell>
        </row>
        <row r="4242">
          <cell r="O4242">
            <v>42304</v>
          </cell>
          <cell r="P4242">
            <v>1.0005249599999999</v>
          </cell>
          <cell r="Q4242">
            <v>9.7522999016797289</v>
          </cell>
        </row>
        <row r="4243">
          <cell r="O4243">
            <v>42305</v>
          </cell>
          <cell r="P4243">
            <v>1.0005249599999999</v>
          </cell>
          <cell r="Q4243">
            <v>9.7574194690361136</v>
          </cell>
        </row>
        <row r="4244">
          <cell r="O4244">
            <v>42306</v>
          </cell>
          <cell r="P4244">
            <v>1.0005249599999999</v>
          </cell>
          <cell r="Q4244">
            <v>9.7625417239605774</v>
          </cell>
        </row>
        <row r="4245">
          <cell r="O4245">
            <v>42307</v>
          </cell>
          <cell r="P4245">
            <v>1.0005249599999999</v>
          </cell>
          <cell r="Q4245">
            <v>9.7676666678639865</v>
          </cell>
        </row>
        <row r="4246">
          <cell r="O4246">
            <v>42311</v>
          </cell>
          <cell r="P4246">
            <v>1.0005249599999999</v>
          </cell>
          <cell r="Q4246">
            <v>9.7727943021579478</v>
          </cell>
        </row>
        <row r="4247">
          <cell r="O4247">
            <v>42312</v>
          </cell>
          <cell r="P4247">
            <v>1.0005249599999999</v>
          </cell>
          <cell r="Q4247">
            <v>9.7779246282548069</v>
          </cell>
        </row>
        <row r="4248">
          <cell r="O4248">
            <v>42313</v>
          </cell>
          <cell r="P4248">
            <v>1.0005249599999999</v>
          </cell>
          <cell r="Q4248">
            <v>9.7830576475676541</v>
          </cell>
        </row>
        <row r="4249">
          <cell r="O4249">
            <v>42314</v>
          </cell>
          <cell r="P4249">
            <v>1.0005249599999999</v>
          </cell>
          <cell r="Q4249">
            <v>9.78819336151032</v>
          </cell>
        </row>
        <row r="4250">
          <cell r="O4250">
            <v>42317</v>
          </cell>
          <cell r="P4250">
            <v>1.0005249599999999</v>
          </cell>
          <cell r="Q4250">
            <v>9.7933317714973782</v>
          </cell>
        </row>
        <row r="4251">
          <cell r="O4251">
            <v>42318</v>
          </cell>
          <cell r="P4251">
            <v>1.0005249599999999</v>
          </cell>
          <cell r="Q4251">
            <v>9.7984728789441426</v>
          </cell>
        </row>
        <row r="4252">
          <cell r="O4252">
            <v>42319</v>
          </cell>
          <cell r="P4252">
            <v>1.0005249599999999</v>
          </cell>
          <cell r="Q4252">
            <v>9.8036166852666717</v>
          </cell>
        </row>
        <row r="4253">
          <cell r="O4253">
            <v>42320</v>
          </cell>
          <cell r="P4253">
            <v>1.0005249599999999</v>
          </cell>
          <cell r="Q4253">
            <v>9.8087631918817682</v>
          </cell>
        </row>
        <row r="4254">
          <cell r="O4254">
            <v>42321</v>
          </cell>
          <cell r="P4254">
            <v>1.0005249599999999</v>
          </cell>
          <cell r="Q4254">
            <v>9.8139124002069771</v>
          </cell>
        </row>
        <row r="4255">
          <cell r="O4255">
            <v>42324</v>
          </cell>
          <cell r="P4255">
            <v>1.0005249599999999</v>
          </cell>
          <cell r="Q4255">
            <v>9.819064311660588</v>
          </cell>
        </row>
        <row r="4256">
          <cell r="O4256">
            <v>42325</v>
          </cell>
          <cell r="P4256">
            <v>1.0005249599999999</v>
          </cell>
          <cell r="Q4256">
            <v>9.8242189276616365</v>
          </cell>
        </row>
        <row r="4257">
          <cell r="O4257">
            <v>42326</v>
          </cell>
          <cell r="P4257">
            <v>1.0005249599999999</v>
          </cell>
          <cell r="Q4257">
            <v>9.8293762496299006</v>
          </cell>
        </row>
        <row r="4258">
          <cell r="O4258">
            <v>42327</v>
          </cell>
          <cell r="P4258">
            <v>1.0005249599999999</v>
          </cell>
          <cell r="Q4258">
            <v>9.8345362789859063</v>
          </cell>
        </row>
        <row r="4259">
          <cell r="O4259">
            <v>42328</v>
          </cell>
          <cell r="P4259">
            <v>1.0005249599999999</v>
          </cell>
          <cell r="Q4259">
            <v>9.839699017150922</v>
          </cell>
        </row>
        <row r="4260">
          <cell r="O4260">
            <v>42331</v>
          </cell>
          <cell r="P4260">
            <v>1.0005249599999999</v>
          </cell>
          <cell r="Q4260">
            <v>9.8448644655469639</v>
          </cell>
        </row>
        <row r="4261">
          <cell r="O4261">
            <v>42332</v>
          </cell>
          <cell r="P4261">
            <v>1.0005249599999999</v>
          </cell>
          <cell r="Q4261">
            <v>9.8500326255967963</v>
          </cell>
        </row>
        <row r="4262">
          <cell r="O4262">
            <v>42333</v>
          </cell>
          <cell r="P4262">
            <v>1.0005249599999999</v>
          </cell>
          <cell r="Q4262">
            <v>9.8552034987239292</v>
          </cell>
        </row>
        <row r="4263">
          <cell r="O4263">
            <v>42334</v>
          </cell>
          <cell r="P4263">
            <v>1.0005249599999999</v>
          </cell>
          <cell r="Q4263">
            <v>9.860377086352619</v>
          </cell>
        </row>
        <row r="4264">
          <cell r="O4264">
            <v>42335</v>
          </cell>
          <cell r="P4264">
            <v>1.0005249599999999</v>
          </cell>
          <cell r="Q4264">
            <v>9.8655533899078698</v>
          </cell>
        </row>
        <row r="4265">
          <cell r="O4265">
            <v>42338</v>
          </cell>
          <cell r="P4265">
            <v>1.0005249599999999</v>
          </cell>
          <cell r="Q4265">
            <v>9.8707324108154353</v>
          </cell>
        </row>
        <row r="4266">
          <cell r="O4266">
            <v>42339</v>
          </cell>
          <cell r="P4266">
            <v>1.0005249599999999</v>
          </cell>
          <cell r="Q4266">
            <v>9.8759141505018153</v>
          </cell>
        </row>
        <row r="4267">
          <cell r="O4267">
            <v>42340</v>
          </cell>
          <cell r="P4267">
            <v>1.0005249599999999</v>
          </cell>
          <cell r="Q4267">
            <v>9.8810986103942611</v>
          </cell>
        </row>
        <row r="4268">
          <cell r="O4268">
            <v>42341</v>
          </cell>
          <cell r="P4268">
            <v>1.0005249599999999</v>
          </cell>
          <cell r="Q4268">
            <v>9.8862857919207734</v>
          </cell>
        </row>
        <row r="4269">
          <cell r="O4269">
            <v>42342</v>
          </cell>
          <cell r="P4269">
            <v>1.0005249599999999</v>
          </cell>
          <cell r="Q4269">
            <v>9.8914756965100992</v>
          </cell>
        </row>
        <row r="4270">
          <cell r="O4270">
            <v>42345</v>
          </cell>
          <cell r="P4270">
            <v>1.0005249599999999</v>
          </cell>
          <cell r="Q4270">
            <v>9.8966683255917385</v>
          </cell>
        </row>
        <row r="4271">
          <cell r="O4271">
            <v>42346</v>
          </cell>
          <cell r="P4271">
            <v>1.0005249599999999</v>
          </cell>
          <cell r="Q4271">
            <v>9.901863680595941</v>
          </cell>
        </row>
        <row r="4272">
          <cell r="O4272">
            <v>42347</v>
          </cell>
          <cell r="P4272">
            <v>1.0005249599999999</v>
          </cell>
          <cell r="Q4272">
            <v>9.9070617629537061</v>
          </cell>
        </row>
        <row r="4273">
          <cell r="O4273">
            <v>42348</v>
          </cell>
          <cell r="P4273">
            <v>1.0005249599999999</v>
          </cell>
          <cell r="Q4273">
            <v>9.9122625740967862</v>
          </cell>
        </row>
        <row r="4274">
          <cell r="O4274">
            <v>42349</v>
          </cell>
          <cell r="P4274">
            <v>1.0005249599999999</v>
          </cell>
          <cell r="Q4274">
            <v>9.9174661154576835</v>
          </cell>
        </row>
        <row r="4275">
          <cell r="O4275">
            <v>42352</v>
          </cell>
          <cell r="P4275">
            <v>1.0005249599999999</v>
          </cell>
          <cell r="Q4275">
            <v>9.9226723884696533</v>
          </cell>
        </row>
        <row r="4276">
          <cell r="O4276">
            <v>42353</v>
          </cell>
          <cell r="P4276">
            <v>1.0005249599999999</v>
          </cell>
          <cell r="Q4276">
            <v>9.9278813945667039</v>
          </cell>
        </row>
        <row r="4277">
          <cell r="O4277">
            <v>42354</v>
          </cell>
          <cell r="P4277">
            <v>1.0005249599999999</v>
          </cell>
          <cell r="Q4277">
            <v>9.9330931351835954</v>
          </cell>
        </row>
        <row r="4278">
          <cell r="O4278">
            <v>42355</v>
          </cell>
          <cell r="P4278">
            <v>1.0005249599999999</v>
          </cell>
          <cell r="Q4278">
            <v>9.9383076117558407</v>
          </cell>
        </row>
        <row r="4279">
          <cell r="O4279">
            <v>42356</v>
          </cell>
          <cell r="P4279">
            <v>1.0005249599999999</v>
          </cell>
          <cell r="Q4279">
            <v>9.9435248257197077</v>
          </cell>
        </row>
        <row r="4280">
          <cell r="O4280">
            <v>42359</v>
          </cell>
          <cell r="P4280">
            <v>1.0005249599999999</v>
          </cell>
          <cell r="Q4280">
            <v>9.9487447785122161</v>
          </cell>
        </row>
        <row r="4281">
          <cell r="O4281">
            <v>42360</v>
          </cell>
          <cell r="P4281">
            <v>1.0005249599999999</v>
          </cell>
          <cell r="Q4281">
            <v>9.9539674715711435</v>
          </cell>
        </row>
        <row r="4282">
          <cell r="O4282">
            <v>42361</v>
          </cell>
          <cell r="P4282">
            <v>1.0005249599999999</v>
          </cell>
          <cell r="Q4282">
            <v>9.9591929063350193</v>
          </cell>
        </row>
        <row r="4283">
          <cell r="O4283">
            <v>42362</v>
          </cell>
          <cell r="P4283">
            <v>1.0005249599999999</v>
          </cell>
          <cell r="Q4283">
            <v>9.9644210842431278</v>
          </cell>
        </row>
        <row r="4284">
          <cell r="O4284">
            <v>42366</v>
          </cell>
          <cell r="P4284">
            <v>1.0005249599999999</v>
          </cell>
          <cell r="Q4284">
            <v>9.9696520067355117</v>
          </cell>
        </row>
        <row r="4285">
          <cell r="O4285">
            <v>42367</v>
          </cell>
          <cell r="P4285">
            <v>1.0005249599999999</v>
          </cell>
          <cell r="Q4285">
            <v>9.9748856752529669</v>
          </cell>
        </row>
        <row r="4286">
          <cell r="O4286">
            <v>42368</v>
          </cell>
          <cell r="P4286">
            <v>1.0005249599999999</v>
          </cell>
          <cell r="Q4286">
            <v>9.9801220912370461</v>
          </cell>
        </row>
        <row r="4287">
          <cell r="O4287">
            <v>42369</v>
          </cell>
          <cell r="P4287">
            <v>1.0005249599999999</v>
          </cell>
          <cell r="Q4287">
            <v>9.9853612561300604</v>
          </cell>
        </row>
        <row r="4288">
          <cell r="O4288">
            <v>42373</v>
          </cell>
          <cell r="P4288">
            <v>1.0005249599999999</v>
          </cell>
          <cell r="Q4288">
            <v>9.9906031713750778</v>
          </cell>
        </row>
        <row r="4289">
          <cell r="O4289">
            <v>42374</v>
          </cell>
          <cell r="P4289">
            <v>1.0005249599999999</v>
          </cell>
          <cell r="Q4289">
            <v>9.9958478384159211</v>
          </cell>
        </row>
        <row r="4290">
          <cell r="O4290">
            <v>42375</v>
          </cell>
          <cell r="P4290">
            <v>1.0005249599999999</v>
          </cell>
          <cell r="Q4290">
            <v>10.001095258697175</v>
          </cell>
        </row>
        <row r="4291">
          <cell r="O4291">
            <v>42376</v>
          </cell>
          <cell r="P4291">
            <v>1.0005249599999999</v>
          </cell>
          <cell r="Q4291">
            <v>10.00634543366418</v>
          </cell>
        </row>
        <row r="4292">
          <cell r="O4292">
            <v>42377</v>
          </cell>
          <cell r="P4292">
            <v>1.0005249599999999</v>
          </cell>
          <cell r="Q4292">
            <v>10.011598364763035</v>
          </cell>
        </row>
        <row r="4293">
          <cell r="O4293">
            <v>42380</v>
          </cell>
          <cell r="P4293">
            <v>1.0005249599999999</v>
          </cell>
          <cell r="Q4293">
            <v>10.0168540534406</v>
          </cell>
        </row>
        <row r="4294">
          <cell r="O4294">
            <v>42381</v>
          </cell>
          <cell r="P4294">
            <v>1.0005249599999999</v>
          </cell>
          <cell r="Q4294">
            <v>10.022112501144493</v>
          </cell>
        </row>
        <row r="4295">
          <cell r="O4295">
            <v>42382</v>
          </cell>
          <cell r="P4295">
            <v>1.0005249599999999</v>
          </cell>
          <cell r="Q4295">
            <v>10.027373709323093</v>
          </cell>
        </row>
        <row r="4296">
          <cell r="O4296">
            <v>42383</v>
          </cell>
          <cell r="P4296">
            <v>1.0005249599999999</v>
          </cell>
          <cell r="Q4296">
            <v>10.032637679425539</v>
          </cell>
        </row>
        <row r="4297">
          <cell r="O4297">
            <v>42384</v>
          </cell>
          <cell r="P4297">
            <v>1.0005249599999999</v>
          </cell>
          <cell r="Q4297">
            <v>10.03790441290173</v>
          </cell>
        </row>
        <row r="4298">
          <cell r="O4298">
            <v>42387</v>
          </cell>
          <cell r="P4298">
            <v>1.0005249599999999</v>
          </cell>
          <cell r="Q4298">
            <v>10.043173911202325</v>
          </cell>
        </row>
        <row r="4299">
          <cell r="O4299">
            <v>42388</v>
          </cell>
          <cell r="P4299">
            <v>1.0005249599999999</v>
          </cell>
          <cell r="Q4299">
            <v>10.04844617577875</v>
          </cell>
        </row>
        <row r="4300">
          <cell r="O4300">
            <v>42389</v>
          </cell>
          <cell r="P4300">
            <v>1.0005249599999999</v>
          </cell>
          <cell r="Q4300">
            <v>10.053721208083186</v>
          </cell>
        </row>
        <row r="4301">
          <cell r="O4301">
            <v>42390</v>
          </cell>
          <cell r="P4301">
            <v>1.0005249599999999</v>
          </cell>
          <cell r="Q4301">
            <v>10.058999009568581</v>
          </cell>
        </row>
        <row r="4302">
          <cell r="O4302">
            <v>42391</v>
          </cell>
          <cell r="P4302">
            <v>1.00052461</v>
          </cell>
          <cell r="Q4302">
            <v>10.06427606103899</v>
          </cell>
        </row>
        <row r="4303">
          <cell r="O4303">
            <v>42394</v>
          </cell>
          <cell r="P4303">
            <v>1.00052461</v>
          </cell>
          <cell r="Q4303">
            <v>10.069555880903373</v>
          </cell>
        </row>
        <row r="4304">
          <cell r="O4304">
            <v>42395</v>
          </cell>
          <cell r="P4304">
            <v>1.00052461</v>
          </cell>
          <cell r="Q4304">
            <v>10.074838470614054</v>
          </cell>
        </row>
        <row r="4305">
          <cell r="O4305">
            <v>42396</v>
          </cell>
          <cell r="P4305">
            <v>1.00052461</v>
          </cell>
          <cell r="Q4305">
            <v>10.080123831624123</v>
          </cell>
        </row>
        <row r="4306">
          <cell r="O4306">
            <v>42397</v>
          </cell>
          <cell r="P4306">
            <v>1.00052461</v>
          </cell>
          <cell r="Q4306">
            <v>10.085411965387431</v>
          </cell>
        </row>
        <row r="4307">
          <cell r="O4307">
            <v>42398</v>
          </cell>
          <cell r="P4307">
            <v>1.00052461</v>
          </cell>
          <cell r="Q4307">
            <v>10.090702873358593</v>
          </cell>
        </row>
        <row r="4308">
          <cell r="O4308">
            <v>42401</v>
          </cell>
          <cell r="P4308">
            <v>1.00052461</v>
          </cell>
          <cell r="Q4308">
            <v>10.095996556992986</v>
          </cell>
        </row>
        <row r="4309">
          <cell r="O4309">
            <v>42402</v>
          </cell>
          <cell r="P4309">
            <v>1.00052461</v>
          </cell>
          <cell r="Q4309">
            <v>10.101293017746752</v>
          </cell>
        </row>
        <row r="4310">
          <cell r="O4310">
            <v>42403</v>
          </cell>
          <cell r="P4310">
            <v>1.00052461</v>
          </cell>
          <cell r="Q4310">
            <v>10.106592257076793</v>
          </cell>
        </row>
        <row r="4311">
          <cell r="O4311">
            <v>42404</v>
          </cell>
          <cell r="P4311">
            <v>1.00052461</v>
          </cell>
          <cell r="Q4311">
            <v>10.111894276440777</v>
          </cell>
        </row>
        <row r="4312">
          <cell r="O4312">
            <v>42405</v>
          </cell>
          <cell r="P4312">
            <v>1.00052461</v>
          </cell>
          <cell r="Q4312">
            <v>10.117199077297141</v>
          </cell>
        </row>
        <row r="4313">
          <cell r="O4313">
            <v>42410</v>
          </cell>
          <cell r="P4313">
            <v>1.00052461</v>
          </cell>
          <cell r="Q4313">
            <v>10.122506661105081</v>
          </cell>
        </row>
        <row r="4314">
          <cell r="O4314">
            <v>42411</v>
          </cell>
          <cell r="P4314">
            <v>1.00052461</v>
          </cell>
          <cell r="Q4314">
            <v>10.127817029324564</v>
          </cell>
        </row>
        <row r="4315">
          <cell r="O4315">
            <v>42412</v>
          </cell>
          <cell r="P4315">
            <v>1.00052461</v>
          </cell>
          <cell r="Q4315">
            <v>10.133130183416318</v>
          </cell>
        </row>
        <row r="4316">
          <cell r="O4316">
            <v>42415</v>
          </cell>
          <cell r="P4316">
            <v>1.00052461</v>
          </cell>
          <cell r="Q4316">
            <v>10.13844612484184</v>
          </cell>
        </row>
        <row r="4317">
          <cell r="O4317">
            <v>42416</v>
          </cell>
          <cell r="P4317">
            <v>1.00052461</v>
          </cell>
          <cell r="Q4317">
            <v>10.143764855063393</v>
          </cell>
        </row>
        <row r="4318">
          <cell r="O4318">
            <v>42417</v>
          </cell>
          <cell r="P4318">
            <v>1.00052461</v>
          </cell>
          <cell r="Q4318">
            <v>10.149086375544009</v>
          </cell>
        </row>
        <row r="4319">
          <cell r="O4319">
            <v>42418</v>
          </cell>
          <cell r="P4319">
            <v>1.00052461</v>
          </cell>
          <cell r="Q4319">
            <v>10.154410687747482</v>
          </cell>
        </row>
        <row r="4320">
          <cell r="O4320">
            <v>42419</v>
          </cell>
          <cell r="P4320">
            <v>1.00052461</v>
          </cell>
          <cell r="Q4320">
            <v>10.159737793138381</v>
          </cell>
        </row>
        <row r="4321">
          <cell r="O4321">
            <v>42422</v>
          </cell>
          <cell r="P4321">
            <v>1.00052461</v>
          </cell>
          <cell r="Q4321">
            <v>10.16506769318204</v>
          </cell>
        </row>
        <row r="4322">
          <cell r="O4322">
            <v>42423</v>
          </cell>
          <cell r="P4322">
            <v>1.00052461</v>
          </cell>
          <cell r="Q4322">
            <v>10.170400389344561</v>
          </cell>
        </row>
        <row r="4323">
          <cell r="O4323">
            <v>42424</v>
          </cell>
          <cell r="P4323">
            <v>1.00052461</v>
          </cell>
          <cell r="Q4323">
            <v>10.175735883092816</v>
          </cell>
        </row>
        <row r="4324">
          <cell r="O4324">
            <v>42425</v>
          </cell>
          <cell r="P4324">
            <v>1.00052461</v>
          </cell>
          <cell r="Q4324">
            <v>10.181074175894446</v>
          </cell>
        </row>
        <row r="4325">
          <cell r="O4325">
            <v>42426</v>
          </cell>
          <cell r="P4325">
            <v>1.00052461</v>
          </cell>
          <cell r="Q4325">
            <v>10.186415269217862</v>
          </cell>
        </row>
        <row r="4326">
          <cell r="O4326">
            <v>42429</v>
          </cell>
          <cell r="P4326">
            <v>1.00052461</v>
          </cell>
          <cell r="Q4326">
            <v>10.191759164532247</v>
          </cell>
        </row>
        <row r="4327">
          <cell r="O4327">
            <v>42430</v>
          </cell>
          <cell r="P4327">
            <v>1.00052461</v>
          </cell>
          <cell r="Q4327">
            <v>10.197105863307552</v>
          </cell>
        </row>
        <row r="4328">
          <cell r="O4328">
            <v>42431</v>
          </cell>
          <cell r="P4328">
            <v>1.00052461</v>
          </cell>
          <cell r="Q4328">
            <v>10.202455367014503</v>
          </cell>
        </row>
        <row r="4329">
          <cell r="O4329">
            <v>42432</v>
          </cell>
          <cell r="P4329">
            <v>1.00052461</v>
          </cell>
          <cell r="Q4329">
            <v>10.207807677124592</v>
          </cell>
        </row>
        <row r="4330">
          <cell r="O4330">
            <v>42433</v>
          </cell>
          <cell r="P4330">
            <v>1.00052461</v>
          </cell>
          <cell r="Q4330">
            <v>10.213162795110089</v>
          </cell>
        </row>
        <row r="4331">
          <cell r="O4331">
            <v>42436</v>
          </cell>
          <cell r="P4331">
            <v>1.00052461</v>
          </cell>
          <cell r="Q4331">
            <v>10.218520722444032</v>
          </cell>
        </row>
        <row r="4332">
          <cell r="O4332">
            <v>42437</v>
          </cell>
          <cell r="P4332">
            <v>1.00052461</v>
          </cell>
          <cell r="Q4332">
            <v>10.223881460600234</v>
          </cell>
        </row>
        <row r="4333">
          <cell r="O4333">
            <v>42438</v>
          </cell>
          <cell r="P4333">
            <v>1.00052461</v>
          </cell>
          <cell r="Q4333">
            <v>10.22924501105328</v>
          </cell>
        </row>
        <row r="4334">
          <cell r="O4334">
            <v>42439</v>
          </cell>
          <cell r="P4334">
            <v>1.00052461</v>
          </cell>
          <cell r="Q4334">
            <v>10.234611375278529</v>
          </cell>
        </row>
        <row r="4335">
          <cell r="O4335">
            <v>42440</v>
          </cell>
          <cell r="P4335">
            <v>1.00052461</v>
          </cell>
          <cell r="Q4335">
            <v>10.239980554752114</v>
          </cell>
        </row>
        <row r="4336">
          <cell r="O4336">
            <v>42443</v>
          </cell>
          <cell r="P4336">
            <v>1.00052461</v>
          </cell>
          <cell r="Q4336">
            <v>10.245352550950942</v>
          </cell>
        </row>
        <row r="4337">
          <cell r="O4337">
            <v>42444</v>
          </cell>
          <cell r="P4337">
            <v>1.00052461</v>
          </cell>
          <cell r="Q4337">
            <v>10.250727365352697</v>
          </cell>
        </row>
        <row r="4338">
          <cell r="O4338">
            <v>42445</v>
          </cell>
          <cell r="P4338">
            <v>1.00052461</v>
          </cell>
          <cell r="Q4338">
            <v>10.256104999435834</v>
          </cell>
        </row>
        <row r="4339">
          <cell r="O4339">
            <v>42446</v>
          </cell>
          <cell r="P4339">
            <v>1.00052461</v>
          </cell>
          <cell r="Q4339">
            <v>10.261485454679589</v>
          </cell>
        </row>
        <row r="4340">
          <cell r="O4340">
            <v>42447</v>
          </cell>
          <cell r="P4340">
            <v>1.00052461</v>
          </cell>
          <cell r="Q4340">
            <v>10.266868732563969</v>
          </cell>
        </row>
        <row r="4341">
          <cell r="O4341">
            <v>42450</v>
          </cell>
          <cell r="P4341">
            <v>1.00052461</v>
          </cell>
          <cell r="Q4341">
            <v>10.272254834569759</v>
          </cell>
        </row>
        <row r="4342">
          <cell r="O4342">
            <v>42451</v>
          </cell>
          <cell r="P4342">
            <v>1.00052461</v>
          </cell>
          <cell r="Q4342">
            <v>10.277643762178524</v>
          </cell>
        </row>
        <row r="4343">
          <cell r="O4343">
            <v>42452</v>
          </cell>
          <cell r="P4343">
            <v>1.00052461</v>
          </cell>
          <cell r="Q4343">
            <v>10.283035516872602</v>
          </cell>
        </row>
        <row r="4344">
          <cell r="O4344">
            <v>42453</v>
          </cell>
          <cell r="P4344">
            <v>1.00052461</v>
          </cell>
          <cell r="Q4344">
            <v>10.288430100135109</v>
          </cell>
        </row>
        <row r="4345">
          <cell r="O4345">
            <v>42457</v>
          </cell>
          <cell r="P4345">
            <v>1.00052461</v>
          </cell>
          <cell r="Q4345">
            <v>10.293827513449941</v>
          </cell>
        </row>
        <row r="4346">
          <cell r="O4346">
            <v>42458</v>
          </cell>
          <cell r="P4346">
            <v>1.00052461</v>
          </cell>
          <cell r="Q4346">
            <v>10.299227758301772</v>
          </cell>
        </row>
        <row r="4347">
          <cell r="O4347">
            <v>42459</v>
          </cell>
          <cell r="P4347">
            <v>1.00052461</v>
          </cell>
          <cell r="Q4347">
            <v>10.304630836176054</v>
          </cell>
        </row>
        <row r="4348">
          <cell r="O4348">
            <v>42460</v>
          </cell>
          <cell r="P4348">
            <v>1.00052461</v>
          </cell>
          <cell r="Q4348">
            <v>10.310036748559021</v>
          </cell>
        </row>
        <row r="4349">
          <cell r="O4349">
            <v>42461</v>
          </cell>
          <cell r="P4349">
            <v>1.00052461</v>
          </cell>
          <cell r="Q4349">
            <v>10.315445496937683</v>
          </cell>
        </row>
        <row r="4350">
          <cell r="O4350">
            <v>42464</v>
          </cell>
          <cell r="P4350">
            <v>1.00052461</v>
          </cell>
          <cell r="Q4350">
            <v>10.320857082799831</v>
          </cell>
        </row>
        <row r="4351">
          <cell r="O4351">
            <v>42465</v>
          </cell>
          <cell r="P4351">
            <v>1.00052461</v>
          </cell>
          <cell r="Q4351">
            <v>10.32627150763404</v>
          </cell>
        </row>
        <row r="4352">
          <cell r="O4352">
            <v>42466</v>
          </cell>
          <cell r="P4352">
            <v>1.00052461</v>
          </cell>
          <cell r="Q4352">
            <v>10.33168877292966</v>
          </cell>
        </row>
        <row r="4353">
          <cell r="O4353">
            <v>42467</v>
          </cell>
          <cell r="P4353">
            <v>1.00052461</v>
          </cell>
          <cell r="Q4353">
            <v>10.337108880176826</v>
          </cell>
        </row>
        <row r="4354">
          <cell r="O4354">
            <v>42468</v>
          </cell>
          <cell r="P4354">
            <v>1.00052461</v>
          </cell>
          <cell r="Q4354">
            <v>10.342531830866456</v>
          </cell>
        </row>
        <row r="4355">
          <cell r="O4355">
            <v>42471</v>
          </cell>
          <cell r="P4355">
            <v>1.00052461</v>
          </cell>
          <cell r="Q4355">
            <v>10.347957626490247</v>
          </cell>
        </row>
        <row r="4356">
          <cell r="O4356">
            <v>42472</v>
          </cell>
          <cell r="P4356">
            <v>1.00052461</v>
          </cell>
          <cell r="Q4356">
            <v>10.35338626854068</v>
          </cell>
        </row>
        <row r="4357">
          <cell r="O4357">
            <v>42473</v>
          </cell>
          <cell r="P4357">
            <v>1.00052461</v>
          </cell>
          <cell r="Q4357">
            <v>10.358817758511019</v>
          </cell>
        </row>
        <row r="4358">
          <cell r="O4358">
            <v>42474</v>
          </cell>
          <cell r="P4358">
            <v>1.00052461</v>
          </cell>
          <cell r="Q4358">
            <v>10.364252097895312</v>
          </cell>
        </row>
        <row r="4359">
          <cell r="O4359">
            <v>42475</v>
          </cell>
          <cell r="P4359">
            <v>1.00052461</v>
          </cell>
          <cell r="Q4359">
            <v>10.36968928818839</v>
          </cell>
        </row>
        <row r="4360">
          <cell r="O4360">
            <v>42478</v>
          </cell>
          <cell r="P4360">
            <v>1.00052461</v>
          </cell>
          <cell r="Q4360">
            <v>10.375129330885867</v>
          </cell>
        </row>
        <row r="4361">
          <cell r="O4361">
            <v>42479</v>
          </cell>
          <cell r="P4361">
            <v>1.00052461</v>
          </cell>
          <cell r="Q4361">
            <v>10.380572227484144</v>
          </cell>
        </row>
        <row r="4362">
          <cell r="O4362">
            <v>42480</v>
          </cell>
          <cell r="P4362">
            <v>1.00052461</v>
          </cell>
          <cell r="Q4362">
            <v>10.386017979480405</v>
          </cell>
        </row>
        <row r="4363">
          <cell r="O4363">
            <v>42482</v>
          </cell>
          <cell r="P4363">
            <v>1.00052461</v>
          </cell>
          <cell r="Q4363">
            <v>10.391466588372621</v>
          </cell>
        </row>
        <row r="4364">
          <cell r="O4364">
            <v>42485</v>
          </cell>
          <cell r="P4364">
            <v>1.00052461</v>
          </cell>
          <cell r="Q4364">
            <v>10.396918055659548</v>
          </cell>
        </row>
        <row r="4365">
          <cell r="O4365">
            <v>42486</v>
          </cell>
          <cell r="P4365">
            <v>1.00052461</v>
          </cell>
          <cell r="Q4365">
            <v>10.402372382840728</v>
          </cell>
        </row>
        <row r="4366">
          <cell r="O4366">
            <v>42487</v>
          </cell>
          <cell r="P4366">
            <v>1.00052461</v>
          </cell>
          <cell r="Q4366">
            <v>10.407829571416491</v>
          </cell>
        </row>
        <row r="4367">
          <cell r="O4367">
            <v>42488</v>
          </cell>
          <cell r="P4367">
            <v>1.00052461</v>
          </cell>
          <cell r="Q4367">
            <v>10.413289622887952</v>
          </cell>
        </row>
        <row r="4368">
          <cell r="O4368">
            <v>42489</v>
          </cell>
          <cell r="P4368">
            <v>1.00052461</v>
          </cell>
          <cell r="Q4368">
            <v>10.418752538757015</v>
          </cell>
        </row>
        <row r="4369">
          <cell r="O4369">
            <v>42492</v>
          </cell>
          <cell r="P4369">
            <v>1.00052461</v>
          </cell>
          <cell r="Q4369">
            <v>10.424218320526373</v>
          </cell>
        </row>
        <row r="4370">
          <cell r="O4370">
            <v>42493</v>
          </cell>
          <cell r="P4370">
            <v>1.00052461</v>
          </cell>
          <cell r="Q4370">
            <v>10.429686969699505</v>
          </cell>
        </row>
        <row r="4371">
          <cell r="O4371">
            <v>42494</v>
          </cell>
          <cell r="P4371">
            <v>1.00052461</v>
          </cell>
          <cell r="Q4371">
            <v>10.435158487780679</v>
          </cell>
        </row>
        <row r="4372">
          <cell r="O4372">
            <v>42495</v>
          </cell>
          <cell r="P4372">
            <v>1.00052461</v>
          </cell>
          <cell r="Q4372">
            <v>10.440632876274954</v>
          </cell>
        </row>
        <row r="4373">
          <cell r="O4373">
            <v>42496</v>
          </cell>
          <cell r="P4373">
            <v>1.00052461</v>
          </cell>
          <cell r="Q4373">
            <v>10.446110136688176</v>
          </cell>
        </row>
        <row r="4374">
          <cell r="O4374">
            <v>42499</v>
          </cell>
          <cell r="P4374">
            <v>1.00052461</v>
          </cell>
          <cell r="Q4374">
            <v>10.451590270526985</v>
          </cell>
        </row>
        <row r="4375">
          <cell r="O4375">
            <v>42500</v>
          </cell>
          <cell r="P4375">
            <v>1.00052461</v>
          </cell>
          <cell r="Q4375">
            <v>10.457073279298807</v>
          </cell>
        </row>
        <row r="4376">
          <cell r="O4376">
            <v>42501</v>
          </cell>
          <cell r="P4376">
            <v>1.00052461</v>
          </cell>
          <cell r="Q4376">
            <v>10.462559164511861</v>
          </cell>
        </row>
        <row r="4377">
          <cell r="O4377">
            <v>42502</v>
          </cell>
          <cell r="P4377">
            <v>1.00052461</v>
          </cell>
          <cell r="Q4377">
            <v>10.468047927675157</v>
          </cell>
        </row>
        <row r="4378">
          <cell r="O4378">
            <v>42503</v>
          </cell>
          <cell r="P4378">
            <v>1.00052461</v>
          </cell>
          <cell r="Q4378">
            <v>10.473539570298495</v>
          </cell>
        </row>
        <row r="4379">
          <cell r="O4379">
            <v>42506</v>
          </cell>
          <cell r="P4379">
            <v>1.00052461</v>
          </cell>
          <cell r="Q4379">
            <v>10.479034093892469</v>
          </cell>
        </row>
        <row r="4380">
          <cell r="O4380">
            <v>42507</v>
          </cell>
          <cell r="P4380">
            <v>1.00052461</v>
          </cell>
          <cell r="Q4380">
            <v>10.484531499968467</v>
          </cell>
        </row>
        <row r="4381">
          <cell r="O4381">
            <v>42508</v>
          </cell>
          <cell r="P4381">
            <v>1.00052461</v>
          </cell>
          <cell r="Q4381">
            <v>10.490031790038666</v>
          </cell>
        </row>
        <row r="4382">
          <cell r="O4382">
            <v>42509</v>
          </cell>
          <cell r="P4382">
            <v>1.00052461</v>
          </cell>
          <cell r="Q4382">
            <v>10.495534965616038</v>
          </cell>
        </row>
        <row r="4383">
          <cell r="O4383">
            <v>42510</v>
          </cell>
          <cell r="P4383">
            <v>1.00052461</v>
          </cell>
          <cell r="Q4383">
            <v>10.501041028214351</v>
          </cell>
        </row>
        <row r="4384">
          <cell r="O4384">
            <v>42513</v>
          </cell>
          <cell r="P4384">
            <v>1.00052461</v>
          </cell>
          <cell r="Q4384">
            <v>10.506549979348163</v>
          </cell>
        </row>
        <row r="4385">
          <cell r="O4385">
            <v>42514</v>
          </cell>
          <cell r="P4385">
            <v>1.00052461</v>
          </cell>
          <cell r="Q4385">
            <v>10.51206182053283</v>
          </cell>
        </row>
        <row r="4386">
          <cell r="O4386">
            <v>42515</v>
          </cell>
          <cell r="P4386">
            <v>1.00052461</v>
          </cell>
          <cell r="Q4386">
            <v>10.517576553284501</v>
          </cell>
        </row>
        <row r="4387">
          <cell r="O4387">
            <v>42517</v>
          </cell>
          <cell r="P4387">
            <v>1.00052461</v>
          </cell>
          <cell r="Q4387">
            <v>10.52309417912012</v>
          </cell>
        </row>
        <row r="4388">
          <cell r="O4388">
            <v>42520</v>
          </cell>
          <cell r="P4388">
            <v>1.00052461</v>
          </cell>
          <cell r="Q4388">
            <v>10.528614699557428</v>
          </cell>
        </row>
        <row r="4389">
          <cell r="O4389">
            <v>42521</v>
          </cell>
          <cell r="P4389">
            <v>1.00052461</v>
          </cell>
          <cell r="Q4389">
            <v>10.534138116114963</v>
          </cell>
        </row>
        <row r="4390">
          <cell r="O4390">
            <v>42522</v>
          </cell>
          <cell r="P4390">
            <v>1.00052461</v>
          </cell>
          <cell r="Q4390">
            <v>10.539664430312058</v>
          </cell>
        </row>
        <row r="4391">
          <cell r="O4391">
            <v>42523</v>
          </cell>
          <cell r="P4391">
            <v>1.00052461</v>
          </cell>
          <cell r="Q4391">
            <v>10.545193643668844</v>
          </cell>
        </row>
        <row r="4392">
          <cell r="O4392">
            <v>42524</v>
          </cell>
          <cell r="P4392">
            <v>1.00052461</v>
          </cell>
          <cell r="Q4392">
            <v>10.55072575770625</v>
          </cell>
        </row>
        <row r="4393">
          <cell r="O4393">
            <v>42527</v>
          </cell>
          <cell r="P4393">
            <v>1.00052461</v>
          </cell>
          <cell r="Q4393">
            <v>10.556260773946001</v>
          </cell>
        </row>
        <row r="4394">
          <cell r="O4394">
            <v>42528</v>
          </cell>
          <cell r="P4394">
            <v>1.00052461</v>
          </cell>
          <cell r="Q4394">
            <v>10.561798693910621</v>
          </cell>
        </row>
        <row r="4395">
          <cell r="O4395">
            <v>42529</v>
          </cell>
          <cell r="P4395">
            <v>1.00052461</v>
          </cell>
          <cell r="Q4395">
            <v>10.567339519123434</v>
          </cell>
        </row>
        <row r="4396">
          <cell r="O4396">
            <v>42530</v>
          </cell>
          <cell r="P4396">
            <v>1.00052461</v>
          </cell>
          <cell r="Q4396">
            <v>10.572883251108562</v>
          </cell>
        </row>
        <row r="4397">
          <cell r="O4397">
            <v>42531</v>
          </cell>
          <cell r="P4397">
            <v>1.00052461</v>
          </cell>
          <cell r="Q4397">
            <v>10.578429891390927</v>
          </cell>
        </row>
        <row r="4398">
          <cell r="O4398">
            <v>42534</v>
          </cell>
          <cell r="P4398">
            <v>1.00052461</v>
          </cell>
          <cell r="Q4398">
            <v>10.58397944149625</v>
          </cell>
        </row>
        <row r="4399">
          <cell r="O4399">
            <v>42535</v>
          </cell>
          <cell r="P4399">
            <v>1.00052461</v>
          </cell>
          <cell r="Q4399">
            <v>10.589531902951054</v>
          </cell>
        </row>
        <row r="4400">
          <cell r="O4400">
            <v>42536</v>
          </cell>
          <cell r="P4400">
            <v>1.00052461</v>
          </cell>
          <cell r="Q4400">
            <v>10.59508727728266</v>
          </cell>
        </row>
        <row r="4401">
          <cell r="O4401">
            <v>42537</v>
          </cell>
          <cell r="P4401">
            <v>1.00052461</v>
          </cell>
          <cell r="Q4401">
            <v>10.600645566019196</v>
          </cell>
        </row>
        <row r="4402">
          <cell r="O4402">
            <v>42538</v>
          </cell>
          <cell r="P4402">
            <v>1.00052461</v>
          </cell>
          <cell r="Q4402">
            <v>10.606206770689585</v>
          </cell>
        </row>
        <row r="4403">
          <cell r="O4403">
            <v>42541</v>
          </cell>
          <cell r="P4403">
            <v>1.00052461</v>
          </cell>
          <cell r="Q4403">
            <v>10.611770892823557</v>
          </cell>
        </row>
        <row r="4404">
          <cell r="O4404">
            <v>42542</v>
          </cell>
          <cell r="P4404">
            <v>1.00052461</v>
          </cell>
          <cell r="Q4404">
            <v>10.617337933951642</v>
          </cell>
        </row>
        <row r="4405">
          <cell r="O4405">
            <v>42543</v>
          </cell>
          <cell r="P4405">
            <v>1.00052461</v>
          </cell>
          <cell r="Q4405">
            <v>10.622907895605174</v>
          </cell>
        </row>
        <row r="4406">
          <cell r="O4406">
            <v>42544</v>
          </cell>
          <cell r="P4406">
            <v>1.00052461</v>
          </cell>
          <cell r="Q4406">
            <v>10.628480779316288</v>
          </cell>
        </row>
        <row r="4407">
          <cell r="O4407">
            <v>42545</v>
          </cell>
          <cell r="P4407">
            <v>1.00052461</v>
          </cell>
          <cell r="Q4407">
            <v>10.634056586617925</v>
          </cell>
        </row>
        <row r="4408">
          <cell r="O4408">
            <v>42548</v>
          </cell>
          <cell r="P4408">
            <v>1.00052461</v>
          </cell>
          <cell r="Q4408">
            <v>10.639635319043832</v>
          </cell>
        </row>
        <row r="4409">
          <cell r="O4409">
            <v>42549</v>
          </cell>
          <cell r="P4409">
            <v>1.00052461</v>
          </cell>
          <cell r="Q4409">
            <v>10.645216978128555</v>
          </cell>
        </row>
        <row r="4410">
          <cell r="O4410">
            <v>42550</v>
          </cell>
          <cell r="P4410">
            <v>1.00052461</v>
          </cell>
          <cell r="Q4410">
            <v>10.650801565407452</v>
          </cell>
        </row>
        <row r="4411">
          <cell r="O4411">
            <v>42551</v>
          </cell>
          <cell r="P4411">
            <v>1.00052461</v>
          </cell>
          <cell r="Q4411">
            <v>10.65638908241668</v>
          </cell>
        </row>
        <row r="4412">
          <cell r="O4412">
            <v>42552</v>
          </cell>
          <cell r="P4412">
            <v>1.00052461</v>
          </cell>
          <cell r="Q4412">
            <v>10.661979530693207</v>
          </cell>
        </row>
        <row r="4413">
          <cell r="O4413">
            <v>42555</v>
          </cell>
          <cell r="P4413">
            <v>1.00052461</v>
          </cell>
          <cell r="Q4413">
            <v>10.667572911774805</v>
          </cell>
        </row>
        <row r="4414">
          <cell r="O4414">
            <v>42556</v>
          </cell>
          <cell r="P4414">
            <v>1.00052461</v>
          </cell>
          <cell r="Q4414">
            <v>10.673169227200052</v>
          </cell>
        </row>
        <row r="4415">
          <cell r="O4415">
            <v>42557</v>
          </cell>
          <cell r="P4415">
            <v>1.00052461</v>
          </cell>
          <cell r="Q4415">
            <v>10.678768478508333</v>
          </cell>
        </row>
        <row r="4416">
          <cell r="O4416">
            <v>42558</v>
          </cell>
          <cell r="P4416">
            <v>1.00052461</v>
          </cell>
          <cell r="Q4416">
            <v>10.684370667239843</v>
          </cell>
        </row>
        <row r="4417">
          <cell r="O4417">
            <v>42559</v>
          </cell>
          <cell r="P4417">
            <v>1.00052461</v>
          </cell>
          <cell r="Q4417">
            <v>10.689975794935584</v>
          </cell>
        </row>
        <row r="4418">
          <cell r="O4418">
            <v>42562</v>
          </cell>
          <cell r="P4418">
            <v>1.00052461</v>
          </cell>
          <cell r="Q4418">
            <v>10.695583863137365</v>
          </cell>
        </row>
        <row r="4419">
          <cell r="O4419">
            <v>42563</v>
          </cell>
          <cell r="P4419">
            <v>1.00052461</v>
          </cell>
          <cell r="Q4419">
            <v>10.701194873387806</v>
          </cell>
        </row>
        <row r="4420">
          <cell r="O4420">
            <v>42564</v>
          </cell>
          <cell r="P4420">
            <v>1.00052461</v>
          </cell>
          <cell r="Q4420">
            <v>10.706808827230335</v>
          </cell>
        </row>
        <row r="4421">
          <cell r="O4421">
            <v>42565</v>
          </cell>
          <cell r="P4421">
            <v>1.00052461</v>
          </cell>
          <cell r="Q4421">
            <v>10.712425726209188</v>
          </cell>
        </row>
        <row r="4422">
          <cell r="O4422">
            <v>42566</v>
          </cell>
          <cell r="P4422">
            <v>1.00052461</v>
          </cell>
          <cell r="Q4422">
            <v>10.718045571869416</v>
          </cell>
        </row>
        <row r="4423">
          <cell r="O4423">
            <v>42569</v>
          </cell>
          <cell r="P4423">
            <v>1.00052461</v>
          </cell>
          <cell r="Q4423">
            <v>10.723668365756875</v>
          </cell>
        </row>
        <row r="4424">
          <cell r="O4424">
            <v>42570</v>
          </cell>
          <cell r="P4424">
            <v>1.00052461</v>
          </cell>
          <cell r="Q4424">
            <v>10.729294109418236</v>
          </cell>
        </row>
        <row r="4425">
          <cell r="O4425">
            <v>42571</v>
          </cell>
          <cell r="P4425">
            <v>1.00052461</v>
          </cell>
          <cell r="Q4425">
            <v>10.734922804400979</v>
          </cell>
        </row>
        <row r="4426">
          <cell r="O4426">
            <v>42572</v>
          </cell>
          <cell r="P4426">
            <v>1.00052461</v>
          </cell>
          <cell r="Q4426">
            <v>10.740554452253395</v>
          </cell>
        </row>
        <row r="4427">
          <cell r="O4427">
            <v>42573</v>
          </cell>
          <cell r="P4427">
            <v>1.00052461</v>
          </cell>
          <cell r="Q4427">
            <v>10.746189054524592</v>
          </cell>
        </row>
        <row r="4428">
          <cell r="O4428">
            <v>42576</v>
          </cell>
          <cell r="P4428">
            <v>1.00052461</v>
          </cell>
          <cell r="Q4428">
            <v>10.751826612764487</v>
          </cell>
        </row>
        <row r="4429">
          <cell r="O4429">
            <v>42577</v>
          </cell>
          <cell r="P4429">
            <v>1.00052461</v>
          </cell>
          <cell r="Q4429">
            <v>10.75746712852381</v>
          </cell>
        </row>
        <row r="4430">
          <cell r="O4430">
            <v>42578</v>
          </cell>
          <cell r="P4430">
            <v>1.00052461</v>
          </cell>
          <cell r="Q4430">
            <v>10.763110603354106</v>
          </cell>
        </row>
        <row r="4431">
          <cell r="O4431">
            <v>42579</v>
          </cell>
          <cell r="P4431">
            <v>1.00052461</v>
          </cell>
          <cell r="Q4431">
            <v>10.768757038807731</v>
          </cell>
        </row>
        <row r="4432">
          <cell r="O4432">
            <v>42580</v>
          </cell>
          <cell r="P4432">
            <v>1.00052461</v>
          </cell>
          <cell r="Q4432">
            <v>10.774406436437861</v>
          </cell>
        </row>
        <row r="4433">
          <cell r="O4433">
            <v>42583</v>
          </cell>
          <cell r="P4433">
            <v>1.00052461</v>
          </cell>
          <cell r="Q4433">
            <v>10.78005879779848</v>
          </cell>
        </row>
        <row r="4434">
          <cell r="O4434">
            <v>42584</v>
          </cell>
          <cell r="P4434">
            <v>1.00052461</v>
          </cell>
          <cell r="Q4434">
            <v>10.785714124444393</v>
          </cell>
        </row>
        <row r="4435">
          <cell r="O4435">
            <v>42585</v>
          </cell>
          <cell r="P4435">
            <v>1.00052461</v>
          </cell>
          <cell r="Q4435">
            <v>10.791372417931218</v>
          </cell>
        </row>
        <row r="4436">
          <cell r="O4436">
            <v>42586</v>
          </cell>
          <cell r="P4436">
            <v>1.00052461</v>
          </cell>
          <cell r="Q4436">
            <v>10.797033679815389</v>
          </cell>
        </row>
        <row r="4437">
          <cell r="O4437">
            <v>42587</v>
          </cell>
          <cell r="P4437">
            <v>1.00052461</v>
          </cell>
          <cell r="Q4437">
            <v>10.802697911654157</v>
          </cell>
        </row>
        <row r="4438">
          <cell r="O4438">
            <v>42590</v>
          </cell>
          <cell r="P4438">
            <v>1.00052461</v>
          </cell>
          <cell r="Q4438">
            <v>10.808365115005589</v>
          </cell>
        </row>
        <row r="4439">
          <cell r="O4439">
            <v>42591</v>
          </cell>
          <cell r="P4439">
            <v>1.00052461</v>
          </cell>
          <cell r="Q4439">
            <v>10.814035291428572</v>
          </cell>
        </row>
        <row r="4440">
          <cell r="O4440">
            <v>42592</v>
          </cell>
          <cell r="P4440">
            <v>1.00052461</v>
          </cell>
          <cell r="Q4440">
            <v>10.81970844248281</v>
          </cell>
        </row>
        <row r="4441">
          <cell r="O4441">
            <v>42593</v>
          </cell>
          <cell r="P4441">
            <v>1.00052461</v>
          </cell>
          <cell r="Q4441">
            <v>10.825384569728822</v>
          </cell>
        </row>
        <row r="4442">
          <cell r="O4442">
            <v>42594</v>
          </cell>
          <cell r="P4442">
            <v>1.00052461</v>
          </cell>
          <cell r="Q4442">
            <v>10.831063674727949</v>
          </cell>
        </row>
        <row r="4443">
          <cell r="O4443">
            <v>42597</v>
          </cell>
          <cell r="P4443">
            <v>1.00052461</v>
          </cell>
          <cell r="Q4443">
            <v>10.836745759042348</v>
          </cell>
        </row>
        <row r="4444">
          <cell r="O4444">
            <v>42598</v>
          </cell>
          <cell r="P4444">
            <v>1.00052461</v>
          </cell>
          <cell r="Q4444">
            <v>10.842430824234999</v>
          </cell>
        </row>
        <row r="4445">
          <cell r="O4445">
            <v>42599</v>
          </cell>
          <cell r="P4445">
            <v>1.00052461</v>
          </cell>
          <cell r="Q4445">
            <v>10.848118871869701</v>
          </cell>
        </row>
        <row r="4446">
          <cell r="O4446">
            <v>42600</v>
          </cell>
          <cell r="P4446">
            <v>1.00052461</v>
          </cell>
          <cell r="Q4446">
            <v>10.853809903511074</v>
          </cell>
        </row>
        <row r="4447">
          <cell r="O4447">
            <v>42601</v>
          </cell>
          <cell r="P4447">
            <v>1.00052461</v>
          </cell>
          <cell r="Q4447">
            <v>10.859503920724555</v>
          </cell>
        </row>
        <row r="4448">
          <cell r="O4448">
            <v>42604</v>
          </cell>
          <cell r="P4448">
            <v>1.00052461</v>
          </cell>
          <cell r="Q4448">
            <v>10.865200925076406</v>
          </cell>
        </row>
        <row r="4449">
          <cell r="O4449">
            <v>42605</v>
          </cell>
          <cell r="P4449">
            <v>1.00052461</v>
          </cell>
          <cell r="Q4449">
            <v>10.87090091813371</v>
          </cell>
        </row>
        <row r="4450">
          <cell r="O4450">
            <v>42606</v>
          </cell>
          <cell r="P4450">
            <v>1.00052461</v>
          </cell>
          <cell r="Q4450">
            <v>10.876603901464373</v>
          </cell>
        </row>
        <row r="4451">
          <cell r="O4451">
            <v>42607</v>
          </cell>
          <cell r="P4451">
            <v>1.00052461</v>
          </cell>
          <cell r="Q4451">
            <v>10.88230987663712</v>
          </cell>
        </row>
        <row r="4452">
          <cell r="O4452">
            <v>42608</v>
          </cell>
          <cell r="P4452">
            <v>1.00052461</v>
          </cell>
          <cell r="Q4452">
            <v>10.888018845221502</v>
          </cell>
        </row>
        <row r="4453">
          <cell r="O4453">
            <v>42611</v>
          </cell>
          <cell r="P4453">
            <v>1.00052461</v>
          </cell>
          <cell r="Q4453">
            <v>10.893730808787895</v>
          </cell>
        </row>
        <row r="4454">
          <cell r="O4454">
            <v>42612</v>
          </cell>
          <cell r="P4454">
            <v>1.00052461</v>
          </cell>
          <cell r="Q4454">
            <v>10.899445768907494</v>
          </cell>
        </row>
        <row r="4455">
          <cell r="O4455">
            <v>42613</v>
          </cell>
          <cell r="P4455">
            <v>1.00052461</v>
          </cell>
          <cell r="Q4455">
            <v>10.905163727152321</v>
          </cell>
        </row>
        <row r="4456">
          <cell r="O4456">
            <v>42614</v>
          </cell>
          <cell r="P4456">
            <v>1.00052461</v>
          </cell>
          <cell r="Q4456">
            <v>10.910884685095223</v>
          </cell>
        </row>
        <row r="4457">
          <cell r="O4457">
            <v>42615</v>
          </cell>
          <cell r="P4457">
            <v>1.00052461</v>
          </cell>
          <cell r="Q4457">
            <v>10.916608644309871</v>
          </cell>
        </row>
        <row r="4458">
          <cell r="O4458">
            <v>42618</v>
          </cell>
          <cell r="P4458">
            <v>1.00052461</v>
          </cell>
          <cell r="Q4458">
            <v>10.922335606370764</v>
          </cell>
        </row>
        <row r="4459">
          <cell r="O4459">
            <v>42619</v>
          </cell>
          <cell r="P4459">
            <v>1.00052461</v>
          </cell>
          <cell r="Q4459">
            <v>10.928065572853223</v>
          </cell>
        </row>
        <row r="4460">
          <cell r="O4460">
            <v>42621</v>
          </cell>
          <cell r="P4460">
            <v>1.00052461</v>
          </cell>
          <cell r="Q4460">
            <v>10.933798545333397</v>
          </cell>
        </row>
        <row r="4461">
          <cell r="O4461">
            <v>42622</v>
          </cell>
          <cell r="P4461">
            <v>1.00052461</v>
          </cell>
          <cell r="Q4461">
            <v>10.939534525388265</v>
          </cell>
        </row>
        <row r="4462">
          <cell r="O4462">
            <v>42625</v>
          </cell>
          <cell r="P4462">
            <v>1.00052461</v>
          </cell>
          <cell r="Q4462">
            <v>10.945273514595629</v>
          </cell>
        </row>
        <row r="4463">
          <cell r="O4463">
            <v>42626</v>
          </cell>
          <cell r="P4463">
            <v>1.00052461</v>
          </cell>
          <cell r="Q4463">
            <v>10.95101551453412</v>
          </cell>
        </row>
        <row r="4464">
          <cell r="O4464">
            <v>42627</v>
          </cell>
          <cell r="P4464">
            <v>1.00052461</v>
          </cell>
          <cell r="Q4464">
            <v>10.956760526783201</v>
          </cell>
        </row>
        <row r="4465">
          <cell r="O4465">
            <v>42628</v>
          </cell>
          <cell r="P4465">
            <v>1.00052461</v>
          </cell>
          <cell r="Q4465">
            <v>10.962508552923158</v>
          </cell>
        </row>
        <row r="4466">
          <cell r="O4466">
            <v>42629</v>
          </cell>
          <cell r="P4466">
            <v>1.00052461</v>
          </cell>
          <cell r="Q4466">
            <v>10.968259594535107</v>
          </cell>
        </row>
        <row r="4467">
          <cell r="O4467">
            <v>42632</v>
          </cell>
          <cell r="P4467">
            <v>1.00052461</v>
          </cell>
          <cell r="Q4467">
            <v>10.974013653200997</v>
          </cell>
        </row>
        <row r="4468">
          <cell r="O4468">
            <v>42633</v>
          </cell>
          <cell r="P4468">
            <v>1.00052461</v>
          </cell>
          <cell r="Q4468">
            <v>10.979770730503603</v>
          </cell>
        </row>
        <row r="4469">
          <cell r="O4469">
            <v>42634</v>
          </cell>
          <cell r="P4469">
            <v>1.00052461</v>
          </cell>
          <cell r="Q4469">
            <v>10.985530828026533</v>
          </cell>
        </row>
        <row r="4470">
          <cell r="O4470">
            <v>42635</v>
          </cell>
          <cell r="P4470">
            <v>1.00052461</v>
          </cell>
          <cell r="Q4470">
            <v>10.991293947354224</v>
          </cell>
        </row>
        <row r="4471">
          <cell r="O4471">
            <v>42636</v>
          </cell>
          <cell r="P4471">
            <v>1.00052461</v>
          </cell>
          <cell r="Q4471">
            <v>10.997060090071946</v>
          </cell>
        </row>
        <row r="4472">
          <cell r="O4472">
            <v>42639</v>
          </cell>
          <cell r="P4472">
            <v>1.00052461</v>
          </cell>
          <cell r="Q4472">
            <v>11.002829257765798</v>
          </cell>
        </row>
        <row r="4473">
          <cell r="O4473">
            <v>42640</v>
          </cell>
          <cell r="P4473">
            <v>1.00052461</v>
          </cell>
          <cell r="Q4473">
            <v>11.008601452022715</v>
          </cell>
        </row>
        <row r="4474">
          <cell r="O4474">
            <v>42641</v>
          </cell>
          <cell r="P4474">
            <v>1.00052461</v>
          </cell>
          <cell r="Q4474">
            <v>11.01437667443046</v>
          </cell>
        </row>
        <row r="4475">
          <cell r="O4475">
            <v>42642</v>
          </cell>
          <cell r="P4475">
            <v>1.00052461</v>
          </cell>
          <cell r="Q4475">
            <v>11.020154926577634</v>
          </cell>
        </row>
        <row r="4476">
          <cell r="O4476">
            <v>42643</v>
          </cell>
          <cell r="P4476">
            <v>1.00052461</v>
          </cell>
          <cell r="Q4476">
            <v>11.025936210053667</v>
          </cell>
        </row>
        <row r="4477">
          <cell r="O4477">
            <v>42646</v>
          </cell>
          <cell r="P4477">
            <v>1.00052461</v>
          </cell>
          <cell r="Q4477">
            <v>11.031720526448824</v>
          </cell>
        </row>
        <row r="4478">
          <cell r="O4478">
            <v>42647</v>
          </cell>
          <cell r="P4478">
            <v>1.00052461</v>
          </cell>
          <cell r="Q4478">
            <v>11.037507877354205</v>
          </cell>
        </row>
        <row r="4479">
          <cell r="O4479">
            <v>42648</v>
          </cell>
          <cell r="P4479">
            <v>1.00052461</v>
          </cell>
          <cell r="Q4479">
            <v>11.043298264361745</v>
          </cell>
        </row>
        <row r="4480">
          <cell r="O4480">
            <v>42649</v>
          </cell>
          <cell r="P4480">
            <v>1.00052461</v>
          </cell>
          <cell r="Q4480">
            <v>11.049091689064213</v>
          </cell>
        </row>
        <row r="4481">
          <cell r="O4481">
            <v>42650</v>
          </cell>
          <cell r="P4481">
            <v>1.00052461</v>
          </cell>
          <cell r="Q4481">
            <v>11.054888153055213</v>
          </cell>
        </row>
        <row r="4482">
          <cell r="O4482">
            <v>42653</v>
          </cell>
          <cell r="P4482">
            <v>1.00052461</v>
          </cell>
          <cell r="Q4482">
            <v>11.060687657929188</v>
          </cell>
        </row>
        <row r="4483">
          <cell r="O4483">
            <v>42654</v>
          </cell>
          <cell r="P4483">
            <v>1.00052461</v>
          </cell>
          <cell r="Q4483">
            <v>11.066490205281415</v>
          </cell>
        </row>
        <row r="4484">
          <cell r="O4484">
            <v>42656</v>
          </cell>
          <cell r="P4484">
            <v>1.00052461</v>
          </cell>
          <cell r="Q4484">
            <v>11.072295796708008</v>
          </cell>
        </row>
        <row r="4485">
          <cell r="O4485">
            <v>42657</v>
          </cell>
          <cell r="P4485">
            <v>1.00052461</v>
          </cell>
          <cell r="Q4485">
            <v>11.078104433805921</v>
          </cell>
        </row>
        <row r="4486">
          <cell r="O4486">
            <v>42660</v>
          </cell>
          <cell r="P4486">
            <v>1.00052461</v>
          </cell>
          <cell r="Q4486">
            <v>11.08391611817294</v>
          </cell>
        </row>
        <row r="4487">
          <cell r="O4487">
            <v>42661</v>
          </cell>
          <cell r="P4487">
            <v>1.00052461</v>
          </cell>
          <cell r="Q4487">
            <v>11.089730851407696</v>
          </cell>
        </row>
        <row r="4488">
          <cell r="O4488">
            <v>42662</v>
          </cell>
          <cell r="P4488">
            <v>1.00052461</v>
          </cell>
          <cell r="Q4488">
            <v>11.095548635109653</v>
          </cell>
        </row>
        <row r="4489">
          <cell r="O4489">
            <v>42663</v>
          </cell>
          <cell r="P4489">
            <v>1.00052461</v>
          </cell>
          <cell r="Q4489">
            <v>11.101369470879119</v>
          </cell>
        </row>
        <row r="4490">
          <cell r="O4490">
            <v>42664</v>
          </cell>
          <cell r="P4490">
            <v>1.0005159100000001</v>
          </cell>
          <cell r="Q4490">
            <v>11.107096778402841</v>
          </cell>
        </row>
        <row r="4491">
          <cell r="O4491">
            <v>42667</v>
          </cell>
          <cell r="P4491">
            <v>1.0005159100000001</v>
          </cell>
          <cell r="Q4491">
            <v>11.112827040701788</v>
          </cell>
        </row>
        <row r="4492">
          <cell r="O4492">
            <v>42668</v>
          </cell>
          <cell r="P4492">
            <v>1.0005159100000001</v>
          </cell>
          <cell r="Q4492">
            <v>11.118560259300358</v>
          </cell>
        </row>
        <row r="4493">
          <cell r="O4493">
            <v>42669</v>
          </cell>
          <cell r="P4493">
            <v>1.0005159100000001</v>
          </cell>
          <cell r="Q4493">
            <v>11.124296435723734</v>
          </cell>
        </row>
        <row r="4494">
          <cell r="O4494">
            <v>42670</v>
          </cell>
          <cell r="P4494">
            <v>1.0005159100000001</v>
          </cell>
          <cell r="Q4494">
            <v>11.130035571497888</v>
          </cell>
        </row>
        <row r="4495">
          <cell r="O4495">
            <v>42671</v>
          </cell>
          <cell r="P4495">
            <v>1.0005159100000001</v>
          </cell>
          <cell r="Q4495">
            <v>11.135777668149581</v>
          </cell>
        </row>
        <row r="4496">
          <cell r="O4496">
            <v>42674</v>
          </cell>
          <cell r="P4496">
            <v>1.0005159100000001</v>
          </cell>
          <cell r="Q4496">
            <v>11.141522727206358</v>
          </cell>
        </row>
        <row r="4497">
          <cell r="O4497">
            <v>42675</v>
          </cell>
          <cell r="P4497">
            <v>1.0005159100000001</v>
          </cell>
          <cell r="Q4497">
            <v>11.147270750196551</v>
          </cell>
        </row>
        <row r="4498">
          <cell r="O4498">
            <v>42677</v>
          </cell>
          <cell r="P4498">
            <v>1.0005159100000001</v>
          </cell>
          <cell r="Q4498">
            <v>11.153021738649285</v>
          </cell>
        </row>
        <row r="4499">
          <cell r="O4499">
            <v>42678</v>
          </cell>
          <cell r="P4499">
            <v>1.0005159100000001</v>
          </cell>
          <cell r="Q4499">
            <v>11.158775694094471</v>
          </cell>
        </row>
        <row r="4500">
          <cell r="O4500">
            <v>42681</v>
          </cell>
          <cell r="P4500">
            <v>1.0005159100000001</v>
          </cell>
          <cell r="Q4500">
            <v>11.164532618062813</v>
          </cell>
        </row>
        <row r="4501">
          <cell r="O4501">
            <v>42682</v>
          </cell>
          <cell r="P4501">
            <v>1.0005159100000001</v>
          </cell>
          <cell r="Q4501">
            <v>11.170292512085798</v>
          </cell>
        </row>
        <row r="4502">
          <cell r="O4502">
            <v>42683</v>
          </cell>
          <cell r="P4502">
            <v>1.0005159100000001</v>
          </cell>
          <cell r="Q4502">
            <v>11.176055377695709</v>
          </cell>
        </row>
        <row r="4503">
          <cell r="O4503">
            <v>42684</v>
          </cell>
          <cell r="P4503">
            <v>1.0005159100000001</v>
          </cell>
          <cell r="Q4503">
            <v>11.181821216425616</v>
          </cell>
        </row>
        <row r="4504">
          <cell r="O4504">
            <v>42685</v>
          </cell>
          <cell r="P4504">
            <v>1.0005159100000001</v>
          </cell>
          <cell r="Q4504">
            <v>11.187590029809384</v>
          </cell>
        </row>
        <row r="4505">
          <cell r="O4505">
            <v>42688</v>
          </cell>
          <cell r="P4505">
            <v>1.0005159100000001</v>
          </cell>
          <cell r="Q4505">
            <v>11.193361819381662</v>
          </cell>
        </row>
        <row r="4506">
          <cell r="O4506">
            <v>42690</v>
          </cell>
          <cell r="P4506">
            <v>1.0005159100000001</v>
          </cell>
          <cell r="Q4506">
            <v>11.1991365866779</v>
          </cell>
        </row>
        <row r="4507">
          <cell r="O4507">
            <v>42691</v>
          </cell>
          <cell r="P4507">
            <v>1.0005159100000001</v>
          </cell>
          <cell r="Q4507">
            <v>11.204914333234335</v>
          </cell>
        </row>
        <row r="4508">
          <cell r="O4508">
            <v>42692</v>
          </cell>
          <cell r="P4508">
            <v>1.0005159100000001</v>
          </cell>
          <cell r="Q4508">
            <v>11.210695060587994</v>
          </cell>
        </row>
        <row r="4509">
          <cell r="O4509">
            <v>42695</v>
          </cell>
          <cell r="P4509">
            <v>1.0005159100000001</v>
          </cell>
          <cell r="Q4509">
            <v>11.216478770276703</v>
          </cell>
        </row>
        <row r="4510">
          <cell r="O4510">
            <v>42696</v>
          </cell>
          <cell r="P4510">
            <v>1.0005159100000001</v>
          </cell>
          <cell r="Q4510">
            <v>11.222265463839078</v>
          </cell>
        </row>
        <row r="4511">
          <cell r="O4511">
            <v>42697</v>
          </cell>
          <cell r="P4511">
            <v>1.0005159100000001</v>
          </cell>
          <cell r="Q4511">
            <v>11.228055142814528</v>
          </cell>
        </row>
        <row r="4512">
          <cell r="O4512">
            <v>42698</v>
          </cell>
          <cell r="P4512">
            <v>1.0005159100000001</v>
          </cell>
          <cell r="Q4512">
            <v>11.233847808743258</v>
          </cell>
        </row>
        <row r="4513">
          <cell r="O4513">
            <v>42699</v>
          </cell>
          <cell r="P4513">
            <v>1.0005159100000001</v>
          </cell>
          <cell r="Q4513">
            <v>11.239643463166267</v>
          </cell>
        </row>
        <row r="4514">
          <cell r="O4514">
            <v>42702</v>
          </cell>
          <cell r="P4514">
            <v>1.0005159100000001</v>
          </cell>
          <cell r="Q4514">
            <v>11.245442107625349</v>
          </cell>
        </row>
        <row r="4515">
          <cell r="O4515">
            <v>42703</v>
          </cell>
          <cell r="P4515">
            <v>1.0005159100000001</v>
          </cell>
          <cell r="Q4515">
            <v>11.251243743663094</v>
          </cell>
        </row>
        <row r="4516">
          <cell r="O4516">
            <v>42704</v>
          </cell>
          <cell r="P4516">
            <v>1.0005159100000001</v>
          </cell>
          <cell r="Q4516">
            <v>11.257048372822888</v>
          </cell>
        </row>
        <row r="4517">
          <cell r="O4517">
            <v>42705</v>
          </cell>
          <cell r="P4517">
            <v>1.0005159100000001</v>
          </cell>
          <cell r="Q4517">
            <v>11.262855996648913</v>
          </cell>
        </row>
        <row r="4518">
          <cell r="O4518">
            <v>42706</v>
          </cell>
          <cell r="P4518">
            <v>1.0005071800000001</v>
          </cell>
          <cell r="Q4518">
            <v>11.268568291953294</v>
          </cell>
        </row>
        <row r="4519">
          <cell r="O4519">
            <v>42709</v>
          </cell>
          <cell r="P4519">
            <v>1.0005071800000001</v>
          </cell>
          <cell r="Q4519">
            <v>11.274283484419607</v>
          </cell>
        </row>
        <row r="4520">
          <cell r="O4520">
            <v>42710</v>
          </cell>
          <cell r="P4520">
            <v>1.0005071800000001</v>
          </cell>
          <cell r="Q4520">
            <v>11.280001575517236</v>
          </cell>
        </row>
        <row r="4521">
          <cell r="O4521">
            <v>42711</v>
          </cell>
          <cell r="P4521">
            <v>1.0005071800000001</v>
          </cell>
          <cell r="Q4521">
            <v>11.285722566716307</v>
          </cell>
        </row>
        <row r="4522">
          <cell r="O4522">
            <v>42712</v>
          </cell>
          <cell r="P4522">
            <v>1.0005071800000001</v>
          </cell>
          <cell r="Q4522">
            <v>11.291446459487695</v>
          </cell>
        </row>
        <row r="4523">
          <cell r="O4523">
            <v>42713</v>
          </cell>
          <cell r="P4523">
            <v>1.0005071800000001</v>
          </cell>
          <cell r="Q4523">
            <v>11.297173255303019</v>
          </cell>
        </row>
        <row r="4524">
          <cell r="O4524">
            <v>42716</v>
          </cell>
          <cell r="P4524">
            <v>1.0005071800000001</v>
          </cell>
          <cell r="Q4524">
            <v>11.302902955634643</v>
          </cell>
        </row>
        <row r="4525">
          <cell r="O4525">
            <v>42717</v>
          </cell>
          <cell r="P4525">
            <v>1.0005071800000001</v>
          </cell>
          <cell r="Q4525">
            <v>11.308635561955683</v>
          </cell>
        </row>
        <row r="4526">
          <cell r="O4526">
            <v>42718</v>
          </cell>
          <cell r="P4526">
            <v>1.0005071800000001</v>
          </cell>
          <cell r="Q4526">
            <v>11.314371075739995</v>
          </cell>
        </row>
        <row r="4527">
          <cell r="O4527">
            <v>42719</v>
          </cell>
          <cell r="P4527">
            <v>1.0005071800000001</v>
          </cell>
          <cell r="Q4527">
            <v>11.320109498462189</v>
          </cell>
        </row>
        <row r="4528">
          <cell r="O4528">
            <v>42720</v>
          </cell>
          <cell r="P4528">
            <v>1.0005071800000001</v>
          </cell>
          <cell r="Q4528">
            <v>11.32585083159762</v>
          </cell>
        </row>
        <row r="4529">
          <cell r="O4529">
            <v>42723</v>
          </cell>
          <cell r="P4529">
            <v>1.0005071800000001</v>
          </cell>
          <cell r="Q4529">
            <v>11.33159507662239</v>
          </cell>
        </row>
        <row r="4530">
          <cell r="O4530">
            <v>42724</v>
          </cell>
          <cell r="P4530">
            <v>1.0005071800000001</v>
          </cell>
          <cell r="Q4530">
            <v>11.337342235013352</v>
          </cell>
        </row>
        <row r="4531">
          <cell r="O4531">
            <v>42725</v>
          </cell>
          <cell r="P4531">
            <v>1.0005071800000001</v>
          </cell>
          <cell r="Q4531">
            <v>11.343092308248107</v>
          </cell>
        </row>
        <row r="4532">
          <cell r="O4532">
            <v>42726</v>
          </cell>
          <cell r="P4532">
            <v>1.0005071800000001</v>
          </cell>
          <cell r="Q4532">
            <v>11.348845297805005</v>
          </cell>
        </row>
        <row r="4533">
          <cell r="O4533">
            <v>42727</v>
          </cell>
          <cell r="P4533">
            <v>1.0005071800000001</v>
          </cell>
          <cell r="Q4533">
            <v>11.354601205163146</v>
          </cell>
        </row>
        <row r="4534">
          <cell r="O4534">
            <v>42730</v>
          </cell>
          <cell r="P4534">
            <v>1.0005071800000001</v>
          </cell>
          <cell r="Q4534">
            <v>11.360360031802381</v>
          </cell>
        </row>
        <row r="4535">
          <cell r="O4535">
            <v>42731</v>
          </cell>
          <cell r="P4535">
            <v>1.0005071800000001</v>
          </cell>
          <cell r="Q4535">
            <v>11.366121779203311</v>
          </cell>
        </row>
        <row r="4536">
          <cell r="O4536">
            <v>42732</v>
          </cell>
          <cell r="P4536">
            <v>1.0005071800000001</v>
          </cell>
          <cell r="Q4536">
            <v>11.371886448847288</v>
          </cell>
        </row>
        <row r="4537">
          <cell r="O4537">
            <v>42733</v>
          </cell>
          <cell r="P4537">
            <v>1.0005071800000001</v>
          </cell>
          <cell r="Q4537">
            <v>11.377654042216415</v>
          </cell>
        </row>
        <row r="4538">
          <cell r="O4538">
            <v>42734</v>
          </cell>
          <cell r="P4538">
            <v>1.0005071800000001</v>
          </cell>
          <cell r="Q4538">
            <v>11.383424560793546</v>
          </cell>
        </row>
        <row r="4539">
          <cell r="O4539">
            <v>42737</v>
          </cell>
          <cell r="P4539">
            <v>1.0005071800000001</v>
          </cell>
          <cell r="Q4539">
            <v>11.389198006062291</v>
          </cell>
        </row>
        <row r="4540">
          <cell r="O4540">
            <v>42738</v>
          </cell>
          <cell r="P4540">
            <v>1.0005071800000001</v>
          </cell>
          <cell r="Q4540">
            <v>11.394974379507007</v>
          </cell>
        </row>
        <row r="4541">
          <cell r="O4541">
            <v>42739</v>
          </cell>
          <cell r="P4541">
            <v>1.0005071800000001</v>
          </cell>
          <cell r="Q4541">
            <v>11.400753682612805</v>
          </cell>
        </row>
        <row r="4542">
          <cell r="O4542">
            <v>42740</v>
          </cell>
          <cell r="P4542">
            <v>1.0005071800000001</v>
          </cell>
          <cell r="Q4542">
            <v>11.406535916865554</v>
          </cell>
        </row>
        <row r="4543">
          <cell r="O4543">
            <v>42741</v>
          </cell>
          <cell r="P4543">
            <v>1.0005071800000001</v>
          </cell>
          <cell r="Q4543">
            <v>11.41232108375187</v>
          </cell>
        </row>
        <row r="4544">
          <cell r="O4544">
            <v>42744</v>
          </cell>
          <cell r="P4544">
            <v>1.0005071800000001</v>
          </cell>
          <cell r="Q4544">
            <v>11.418109184759128</v>
          </cell>
        </row>
        <row r="4545">
          <cell r="O4545">
            <v>42745</v>
          </cell>
          <cell r="P4545">
            <v>1.0005071800000001</v>
          </cell>
          <cell r="Q4545">
            <v>11.423900221375455</v>
          </cell>
        </row>
        <row r="4546">
          <cell r="O4546">
            <v>42746</v>
          </cell>
          <cell r="P4546">
            <v>1.0005071800000001</v>
          </cell>
          <cell r="Q4546">
            <v>11.429694195089732</v>
          </cell>
        </row>
        <row r="4547">
          <cell r="O4547">
            <v>42747</v>
          </cell>
          <cell r="P4547">
            <v>1.0005071800000001</v>
          </cell>
          <cell r="Q4547">
            <v>11.435491107391599</v>
          </cell>
        </row>
        <row r="4548">
          <cell r="O4548">
            <v>42748</v>
          </cell>
          <cell r="P4548">
            <v>1.00048089</v>
          </cell>
          <cell r="Q4548">
            <v>11.440990320710231</v>
          </cell>
        </row>
        <row r="4549">
          <cell r="O4549">
            <v>42751</v>
          </cell>
          <cell r="P4549">
            <v>1.00048089</v>
          </cell>
          <cell r="Q4549">
            <v>11.446492178545556</v>
          </cell>
        </row>
        <row r="4550">
          <cell r="O4550">
            <v>42752</v>
          </cell>
          <cell r="P4550">
            <v>1.00048089</v>
          </cell>
          <cell r="Q4550">
            <v>11.451996682169296</v>
          </cell>
        </row>
        <row r="4551">
          <cell r="O4551">
            <v>42753</v>
          </cell>
          <cell r="P4551">
            <v>1.00048089</v>
          </cell>
          <cell r="Q4551">
            <v>11.457503832853785</v>
          </cell>
        </row>
        <row r="4552">
          <cell r="O4552">
            <v>42754</v>
          </cell>
          <cell r="P4552">
            <v>1.00048089</v>
          </cell>
          <cell r="Q4552">
            <v>11.463013631871966</v>
          </cell>
        </row>
        <row r="4553">
          <cell r="O4553">
            <v>42755</v>
          </cell>
          <cell r="P4553">
            <v>1.00048089</v>
          </cell>
          <cell r="Q4553">
            <v>11.468526080497396</v>
          </cell>
        </row>
        <row r="4554">
          <cell r="O4554">
            <v>42758</v>
          </cell>
          <cell r="P4554">
            <v>1.00048089</v>
          </cell>
          <cell r="Q4554">
            <v>11.474041180004246</v>
          </cell>
        </row>
        <row r="4555">
          <cell r="O4555">
            <v>42759</v>
          </cell>
          <cell r="P4555">
            <v>1.00048089</v>
          </cell>
          <cell r="Q4555">
            <v>11.479558931667297</v>
          </cell>
        </row>
        <row r="4556">
          <cell r="O4556">
            <v>42760</v>
          </cell>
          <cell r="P4556">
            <v>1.00048089</v>
          </cell>
          <cell r="Q4556">
            <v>11.485079336761945</v>
          </cell>
        </row>
        <row r="4557">
          <cell r="O4557">
            <v>42761</v>
          </cell>
          <cell r="P4557">
            <v>1.00048089</v>
          </cell>
          <cell r="Q4557">
            <v>11.490602396564201</v>
          </cell>
        </row>
        <row r="4558">
          <cell r="O4558">
            <v>42762</v>
          </cell>
          <cell r="P4558">
            <v>1.00048089</v>
          </cell>
          <cell r="Q4558">
            <v>11.496128112350684</v>
          </cell>
        </row>
        <row r="4559">
          <cell r="O4559">
            <v>42765</v>
          </cell>
          <cell r="P4559">
            <v>1.00048089</v>
          </cell>
          <cell r="Q4559">
            <v>11.501656485398632</v>
          </cell>
        </row>
        <row r="4560">
          <cell r="O4560">
            <v>42766</v>
          </cell>
          <cell r="P4560">
            <v>1.00048089</v>
          </cell>
          <cell r="Q4560">
            <v>11.507187516985894</v>
          </cell>
        </row>
        <row r="4561">
          <cell r="O4561">
            <v>42767</v>
          </cell>
          <cell r="P4561">
            <v>1.00048089</v>
          </cell>
          <cell r="Q4561">
            <v>11.512721208390937</v>
          </cell>
        </row>
        <row r="4562">
          <cell r="O4562">
            <v>42768</v>
          </cell>
          <cell r="P4562">
            <v>1.00048089</v>
          </cell>
          <cell r="Q4562">
            <v>11.51825756089284</v>
          </cell>
        </row>
        <row r="4563">
          <cell r="O4563">
            <v>42769</v>
          </cell>
          <cell r="P4563">
            <v>1.00048089</v>
          </cell>
          <cell r="Q4563">
            <v>11.523796575771296</v>
          </cell>
        </row>
        <row r="4564">
          <cell r="O4564">
            <v>42772</v>
          </cell>
          <cell r="P4564">
            <v>1.00048089</v>
          </cell>
          <cell r="Q4564">
            <v>11.529338254306618</v>
          </cell>
        </row>
        <row r="4565">
          <cell r="O4565">
            <v>42773</v>
          </cell>
          <cell r="P4565">
            <v>1.00048089</v>
          </cell>
          <cell r="Q4565">
            <v>11.534882597779731</v>
          </cell>
        </row>
        <row r="4566">
          <cell r="O4566">
            <v>42774</v>
          </cell>
          <cell r="P4566">
            <v>1.00048089</v>
          </cell>
          <cell r="Q4566">
            <v>11.540429607472177</v>
          </cell>
        </row>
        <row r="4567">
          <cell r="O4567">
            <v>42775</v>
          </cell>
          <cell r="P4567">
            <v>1.00048089</v>
          </cell>
          <cell r="Q4567">
            <v>11.545979284666114</v>
          </cell>
        </row>
        <row r="4568">
          <cell r="O4568">
            <v>42776</v>
          </cell>
          <cell r="P4568">
            <v>1.00048089</v>
          </cell>
          <cell r="Q4568">
            <v>11.551531630644316</v>
          </cell>
        </row>
        <row r="4569">
          <cell r="O4569">
            <v>42779</v>
          </cell>
          <cell r="P4569">
            <v>1.00048089</v>
          </cell>
          <cell r="Q4569">
            <v>11.557086646690177</v>
          </cell>
        </row>
        <row r="4570">
          <cell r="O4570">
            <v>42780</v>
          </cell>
          <cell r="P4570">
            <v>1.00048089</v>
          </cell>
          <cell r="Q4570">
            <v>11.562644334087704</v>
          </cell>
        </row>
        <row r="4571">
          <cell r="O4571">
            <v>42781</v>
          </cell>
          <cell r="P4571">
            <v>1.00048089</v>
          </cell>
          <cell r="Q4571">
            <v>11.568204694121523</v>
          </cell>
        </row>
        <row r="4572">
          <cell r="O4572">
            <v>42782</v>
          </cell>
          <cell r="P4572">
            <v>1.00048089</v>
          </cell>
          <cell r="Q4572">
            <v>11.573767728076879</v>
          </cell>
        </row>
        <row r="4573">
          <cell r="O4573">
            <v>42783</v>
          </cell>
          <cell r="P4573">
            <v>1.00048089</v>
          </cell>
          <cell r="Q4573">
            <v>11.579333437239633</v>
          </cell>
        </row>
        <row r="4574">
          <cell r="O4574">
            <v>42786</v>
          </cell>
          <cell r="P4574">
            <v>1.00048089</v>
          </cell>
          <cell r="Q4574">
            <v>11.584901822896267</v>
          </cell>
        </row>
        <row r="4575">
          <cell r="O4575">
            <v>42787</v>
          </cell>
          <cell r="P4575">
            <v>1.00048089</v>
          </cell>
          <cell r="Q4575">
            <v>11.590472886333879</v>
          </cell>
        </row>
        <row r="4576">
          <cell r="O4576">
            <v>42788</v>
          </cell>
          <cell r="P4576">
            <v>1.00048089</v>
          </cell>
          <cell r="Q4576">
            <v>11.596046628840188</v>
          </cell>
        </row>
        <row r="4577">
          <cell r="O4577">
            <v>42789</v>
          </cell>
          <cell r="P4577">
            <v>1.00048089</v>
          </cell>
          <cell r="Q4577">
            <v>11.60162305170353</v>
          </cell>
        </row>
        <row r="4578">
          <cell r="O4578">
            <v>42790</v>
          </cell>
          <cell r="P4578">
            <v>1.0004544200000001</v>
          </cell>
          <cell r="Q4578">
            <v>11.606895061250686</v>
          </cell>
        </row>
        <row r="4579">
          <cell r="O4579">
            <v>42795</v>
          </cell>
          <cell r="P4579">
            <v>1.0004544200000001</v>
          </cell>
          <cell r="Q4579">
            <v>11.612169466504421</v>
          </cell>
        </row>
        <row r="4580">
          <cell r="O4580">
            <v>42796</v>
          </cell>
          <cell r="P4580">
            <v>1.0004544200000001</v>
          </cell>
          <cell r="Q4580">
            <v>11.61744626855339</v>
          </cell>
        </row>
        <row r="4581">
          <cell r="O4581">
            <v>42797</v>
          </cell>
          <cell r="P4581">
            <v>1.0004544200000001</v>
          </cell>
          <cell r="Q4581">
            <v>11.622725468486747</v>
          </cell>
        </row>
        <row r="4582">
          <cell r="O4582">
            <v>42800</v>
          </cell>
          <cell r="P4582">
            <v>1.0004544200000001</v>
          </cell>
          <cell r="Q4582">
            <v>11.628007067394138</v>
          </cell>
        </row>
        <row r="4583">
          <cell r="O4583">
            <v>42801</v>
          </cell>
          <cell r="P4583">
            <v>1.0004544200000001</v>
          </cell>
          <cell r="Q4583">
            <v>11.633291066365704</v>
          </cell>
        </row>
        <row r="4584">
          <cell r="O4584">
            <v>42802</v>
          </cell>
          <cell r="P4584">
            <v>1.0004544200000001</v>
          </cell>
          <cell r="Q4584">
            <v>11.638577466492082</v>
          </cell>
        </row>
        <row r="4585">
          <cell r="O4585">
            <v>42803</v>
          </cell>
          <cell r="P4585">
            <v>1.0004544200000001</v>
          </cell>
          <cell r="Q4585">
            <v>11.643866268864405</v>
          </cell>
        </row>
        <row r="4586">
          <cell r="O4586">
            <v>42804</v>
          </cell>
          <cell r="P4586">
            <v>1.0004544200000001</v>
          </cell>
          <cell r="Q4586">
            <v>11.649157474574304</v>
          </cell>
        </row>
        <row r="4587">
          <cell r="O4587">
            <v>42807</v>
          </cell>
          <cell r="P4587">
            <v>1.0004544200000001</v>
          </cell>
          <cell r="Q4587">
            <v>11.654451084713902</v>
          </cell>
        </row>
        <row r="4588">
          <cell r="O4588">
            <v>42808</v>
          </cell>
          <cell r="P4588">
            <v>1.0004544200000001</v>
          </cell>
          <cell r="Q4588">
            <v>11.659747100375817</v>
          </cell>
        </row>
        <row r="4589">
          <cell r="O4589">
            <v>42809</v>
          </cell>
          <cell r="P4589">
            <v>1.0004544200000001</v>
          </cell>
          <cell r="Q4589">
            <v>11.665045522653172</v>
          </cell>
        </row>
        <row r="4590">
          <cell r="O4590">
            <v>42810</v>
          </cell>
          <cell r="P4590">
            <v>1.0004544200000001</v>
          </cell>
          <cell r="Q4590">
            <v>11.670346352639577</v>
          </cell>
        </row>
        <row r="4591">
          <cell r="O4591">
            <v>42811</v>
          </cell>
          <cell r="P4591">
            <v>1.0004544200000001</v>
          </cell>
          <cell r="Q4591">
            <v>11.675649591429144</v>
          </cell>
        </row>
        <row r="4592">
          <cell r="O4592">
            <v>42814</v>
          </cell>
          <cell r="P4592">
            <v>1.0004544200000001</v>
          </cell>
          <cell r="Q4592">
            <v>11.680955240116482</v>
          </cell>
        </row>
        <row r="4593">
          <cell r="O4593">
            <v>42815</v>
          </cell>
          <cell r="P4593">
            <v>1.0004544200000001</v>
          </cell>
          <cell r="Q4593">
            <v>11.686263299796696</v>
          </cell>
        </row>
        <row r="4594">
          <cell r="O4594">
            <v>42816</v>
          </cell>
          <cell r="P4594">
            <v>1.0004544200000001</v>
          </cell>
          <cell r="Q4594">
            <v>11.691573771565391</v>
          </cell>
        </row>
        <row r="4595">
          <cell r="O4595">
            <v>42817</v>
          </cell>
          <cell r="P4595">
            <v>1.0004544200000001</v>
          </cell>
          <cell r="Q4595">
            <v>11.696886656518666</v>
          </cell>
        </row>
        <row r="4596">
          <cell r="O4596">
            <v>42818</v>
          </cell>
          <cell r="P4596">
            <v>1.0004544200000001</v>
          </cell>
          <cell r="Q4596">
            <v>11.702201955753122</v>
          </cell>
        </row>
        <row r="4597">
          <cell r="O4597">
            <v>42821</v>
          </cell>
          <cell r="P4597">
            <v>1.0004544200000001</v>
          </cell>
          <cell r="Q4597">
            <v>11.707519670365855</v>
          </cell>
        </row>
        <row r="4598">
          <cell r="O4598">
            <v>42822</v>
          </cell>
          <cell r="P4598">
            <v>1.0004544200000001</v>
          </cell>
          <cell r="Q4598">
            <v>11.712839801454463</v>
          </cell>
        </row>
        <row r="4599">
          <cell r="O4599">
            <v>42823</v>
          </cell>
          <cell r="P4599">
            <v>1.0004544200000001</v>
          </cell>
          <cell r="Q4599">
            <v>11.718162350117041</v>
          </cell>
        </row>
        <row r="4600">
          <cell r="O4600">
            <v>42824</v>
          </cell>
          <cell r="P4600">
            <v>1.0004544200000001</v>
          </cell>
          <cell r="Q4600">
            <v>11.723487317452182</v>
          </cell>
        </row>
        <row r="4601">
          <cell r="O4601">
            <v>42825</v>
          </cell>
          <cell r="P4601">
            <v>1.0004544200000001</v>
          </cell>
          <cell r="Q4601">
            <v>11.72881470455898</v>
          </cell>
        </row>
        <row r="4602">
          <cell r="O4602">
            <v>42828</v>
          </cell>
          <cell r="P4602">
            <v>1.0004544200000001</v>
          </cell>
          <cell r="Q4602">
            <v>11.734144512537027</v>
          </cell>
        </row>
        <row r="4603">
          <cell r="O4603">
            <v>42829</v>
          </cell>
          <cell r="P4603">
            <v>1.0004544200000001</v>
          </cell>
          <cell r="Q4603">
            <v>11.739476742486415</v>
          </cell>
        </row>
        <row r="4604">
          <cell r="O4604">
            <v>42830</v>
          </cell>
          <cell r="P4604">
            <v>1.0004544200000001</v>
          </cell>
          <cell r="Q4604">
            <v>11.744811395507737</v>
          </cell>
        </row>
        <row r="4605">
          <cell r="O4605">
            <v>42831</v>
          </cell>
          <cell r="P4605">
            <v>1.0004544200000001</v>
          </cell>
          <cell r="Q4605">
            <v>11.750148472702085</v>
          </cell>
        </row>
        <row r="4606">
          <cell r="O4606">
            <v>42832</v>
          </cell>
          <cell r="P4606">
            <v>1.0004544200000001</v>
          </cell>
          <cell r="Q4606">
            <v>11.75548797517105</v>
          </cell>
        </row>
        <row r="4607">
          <cell r="O4607">
            <v>42835</v>
          </cell>
          <cell r="P4607">
            <v>1.0004544200000001</v>
          </cell>
          <cell r="Q4607">
            <v>11.760829904016727</v>
          </cell>
        </row>
        <row r="4608">
          <cell r="O4608">
            <v>42836</v>
          </cell>
          <cell r="P4608">
            <v>1.0004544200000001</v>
          </cell>
          <cell r="Q4608">
            <v>11.766174260341712</v>
          </cell>
        </row>
        <row r="4609">
          <cell r="O4609">
            <v>42837</v>
          </cell>
          <cell r="P4609">
            <v>1.0004544200000001</v>
          </cell>
          <cell r="Q4609">
            <v>11.771521045249097</v>
          </cell>
        </row>
        <row r="4610">
          <cell r="O4610">
            <v>42838</v>
          </cell>
          <cell r="P4610">
            <v>1.0004544200000001</v>
          </cell>
          <cell r="Q4610">
            <v>11.776870259842479</v>
          </cell>
        </row>
        <row r="4611">
          <cell r="O4611">
            <v>42842</v>
          </cell>
          <cell r="P4611">
            <v>1.0004188599999999</v>
          </cell>
          <cell r="Q4611">
            <v>11.781803119719516</v>
          </cell>
        </row>
        <row r="4612">
          <cell r="O4612">
            <v>42843</v>
          </cell>
          <cell r="P4612">
            <v>1.0004188599999999</v>
          </cell>
          <cell r="Q4612">
            <v>11.786738045774241</v>
          </cell>
        </row>
        <row r="4613">
          <cell r="O4613">
            <v>42844</v>
          </cell>
          <cell r="P4613">
            <v>1.0004188599999999</v>
          </cell>
          <cell r="Q4613">
            <v>11.791675038872093</v>
          </cell>
        </row>
        <row r="4614">
          <cell r="O4614">
            <v>42845</v>
          </cell>
          <cell r="P4614">
            <v>1.0004188599999999</v>
          </cell>
          <cell r="Q4614">
            <v>11.796614099878873</v>
          </cell>
        </row>
        <row r="4615">
          <cell r="O4615">
            <v>42849</v>
          </cell>
          <cell r="P4615">
            <v>1.0004188599999999</v>
          </cell>
          <cell r="Q4615">
            <v>11.801555229660748</v>
          </cell>
        </row>
        <row r="4616">
          <cell r="O4616">
            <v>42850</v>
          </cell>
          <cell r="P4616">
            <v>1.0004188599999999</v>
          </cell>
          <cell r="Q4616">
            <v>11.806498429084243</v>
          </cell>
        </row>
        <row r="4617">
          <cell r="O4617">
            <v>42851</v>
          </cell>
          <cell r="P4617">
            <v>1.0004188599999999</v>
          </cell>
          <cell r="Q4617">
            <v>11.811443699016248</v>
          </cell>
        </row>
        <row r="4618">
          <cell r="O4618">
            <v>42852</v>
          </cell>
          <cell r="P4618">
            <v>1.0004188599999999</v>
          </cell>
          <cell r="Q4618">
            <v>11.816391040324017</v>
          </cell>
        </row>
        <row r="4619">
          <cell r="O4619">
            <v>42853</v>
          </cell>
          <cell r="P4619">
            <v>1.0004188599999999</v>
          </cell>
          <cell r="Q4619">
            <v>11.821340453875166</v>
          </cell>
        </row>
        <row r="4620">
          <cell r="O4620">
            <v>42857</v>
          </cell>
          <cell r="P4620">
            <v>1.0004188599999999</v>
          </cell>
          <cell r="Q4620">
            <v>11.826291940537676</v>
          </cell>
        </row>
        <row r="4621">
          <cell r="O4621">
            <v>42858</v>
          </cell>
          <cell r="P4621">
            <v>1.0004188599999999</v>
          </cell>
          <cell r="Q4621">
            <v>11.831245501179888</v>
          </cell>
        </row>
        <row r="4622">
          <cell r="O4622">
            <v>42859</v>
          </cell>
          <cell r="P4622">
            <v>1.0004188599999999</v>
          </cell>
          <cell r="Q4622">
            <v>11.83620113667051</v>
          </cell>
        </row>
        <row r="4623">
          <cell r="O4623">
            <v>42860</v>
          </cell>
          <cell r="P4623">
            <v>1.0004188599999999</v>
          </cell>
          <cell r="Q4623">
            <v>11.841158847878615</v>
          </cell>
        </row>
        <row r="4624">
          <cell r="O4624">
            <v>42863</v>
          </cell>
          <cell r="P4624">
            <v>1.0004188599999999</v>
          </cell>
          <cell r="Q4624">
            <v>11.846118635673637</v>
          </cell>
        </row>
        <row r="4625">
          <cell r="O4625">
            <v>42864</v>
          </cell>
          <cell r="P4625">
            <v>1.0004188599999999</v>
          </cell>
          <cell r="Q4625">
            <v>11.851080500925374</v>
          </cell>
        </row>
        <row r="4626">
          <cell r="O4626">
            <v>42865</v>
          </cell>
          <cell r="P4626">
            <v>1.0004188599999999</v>
          </cell>
          <cell r="Q4626">
            <v>11.85604444450399</v>
          </cell>
        </row>
        <row r="4627">
          <cell r="O4627">
            <v>42866</v>
          </cell>
          <cell r="P4627">
            <v>1.0004188599999999</v>
          </cell>
          <cell r="Q4627">
            <v>11.861010467280014</v>
          </cell>
        </row>
        <row r="4628">
          <cell r="O4628">
            <v>42867</v>
          </cell>
          <cell r="P4628">
            <v>1.0004188599999999</v>
          </cell>
          <cell r="Q4628">
            <v>11.865978570124337</v>
          </cell>
        </row>
        <row r="4629">
          <cell r="O4629">
            <v>42870</v>
          </cell>
          <cell r="P4629">
            <v>1.0004188599999999</v>
          </cell>
          <cell r="Q4629">
            <v>11.870948753908218</v>
          </cell>
        </row>
        <row r="4630">
          <cell r="O4630">
            <v>42871</v>
          </cell>
          <cell r="P4630">
            <v>1.0004188599999999</v>
          </cell>
          <cell r="Q4630">
            <v>11.875921019503279</v>
          </cell>
        </row>
        <row r="4631">
          <cell r="O4631">
            <v>42872</v>
          </cell>
          <cell r="P4631">
            <v>1.0004188599999999</v>
          </cell>
          <cell r="Q4631">
            <v>11.880895367781507</v>
          </cell>
        </row>
        <row r="4632">
          <cell r="O4632">
            <v>42873</v>
          </cell>
          <cell r="P4632">
            <v>1.0004188599999999</v>
          </cell>
          <cell r="Q4632">
            <v>11.885871799615256</v>
          </cell>
        </row>
        <row r="4633">
          <cell r="O4633">
            <v>42874</v>
          </cell>
          <cell r="P4633">
            <v>1.0004188599999999</v>
          </cell>
          <cell r="Q4633">
            <v>11.890850315877241</v>
          </cell>
        </row>
        <row r="4634">
          <cell r="O4634">
            <v>42877</v>
          </cell>
          <cell r="P4634">
            <v>1.0004188599999999</v>
          </cell>
          <cell r="Q4634">
            <v>11.895830917440549</v>
          </cell>
        </row>
        <row r="4635">
          <cell r="O4635">
            <v>42878</v>
          </cell>
          <cell r="P4635">
            <v>1.0004188599999999</v>
          </cell>
          <cell r="Q4635">
            <v>11.900813605178627</v>
          </cell>
        </row>
        <row r="4636">
          <cell r="O4636">
            <v>42879</v>
          </cell>
          <cell r="P4636">
            <v>1.0004188599999999</v>
          </cell>
          <cell r="Q4636">
            <v>11.90579837996529</v>
          </cell>
        </row>
        <row r="4637">
          <cell r="O4637">
            <v>42880</v>
          </cell>
          <cell r="P4637">
            <v>1.0004188599999999</v>
          </cell>
          <cell r="Q4637">
            <v>11.910785242674722</v>
          </cell>
        </row>
        <row r="4638">
          <cell r="O4638">
            <v>42881</v>
          </cell>
          <cell r="P4638">
            <v>1.0004188599999999</v>
          </cell>
          <cell r="Q4638">
            <v>11.915774194181468</v>
          </cell>
        </row>
        <row r="4639">
          <cell r="O4639">
            <v>42884</v>
          </cell>
          <cell r="P4639">
            <v>1.0004188599999999</v>
          </cell>
          <cell r="Q4639">
            <v>11.920765235360442</v>
          </cell>
        </row>
        <row r="4640">
          <cell r="O4640">
            <v>42885</v>
          </cell>
          <cell r="P4640">
            <v>1.0004188599999999</v>
          </cell>
          <cell r="Q4640">
            <v>11.925758367086924</v>
          </cell>
        </row>
        <row r="4641">
          <cell r="O4641">
            <v>42886</v>
          </cell>
          <cell r="P4641">
            <v>1.0004188599999999</v>
          </cell>
          <cell r="Q4641">
            <v>11.930753590236561</v>
          </cell>
        </row>
        <row r="4642">
          <cell r="O4642">
            <v>42887</v>
          </cell>
          <cell r="P4642">
            <v>1.0004188599999999</v>
          </cell>
          <cell r="Q4642">
            <v>11.935750905685367</v>
          </cell>
        </row>
        <row r="4643">
          <cell r="O4643">
            <v>42888</v>
          </cell>
          <cell r="P4643">
            <v>1.00038334</v>
          </cell>
          <cell r="Q4643">
            <v>11.940326356437552</v>
          </cell>
        </row>
        <row r="4644">
          <cell r="O4644">
            <v>42891</v>
          </cell>
          <cell r="P4644">
            <v>1.00038334</v>
          </cell>
          <cell r="Q4644">
            <v>11.944903561143029</v>
          </cell>
        </row>
        <row r="4645">
          <cell r="O4645">
            <v>42892</v>
          </cell>
          <cell r="P4645">
            <v>1.00038334</v>
          </cell>
          <cell r="Q4645">
            <v>11.949482520474158</v>
          </cell>
        </row>
        <row r="4646">
          <cell r="O4646">
            <v>42893</v>
          </cell>
          <cell r="P4646">
            <v>1.00038334</v>
          </cell>
          <cell r="Q4646">
            <v>11.954063235103556</v>
          </cell>
        </row>
        <row r="4647">
          <cell r="O4647">
            <v>42894</v>
          </cell>
          <cell r="P4647">
            <v>1.00038334</v>
          </cell>
          <cell r="Q4647">
            <v>11.9586457057041</v>
          </cell>
        </row>
        <row r="4648">
          <cell r="O4648">
            <v>42895</v>
          </cell>
          <cell r="P4648">
            <v>1.00038334</v>
          </cell>
          <cell r="Q4648">
            <v>11.963229932948924</v>
          </cell>
        </row>
        <row r="4649">
          <cell r="O4649">
            <v>42898</v>
          </cell>
          <cell r="P4649">
            <v>1.00038334</v>
          </cell>
          <cell r="Q4649">
            <v>11.96781591751142</v>
          </cell>
        </row>
        <row r="4650">
          <cell r="O4650">
            <v>42899</v>
          </cell>
          <cell r="P4650">
            <v>1.00038334</v>
          </cell>
          <cell r="Q4650">
            <v>11.972403660065238</v>
          </cell>
        </row>
        <row r="4651">
          <cell r="O4651">
            <v>42900</v>
          </cell>
          <cell r="P4651">
            <v>1.00038334</v>
          </cell>
          <cell r="Q4651">
            <v>11.976993161284287</v>
          </cell>
        </row>
        <row r="4652">
          <cell r="O4652">
            <v>42902</v>
          </cell>
          <cell r="P4652">
            <v>1.00038334</v>
          </cell>
          <cell r="Q4652">
            <v>11.981584421842733</v>
          </cell>
        </row>
        <row r="4653">
          <cell r="O4653">
            <v>42905</v>
          </cell>
          <cell r="P4653">
            <v>1.00038334</v>
          </cell>
          <cell r="Q4653">
            <v>11.986177442415002</v>
          </cell>
        </row>
        <row r="4654">
          <cell r="O4654">
            <v>42906</v>
          </cell>
          <cell r="P4654">
            <v>1.00038334</v>
          </cell>
          <cell r="Q4654">
            <v>11.990772223675776</v>
          </cell>
        </row>
        <row r="4655">
          <cell r="O4655">
            <v>42907</v>
          </cell>
          <cell r="P4655">
            <v>1.00038334</v>
          </cell>
          <cell r="Q4655">
            <v>11.9953687663</v>
          </cell>
        </row>
        <row r="4656">
          <cell r="O4656">
            <v>42908</v>
          </cell>
          <cell r="P4656">
            <v>1.00038334</v>
          </cell>
          <cell r="Q4656">
            <v>11.999967070962873</v>
          </cell>
        </row>
        <row r="4657">
          <cell r="O4657">
            <v>42909</v>
          </cell>
          <cell r="P4657">
            <v>1.00038334</v>
          </cell>
          <cell r="Q4657">
            <v>12.004567138339855</v>
          </cell>
        </row>
        <row r="4658">
          <cell r="O4658">
            <v>42912</v>
          </cell>
          <cell r="P4658">
            <v>1.00038334</v>
          </cell>
          <cell r="Q4658">
            <v>12.009168969106666</v>
          </cell>
        </row>
        <row r="4659">
          <cell r="O4659">
            <v>42913</v>
          </cell>
          <cell r="P4659">
            <v>1.00038334</v>
          </cell>
          <cell r="Q4659">
            <v>12.013772563939282</v>
          </cell>
        </row>
        <row r="4660">
          <cell r="O4660">
            <v>42914</v>
          </cell>
          <cell r="P4660">
            <v>1.00038334</v>
          </cell>
          <cell r="Q4660">
            <v>12.018377923513942</v>
          </cell>
        </row>
        <row r="4661">
          <cell r="O4661">
            <v>42915</v>
          </cell>
          <cell r="P4661">
            <v>1.00038334</v>
          </cell>
          <cell r="Q4661">
            <v>12.022985048507142</v>
          </cell>
        </row>
        <row r="4662">
          <cell r="O4662">
            <v>42916</v>
          </cell>
          <cell r="P4662">
            <v>1.00038334</v>
          </cell>
          <cell r="Q4662">
            <v>12.027593939595636</v>
          </cell>
        </row>
        <row r="4663">
          <cell r="O4663">
            <v>42919</v>
          </cell>
          <cell r="P4663">
            <v>1.00038334</v>
          </cell>
          <cell r="Q4663">
            <v>12.03220459745644</v>
          </cell>
        </row>
        <row r="4664">
          <cell r="O4664">
            <v>42920</v>
          </cell>
          <cell r="P4664">
            <v>1.00038334</v>
          </cell>
          <cell r="Q4664">
            <v>12.036817022766828</v>
          </cell>
        </row>
        <row r="4665">
          <cell r="O4665">
            <v>42921</v>
          </cell>
          <cell r="P4665">
            <v>1.00038334</v>
          </cell>
          <cell r="Q4665">
            <v>12.041431216204334</v>
          </cell>
        </row>
        <row r="4666">
          <cell r="O4666">
            <v>42922</v>
          </cell>
          <cell r="P4666">
            <v>1.00038334</v>
          </cell>
          <cell r="Q4666">
            <v>12.046047178446752</v>
          </cell>
        </row>
        <row r="4667">
          <cell r="O4667">
            <v>42923</v>
          </cell>
          <cell r="P4667">
            <v>1.00038334</v>
          </cell>
          <cell r="Q4667">
            <v>12.050664910172138</v>
          </cell>
        </row>
        <row r="4668">
          <cell r="O4668">
            <v>42926</v>
          </cell>
          <cell r="P4668">
            <v>1.00038334</v>
          </cell>
          <cell r="Q4668">
            <v>12.055284412058803</v>
          </cell>
        </row>
        <row r="4669">
          <cell r="O4669">
            <v>42927</v>
          </cell>
          <cell r="P4669">
            <v>1.00038334</v>
          </cell>
          <cell r="Q4669">
            <v>12.059905684785322</v>
          </cell>
        </row>
        <row r="4670">
          <cell r="O4670">
            <v>42928</v>
          </cell>
          <cell r="P4670">
            <v>1.00038334</v>
          </cell>
          <cell r="Q4670">
            <v>12.064528729030528</v>
          </cell>
        </row>
        <row r="4671">
          <cell r="O4671">
            <v>42929</v>
          </cell>
          <cell r="P4671">
            <v>1.00038334</v>
          </cell>
          <cell r="Q4671">
            <v>12.069153545473513</v>
          </cell>
        </row>
        <row r="4672">
          <cell r="O4672">
            <v>42930</v>
          </cell>
          <cell r="P4672">
            <v>1.00038334</v>
          </cell>
          <cell r="Q4672">
            <v>12.073780134793635</v>
          </cell>
        </row>
        <row r="4673">
          <cell r="O4673">
            <v>42933</v>
          </cell>
          <cell r="P4673">
            <v>1.00038334</v>
          </cell>
          <cell r="Q4673">
            <v>12.078408497670507</v>
          </cell>
        </row>
        <row r="4674">
          <cell r="O4674">
            <v>42934</v>
          </cell>
          <cell r="P4674">
            <v>1.00038334</v>
          </cell>
          <cell r="Q4674">
            <v>12.083038634784003</v>
          </cell>
        </row>
        <row r="4675">
          <cell r="O4675">
            <v>42935</v>
          </cell>
          <cell r="P4675">
            <v>1.00038334</v>
          </cell>
          <cell r="Q4675">
            <v>12.087670546814261</v>
          </cell>
        </row>
        <row r="4676">
          <cell r="O4676">
            <v>42936</v>
          </cell>
          <cell r="P4676">
            <v>1.00038334</v>
          </cell>
          <cell r="Q4676">
            <v>12.092304234441675</v>
          </cell>
        </row>
        <row r="4677">
          <cell r="O4677">
            <v>42937</v>
          </cell>
          <cell r="P4677">
            <v>1.00038334</v>
          </cell>
          <cell r="Q4677">
            <v>12.096939698346906</v>
          </cell>
        </row>
        <row r="4678">
          <cell r="O4678">
            <v>42940</v>
          </cell>
          <cell r="P4678">
            <v>1.00038334</v>
          </cell>
          <cell r="Q4678">
            <v>12.101576939210871</v>
          </cell>
        </row>
        <row r="4679">
          <cell r="O4679">
            <v>42941</v>
          </cell>
          <cell r="P4679">
            <v>1.00038334</v>
          </cell>
          <cell r="Q4679">
            <v>12.106215957714747</v>
          </cell>
        </row>
        <row r="4680">
          <cell r="O4680">
            <v>42942</v>
          </cell>
          <cell r="P4680">
            <v>1.00038334</v>
          </cell>
          <cell r="Q4680">
            <v>12.110856754539977</v>
          </cell>
        </row>
        <row r="4681">
          <cell r="O4681">
            <v>42943</v>
          </cell>
          <cell r="P4681">
            <v>1.00038334</v>
          </cell>
          <cell r="Q4681">
            <v>12.115499330368262</v>
          </cell>
        </row>
        <row r="4682">
          <cell r="O4682">
            <v>42944</v>
          </cell>
          <cell r="P4682">
            <v>1.00034713</v>
          </cell>
          <cell r="Q4682">
            <v>12.119704983650813</v>
          </cell>
        </row>
        <row r="4683">
          <cell r="O4683">
            <v>42947</v>
          </cell>
          <cell r="P4683">
            <v>1.00034713</v>
          </cell>
          <cell r="Q4683">
            <v>12.123912096841787</v>
          </cell>
        </row>
        <row r="4684">
          <cell r="O4684">
            <v>42948</v>
          </cell>
          <cell r="P4684">
            <v>1.00034713</v>
          </cell>
          <cell r="Q4684">
            <v>12.128120670447963</v>
          </cell>
        </row>
        <row r="4685">
          <cell r="O4685">
            <v>42949</v>
          </cell>
          <cell r="P4685">
            <v>1.00034713</v>
          </cell>
          <cell r="Q4685">
            <v>12.132330704976296</v>
          </cell>
        </row>
        <row r="4686">
          <cell r="O4686">
            <v>42950</v>
          </cell>
          <cell r="P4686">
            <v>1.00034713</v>
          </cell>
          <cell r="Q4686">
            <v>12.136542200933913</v>
          </cell>
        </row>
        <row r="4687">
          <cell r="O4687">
            <v>42951</v>
          </cell>
          <cell r="P4687">
            <v>1.00034713</v>
          </cell>
          <cell r="Q4687">
            <v>12.140755158828123</v>
          </cell>
        </row>
        <row r="4688">
          <cell r="O4688">
            <v>42954</v>
          </cell>
          <cell r="P4688">
            <v>1.00034713</v>
          </cell>
          <cell r="Q4688">
            <v>12.144969579166407</v>
          </cell>
        </row>
        <row r="4689">
          <cell r="O4689">
            <v>42955</v>
          </cell>
          <cell r="P4689">
            <v>1.00034713</v>
          </cell>
          <cell r="Q4689">
            <v>12.149185462456423</v>
          </cell>
        </row>
        <row r="4690">
          <cell r="O4690">
            <v>42956</v>
          </cell>
          <cell r="P4690">
            <v>1.00034713</v>
          </cell>
          <cell r="Q4690">
            <v>12.153402809206005</v>
          </cell>
        </row>
        <row r="4691">
          <cell r="O4691">
            <v>42957</v>
          </cell>
          <cell r="P4691">
            <v>1.00034713</v>
          </cell>
          <cell r="Q4691">
            <v>12.157621619923164</v>
          </cell>
        </row>
        <row r="4692">
          <cell r="O4692">
            <v>42958</v>
          </cell>
          <cell r="P4692">
            <v>1.00034713</v>
          </cell>
          <cell r="Q4692">
            <v>12.161841895116087</v>
          </cell>
        </row>
        <row r="4693">
          <cell r="O4693">
            <v>42961</v>
          </cell>
          <cell r="P4693">
            <v>1.00034713</v>
          </cell>
          <cell r="Q4693">
            <v>12.166063635293138</v>
          </cell>
        </row>
        <row r="4694">
          <cell r="O4694">
            <v>42962</v>
          </cell>
          <cell r="P4694">
            <v>1.00034713</v>
          </cell>
          <cell r="Q4694">
            <v>12.170286840962858</v>
          </cell>
        </row>
        <row r="4695">
          <cell r="O4695">
            <v>42963</v>
          </cell>
          <cell r="P4695">
            <v>1.00034713</v>
          </cell>
          <cell r="Q4695">
            <v>12.174511512633961</v>
          </cell>
        </row>
        <row r="4696">
          <cell r="O4696">
            <v>42964</v>
          </cell>
          <cell r="P4696">
            <v>1.00034713</v>
          </cell>
          <cell r="Q4696">
            <v>12.178737650815341</v>
          </cell>
        </row>
        <row r="4697">
          <cell r="O4697">
            <v>42965</v>
          </cell>
          <cell r="P4697">
            <v>1.00034713</v>
          </cell>
          <cell r="Q4697">
            <v>12.182965256016068</v>
          </cell>
        </row>
        <row r="4698">
          <cell r="O4698">
            <v>42968</v>
          </cell>
          <cell r="P4698">
            <v>1.00034713</v>
          </cell>
          <cell r="Q4698">
            <v>12.187194328745388</v>
          </cell>
        </row>
        <row r="4699">
          <cell r="O4699">
            <v>42969</v>
          </cell>
          <cell r="P4699">
            <v>1.00034713</v>
          </cell>
          <cell r="Q4699">
            <v>12.191424869512725</v>
          </cell>
        </row>
        <row r="4700">
          <cell r="O4700">
            <v>42970</v>
          </cell>
          <cell r="P4700">
            <v>1.00034713</v>
          </cell>
          <cell r="Q4700">
            <v>12.195656878827679</v>
          </cell>
        </row>
        <row r="4701">
          <cell r="O4701">
            <v>42971</v>
          </cell>
          <cell r="P4701">
            <v>1.00034713</v>
          </cell>
          <cell r="Q4701">
            <v>12.199890357200026</v>
          </cell>
        </row>
        <row r="4702">
          <cell r="O4702">
            <v>42972</v>
          </cell>
          <cell r="P4702">
            <v>1.00034713</v>
          </cell>
          <cell r="Q4702">
            <v>12.204125305139721</v>
          </cell>
        </row>
        <row r="4703">
          <cell r="O4703">
            <v>42975</v>
          </cell>
          <cell r="P4703">
            <v>1.00034713</v>
          </cell>
          <cell r="Q4703">
            <v>12.208361723156894</v>
          </cell>
        </row>
        <row r="4704">
          <cell r="O4704">
            <v>42976</v>
          </cell>
          <cell r="P4704">
            <v>1.00034713</v>
          </cell>
          <cell r="Q4704">
            <v>12.212599611761853</v>
          </cell>
        </row>
        <row r="4705">
          <cell r="O4705">
            <v>42977</v>
          </cell>
          <cell r="P4705">
            <v>1.00034713</v>
          </cell>
          <cell r="Q4705">
            <v>12.216838971465084</v>
          </cell>
        </row>
        <row r="4706">
          <cell r="O4706">
            <v>42978</v>
          </cell>
          <cell r="P4706">
            <v>1.00034713</v>
          </cell>
          <cell r="Q4706">
            <v>12.221079802777249</v>
          </cell>
        </row>
        <row r="4707">
          <cell r="O4707">
            <v>42979</v>
          </cell>
          <cell r="P4707">
            <v>1.00034713</v>
          </cell>
          <cell r="Q4707">
            <v>12.225322106209186</v>
          </cell>
        </row>
        <row r="4708">
          <cell r="O4708">
            <v>42982</v>
          </cell>
          <cell r="P4708">
            <v>1.00034713</v>
          </cell>
          <cell r="Q4708">
            <v>12.229565882271913</v>
          </cell>
        </row>
        <row r="4709">
          <cell r="O4709">
            <v>42983</v>
          </cell>
          <cell r="P4709">
            <v>1.00034713</v>
          </cell>
          <cell r="Q4709">
            <v>12.233811131476626</v>
          </cell>
        </row>
        <row r="4710">
          <cell r="O4710">
            <v>42984</v>
          </cell>
          <cell r="P4710">
            <v>1.00034713</v>
          </cell>
          <cell r="Q4710">
            <v>12.238057854334695</v>
          </cell>
        </row>
        <row r="4711">
          <cell r="O4711">
            <v>42986</v>
          </cell>
          <cell r="P4711">
            <v>1.00034713</v>
          </cell>
          <cell r="Q4711">
            <v>12.242306051357669</v>
          </cell>
        </row>
        <row r="4712">
          <cell r="O4712">
            <v>42989</v>
          </cell>
          <cell r="P4712">
            <v>1.00031059</v>
          </cell>
          <cell r="Q4712">
            <v>12.246108389194161</v>
          </cell>
        </row>
        <row r="4713">
          <cell r="O4713">
            <v>42990</v>
          </cell>
          <cell r="P4713">
            <v>1.00031059</v>
          </cell>
          <cell r="Q4713">
            <v>12.249911907998762</v>
          </cell>
        </row>
        <row r="4714">
          <cell r="O4714">
            <v>42991</v>
          </cell>
          <cell r="P4714">
            <v>1.00031059</v>
          </cell>
          <cell r="Q4714">
            <v>12.253716608138268</v>
          </cell>
        </row>
        <row r="4715">
          <cell r="O4715">
            <v>42992</v>
          </cell>
          <cell r="P4715">
            <v>1.00031059</v>
          </cell>
          <cell r="Q4715">
            <v>12.257522489979589</v>
          </cell>
        </row>
        <row r="4716">
          <cell r="O4716">
            <v>42993</v>
          </cell>
          <cell r="P4716">
            <v>1.00031059</v>
          </cell>
          <cell r="Q4716">
            <v>12.261329553889752</v>
          </cell>
        </row>
        <row r="4717">
          <cell r="O4717">
            <v>42996</v>
          </cell>
          <cell r="P4717">
            <v>1.00031059</v>
          </cell>
          <cell r="Q4717">
            <v>12.265137800235895</v>
          </cell>
        </row>
        <row r="4718">
          <cell r="O4718">
            <v>42997</v>
          </cell>
          <cell r="P4718">
            <v>1.00031059</v>
          </cell>
          <cell r="Q4718">
            <v>12.268947229385271</v>
          </cell>
        </row>
        <row r="4719">
          <cell r="O4719">
            <v>42998</v>
          </cell>
          <cell r="P4719">
            <v>1.00031059</v>
          </cell>
          <cell r="Q4719">
            <v>12.272757841705245</v>
          </cell>
        </row>
        <row r="4720">
          <cell r="O4720">
            <v>42999</v>
          </cell>
          <cell r="P4720">
            <v>1.00031059</v>
          </cell>
          <cell r="Q4720">
            <v>12.2765696375633</v>
          </cell>
        </row>
        <row r="4721">
          <cell r="O4721">
            <v>43000</v>
          </cell>
          <cell r="P4721">
            <v>1.00031059</v>
          </cell>
          <cell r="Q4721">
            <v>12.280382617327032</v>
          </cell>
        </row>
        <row r="4722">
          <cell r="O4722">
            <v>43003</v>
          </cell>
          <cell r="P4722">
            <v>1.00031059</v>
          </cell>
          <cell r="Q4722">
            <v>12.284196781364146</v>
          </cell>
        </row>
        <row r="4723">
          <cell r="O4723">
            <v>43004</v>
          </cell>
          <cell r="P4723">
            <v>1.00031059</v>
          </cell>
          <cell r="Q4723">
            <v>12.288012130042469</v>
          </cell>
        </row>
        <row r="4724">
          <cell r="O4724">
            <v>43005</v>
          </cell>
          <cell r="P4724">
            <v>1.00031059</v>
          </cell>
          <cell r="Q4724">
            <v>12.291828663729939</v>
          </cell>
        </row>
        <row r="4725">
          <cell r="O4725">
            <v>43006</v>
          </cell>
          <cell r="P4725">
            <v>1.00031059</v>
          </cell>
          <cell r="Q4725">
            <v>12.295646382794606</v>
          </cell>
        </row>
        <row r="4726">
          <cell r="O4726">
            <v>43007</v>
          </cell>
          <cell r="P4726">
            <v>1.00031059</v>
          </cell>
          <cell r="Q4726">
            <v>12.299465287604638</v>
          </cell>
        </row>
        <row r="4727">
          <cell r="O4727">
            <v>43010</v>
          </cell>
          <cell r="P4727">
            <v>1.00031059</v>
          </cell>
          <cell r="Q4727">
            <v>12.303285378528315</v>
          </cell>
        </row>
        <row r="4728">
          <cell r="O4728">
            <v>43011</v>
          </cell>
          <cell r="P4728">
            <v>1.00031059</v>
          </cell>
          <cell r="Q4728">
            <v>12.307106655934032</v>
          </cell>
        </row>
        <row r="4729">
          <cell r="O4729">
            <v>43012</v>
          </cell>
          <cell r="P4729">
            <v>1.00031059</v>
          </cell>
          <cell r="Q4729">
            <v>12.310929120190298</v>
          </cell>
        </row>
        <row r="4730">
          <cell r="O4730">
            <v>43013</v>
          </cell>
          <cell r="P4730">
            <v>1.00031059</v>
          </cell>
          <cell r="Q4730">
            <v>12.314752771665738</v>
          </cell>
        </row>
        <row r="4731">
          <cell r="O4731">
            <v>43014</v>
          </cell>
          <cell r="P4731">
            <v>1.00031059</v>
          </cell>
          <cell r="Q4731">
            <v>12.31857761072909</v>
          </cell>
        </row>
        <row r="4732">
          <cell r="O4732">
            <v>43017</v>
          </cell>
          <cell r="P4732">
            <v>1.00031059</v>
          </cell>
          <cell r="Q4732">
            <v>12.322403637749206</v>
          </cell>
        </row>
        <row r="4733">
          <cell r="O4733">
            <v>43018</v>
          </cell>
          <cell r="P4733">
            <v>1.00031059</v>
          </cell>
          <cell r="Q4733">
            <v>12.326230853095055</v>
          </cell>
        </row>
        <row r="4734">
          <cell r="O4734">
            <v>43019</v>
          </cell>
          <cell r="P4734">
            <v>1.00031059</v>
          </cell>
          <cell r="Q4734">
            <v>12.330059257135717</v>
          </cell>
        </row>
        <row r="4735">
          <cell r="O4735">
            <v>43021</v>
          </cell>
          <cell r="P4735">
            <v>1.00031059</v>
          </cell>
          <cell r="Q4735">
            <v>12.333888850240392</v>
          </cell>
        </row>
        <row r="4736">
          <cell r="O4736">
            <v>43024</v>
          </cell>
          <cell r="P4736">
            <v>1.00031059</v>
          </cell>
          <cell r="Q4736">
            <v>12.337719632778388</v>
          </cell>
        </row>
        <row r="4737">
          <cell r="O4737">
            <v>43025</v>
          </cell>
          <cell r="P4737">
            <v>1.00031059</v>
          </cell>
          <cell r="Q4737">
            <v>12.341551605119133</v>
          </cell>
        </row>
        <row r="4738">
          <cell r="O4738">
            <v>43026</v>
          </cell>
          <cell r="P4738">
            <v>1.00031059</v>
          </cell>
          <cell r="Q4738">
            <v>12.345384767632167</v>
          </cell>
        </row>
        <row r="4739">
          <cell r="O4739">
            <v>43027</v>
          </cell>
          <cell r="P4739">
            <v>1.00031059</v>
          </cell>
          <cell r="Q4739">
            <v>12.349219120687145</v>
          </cell>
        </row>
        <row r="4740">
          <cell r="O4740">
            <v>43028</v>
          </cell>
          <cell r="P4740">
            <v>1.00031059</v>
          </cell>
          <cell r="Q4740">
            <v>12.35305466465384</v>
          </cell>
        </row>
        <row r="4741">
          <cell r="O4741">
            <v>43031</v>
          </cell>
          <cell r="P4741">
            <v>1.00031059</v>
          </cell>
          <cell r="Q4741">
            <v>12.356891399902134</v>
          </cell>
        </row>
        <row r="4742">
          <cell r="O4742">
            <v>43032</v>
          </cell>
          <cell r="P4742">
            <v>1.00031059</v>
          </cell>
          <cell r="Q4742">
            <v>12.36072932680203</v>
          </cell>
        </row>
        <row r="4743">
          <cell r="O4743">
            <v>43033</v>
          </cell>
          <cell r="P4743">
            <v>1.00031059</v>
          </cell>
          <cell r="Q4743">
            <v>12.364568445723641</v>
          </cell>
        </row>
        <row r="4744">
          <cell r="O4744">
            <v>43034</v>
          </cell>
          <cell r="P4744">
            <v>1.00031059</v>
          </cell>
          <cell r="Q4744">
            <v>12.368408757037198</v>
          </cell>
        </row>
        <row r="4745">
          <cell r="O4745">
            <v>43035</v>
          </cell>
          <cell r="P4745">
            <v>1.0002829600000001</v>
          </cell>
          <cell r="Q4745">
            <v>12.371908521979091</v>
          </cell>
        </row>
        <row r="4746">
          <cell r="O4746">
            <v>43038</v>
          </cell>
          <cell r="P4746">
            <v>1.0002829600000001</v>
          </cell>
          <cell r="Q4746">
            <v>12.375409277214471</v>
          </cell>
        </row>
        <row r="4747">
          <cell r="O4747">
            <v>43039</v>
          </cell>
          <cell r="P4747">
            <v>1.0002829600000001</v>
          </cell>
          <cell r="Q4747">
            <v>12.378911023023553</v>
          </cell>
        </row>
        <row r="4748">
          <cell r="O4748">
            <v>43040</v>
          </cell>
          <cell r="P4748">
            <v>1.0002829600000001</v>
          </cell>
          <cell r="Q4748">
            <v>12.382413759686628</v>
          </cell>
        </row>
        <row r="4749">
          <cell r="O4749">
            <v>43042</v>
          </cell>
          <cell r="P4749">
            <v>1.0002829600000001</v>
          </cell>
          <cell r="Q4749">
            <v>12.38591748748407</v>
          </cell>
        </row>
        <row r="4750">
          <cell r="O4750">
            <v>43045</v>
          </cell>
          <cell r="P4750">
            <v>1.0002829600000001</v>
          </cell>
          <cell r="Q4750">
            <v>12.389422206696329</v>
          </cell>
        </row>
        <row r="4751">
          <cell r="O4751">
            <v>43046</v>
          </cell>
          <cell r="P4751">
            <v>1.0002829600000001</v>
          </cell>
          <cell r="Q4751">
            <v>12.392927917603936</v>
          </cell>
        </row>
        <row r="4752">
          <cell r="O4752">
            <v>43047</v>
          </cell>
          <cell r="P4752">
            <v>1.0002829600000001</v>
          </cell>
          <cell r="Q4752">
            <v>12.396434620487502</v>
          </cell>
        </row>
        <row r="4753">
          <cell r="O4753">
            <v>43048</v>
          </cell>
          <cell r="P4753">
            <v>1.0002829600000001</v>
          </cell>
          <cell r="Q4753">
            <v>12.399942315627717</v>
          </cell>
        </row>
        <row r="4754">
          <cell r="O4754">
            <v>43049</v>
          </cell>
          <cell r="P4754">
            <v>1.0002829600000001</v>
          </cell>
          <cell r="Q4754">
            <v>12.403451003305348</v>
          </cell>
        </row>
        <row r="4755">
          <cell r="O4755">
            <v>43052</v>
          </cell>
          <cell r="P4755">
            <v>1.0002829600000001</v>
          </cell>
          <cell r="Q4755">
            <v>12.406960683801243</v>
          </cell>
        </row>
        <row r="4756">
          <cell r="O4756">
            <v>43053</v>
          </cell>
          <cell r="P4756">
            <v>1.0002829600000001</v>
          </cell>
          <cell r="Q4756">
            <v>12.410471357396332</v>
          </cell>
        </row>
        <row r="4757">
          <cell r="O4757">
            <v>43055</v>
          </cell>
          <cell r="P4757">
            <v>1.0002829600000001</v>
          </cell>
          <cell r="Q4757">
            <v>12.413983024371621</v>
          </cell>
        </row>
        <row r="4758">
          <cell r="O4758">
            <v>43056</v>
          </cell>
          <cell r="P4758">
            <v>1.0002829600000001</v>
          </cell>
          <cell r="Q4758">
            <v>12.417495685008198</v>
          </cell>
        </row>
        <row r="4759">
          <cell r="O4759">
            <v>43059</v>
          </cell>
          <cell r="P4759">
            <v>1.0002829600000001</v>
          </cell>
          <cell r="Q4759">
            <v>12.421009339587229</v>
          </cell>
        </row>
        <row r="4760">
          <cell r="O4760">
            <v>43060</v>
          </cell>
          <cell r="P4760">
            <v>1.0002829600000001</v>
          </cell>
          <cell r="Q4760">
            <v>12.424523988389959</v>
          </cell>
        </row>
        <row r="4761">
          <cell r="O4761">
            <v>43061</v>
          </cell>
          <cell r="P4761">
            <v>1.0002829600000001</v>
          </cell>
          <cell r="Q4761">
            <v>12.428039631697715</v>
          </cell>
        </row>
        <row r="4762">
          <cell r="O4762">
            <v>43062</v>
          </cell>
          <cell r="P4762">
            <v>1.0002829600000001</v>
          </cell>
          <cell r="Q4762">
            <v>12.431556269791901</v>
          </cell>
        </row>
        <row r="4763">
          <cell r="O4763">
            <v>43063</v>
          </cell>
          <cell r="P4763">
            <v>1.0002829600000001</v>
          </cell>
          <cell r="Q4763">
            <v>12.435073902954002</v>
          </cell>
        </row>
        <row r="4764">
          <cell r="O4764">
            <v>43066</v>
          </cell>
          <cell r="P4764">
            <v>1.0002829600000001</v>
          </cell>
          <cell r="Q4764">
            <v>12.438592531465583</v>
          </cell>
        </row>
        <row r="4765">
          <cell r="O4765">
            <v>43067</v>
          </cell>
          <cell r="P4765">
            <v>1.0002829600000001</v>
          </cell>
          <cell r="Q4765">
            <v>12.442112155608287</v>
          </cell>
        </row>
        <row r="4766">
          <cell r="O4766">
            <v>43068</v>
          </cell>
          <cell r="P4766">
            <v>1.0002829600000001</v>
          </cell>
          <cell r="Q4766">
            <v>12.445632775663839</v>
          </cell>
        </row>
        <row r="4767">
          <cell r="O4767">
            <v>43069</v>
          </cell>
          <cell r="P4767">
            <v>1.0002829600000001</v>
          </cell>
          <cell r="Q4767">
            <v>12.449154391914041</v>
          </cell>
        </row>
        <row r="4768">
          <cell r="O4768">
            <v>43070</v>
          </cell>
          <cell r="P4768">
            <v>1.0002829600000001</v>
          </cell>
          <cell r="Q4768">
            <v>12.452677004640778</v>
          </cell>
        </row>
        <row r="4769">
          <cell r="O4769">
            <v>43073</v>
          </cell>
          <cell r="P4769">
            <v>1.0002829600000001</v>
          </cell>
          <cell r="Q4769">
            <v>12.456200614126011</v>
          </cell>
        </row>
        <row r="4770">
          <cell r="O4770">
            <v>43074</v>
          </cell>
          <cell r="P4770">
            <v>1.0002829600000001</v>
          </cell>
          <cell r="Q4770">
            <v>12.459725220651785</v>
          </cell>
        </row>
        <row r="4771">
          <cell r="O4771">
            <v>43075</v>
          </cell>
          <cell r="P4771">
            <v>1.0002829600000001</v>
          </cell>
          <cell r="Q4771">
            <v>12.463250824500221</v>
          </cell>
        </row>
        <row r="4772">
          <cell r="O4772">
            <v>43076</v>
          </cell>
          <cell r="P4772">
            <v>1.0002829600000001</v>
          </cell>
          <cell r="Q4772">
            <v>12.466777425953522</v>
          </cell>
        </row>
        <row r="4773">
          <cell r="O4773">
            <v>43077</v>
          </cell>
          <cell r="P4773">
            <v>1.00026444</v>
          </cell>
          <cell r="Q4773">
            <v>12.470074140576042</v>
          </cell>
        </row>
        <row r="4774">
          <cell r="O4774">
            <v>43080</v>
          </cell>
          <cell r="P4774">
            <v>1.00026444</v>
          </cell>
          <cell r="Q4774">
            <v>12.473371726981776</v>
          </cell>
        </row>
        <row r="4775">
          <cell r="O4775">
            <v>43081</v>
          </cell>
          <cell r="P4775">
            <v>1.00026444</v>
          </cell>
          <cell r="Q4775">
            <v>12.476670185401259</v>
          </cell>
        </row>
        <row r="4776">
          <cell r="O4776">
            <v>43082</v>
          </cell>
          <cell r="P4776">
            <v>1.00026444</v>
          </cell>
          <cell r="Q4776">
            <v>12.479969516065086</v>
          </cell>
        </row>
        <row r="4777">
          <cell r="O4777">
            <v>43083</v>
          </cell>
          <cell r="P4777">
            <v>1.00026444</v>
          </cell>
          <cell r="Q4777">
            <v>12.483269719203914</v>
          </cell>
        </row>
        <row r="4778">
          <cell r="O4778">
            <v>43084</v>
          </cell>
          <cell r="P4778">
            <v>1.00026444</v>
          </cell>
          <cell r="Q4778">
            <v>12.486570795048461</v>
          </cell>
        </row>
        <row r="4779">
          <cell r="O4779">
            <v>43087</v>
          </cell>
          <cell r="P4779">
            <v>1.00026444</v>
          </cell>
          <cell r="Q4779">
            <v>12.489872743829505</v>
          </cell>
        </row>
        <row r="4780">
          <cell r="O4780">
            <v>43088</v>
          </cell>
          <cell r="P4780">
            <v>1.00026444</v>
          </cell>
          <cell r="Q4780">
            <v>12.493175565777884</v>
          </cell>
        </row>
        <row r="4781">
          <cell r="O4781">
            <v>43089</v>
          </cell>
          <cell r="P4781">
            <v>1.00026444</v>
          </cell>
          <cell r="Q4781">
            <v>12.496479261124499</v>
          </cell>
        </row>
        <row r="4782">
          <cell r="O4782">
            <v>43090</v>
          </cell>
          <cell r="P4782">
            <v>1.00026444</v>
          </cell>
          <cell r="Q4782">
            <v>12.499783830100311</v>
          </cell>
        </row>
        <row r="4783">
          <cell r="O4783">
            <v>43091</v>
          </cell>
          <cell r="P4783">
            <v>1.00026444</v>
          </cell>
          <cell r="Q4783">
            <v>12.503089272936343</v>
          </cell>
        </row>
        <row r="4784">
          <cell r="O4784">
            <v>43095</v>
          </cell>
          <cell r="P4784">
            <v>1.00026444</v>
          </cell>
          <cell r="Q4784">
            <v>12.506395589863679</v>
          </cell>
        </row>
        <row r="4785">
          <cell r="O4785">
            <v>43096</v>
          </cell>
          <cell r="P4785">
            <v>1.00026444</v>
          </cell>
          <cell r="Q4785">
            <v>12.509702781113463</v>
          </cell>
        </row>
        <row r="4786">
          <cell r="O4786">
            <v>43097</v>
          </cell>
          <cell r="P4786">
            <v>1.00026444</v>
          </cell>
          <cell r="Q4786">
            <v>12.513010846916901</v>
          </cell>
        </row>
        <row r="4787">
          <cell r="O4787">
            <v>43098</v>
          </cell>
          <cell r="P4787">
            <v>1.00026444</v>
          </cell>
          <cell r="Q4787">
            <v>12.51631978750526</v>
          </cell>
        </row>
        <row r="4788">
          <cell r="O4788">
            <v>43102</v>
          </cell>
          <cell r="P4788">
            <v>1.00026444</v>
          </cell>
          <cell r="Q4788">
            <v>12.519629603109868</v>
          </cell>
        </row>
        <row r="4789">
          <cell r="O4789">
            <v>43103</v>
          </cell>
          <cell r="P4789">
            <v>1.00026444</v>
          </cell>
          <cell r="Q4789">
            <v>12.522940293962115</v>
          </cell>
        </row>
        <row r="4790">
          <cell r="O4790">
            <v>43104</v>
          </cell>
          <cell r="P4790">
            <v>1.00026444</v>
          </cell>
          <cell r="Q4790">
            <v>12.526251860293451</v>
          </cell>
        </row>
        <row r="4791">
          <cell r="O4791">
            <v>43105</v>
          </cell>
          <cell r="P4791">
            <v>1.00026444</v>
          </cell>
          <cell r="Q4791">
            <v>12.529564302335388</v>
          </cell>
        </row>
        <row r="4792">
          <cell r="O4792">
            <v>43108</v>
          </cell>
          <cell r="P4792">
            <v>1.00026444</v>
          </cell>
          <cell r="Q4792">
            <v>12.532877620319498</v>
          </cell>
        </row>
        <row r="4793">
          <cell r="O4793">
            <v>43109</v>
          </cell>
          <cell r="P4793">
            <v>1.00026444</v>
          </cell>
          <cell r="Q4793">
            <v>12.536191814477416</v>
          </cell>
        </row>
        <row r="4794">
          <cell r="O4794">
            <v>43110</v>
          </cell>
          <cell r="P4794">
            <v>1.00026444</v>
          </cell>
          <cell r="Q4794">
            <v>12.539506885040836</v>
          </cell>
        </row>
        <row r="4795">
          <cell r="O4795">
            <v>43111</v>
          </cell>
          <cell r="P4795">
            <v>1.00026444</v>
          </cell>
          <cell r="Q4795">
            <v>12.542822832241518</v>
          </cell>
        </row>
        <row r="4796">
          <cell r="O4796">
            <v>43112</v>
          </cell>
          <cell r="P4796">
            <v>1.00026444</v>
          </cell>
          <cell r="Q4796">
            <v>12.546139656311276</v>
          </cell>
        </row>
        <row r="4797">
          <cell r="O4797">
            <v>43115</v>
          </cell>
          <cell r="P4797">
            <v>1.00026444</v>
          </cell>
          <cell r="Q4797">
            <v>12.549457357481991</v>
          </cell>
        </row>
        <row r="4798">
          <cell r="O4798">
            <v>43116</v>
          </cell>
          <cell r="P4798">
            <v>1.00026444</v>
          </cell>
          <cell r="Q4798">
            <v>12.552775935985604</v>
          </cell>
        </row>
        <row r="4799">
          <cell r="O4799">
            <v>43117</v>
          </cell>
          <cell r="P4799">
            <v>1.00026444</v>
          </cell>
          <cell r="Q4799">
            <v>12.556095392054116</v>
          </cell>
        </row>
        <row r="4800">
          <cell r="O4800">
            <v>43118</v>
          </cell>
          <cell r="P4800">
            <v>1.00026444</v>
          </cell>
          <cell r="Q4800">
            <v>12.559415725919591</v>
          </cell>
        </row>
        <row r="4801">
          <cell r="O4801">
            <v>43119</v>
          </cell>
          <cell r="P4801">
            <v>1.00026444</v>
          </cell>
          <cell r="Q4801">
            <v>12.562736937814153</v>
          </cell>
        </row>
        <row r="4802">
          <cell r="O4802">
            <v>43122</v>
          </cell>
          <cell r="P4802">
            <v>1.00026444</v>
          </cell>
          <cell r="Q4802">
            <v>12.566059027969988</v>
          </cell>
        </row>
        <row r="4803">
          <cell r="O4803">
            <v>43123</v>
          </cell>
          <cell r="P4803">
            <v>1.00026444</v>
          </cell>
          <cell r="Q4803">
            <v>12.569381996619345</v>
          </cell>
        </row>
        <row r="4804">
          <cell r="O4804">
            <v>43124</v>
          </cell>
          <cell r="P4804">
            <v>1.00026444</v>
          </cell>
          <cell r="Q4804">
            <v>12.572705843994532</v>
          </cell>
        </row>
        <row r="4805">
          <cell r="O4805">
            <v>43125</v>
          </cell>
          <cell r="P4805">
            <v>1.00026444</v>
          </cell>
          <cell r="Q4805">
            <v>12.576030570327918</v>
          </cell>
        </row>
        <row r="4806">
          <cell r="O4806">
            <v>43126</v>
          </cell>
          <cell r="P4806">
            <v>1.00026444</v>
          </cell>
          <cell r="Q4806">
            <v>12.579356175851936</v>
          </cell>
        </row>
        <row r="4807">
          <cell r="O4807">
            <v>43129</v>
          </cell>
          <cell r="P4807">
            <v>1.00026444</v>
          </cell>
          <cell r="Q4807">
            <v>12.58268266079908</v>
          </cell>
        </row>
        <row r="4808">
          <cell r="O4808">
            <v>43130</v>
          </cell>
          <cell r="P4808">
            <v>1.00026444</v>
          </cell>
          <cell r="Q4808">
            <v>12.586010025401901</v>
          </cell>
        </row>
        <row r="4809">
          <cell r="O4809">
            <v>43131</v>
          </cell>
          <cell r="P4809">
            <v>1.00026444</v>
          </cell>
          <cell r="Q4809">
            <v>12.589338269893018</v>
          </cell>
        </row>
        <row r="4810">
          <cell r="O4810">
            <v>43132</v>
          </cell>
          <cell r="P4810">
            <v>1.00026444</v>
          </cell>
          <cell r="Q4810">
            <v>12.592667394505108</v>
          </cell>
        </row>
        <row r="4811">
          <cell r="O4811">
            <v>43133</v>
          </cell>
          <cell r="P4811">
            <v>1.00026444</v>
          </cell>
          <cell r="Q4811">
            <v>12.595997399470912</v>
          </cell>
        </row>
        <row r="4812">
          <cell r="O4812">
            <v>43136</v>
          </cell>
          <cell r="P4812">
            <v>1.00026444</v>
          </cell>
          <cell r="Q4812">
            <v>12.599328285023228</v>
          </cell>
        </row>
        <row r="4813">
          <cell r="O4813">
            <v>43137</v>
          </cell>
          <cell r="P4813">
            <v>1.00026444</v>
          </cell>
          <cell r="Q4813">
            <v>12.602660051394921</v>
          </cell>
        </row>
        <row r="4814">
          <cell r="O4814">
            <v>43138</v>
          </cell>
          <cell r="P4814">
            <v>1.00026444</v>
          </cell>
          <cell r="Q4814">
            <v>12.605992698818913</v>
          </cell>
        </row>
        <row r="4815">
          <cell r="O4815">
            <v>43139</v>
          </cell>
          <cell r="P4815">
            <v>1.00026444</v>
          </cell>
          <cell r="Q4815">
            <v>12.609326227528189</v>
          </cell>
        </row>
        <row r="4816">
          <cell r="O4816">
            <v>43140</v>
          </cell>
          <cell r="P4816">
            <v>1.0002551500000001</v>
          </cell>
          <cell r="Q4816">
            <v>12.612543497115144</v>
          </cell>
        </row>
        <row r="4817">
          <cell r="O4817">
            <v>43145</v>
          </cell>
          <cell r="P4817">
            <v>1.0002551500000001</v>
          </cell>
          <cell r="Q4817">
            <v>12.615761587588434</v>
          </cell>
        </row>
        <row r="4818">
          <cell r="O4818">
            <v>43146</v>
          </cell>
          <cell r="P4818">
            <v>1.0002551500000001</v>
          </cell>
          <cell r="Q4818">
            <v>12.618980499157509</v>
          </cell>
        </row>
        <row r="4819">
          <cell r="O4819">
            <v>43147</v>
          </cell>
          <cell r="P4819">
            <v>1.0002551500000001</v>
          </cell>
          <cell r="Q4819">
            <v>12.62220023203187</v>
          </cell>
        </row>
        <row r="4820">
          <cell r="O4820">
            <v>43150</v>
          </cell>
          <cell r="P4820">
            <v>1.0002551500000001</v>
          </cell>
          <cell r="Q4820">
            <v>12.625420786421074</v>
          </cell>
        </row>
        <row r="4821">
          <cell r="O4821">
            <v>43151</v>
          </cell>
          <cell r="P4821">
            <v>1.0002551500000001</v>
          </cell>
          <cell r="Q4821">
            <v>12.62864216253473</v>
          </cell>
        </row>
        <row r="4822">
          <cell r="O4822">
            <v>43152</v>
          </cell>
          <cell r="P4822">
            <v>1.0002551500000001</v>
          </cell>
          <cell r="Q4822">
            <v>12.631864360582501</v>
          </cell>
        </row>
        <row r="4823">
          <cell r="O4823">
            <v>43153</v>
          </cell>
          <cell r="P4823">
            <v>1.0002551500000001</v>
          </cell>
          <cell r="Q4823">
            <v>12.635087380774104</v>
          </cell>
        </row>
        <row r="4824">
          <cell r="O4824">
            <v>43154</v>
          </cell>
          <cell r="P4824">
            <v>1.0002551500000001</v>
          </cell>
          <cell r="Q4824">
            <v>12.63831122331931</v>
          </cell>
        </row>
        <row r="4825">
          <cell r="O4825">
            <v>43157</v>
          </cell>
          <cell r="P4825">
            <v>1.0002551500000001</v>
          </cell>
          <cell r="Q4825">
            <v>12.64153588842794</v>
          </cell>
        </row>
        <row r="4826">
          <cell r="O4826">
            <v>43158</v>
          </cell>
          <cell r="P4826">
            <v>1.0002551500000001</v>
          </cell>
          <cell r="Q4826">
            <v>12.644761376309875</v>
          </cell>
        </row>
        <row r="4827">
          <cell r="O4827">
            <v>43159</v>
          </cell>
          <cell r="P4827">
            <v>1.0002551500000001</v>
          </cell>
          <cell r="Q4827">
            <v>12.647987687175041</v>
          </cell>
        </row>
        <row r="4828">
          <cell r="O4828">
            <v>43160</v>
          </cell>
          <cell r="P4828">
            <v>1.0002551500000001</v>
          </cell>
          <cell r="Q4828">
            <v>12.651214821233426</v>
          </cell>
        </row>
        <row r="4829">
          <cell r="O4829">
            <v>43161</v>
          </cell>
          <cell r="P4829">
            <v>1.0002551500000001</v>
          </cell>
          <cell r="Q4829">
            <v>12.654442778695065</v>
          </cell>
        </row>
        <row r="4830">
          <cell r="O4830">
            <v>43164</v>
          </cell>
          <cell r="P4830">
            <v>1.0002551500000001</v>
          </cell>
          <cell r="Q4830">
            <v>12.657671559770051</v>
          </cell>
        </row>
        <row r="4831">
          <cell r="O4831">
            <v>43165</v>
          </cell>
          <cell r="P4831">
            <v>1.0002551500000001</v>
          </cell>
          <cell r="Q4831">
            <v>12.660901164668529</v>
          </cell>
        </row>
        <row r="4832">
          <cell r="O4832">
            <v>43166</v>
          </cell>
          <cell r="P4832">
            <v>1.0002551500000001</v>
          </cell>
          <cell r="Q4832">
            <v>12.664131593600695</v>
          </cell>
        </row>
        <row r="4833">
          <cell r="O4833">
            <v>43167</v>
          </cell>
          <cell r="P4833">
            <v>1.0002551500000001</v>
          </cell>
          <cell r="Q4833">
            <v>12.667362846776804</v>
          </cell>
        </row>
        <row r="4834">
          <cell r="O4834">
            <v>43168</v>
          </cell>
          <cell r="P4834">
            <v>1.0002551500000001</v>
          </cell>
          <cell r="Q4834">
            <v>12.67059492440716</v>
          </cell>
        </row>
        <row r="4835">
          <cell r="O4835">
            <v>43171</v>
          </cell>
          <cell r="P4835">
            <v>1.0002551500000001</v>
          </cell>
          <cell r="Q4835">
            <v>12.673827826702123</v>
          </cell>
        </row>
        <row r="4836">
          <cell r="O4836">
            <v>43172</v>
          </cell>
          <cell r="P4836">
            <v>1.0002551500000001</v>
          </cell>
          <cell r="Q4836">
            <v>12.677061553872107</v>
          </cell>
        </row>
        <row r="4837">
          <cell r="O4837">
            <v>43173</v>
          </cell>
          <cell r="P4837">
            <v>1.0002551500000001</v>
          </cell>
          <cell r="Q4837">
            <v>12.68029610612758</v>
          </cell>
        </row>
        <row r="4838">
          <cell r="O4838">
            <v>43174</v>
          </cell>
          <cell r="P4838">
            <v>1.0002551500000001</v>
          </cell>
          <cell r="Q4838">
            <v>12.68353148367906</v>
          </cell>
        </row>
        <row r="4839">
          <cell r="O4839">
            <v>43175</v>
          </cell>
          <cell r="P4839">
            <v>1.0002551500000001</v>
          </cell>
          <cell r="Q4839">
            <v>12.686767686737122</v>
          </cell>
        </row>
        <row r="4840">
          <cell r="O4840">
            <v>43178</v>
          </cell>
          <cell r="P4840">
            <v>1.0002551500000001</v>
          </cell>
          <cell r="Q4840">
            <v>12.690004715512394</v>
          </cell>
        </row>
        <row r="4841">
          <cell r="O4841">
            <v>43179</v>
          </cell>
          <cell r="P4841">
            <v>1.0002551500000001</v>
          </cell>
          <cell r="Q4841">
            <v>12.693242570215558</v>
          </cell>
        </row>
        <row r="4842">
          <cell r="O4842">
            <v>43180</v>
          </cell>
          <cell r="P4842">
            <v>1.0002551500000001</v>
          </cell>
          <cell r="Q4842">
            <v>12.696481251057349</v>
          </cell>
        </row>
        <row r="4843">
          <cell r="O4843">
            <v>43181</v>
          </cell>
          <cell r="P4843">
            <v>1.0002551500000001</v>
          </cell>
          <cell r="Q4843">
            <v>12.699720758248558</v>
          </cell>
        </row>
        <row r="4844">
          <cell r="O4844">
            <v>43182</v>
          </cell>
          <cell r="P4844">
            <v>1.0002458299999999</v>
          </cell>
          <cell r="Q4844">
            <v>12.702842730602557</v>
          </cell>
        </row>
        <row r="4845">
          <cell r="O4845">
            <v>43185</v>
          </cell>
          <cell r="P4845">
            <v>1.0002459189617909</v>
          </cell>
          <cell r="Q4845">
            <v>12.705966600498661</v>
          </cell>
        </row>
        <row r="4846">
          <cell r="O4846">
            <v>43186</v>
          </cell>
          <cell r="P4846">
            <v>1.0002458299999999</v>
          </cell>
          <cell r="Q4846">
            <v>12.709090108268059</v>
          </cell>
        </row>
        <row r="4847">
          <cell r="O4847">
            <v>43187</v>
          </cell>
          <cell r="P4847">
            <v>1.0002458299999999</v>
          </cell>
          <cell r="Q4847">
            <v>12.712214383889373</v>
          </cell>
        </row>
        <row r="4848">
          <cell r="O4848">
            <v>43188</v>
          </cell>
          <cell r="P4848">
            <v>1.0002458299999999</v>
          </cell>
          <cell r="Q4848">
            <v>12.715339427551363</v>
          </cell>
        </row>
        <row r="4849">
          <cell r="O4849">
            <v>43192</v>
          </cell>
          <cell r="P4849">
            <v>1.0002458299999999</v>
          </cell>
          <cell r="Q4849">
            <v>12.718465239442837</v>
          </cell>
        </row>
        <row r="4850">
          <cell r="O4850">
            <v>43193</v>
          </cell>
          <cell r="P4850">
            <v>1.0002458299999999</v>
          </cell>
          <cell r="Q4850">
            <v>12.721591819752648</v>
          </cell>
        </row>
        <row r="4851">
          <cell r="O4851">
            <v>43194</v>
          </cell>
          <cell r="P4851">
            <v>1.0002458299999999</v>
          </cell>
          <cell r="Q4851">
            <v>12.724719168669697</v>
          </cell>
        </row>
        <row r="4852">
          <cell r="O4852">
            <v>43195</v>
          </cell>
          <cell r="P4852">
            <v>1.0002458299999999</v>
          </cell>
          <cell r="Q4852">
            <v>12.72784728638293</v>
          </cell>
        </row>
        <row r="4853">
          <cell r="O4853">
            <v>43196</v>
          </cell>
          <cell r="P4853">
            <v>1.0002458299999999</v>
          </cell>
          <cell r="Q4853">
            <v>12.730976173081341</v>
          </cell>
        </row>
        <row r="4854">
          <cell r="O4854">
            <v>43199</v>
          </cell>
          <cell r="P4854">
            <v>1.0002458299999999</v>
          </cell>
          <cell r="Q4854">
            <v>12.734105828953968</v>
          </cell>
        </row>
        <row r="4855">
          <cell r="O4855">
            <v>43200</v>
          </cell>
          <cell r="P4855">
            <v>1.0002458299999999</v>
          </cell>
          <cell r="Q4855">
            <v>12.737236254189899</v>
          </cell>
        </row>
        <row r="4856">
          <cell r="O4856">
            <v>43201</v>
          </cell>
          <cell r="P4856">
            <v>1.0002458299999999</v>
          </cell>
          <cell r="Q4856">
            <v>12.740367448978265</v>
          </cell>
        </row>
        <row r="4857">
          <cell r="O4857">
            <v>43202</v>
          </cell>
          <cell r="P4857">
            <v>1.0002458299999999</v>
          </cell>
          <cell r="Q4857">
            <v>12.743499413508246</v>
          </cell>
        </row>
        <row r="4858">
          <cell r="O4858">
            <v>43203</v>
          </cell>
          <cell r="P4858">
            <v>1.0002458299999999</v>
          </cell>
          <cell r="Q4858">
            <v>12.746632147969068</v>
          </cell>
        </row>
        <row r="4859">
          <cell r="O4859">
            <v>43206</v>
          </cell>
          <cell r="P4859">
            <v>1.0002458299999999</v>
          </cell>
          <cell r="Q4859">
            <v>12.749765652550002</v>
          </cell>
        </row>
        <row r="4860">
          <cell r="O4860">
            <v>43207</v>
          </cell>
          <cell r="P4860">
            <v>1.0002458299999999</v>
          </cell>
          <cell r="Q4860">
            <v>12.752899927440367</v>
          </cell>
        </row>
        <row r="4861">
          <cell r="O4861">
            <v>43208</v>
          </cell>
          <cell r="P4861">
            <v>1.0002458299999999</v>
          </cell>
          <cell r="Q4861">
            <v>12.756034972829529</v>
          </cell>
        </row>
        <row r="4862">
          <cell r="O4862">
            <v>43209</v>
          </cell>
          <cell r="P4862">
            <v>1.0002458299999999</v>
          </cell>
          <cell r="Q4862">
            <v>12.759170788906898</v>
          </cell>
        </row>
        <row r="4863">
          <cell r="O4863">
            <v>43210</v>
          </cell>
          <cell r="P4863">
            <v>1.0002458299999999</v>
          </cell>
          <cell r="Q4863">
            <v>12.762307375861933</v>
          </cell>
        </row>
        <row r="4864">
          <cell r="O4864">
            <v>43213</v>
          </cell>
          <cell r="P4864">
            <v>1.0002458299999999</v>
          </cell>
          <cell r="Q4864">
            <v>12.76544473388414</v>
          </cell>
        </row>
        <row r="4865">
          <cell r="O4865">
            <v>43214</v>
          </cell>
          <cell r="P4865">
            <v>1.0002458299999999</v>
          </cell>
          <cell r="Q4865">
            <v>12.768582863163068</v>
          </cell>
        </row>
        <row r="4866">
          <cell r="O4866">
            <v>43215</v>
          </cell>
          <cell r="P4866">
            <v>1.0002458299999999</v>
          </cell>
          <cell r="Q4866">
            <v>12.771721763888319</v>
          </cell>
        </row>
        <row r="4867">
          <cell r="O4867">
            <v>43216</v>
          </cell>
          <cell r="P4867">
            <v>1.0002458299999999</v>
          </cell>
          <cell r="Q4867">
            <v>12.774861436249534</v>
          </cell>
        </row>
        <row r="4868">
          <cell r="O4868">
            <v>43217</v>
          </cell>
          <cell r="P4868">
            <v>1.0002458299999999</v>
          </cell>
          <cell r="Q4868">
            <v>12.778001880436406</v>
          </cell>
        </row>
        <row r="4869">
          <cell r="O4869">
            <v>43220</v>
          </cell>
          <cell r="P4869">
            <v>1.0002458299999999</v>
          </cell>
          <cell r="Q4869">
            <v>12.781143096638672</v>
          </cell>
        </row>
        <row r="4870">
          <cell r="O4870">
            <v>43222</v>
          </cell>
          <cell r="P4870">
            <v>1.0002458299999999</v>
          </cell>
          <cell r="Q4870">
            <v>12.784285085046118</v>
          </cell>
        </row>
        <row r="4871">
          <cell r="O4871">
            <v>43223</v>
          </cell>
          <cell r="P4871">
            <v>1.0002458299999999</v>
          </cell>
          <cell r="Q4871">
            <v>12.787427845848574</v>
          </cell>
        </row>
        <row r="4872">
          <cell r="O4872">
            <v>43224</v>
          </cell>
          <cell r="P4872">
            <v>1.0002458299999999</v>
          </cell>
          <cell r="Q4872">
            <v>12.790571379235917</v>
          </cell>
        </row>
        <row r="4873">
          <cell r="O4873">
            <v>43227</v>
          </cell>
          <cell r="P4873">
            <v>1.0002458299999999</v>
          </cell>
          <cell r="Q4873">
            <v>12.793715685398073</v>
          </cell>
        </row>
        <row r="4874">
          <cell r="O4874">
            <v>43228</v>
          </cell>
          <cell r="P4874">
            <v>1.0002458299999999</v>
          </cell>
          <cell r="Q4874">
            <v>12.796860764525013</v>
          </cell>
        </row>
        <row r="4875">
          <cell r="O4875">
            <v>43229</v>
          </cell>
          <cell r="P4875">
            <v>1.0002458299999999</v>
          </cell>
          <cell r="Q4875">
            <v>12.800006616806755</v>
          </cell>
        </row>
        <row r="4876">
          <cell r="O4876">
            <v>43230</v>
          </cell>
          <cell r="P4876">
            <v>1.0002458299999999</v>
          </cell>
          <cell r="Q4876">
            <v>12.803153242433362</v>
          </cell>
        </row>
        <row r="4877">
          <cell r="O4877">
            <v>43231</v>
          </cell>
          <cell r="P4877">
            <v>1.0002458299999999</v>
          </cell>
          <cell r="Q4877">
            <v>12.806300641594948</v>
          </cell>
        </row>
        <row r="4878">
          <cell r="O4878">
            <v>43234</v>
          </cell>
          <cell r="P4878">
            <v>1.0002458299999999</v>
          </cell>
          <cell r="Q4878">
            <v>12.809448814481669</v>
          </cell>
        </row>
        <row r="4879">
          <cell r="O4879">
            <v>43235</v>
          </cell>
          <cell r="P4879">
            <v>1.0002458299999999</v>
          </cell>
          <cell r="Q4879">
            <v>12.812597761283731</v>
          </cell>
        </row>
        <row r="4880">
          <cell r="O4880">
            <v>43236</v>
          </cell>
          <cell r="P4880">
            <v>1.0002458299999999</v>
          </cell>
          <cell r="Q4880">
            <v>12.815747482191387</v>
          </cell>
        </row>
        <row r="4881">
          <cell r="O4881">
            <v>43237</v>
          </cell>
          <cell r="P4881">
            <v>1.0002458299999999</v>
          </cell>
          <cell r="Q4881">
            <v>12.818897977394933</v>
          </cell>
        </row>
        <row r="4882">
          <cell r="O4882">
            <v>43238</v>
          </cell>
          <cell r="P4882">
            <v>1.0002458299999999</v>
          </cell>
          <cell r="Q4882">
            <v>12.822049247084715</v>
          </cell>
        </row>
        <row r="4883">
          <cell r="O4883">
            <v>43241</v>
          </cell>
          <cell r="P4883">
            <v>1.0002458299999999</v>
          </cell>
          <cell r="Q4883">
            <v>12.825201291451124</v>
          </cell>
        </row>
        <row r="4884">
          <cell r="O4884">
            <v>43242</v>
          </cell>
          <cell r="P4884">
            <v>1.0002458299999999</v>
          </cell>
          <cell r="Q4884">
            <v>12.8283541106846</v>
          </cell>
        </row>
        <row r="4885">
          <cell r="O4885">
            <v>43243</v>
          </cell>
          <cell r="P4885">
            <v>1.0002458299999999</v>
          </cell>
          <cell r="Q4885">
            <v>12.831507704975628</v>
          </cell>
        </row>
        <row r="4886">
          <cell r="O4886">
            <v>43244</v>
          </cell>
          <cell r="P4886">
            <v>1.0002458299999999</v>
          </cell>
          <cell r="Q4886">
            <v>12.834662074514741</v>
          </cell>
        </row>
        <row r="4887">
          <cell r="O4887">
            <v>43245</v>
          </cell>
          <cell r="P4887">
            <v>1.0002458299999999</v>
          </cell>
          <cell r="Q4887">
            <v>12.837817219492518</v>
          </cell>
        </row>
        <row r="4888">
          <cell r="O4888">
            <v>43248</v>
          </cell>
          <cell r="P4888">
            <v>1.0002458299999999</v>
          </cell>
          <cell r="Q4888">
            <v>12.840973140099583</v>
          </cell>
        </row>
        <row r="4889">
          <cell r="O4889">
            <v>43249</v>
          </cell>
          <cell r="P4889">
            <v>1.0002458299999999</v>
          </cell>
          <cell r="Q4889">
            <v>12.844129836526612</v>
          </cell>
        </row>
        <row r="4890">
          <cell r="O4890">
            <v>43250</v>
          </cell>
          <cell r="P4890">
            <v>1.0002458299999999</v>
          </cell>
          <cell r="Q4890">
            <v>12.847287308964324</v>
          </cell>
        </row>
        <row r="4891">
          <cell r="O4891">
            <v>43252</v>
          </cell>
          <cell r="P4891">
            <v>1.0002458299999999</v>
          </cell>
          <cell r="Q4891">
            <v>12.850445557603486</v>
          </cell>
        </row>
        <row r="4892">
          <cell r="O4892">
            <v>43255</v>
          </cell>
          <cell r="P4892">
            <v>1.0002458299999999</v>
          </cell>
          <cell r="Q4892">
            <v>12.85360458263491</v>
          </cell>
        </row>
        <row r="4893">
          <cell r="O4893">
            <v>43256</v>
          </cell>
          <cell r="P4893">
            <v>1.0002458299999999</v>
          </cell>
          <cell r="Q4893">
            <v>12.856764384249457</v>
          </cell>
        </row>
        <row r="4894">
          <cell r="O4894">
            <v>43257</v>
          </cell>
          <cell r="P4894">
            <v>1.0002458299999999</v>
          </cell>
          <cell r="Q4894">
            <v>12.859924962638036</v>
          </cell>
        </row>
        <row r="4895">
          <cell r="O4895">
            <v>43258</v>
          </cell>
          <cell r="P4895">
            <v>1.0002458299999999</v>
          </cell>
          <cell r="Q4895">
            <v>12.8630863179916</v>
          </cell>
        </row>
        <row r="4896">
          <cell r="O4896">
            <v>43259</v>
          </cell>
          <cell r="P4896">
            <v>1.0002458299999999</v>
          </cell>
          <cell r="Q4896">
            <v>12.86624845050115</v>
          </cell>
        </row>
        <row r="4897">
          <cell r="O4897">
            <v>43262</v>
          </cell>
          <cell r="P4897">
            <v>1.0002458299999999</v>
          </cell>
          <cell r="Q4897">
            <v>12.869411360357736</v>
          </cell>
        </row>
        <row r="4898">
          <cell r="O4898">
            <v>43263</v>
          </cell>
          <cell r="P4898">
            <v>1.0002458299999999</v>
          </cell>
          <cell r="Q4898">
            <v>12.872575047752452</v>
          </cell>
        </row>
        <row r="4899">
          <cell r="O4899">
            <v>43264</v>
          </cell>
          <cell r="P4899">
            <v>1.0002458299999999</v>
          </cell>
          <cell r="Q4899">
            <v>12.875739512876439</v>
          </cell>
        </row>
        <row r="4900">
          <cell r="O4900">
            <v>43265</v>
          </cell>
          <cell r="P4900">
            <v>1.0002458299999999</v>
          </cell>
          <cell r="Q4900">
            <v>12.878904755920889</v>
          </cell>
        </row>
        <row r="4901">
          <cell r="O4901">
            <v>43266</v>
          </cell>
          <cell r="P4901">
            <v>1.0002458299999999</v>
          </cell>
          <cell r="Q4901">
            <v>12.882070777077036</v>
          </cell>
        </row>
        <row r="4902">
          <cell r="O4902">
            <v>43269</v>
          </cell>
          <cell r="P4902">
            <v>1.0002458299999999</v>
          </cell>
          <cell r="Q4902">
            <v>12.885237576536163</v>
          </cell>
        </row>
        <row r="4903">
          <cell r="O4903">
            <v>43270</v>
          </cell>
          <cell r="P4903">
            <v>1.0002458299999999</v>
          </cell>
          <cell r="Q4903">
            <v>12.888405154489602</v>
          </cell>
        </row>
        <row r="4904">
          <cell r="O4904">
            <v>43271</v>
          </cell>
          <cell r="P4904">
            <v>1.0002458299999999</v>
          </cell>
          <cell r="Q4904">
            <v>12.89157351112873</v>
          </cell>
        </row>
        <row r="4905">
          <cell r="O4905">
            <v>43272</v>
          </cell>
          <cell r="P4905">
            <v>1.0002458299999999</v>
          </cell>
          <cell r="Q4905">
            <v>12.894742646644969</v>
          </cell>
        </row>
        <row r="4906">
          <cell r="O4906">
            <v>43273</v>
          </cell>
          <cell r="P4906">
            <v>1.0002458299999999</v>
          </cell>
          <cell r="Q4906">
            <v>12.897912561229793</v>
          </cell>
        </row>
        <row r="4907">
          <cell r="O4907">
            <v>43276</v>
          </cell>
          <cell r="P4907">
            <v>1.0002458299999999</v>
          </cell>
          <cell r="Q4907">
            <v>12.901083255074719</v>
          </cell>
        </row>
        <row r="4908">
          <cell r="O4908">
            <v>43277</v>
          </cell>
          <cell r="P4908">
            <v>1.0002458741930966</v>
          </cell>
          <cell r="Q4908">
            <v>12.904255298510133</v>
          </cell>
        </row>
        <row r="4909">
          <cell r="O4909">
            <v>43278</v>
          </cell>
          <cell r="P4909">
            <v>1.0002458299999999</v>
          </cell>
          <cell r="Q4909">
            <v>12.907427551590164</v>
          </cell>
        </row>
        <row r="4910">
          <cell r="O4910">
            <v>43279</v>
          </cell>
          <cell r="P4910">
            <v>1.0002458299999999</v>
          </cell>
          <cell r="Q4910">
            <v>12.91060058450517</v>
          </cell>
        </row>
        <row r="4911">
          <cell r="O4911">
            <v>43280</v>
          </cell>
          <cell r="P4911">
            <v>1.0002458299999999</v>
          </cell>
          <cell r="Q4911">
            <v>12.913774397446858</v>
          </cell>
        </row>
        <row r="4912">
          <cell r="O4912">
            <v>43283</v>
          </cell>
          <cell r="P4912">
            <v>1.0002458299999999</v>
          </cell>
          <cell r="Q4912">
            <v>12.916948990606981</v>
          </cell>
        </row>
        <row r="4913">
          <cell r="O4913">
            <v>43284</v>
          </cell>
          <cell r="P4913">
            <v>1.0002458299999999</v>
          </cell>
          <cell r="Q4913">
            <v>12.92012436417734</v>
          </cell>
        </row>
        <row r="4914">
          <cell r="O4914">
            <v>43285</v>
          </cell>
          <cell r="P4914">
            <v>1.0002458299999999</v>
          </cell>
          <cell r="Q4914">
            <v>12.923300518349784</v>
          </cell>
        </row>
        <row r="4915">
          <cell r="O4915">
            <v>43286</v>
          </cell>
          <cell r="P4915">
            <v>1.0002458299999999</v>
          </cell>
          <cell r="Q4915">
            <v>12.926477453316208</v>
          </cell>
        </row>
        <row r="4916">
          <cell r="O4916">
            <v>43287</v>
          </cell>
          <cell r="P4916">
            <v>1.0002458299999999</v>
          </cell>
          <cell r="Q4916">
            <v>12.929655169268555</v>
          </cell>
        </row>
        <row r="4917">
          <cell r="O4917">
            <v>43290</v>
          </cell>
          <cell r="P4917">
            <v>1.0002458299999999</v>
          </cell>
          <cell r="Q4917">
            <v>12.932833666398816</v>
          </cell>
        </row>
        <row r="4918">
          <cell r="O4918">
            <v>43291</v>
          </cell>
          <cell r="P4918">
            <v>1.0002458299999999</v>
          </cell>
          <cell r="Q4918">
            <v>12.936012944899025</v>
          </cell>
        </row>
        <row r="4919">
          <cell r="O4919">
            <v>43292</v>
          </cell>
          <cell r="P4919">
            <v>1.0002458299999999</v>
          </cell>
          <cell r="Q4919">
            <v>12.939193004961268</v>
          </cell>
        </row>
        <row r="4920">
          <cell r="O4920">
            <v>43293</v>
          </cell>
          <cell r="P4920">
            <v>1.0002458299999999</v>
          </cell>
          <cell r="Q4920">
            <v>12.942373846777677</v>
          </cell>
        </row>
        <row r="4921">
          <cell r="O4921">
            <v>43294</v>
          </cell>
          <cell r="P4921">
            <v>1.0002458299999999</v>
          </cell>
          <cell r="Q4921">
            <v>12.945555470540429</v>
          </cell>
        </row>
        <row r="4922">
          <cell r="O4922">
            <v>43297</v>
          </cell>
          <cell r="P4922">
            <v>1.0002458299999999</v>
          </cell>
          <cell r="Q4922">
            <v>12.948737876441751</v>
          </cell>
        </row>
        <row r="4923">
          <cell r="O4923">
            <v>43298</v>
          </cell>
          <cell r="P4923">
            <v>1.0002458299999999</v>
          </cell>
          <cell r="Q4923">
            <v>12.951921064673915</v>
          </cell>
        </row>
        <row r="4924">
          <cell r="O4924">
            <v>43299</v>
          </cell>
          <cell r="P4924">
            <v>1.0002458299999999</v>
          </cell>
          <cell r="Q4924">
            <v>12.955105035429241</v>
          </cell>
        </row>
        <row r="4925">
          <cell r="O4925">
            <v>43300</v>
          </cell>
          <cell r="P4925">
            <v>1.0002458299999999</v>
          </cell>
          <cell r="Q4925">
            <v>12.9582897889001</v>
          </cell>
        </row>
        <row r="4926">
          <cell r="O4926">
            <v>43301</v>
          </cell>
          <cell r="P4926">
            <v>1.0002458299999999</v>
          </cell>
          <cell r="Q4926">
            <v>12.961475325278904</v>
          </cell>
        </row>
        <row r="4927">
          <cell r="O4927">
            <v>43304</v>
          </cell>
          <cell r="P4927">
            <v>1.0002458299999999</v>
          </cell>
          <cell r="Q4927">
            <v>12.964661644758117</v>
          </cell>
        </row>
        <row r="4928">
          <cell r="O4928">
            <v>43305</v>
          </cell>
          <cell r="P4928">
            <v>1.0002458299999999</v>
          </cell>
          <cell r="Q4928">
            <v>12.967848747530246</v>
          </cell>
        </row>
        <row r="4929">
          <cell r="O4929">
            <v>43306</v>
          </cell>
          <cell r="P4929">
            <v>1.0002458299999999</v>
          </cell>
          <cell r="Q4929">
            <v>12.97103663378785</v>
          </cell>
        </row>
        <row r="4930">
          <cell r="O4930">
            <v>43307</v>
          </cell>
          <cell r="P4930">
            <v>1.0002458299999999</v>
          </cell>
          <cell r="Q4930">
            <v>12.974225303723532</v>
          </cell>
        </row>
        <row r="4931">
          <cell r="O4931">
            <v>43308</v>
          </cell>
          <cell r="P4931">
            <v>1.0002458299999999</v>
          </cell>
          <cell r="Q4931">
            <v>12.977414757529946</v>
          </cell>
        </row>
        <row r="4932">
          <cell r="O4932">
            <v>43311</v>
          </cell>
          <cell r="P4932">
            <v>1.0002458299999999</v>
          </cell>
          <cell r="Q4932">
            <v>12.980604995399789</v>
          </cell>
        </row>
        <row r="4933">
          <cell r="O4933">
            <v>43312</v>
          </cell>
          <cell r="P4933">
            <v>1.0002458299999999</v>
          </cell>
          <cell r="Q4933">
            <v>12.983796017525806</v>
          </cell>
        </row>
        <row r="4934">
          <cell r="O4934">
            <v>43313</v>
          </cell>
          <cell r="P4934">
            <v>1.0002458299999999</v>
          </cell>
          <cell r="Q4934">
            <v>12.986987824100794</v>
          </cell>
        </row>
        <row r="4935">
          <cell r="O4935">
            <v>43314</v>
          </cell>
          <cell r="P4935">
            <v>1.0002458299999999</v>
          </cell>
          <cell r="Q4935">
            <v>12.990180415317591</v>
          </cell>
        </row>
        <row r="4936">
          <cell r="O4936">
            <v>43315</v>
          </cell>
          <cell r="P4936">
            <v>1.0002458299999999</v>
          </cell>
          <cell r="Q4936">
            <v>12.993373791369086</v>
          </cell>
        </row>
        <row r="4937">
          <cell r="O4937">
            <v>43318</v>
          </cell>
          <cell r="P4937">
            <v>1.0002458299999999</v>
          </cell>
          <cell r="Q4937">
            <v>12.996567952448217</v>
          </cell>
        </row>
        <row r="4938">
          <cell r="O4938">
            <v>43319</v>
          </cell>
          <cell r="P4938">
            <v>1.0002458299999999</v>
          </cell>
          <cell r="Q4938">
            <v>12.999762898747965</v>
          </cell>
        </row>
        <row r="4939">
          <cell r="O4939">
            <v>43320</v>
          </cell>
          <cell r="P4939">
            <v>1.0002458299999999</v>
          </cell>
          <cell r="Q4939">
            <v>13.002958630461363</v>
          </cell>
        </row>
        <row r="4940">
          <cell r="O4940">
            <v>43321</v>
          </cell>
          <cell r="P4940">
            <v>1.0002458299999999</v>
          </cell>
          <cell r="Q4940">
            <v>13.006155147781488</v>
          </cell>
        </row>
        <row r="4941">
          <cell r="O4941">
            <v>43322</v>
          </cell>
          <cell r="P4941">
            <v>1.0002458299999999</v>
          </cell>
          <cell r="Q4941">
            <v>13.009352450901465</v>
          </cell>
        </row>
        <row r="4942">
          <cell r="O4942">
            <v>43325</v>
          </cell>
          <cell r="P4942">
            <v>1.0002458299999999</v>
          </cell>
          <cell r="Q4942">
            <v>13.01255054001447</v>
          </cell>
        </row>
        <row r="4943">
          <cell r="O4943">
            <v>43326</v>
          </cell>
          <cell r="P4943">
            <v>1.0002458299999999</v>
          </cell>
          <cell r="Q4943">
            <v>13.015749415313721</v>
          </cell>
        </row>
        <row r="4944">
          <cell r="O4944">
            <v>43327</v>
          </cell>
          <cell r="P4944">
            <v>1.0002458299999999</v>
          </cell>
          <cell r="Q4944">
            <v>13.018949076992486</v>
          </cell>
        </row>
        <row r="4945">
          <cell r="O4945">
            <v>43328</v>
          </cell>
          <cell r="P4945">
            <v>1.0002458299999999</v>
          </cell>
          <cell r="Q4945">
            <v>13.022149525244082</v>
          </cell>
        </row>
        <row r="4946">
          <cell r="O4946">
            <v>43329</v>
          </cell>
          <cell r="P4946">
            <v>1.0002458299999999</v>
          </cell>
          <cell r="Q4946">
            <v>13.025350760261871</v>
          </cell>
        </row>
        <row r="4947">
          <cell r="O4947">
            <v>43332</v>
          </cell>
          <cell r="P4947">
            <v>1.0002458299999999</v>
          </cell>
          <cell r="Q4947">
            <v>13.028552782239265</v>
          </cell>
        </row>
        <row r="4948">
          <cell r="O4948">
            <v>43333</v>
          </cell>
          <cell r="P4948">
            <v>1.0002458299999999</v>
          </cell>
          <cell r="Q4948">
            <v>13.031755591369722</v>
          </cell>
        </row>
        <row r="4949">
          <cell r="O4949">
            <v>43334</v>
          </cell>
          <cell r="P4949">
            <v>1.0002458299999999</v>
          </cell>
          <cell r="Q4949">
            <v>13.034959187846747</v>
          </cell>
        </row>
        <row r="4950">
          <cell r="O4950">
            <v>43335</v>
          </cell>
          <cell r="P4950">
            <v>1.0002458299999999</v>
          </cell>
          <cell r="Q4950">
            <v>13.038163571863894</v>
          </cell>
        </row>
        <row r="4951">
          <cell r="O4951">
            <v>43336</v>
          </cell>
          <cell r="P4951">
            <v>1.0002458299999999</v>
          </cell>
          <cell r="Q4951">
            <v>13.041368743614765</v>
          </cell>
        </row>
        <row r="4952">
          <cell r="O4952">
            <v>43339</v>
          </cell>
          <cell r="P4952">
            <v>1.0002458299999999</v>
          </cell>
          <cell r="Q4952">
            <v>13.044574703293007</v>
          </cell>
        </row>
        <row r="4953">
          <cell r="O4953">
            <v>43340</v>
          </cell>
          <cell r="P4953">
            <v>1.0002458299999999</v>
          </cell>
          <cell r="Q4953">
            <v>13.047781451092316</v>
          </cell>
        </row>
        <row r="4954">
          <cell r="O4954">
            <v>43341</v>
          </cell>
          <cell r="P4954">
            <v>1.0002458299999999</v>
          </cell>
          <cell r="Q4954">
            <v>13.050988987206436</v>
          </cell>
        </row>
        <row r="4955">
          <cell r="O4955">
            <v>43342</v>
          </cell>
          <cell r="P4955">
            <v>1.0002458299999999</v>
          </cell>
          <cell r="Q4955">
            <v>13.05419731182916</v>
          </cell>
        </row>
        <row r="4956">
          <cell r="O4956">
            <v>43343</v>
          </cell>
          <cell r="P4956">
            <v>1.0002458299999999</v>
          </cell>
          <cell r="Q4956">
            <v>13.057406425154326</v>
          </cell>
        </row>
        <row r="4957">
          <cell r="O4957">
            <v>43346</v>
          </cell>
          <cell r="P4957">
            <v>1.0002458299999999</v>
          </cell>
          <cell r="Q4957">
            <v>13.06061632737582</v>
          </cell>
        </row>
        <row r="4958">
          <cell r="O4958">
            <v>43347</v>
          </cell>
          <cell r="P4958">
            <v>1.0002458299999999</v>
          </cell>
          <cell r="Q4958">
            <v>13.063827018687578</v>
          </cell>
        </row>
        <row r="4959">
          <cell r="O4959">
            <v>43348</v>
          </cell>
          <cell r="P4959">
            <v>1.0002458299999999</v>
          </cell>
          <cell r="Q4959">
            <v>13.06703849928358</v>
          </cell>
        </row>
        <row r="4960">
          <cell r="O4960">
            <v>43349</v>
          </cell>
          <cell r="P4960">
            <v>1.0002458299999999</v>
          </cell>
          <cell r="Q4960">
            <v>13.070250769357857</v>
          </cell>
        </row>
        <row r="4961">
          <cell r="O4961">
            <v>43353</v>
          </cell>
          <cell r="P4961">
            <v>1.0002458299999999</v>
          </cell>
          <cell r="Q4961">
            <v>13.073463829104487</v>
          </cell>
        </row>
        <row r="4962">
          <cell r="O4962">
            <v>43354</v>
          </cell>
          <cell r="P4962">
            <v>1.0002458299999999</v>
          </cell>
          <cell r="Q4962">
            <v>13.076677678717594</v>
          </cell>
        </row>
        <row r="4963">
          <cell r="O4963">
            <v>43355</v>
          </cell>
          <cell r="P4963">
            <v>1.0002458299999999</v>
          </cell>
          <cell r="Q4963">
            <v>13.079892318391352</v>
          </cell>
        </row>
        <row r="4964">
          <cell r="O4964">
            <v>43356</v>
          </cell>
          <cell r="P4964">
            <v>1.0002458299999999</v>
          </cell>
          <cell r="Q4964">
            <v>13.08310774831998</v>
          </cell>
        </row>
        <row r="4965">
          <cell r="O4965">
            <v>43357</v>
          </cell>
          <cell r="P4965">
            <v>1.0002458299999999</v>
          </cell>
          <cell r="Q4965">
            <v>13.086323968697748</v>
          </cell>
        </row>
        <row r="4966">
          <cell r="O4966">
            <v>43360</v>
          </cell>
          <cell r="P4966">
            <v>1.0002458299999999</v>
          </cell>
          <cell r="Q4966">
            <v>13.089540979718972</v>
          </cell>
        </row>
        <row r="4967">
          <cell r="O4967">
            <v>43361</v>
          </cell>
          <cell r="P4967">
            <v>1.0002458299999999</v>
          </cell>
          <cell r="Q4967">
            <v>13.092758781578015</v>
          </cell>
        </row>
        <row r="4968">
          <cell r="O4968">
            <v>43362</v>
          </cell>
          <cell r="P4968">
            <v>1.0002458299999999</v>
          </cell>
          <cell r="Q4968">
            <v>13.095977374469289</v>
          </cell>
        </row>
        <row r="4969">
          <cell r="O4969">
            <v>43363</v>
          </cell>
          <cell r="P4969">
            <v>1.0002458299999999</v>
          </cell>
          <cell r="Q4969">
            <v>13.099196758587253</v>
          </cell>
        </row>
        <row r="4970">
          <cell r="O4970">
            <v>43364</v>
          </cell>
          <cell r="P4970">
            <v>1.0002464262779198</v>
          </cell>
          <cell r="Q4970">
            <v>13.102424744888211</v>
          </cell>
        </row>
        <row r="4971">
          <cell r="O4971">
            <v>43367</v>
          </cell>
          <cell r="P4971">
            <v>1.0004933112829066</v>
          </cell>
          <cell r="Q4971">
            <v>13.108888318848299</v>
          </cell>
        </row>
        <row r="4972">
          <cell r="O4972">
            <v>43368</v>
          </cell>
          <cell r="P4972">
            <v>1.0007403567499555</v>
          </cell>
          <cell r="Q4972">
            <v>13.118593572799572</v>
          </cell>
        </row>
        <row r="4973">
          <cell r="O4973">
            <v>43369</v>
          </cell>
          <cell r="P4973">
            <v>1.0002458299999999</v>
          </cell>
          <cell r="Q4973">
            <v>13.121818516657571</v>
          </cell>
        </row>
        <row r="4974">
          <cell r="O4974">
            <v>43370</v>
          </cell>
          <cell r="P4974">
            <v>1.0002458299999999</v>
          </cell>
          <cell r="Q4974">
            <v>13.125044253303519</v>
          </cell>
        </row>
        <row r="4975">
          <cell r="O4975">
            <v>43371</v>
          </cell>
          <cell r="P4975">
            <v>1.0002458299999999</v>
          </cell>
          <cell r="Q4975">
            <v>13.128270782932308</v>
          </cell>
        </row>
        <row r="4976">
          <cell r="O4976">
            <v>43374</v>
          </cell>
          <cell r="P4976">
            <v>1.0002458299999999</v>
          </cell>
          <cell r="Q4976">
            <v>13.131498105738874</v>
          </cell>
        </row>
        <row r="4977">
          <cell r="O4977">
            <v>43375</v>
          </cell>
          <cell r="P4977">
            <v>1.0002462000000001</v>
          </cell>
          <cell r="Q4977">
            <v>13.134731080572509</v>
          </cell>
        </row>
        <row r="4978">
          <cell r="O4978">
            <v>43376</v>
          </cell>
          <cell r="P4978">
            <v>1.0002463978859917</v>
          </cell>
          <cell r="Q4978">
            <v>13.137967450543831</v>
          </cell>
        </row>
        <row r="4979">
          <cell r="O4979">
            <v>43377</v>
          </cell>
          <cell r="P4979">
            <v>1.0004929867806491</v>
          </cell>
          <cell r="Q4979">
            <v>13.141206329362612</v>
          </cell>
        </row>
        <row r="4980">
          <cell r="O4980">
            <v>43378</v>
          </cell>
          <cell r="P4980">
            <v>1.0007396690486308</v>
          </cell>
          <cell r="Q4980">
            <v>13.144446434614897</v>
          </cell>
        </row>
        <row r="4981">
          <cell r="O4981">
            <v>43381</v>
          </cell>
          <cell r="P4981">
            <v>1.000986425174871</v>
          </cell>
          <cell r="Q4981">
            <v>13.147687509975547</v>
          </cell>
        </row>
        <row r="4982">
          <cell r="O4982">
            <v>43382</v>
          </cell>
          <cell r="P4982">
            <v>1.0012332486643511</v>
          </cell>
          <cell r="Q4982">
            <v>13.150929470134237</v>
          </cell>
        </row>
        <row r="4983">
          <cell r="O4983">
            <v>43383</v>
          </cell>
          <cell r="P4983">
            <v>1.001480136742068</v>
          </cell>
          <cell r="Q4983">
            <v>13.154172278642047</v>
          </cell>
        </row>
        <row r="4984">
          <cell r="O4984">
            <v>43384</v>
          </cell>
          <cell r="P4984">
            <v>1.0017270880280271</v>
          </cell>
          <cell r="Q4984">
            <v>13.157415917373122</v>
          </cell>
        </row>
        <row r="4985">
          <cell r="O4985">
            <v>43388</v>
          </cell>
          <cell r="P4985">
            <v>1.0019741017622392</v>
          </cell>
          <cell r="Q4985">
            <v>13.160660376345206</v>
          </cell>
        </row>
        <row r="4986">
          <cell r="O4986">
            <v>43389</v>
          </cell>
          <cell r="P4986">
            <v>1.0022211774947205</v>
          </cell>
          <cell r="Q4986">
            <v>13.163905649647882</v>
          </cell>
        </row>
        <row r="4987">
          <cell r="O4987">
            <v>43390</v>
          </cell>
          <cell r="P4987">
            <v>1.0024683149445812</v>
          </cell>
          <cell r="Q4987">
            <v>13.167151733591741</v>
          </cell>
        </row>
        <row r="4988">
          <cell r="O4988">
            <v>43391</v>
          </cell>
          <cell r="P4988">
            <v>1.0027155139295725</v>
          </cell>
          <cell r="Q4988">
            <v>13.170398625782992</v>
          </cell>
        </row>
        <row r="4989">
          <cell r="O4989">
            <v>43392</v>
          </cell>
          <cell r="P4989">
            <v>1.0029627743281488</v>
          </cell>
          <cell r="Q4989">
            <v>13.173646324625167</v>
          </cell>
        </row>
        <row r="4990">
          <cell r="O4990">
            <v>43395</v>
          </cell>
          <cell r="P4990">
            <v>1.0032100960577899</v>
          </cell>
          <cell r="Q4990">
            <v>13.176894829034385</v>
          </cell>
        </row>
        <row r="4991">
          <cell r="O4991">
            <v>43396</v>
          </cell>
          <cell r="P4991">
            <v>1.0034574790619921</v>
          </cell>
          <cell r="Q4991">
            <v>13.180144138268485</v>
          </cell>
        </row>
        <row r="4992">
          <cell r="O4992">
            <v>43397</v>
          </cell>
          <cell r="P4992">
            <v>1.0037049233021405</v>
          </cell>
          <cell r="Q4992">
            <v>13.183394251820271</v>
          </cell>
        </row>
        <row r="4993">
          <cell r="O4993">
            <v>43398</v>
          </cell>
          <cell r="P4993">
            <v>1.0039524287522492</v>
          </cell>
          <cell r="Q4993">
            <v>13.186645169348425</v>
          </cell>
        </row>
        <row r="4994">
          <cell r="O4994">
            <v>43399</v>
          </cell>
          <cell r="P4994">
            <v>1.0041999953954528</v>
          </cell>
          <cell r="Q4994">
            <v>13.189896890631424</v>
          </cell>
        </row>
        <row r="4995">
          <cell r="O4995">
            <v>43402</v>
          </cell>
          <cell r="P4995">
            <v>1.004447623221608</v>
          </cell>
          <cell r="Q4995">
            <v>13.193149415536039</v>
          </cell>
        </row>
        <row r="4996">
          <cell r="O4996">
            <v>43403</v>
          </cell>
          <cell r="P4996">
            <v>1.0046953122256144</v>
          </cell>
          <cell r="Q4996">
            <v>13.196402743995279</v>
          </cell>
        </row>
        <row r="4997">
          <cell r="O4997">
            <v>43404</v>
          </cell>
          <cell r="P4997">
            <v>1.0049430624062139</v>
          </cell>
          <cell r="Q4997">
            <v>13.199656875992616</v>
          </cell>
        </row>
        <row r="4998">
          <cell r="O4998">
            <v>43405</v>
          </cell>
          <cell r="P4998">
            <v>1.0051908737651192</v>
          </cell>
          <cell r="Q4998">
            <v>13.202911811550548</v>
          </cell>
        </row>
        <row r="4999">
          <cell r="O4999">
            <v>43409</v>
          </cell>
          <cell r="P4999">
            <v>1.005447009732866</v>
          </cell>
          <cell r="Q4999">
            <v>13.206276088606966</v>
          </cell>
        </row>
        <row r="5000">
          <cell r="O5000">
            <v>43410</v>
          </cell>
          <cell r="P5000">
            <v>1.0057032423411294</v>
          </cell>
          <cell r="Q5000">
            <v>13.209641635010579</v>
          </cell>
        </row>
        <row r="5001">
          <cell r="O5001">
            <v>43411</v>
          </cell>
          <cell r="P5001">
            <v>1.0059595678647251</v>
          </cell>
          <cell r="Q5001">
            <v>13.213008401832095</v>
          </cell>
        </row>
        <row r="5002">
          <cell r="O5002">
            <v>43412</v>
          </cell>
          <cell r="P5002">
            <v>1.0062159831541517</v>
          </cell>
          <cell r="Q5002">
            <v>13.21637634770366</v>
          </cell>
        </row>
        <row r="5003">
          <cell r="O5003">
            <v>43413</v>
          </cell>
          <cell r="P5003">
            <v>1.0064724855289808</v>
          </cell>
          <cell r="Q5003">
            <v>13.219745437418569</v>
          </cell>
        </row>
        <row r="5004">
          <cell r="O5004">
            <v>43416</v>
          </cell>
          <cell r="P5004">
            <v>1.0067290726940963</v>
          </cell>
          <cell r="Q5004">
            <v>13.223115640831088</v>
          </cell>
        </row>
        <row r="5005">
          <cell r="O5005">
            <v>43417</v>
          </cell>
          <cell r="P5005">
            <v>1.00698574267326</v>
          </cell>
          <cell r="Q5005">
            <v>13.226486931983858</v>
          </cell>
        </row>
        <row r="5006">
          <cell r="O5006">
            <v>43418</v>
          </cell>
          <cell r="P5006">
            <v>1.0072424937559676</v>
          </cell>
          <cell r="Q5006">
            <v>13.22985928840987</v>
          </cell>
        </row>
        <row r="5007">
          <cell r="O5007">
            <v>43420</v>
          </cell>
          <cell r="P5007">
            <v>1.0074993244545873</v>
          </cell>
          <cell r="Q5007">
            <v>13.233232690569475</v>
          </cell>
        </row>
        <row r="5008">
          <cell r="O5008">
            <v>43423</v>
          </cell>
          <cell r="P5008">
            <v>1.0077562334695382</v>
          </cell>
          <cell r="Q5008">
            <v>13.23660712139303</v>
          </cell>
        </row>
        <row r="5009">
          <cell r="O5009">
            <v>43424</v>
          </cell>
          <cell r="P5009">
            <v>1.0080132196607969</v>
          </cell>
          <cell r="Q5009">
            <v>13.239982565906633</v>
          </cell>
        </row>
        <row r="5010">
          <cell r="O5010">
            <v>43425</v>
          </cell>
          <cell r="P5010">
            <v>1.008270282024434</v>
          </cell>
          <cell r="Q5010">
            <v>13.243359010923943</v>
          </cell>
        </row>
        <row r="5011">
          <cell r="O5011">
            <v>43426</v>
          </cell>
          <cell r="P5011">
            <v>1.0085274196731737</v>
          </cell>
          <cell r="Q5011">
            <v>13.24673644479083</v>
          </cell>
        </row>
        <row r="5012">
          <cell r="O5012">
            <v>43427</v>
          </cell>
          <cell r="P5012">
            <v>1.008784631820191</v>
          </cell>
          <cell r="Q5012">
            <v>13.250114857172557</v>
          </cell>
        </row>
        <row r="5013">
          <cell r="O5013">
            <v>43430</v>
          </cell>
          <cell r="P5013">
            <v>1.009041917765539</v>
          </cell>
          <cell r="Q5013">
            <v>13.253494238875515</v>
          </cell>
        </row>
        <row r="5014">
          <cell r="O5014">
            <v>43431</v>
          </cell>
          <cell r="P5014">
            <v>1.0092992768847169</v>
          </cell>
          <cell r="Q5014">
            <v>13.256874581697049</v>
          </cell>
        </row>
        <row r="5015">
          <cell r="O5015">
            <v>43432</v>
          </cell>
          <cell r="P5015">
            <v>1.0095567086189994</v>
          </cell>
          <cell r="Q5015">
            <v>13.260255878298455</v>
          </cell>
        </row>
        <row r="5016">
          <cell r="O5016">
            <v>43433</v>
          </cell>
          <cell r="P5016">
            <v>1.0098142124672138</v>
          </cell>
          <cell r="Q5016">
            <v>13.263638122096964</v>
          </cell>
        </row>
        <row r="5017">
          <cell r="O5017">
            <v>43434</v>
          </cell>
          <cell r="P5017">
            <v>1.0100717879787238</v>
          </cell>
          <cell r="Q5017">
            <v>13.267021307173589</v>
          </cell>
        </row>
        <row r="5018">
          <cell r="O5018">
            <v>43437</v>
          </cell>
          <cell r="P5018">
            <v>1.0103294347474112</v>
          </cell>
          <cell r="Q5018">
            <v>13.270405428194076</v>
          </cell>
        </row>
        <row r="5019">
          <cell r="O5019">
            <v>43438</v>
          </cell>
          <cell r="P5019">
            <v>1.0105995602174151</v>
          </cell>
          <cell r="Q5019">
            <v>13.273953453600592</v>
          </cell>
        </row>
        <row r="5020">
          <cell r="O5020">
            <v>43439</v>
          </cell>
          <cell r="P5020">
            <v>1.010869776160497</v>
          </cell>
          <cell r="Q5020">
            <v>13.277502667346655</v>
          </cell>
        </row>
        <row r="5021">
          <cell r="O5021">
            <v>43440</v>
          </cell>
          <cell r="P5021">
            <v>1.0111400813935274</v>
          </cell>
          <cell r="Q5021">
            <v>13.281053053892181</v>
          </cell>
        </row>
        <row r="5022">
          <cell r="O5022">
            <v>43441</v>
          </cell>
          <cell r="P5022">
            <v>1.0114104748379491</v>
          </cell>
          <cell r="Q5022">
            <v>13.28460459907061</v>
          </cell>
        </row>
        <row r="5023">
          <cell r="O5023">
            <v>43444</v>
          </cell>
          <cell r="P5023">
            <v>1.0116809555086539</v>
          </cell>
          <cell r="Q5023">
            <v>13.288157289942809</v>
          </cell>
        </row>
        <row r="5024">
          <cell r="O5024">
            <v>43445</v>
          </cell>
          <cell r="P5024">
            <v>1.0119515225042501</v>
          </cell>
          <cell r="Q5024">
            <v>13.291711114669246</v>
          </cell>
        </row>
        <row r="5025">
          <cell r="O5025">
            <v>43446</v>
          </cell>
          <cell r="P5025">
            <v>1.0122221749985183</v>
          </cell>
          <cell r="Q5025">
            <v>13.295266062397744</v>
          </cell>
        </row>
        <row r="5026">
          <cell r="O5026">
            <v>43447</v>
          </cell>
          <cell r="P5026">
            <v>1.0124929122328961</v>
          </cell>
          <cell r="Q5026">
            <v>13.298822123164793</v>
          </cell>
        </row>
        <row r="5027">
          <cell r="O5027">
            <v>43448</v>
          </cell>
          <cell r="P5027">
            <v>1.0127637335098445</v>
          </cell>
          <cell r="Q5027">
            <v>13.302379287808408</v>
          </cell>
        </row>
        <row r="5028">
          <cell r="O5028">
            <v>43451</v>
          </cell>
          <cell r="P5028">
            <v>1.0130346381869821</v>
          </cell>
          <cell r="Q5028">
            <v>13.30593754789108</v>
          </cell>
        </row>
        <row r="5029">
          <cell r="O5029">
            <v>43452</v>
          </cell>
          <cell r="P5029">
            <v>1.0133056256718806</v>
          </cell>
          <cell r="Q5029">
            <v>13.309496895631423</v>
          </cell>
        </row>
        <row r="5030">
          <cell r="O5030">
            <v>43453</v>
          </cell>
          <cell r="P5030">
            <v>1.013576695417441</v>
          </cell>
          <cell r="Q5030">
            <v>13.313057323843438</v>
          </cell>
        </row>
        <row r="5031">
          <cell r="O5031">
            <v>43454</v>
          </cell>
          <cell r="P5031">
            <v>1.0138478469177721</v>
          </cell>
          <cell r="Q5031">
            <v>13.316618825882379</v>
          </cell>
        </row>
        <row r="5032">
          <cell r="O5032">
            <v>43455</v>
          </cell>
          <cell r="P5032">
            <v>1.014119079704513</v>
          </cell>
          <cell r="Q5032">
            <v>13.320181395596457</v>
          </cell>
        </row>
        <row r="5033">
          <cell r="O5033">
            <v>43458</v>
          </cell>
          <cell r="P5033">
            <v>1.0143903933435403</v>
          </cell>
          <cell r="Q5033">
            <v>13.323745027283572</v>
          </cell>
        </row>
        <row r="5034">
          <cell r="O5034">
            <v>43460</v>
          </cell>
          <cell r="P5034">
            <v>1.0146617874320176</v>
          </cell>
          <cell r="Q5034">
            <v>13.327309715652579</v>
          </cell>
        </row>
        <row r="5035">
          <cell r="O5035">
            <v>43461</v>
          </cell>
          <cell r="P5035">
            <v>1.0149332615957447</v>
          </cell>
          <cell r="Q5035">
            <v>13.330875455788457</v>
          </cell>
        </row>
        <row r="5036">
          <cell r="O5036">
            <v>43462</v>
          </cell>
          <cell r="P5036">
            <v>1.0152048154867708</v>
          </cell>
          <cell r="Q5036">
            <v>13.334442243120968</v>
          </cell>
        </row>
        <row r="5037">
          <cell r="O5037">
            <v>43465</v>
          </cell>
          <cell r="P5037">
            <v>1.0154764487812442</v>
          </cell>
          <cell r="Q5037">
            <v>13.338010073396406</v>
          </cell>
        </row>
        <row r="5038">
          <cell r="O5038">
            <v>43467</v>
          </cell>
          <cell r="P5038">
            <v>1.0157481611774686</v>
          </cell>
          <cell r="Q5038">
            <v>13.34157894265207</v>
          </cell>
        </row>
        <row r="5039">
          <cell r="O5039">
            <v>43468</v>
          </cell>
          <cell r="P5039">
            <v>1.0160313744677527</v>
          </cell>
          <cell r="Q5039">
            <v>13.345298873058397</v>
          </cell>
        </row>
        <row r="5040">
          <cell r="O5040">
            <v>43469</v>
          </cell>
          <cell r="P5040">
            <v>1.0163146783158759</v>
          </cell>
          <cell r="Q5040">
            <v>13.349019992917587</v>
          </cell>
        </row>
        <row r="5041">
          <cell r="O5041">
            <v>43472</v>
          </cell>
          <cell r="P5041">
            <v>1.0165980722184034</v>
          </cell>
          <cell r="Q5041">
            <v>13.352742295617158</v>
          </cell>
        </row>
        <row r="5042">
          <cell r="O5042">
            <v>43473</v>
          </cell>
          <cell r="P5042">
            <v>1.0168815557037592</v>
          </cell>
          <cell r="Q5042">
            <v>13.356465774963091</v>
          </cell>
        </row>
        <row r="5043">
          <cell r="O5043">
            <v>43474</v>
          </cell>
          <cell r="P5043">
            <v>1.0171651283298462</v>
          </cell>
          <cell r="Q5043">
            <v>13.360190425148556</v>
          </cell>
        </row>
        <row r="5044">
          <cell r="O5044">
            <v>43475</v>
          </cell>
          <cell r="P5044">
            <v>1.0174487896818809</v>
          </cell>
          <cell r="Q5044">
            <v>13.363916240725484</v>
          </cell>
        </row>
        <row r="5045">
          <cell r="O5045">
            <v>43476</v>
          </cell>
          <cell r="P5045">
            <v>1.0177325393704144</v>
          </cell>
          <cell r="Q5045">
            <v>13.367643216578568</v>
          </cell>
        </row>
        <row r="5046">
          <cell r="O5046">
            <v>43479</v>
          </cell>
          <cell r="P5046">
            <v>1.0180163770295225</v>
          </cell>
          <cell r="Q5046">
            <v>13.371371347901491</v>
          </cell>
        </row>
        <row r="5047">
          <cell r="O5047">
            <v>43480</v>
          </cell>
          <cell r="P5047">
            <v>1.0183003023151505</v>
          </cell>
          <cell r="Q5047">
            <v>13.375100630175188</v>
          </cell>
        </row>
        <row r="5048">
          <cell r="O5048">
            <v>43481</v>
          </cell>
          <cell r="P5048">
            <v>1.0185843149035931</v>
          </cell>
          <cell r="Q5048">
            <v>13.378831059147881</v>
          </cell>
        </row>
        <row r="5049">
          <cell r="O5049">
            <v>43482</v>
          </cell>
          <cell r="P5049">
            <v>1.0188684144901032</v>
          </cell>
          <cell r="Q5049">
            <v>13.382562630816793</v>
          </cell>
        </row>
        <row r="5050">
          <cell r="O5050">
            <v>43483</v>
          </cell>
          <cell r="P5050">
            <v>1.0191526007876097</v>
          </cell>
          <cell r="Q5050">
            <v>13.386295341411325</v>
          </cell>
        </row>
        <row r="5051">
          <cell r="O5051">
            <v>43486</v>
          </cell>
          <cell r="P5051">
            <v>1.0194368735255412</v>
          </cell>
          <cell r="Q5051">
            <v>13.390029187377593</v>
          </cell>
        </row>
        <row r="5052">
          <cell r="O5052">
            <v>43487</v>
          </cell>
          <cell r="P5052">
            <v>1.0197212324487381</v>
          </cell>
          <cell r="Q5052">
            <v>13.393764165364145</v>
          </cell>
        </row>
        <row r="5053">
          <cell r="O5053">
            <v>43488</v>
          </cell>
          <cell r="P5053">
            <v>1.0200056773164556</v>
          </cell>
          <cell r="Q5053">
            <v>13.397500272208863</v>
          </cell>
        </row>
        <row r="5054">
          <cell r="O5054">
            <v>43489</v>
          </cell>
          <cell r="P5054">
            <v>1.0202902079014378</v>
          </cell>
          <cell r="Q5054">
            <v>13.401237504926801</v>
          </cell>
        </row>
        <row r="5055">
          <cell r="O5055">
            <v>43490</v>
          </cell>
          <cell r="P5055">
            <v>1.020574823989064</v>
          </cell>
          <cell r="Q5055">
            <v>13.404975860698976</v>
          </cell>
        </row>
        <row r="5056">
          <cell r="O5056">
            <v>43493</v>
          </cell>
          <cell r="P5056">
            <v>1.0208595253765624</v>
          </cell>
          <cell r="Q5056">
            <v>13.408715336862034</v>
          </cell>
        </row>
        <row r="5057">
          <cell r="O5057">
            <v>43494</v>
          </cell>
          <cell r="P5057">
            <v>1.0211443118722749</v>
          </cell>
          <cell r="Q5057">
            <v>13.412455930898597</v>
          </cell>
        </row>
        <row r="5058">
          <cell r="O5058">
            <v>43495</v>
          </cell>
          <cell r="P5058">
            <v>1.0214291832949833</v>
          </cell>
          <cell r="Q5058">
            <v>13.416197640428411</v>
          </cell>
        </row>
        <row r="5059">
          <cell r="O5059">
            <v>43496</v>
          </cell>
          <cell r="P5059">
            <v>1.0217141394732794</v>
          </cell>
          <cell r="Q5059">
            <v>13.419940463200078</v>
          </cell>
        </row>
        <row r="5060">
          <cell r="O5060">
            <v>43497</v>
          </cell>
          <cell r="P5060">
            <v>1.0219991802449806</v>
          </cell>
          <cell r="Q5060">
            <v>13.423684397083372</v>
          </cell>
        </row>
        <row r="5061">
          <cell r="O5061">
            <v>43500</v>
          </cell>
          <cell r="P5061">
            <v>1.0222993329162031</v>
          </cell>
          <cell r="Q5061">
            <v>13.427626821702995</v>
          </cell>
        </row>
        <row r="5062">
          <cell r="O5062">
            <v>43501</v>
          </cell>
          <cell r="P5062">
            <v>1.0225995826497489</v>
          </cell>
          <cell r="Q5062">
            <v>13.431570521210134</v>
          </cell>
        </row>
        <row r="5063">
          <cell r="O5063">
            <v>43502</v>
          </cell>
          <cell r="P5063">
            <v>1.0228999291720278</v>
          </cell>
          <cell r="Q5063">
            <v>13.435515492011252</v>
          </cell>
        </row>
        <row r="5064">
          <cell r="O5064">
            <v>43503</v>
          </cell>
          <cell r="P5064">
            <v>1.023200372223074</v>
          </cell>
          <cell r="Q5064">
            <v>13.43946173069177</v>
          </cell>
        </row>
        <row r="5065">
          <cell r="O5065">
            <v>43504</v>
          </cell>
          <cell r="P5065">
            <v>1.023500911555782</v>
          </cell>
          <cell r="Q5065">
            <v>13.443409234006024</v>
          </cell>
        </row>
        <row r="5066">
          <cell r="O5066">
            <v>43507</v>
          </cell>
          <cell r="P5066">
            <v>1.0238015469351922</v>
          </cell>
          <cell r="Q5066">
            <v>13.447357998867883</v>
          </cell>
        </row>
        <row r="5067">
          <cell r="O5067">
            <v>43508</v>
          </cell>
          <cell r="P5067">
            <v>1.0241022781378244</v>
          </cell>
          <cell r="Q5067">
            <v>13.451308022341994</v>
          </cell>
        </row>
        <row r="5068">
          <cell r="O5068">
            <v>43509</v>
          </cell>
          <cell r="P5068">
            <v>1.0244031049510538</v>
          </cell>
          <cell r="Q5068">
            <v>13.455259301635587</v>
          </cell>
        </row>
        <row r="5069">
          <cell r="O5069">
            <v>43510</v>
          </cell>
          <cell r="P5069">
            <v>1.024704027172527</v>
          </cell>
          <cell r="Q5069">
            <v>13.459211834090807</v>
          </cell>
        </row>
        <row r="5070">
          <cell r="O5070">
            <v>43511</v>
          </cell>
          <cell r="P5070">
            <v>1.0250050446096188</v>
          </cell>
          <cell r="Q5070">
            <v>13.463165617177571</v>
          </cell>
        </row>
        <row r="5071">
          <cell r="O5071">
            <v>43514</v>
          </cell>
          <cell r="P5071">
            <v>1.0253061570789175</v>
          </cell>
          <cell r="Q5071">
            <v>13.467120648486816</v>
          </cell>
        </row>
        <row r="5072">
          <cell r="O5072">
            <v>43515</v>
          </cell>
          <cell r="P5072">
            <v>1.0256073644057473</v>
          </cell>
          <cell r="Q5072">
            <v>13.471076925724224</v>
          </cell>
        </row>
        <row r="5073">
          <cell r="O5073">
            <v>43516</v>
          </cell>
          <cell r="P5073">
            <v>1.0259086664237171</v>
          </cell>
          <cell r="Q5073">
            <v>13.475034446704292</v>
          </cell>
        </row>
        <row r="5074">
          <cell r="O5074">
            <v>43517</v>
          </cell>
          <cell r="P5074">
            <v>1.0262100629742998</v>
          </cell>
          <cell r="Q5074">
            <v>13.478993209344807</v>
          </cell>
        </row>
        <row r="5075">
          <cell r="O5075">
            <v>43518</v>
          </cell>
          <cell r="P5075">
            <v>1.0265115539064344</v>
          </cell>
          <cell r="Q5075">
            <v>13.482953211661627</v>
          </cell>
        </row>
        <row r="5076">
          <cell r="O5076">
            <v>43521</v>
          </cell>
          <cell r="P5076">
            <v>1.026813139076153</v>
          </cell>
          <cell r="Q5076">
            <v>13.48691445176377</v>
          </cell>
        </row>
        <row r="5077">
          <cell r="O5077">
            <v>43522</v>
          </cell>
          <cell r="P5077">
            <v>1.0271148183462302</v>
          </cell>
          <cell r="Q5077">
            <v>13.490876927848817</v>
          </cell>
        </row>
        <row r="5078">
          <cell r="O5078">
            <v>43523</v>
          </cell>
          <cell r="P5078">
            <v>1.0274165915858537</v>
          </cell>
          <cell r="Q5078">
            <v>13.494840638198585</v>
          </cell>
        </row>
        <row r="5079">
          <cell r="O5079">
            <v>43524</v>
          </cell>
          <cell r="P5079">
            <v>1.0277184586703125</v>
          </cell>
          <cell r="Q5079">
            <v>13.498805581175027</v>
          </cell>
        </row>
        <row r="5080">
          <cell r="O5080">
            <v>43525</v>
          </cell>
          <cell r="P5080">
            <v>1.0280204194807037</v>
          </cell>
          <cell r="Q5080">
            <v>13.502771755216386</v>
          </cell>
        </row>
        <row r="5081">
          <cell r="O5081">
            <v>43530</v>
          </cell>
          <cell r="P5081">
            <v>1.0283170535149795</v>
          </cell>
          <cell r="Q5081">
            <v>13.506667963485945</v>
          </cell>
        </row>
        <row r="5082">
          <cell r="O5082">
            <v>43531</v>
          </cell>
          <cell r="P5082">
            <v>1.0286137769133359</v>
          </cell>
          <cell r="Q5082">
            <v>13.51056534552867</v>
          </cell>
        </row>
        <row r="5083">
          <cell r="O5083">
            <v>43532</v>
          </cell>
          <cell r="P5083">
            <v>1.0289105895979838</v>
          </cell>
          <cell r="Q5083">
            <v>13.514463900322822</v>
          </cell>
        </row>
        <row r="5084">
          <cell r="O5084">
            <v>43535</v>
          </cell>
          <cell r="P5084">
            <v>1.0292074914949387</v>
          </cell>
          <cell r="Q5084">
            <v>13.518363626896639</v>
          </cell>
        </row>
        <row r="5085">
          <cell r="O5085">
            <v>43536</v>
          </cell>
          <cell r="P5085">
            <v>1.0295044825338475</v>
          </cell>
          <cell r="Q5085">
            <v>13.522264524326046</v>
          </cell>
        </row>
        <row r="5086">
          <cell r="O5086">
            <v>43537</v>
          </cell>
          <cell r="P5086">
            <v>1.029801562647823</v>
          </cell>
          <cell r="Q5086">
            <v>13.526166591732498</v>
          </cell>
        </row>
        <row r="5087">
          <cell r="O5087">
            <v>43538</v>
          </cell>
          <cell r="P5087">
            <v>1.0300987317732873</v>
          </cell>
          <cell r="Q5087">
            <v>13.53006982828092</v>
          </cell>
        </row>
        <row r="5088">
          <cell r="O5088">
            <v>43539</v>
          </cell>
          <cell r="P5088">
            <v>1.0303959898498261</v>
          </cell>
          <cell r="Q5088">
            <v>13.533974233177785</v>
          </cell>
        </row>
        <row r="5089">
          <cell r="O5089">
            <v>43542</v>
          </cell>
          <cell r="P5089">
            <v>1.0306933368200468</v>
          </cell>
          <cell r="Q5089">
            <v>13.53787980566926</v>
          </cell>
        </row>
        <row r="5090">
          <cell r="O5090">
            <v>43543</v>
          </cell>
          <cell r="P5090">
            <v>1.0309907726294496</v>
          </cell>
          <cell r="Q5090">
            <v>13.541786545039496</v>
          </cell>
        </row>
        <row r="5091">
          <cell r="O5091">
            <v>43544</v>
          </cell>
          <cell r="P5091">
            <v>1.0312882972262984</v>
          </cell>
          <cell r="Q5091">
            <v>13.545694450608963</v>
          </cell>
        </row>
        <row r="5092">
          <cell r="O5092">
            <v>43545</v>
          </cell>
          <cell r="P5092">
            <v>1.0315859105615042</v>
          </cell>
          <cell r="Q5092">
            <v>13.549603521732882</v>
          </cell>
        </row>
        <row r="5093">
          <cell r="O5093">
            <v>43546</v>
          </cell>
          <cell r="P5093">
            <v>1.0318836125885111</v>
          </cell>
          <cell r="Q5093">
            <v>13.55351375779976</v>
          </cell>
        </row>
        <row r="5094">
          <cell r="O5094">
            <v>43549</v>
          </cell>
          <cell r="P5094">
            <v>1.0321814032631913</v>
          </cell>
          <cell r="Q5094">
            <v>13.557425158229986</v>
          </cell>
        </row>
        <row r="5095">
          <cell r="O5095">
            <v>43550</v>
          </cell>
          <cell r="P5095">
            <v>1.0324792825437408</v>
          </cell>
          <cell r="Q5095">
            <v>13.561337722474477</v>
          </cell>
        </row>
        <row r="5096">
          <cell r="O5096">
            <v>43551</v>
          </cell>
          <cell r="P5096">
            <v>1.0327772503905839</v>
          </cell>
          <cell r="Q5096">
            <v>13.565251450013418</v>
          </cell>
        </row>
        <row r="5097">
          <cell r="O5097">
            <v>43552</v>
          </cell>
          <cell r="P5097">
            <v>1.0330753067662823</v>
          </cell>
          <cell r="Q5097">
            <v>13.569166340355068</v>
          </cell>
        </row>
        <row r="5098">
          <cell r="O5098">
            <v>43553</v>
          </cell>
          <cell r="P5098">
            <v>1.0333734516354467</v>
          </cell>
          <cell r="Q5098">
            <v>13.573082393034595</v>
          </cell>
        </row>
        <row r="5099">
          <cell r="O5099">
            <v>43556</v>
          </cell>
          <cell r="P5099">
            <v>1.0336716849646541</v>
          </cell>
          <cell r="Q5099">
            <v>13.576999607612997</v>
          </cell>
        </row>
        <row r="5100">
          <cell r="O5100">
            <v>43557</v>
          </cell>
          <cell r="P5100">
            <v>1.0339939857493599</v>
          </cell>
          <cell r="Q5100">
            <v>13.581232941747166</v>
          </cell>
        </row>
        <row r="5101">
          <cell r="O5101">
            <v>43558</v>
          </cell>
          <cell r="P5101">
            <v>1.0343163924503367</v>
          </cell>
          <cell r="Q5101">
            <v>13.585467667063071</v>
          </cell>
        </row>
        <row r="5102">
          <cell r="O5102">
            <v>43559</v>
          </cell>
          <cell r="P5102">
            <v>1.0346389049748488</v>
          </cell>
          <cell r="Q5102">
            <v>13.589703782342653</v>
          </cell>
        </row>
        <row r="5103">
          <cell r="O5103">
            <v>43560</v>
          </cell>
          <cell r="P5103">
            <v>1.0349615232340807</v>
          </cell>
          <cell r="Q5103">
            <v>13.593941286419348</v>
          </cell>
        </row>
        <row r="5104">
          <cell r="O5104">
            <v>43563</v>
          </cell>
          <cell r="P5104">
            <v>1.0352842471429857</v>
          </cell>
          <cell r="Q5104">
            <v>13.598180178176085</v>
          </cell>
        </row>
        <row r="5105">
          <cell r="O5105">
            <v>43564</v>
          </cell>
          <cell r="P5105">
            <v>1.0356070766201388</v>
          </cell>
          <cell r="Q5105">
            <v>13.602420456543374</v>
          </cell>
        </row>
        <row r="5106">
          <cell r="O5106">
            <v>43565</v>
          </cell>
          <cell r="P5106">
            <v>1.0359300115875982</v>
          </cell>
          <cell r="Q5106">
            <v>13.606662120497466</v>
          </cell>
        </row>
        <row r="5107">
          <cell r="O5107">
            <v>43566</v>
          </cell>
          <cell r="P5107">
            <v>1.0362530519707733</v>
          </cell>
          <cell r="Q5107">
            <v>13.610905169058636</v>
          </cell>
        </row>
        <row r="5108">
          <cell r="O5108">
            <v>43567</v>
          </cell>
          <cell r="P5108">
            <v>1.036576197698297</v>
          </cell>
          <cell r="Q5108">
            <v>13.615149601289495</v>
          </cell>
        </row>
        <row r="5109">
          <cell r="O5109">
            <v>43570</v>
          </cell>
          <cell r="P5109">
            <v>1.0368994487019063</v>
          </cell>
          <cell r="Q5109">
            <v>13.619395416293429</v>
          </cell>
        </row>
        <row r="5110">
          <cell r="O5110">
            <v>43571</v>
          </cell>
          <cell r="P5110">
            <v>1.0372228049163259</v>
          </cell>
          <cell r="Q5110">
            <v>13.623642613213063</v>
          </cell>
        </row>
        <row r="5111">
          <cell r="O5111">
            <v>43572</v>
          </cell>
          <cell r="P5111">
            <v>1.0375462662791575</v>
          </cell>
          <cell r="Q5111">
            <v>13.627891191228811</v>
          </cell>
        </row>
        <row r="5112">
          <cell r="O5112">
            <v>43573</v>
          </cell>
          <cell r="P5112">
            <v>1.0378698327307756</v>
          </cell>
          <cell r="Q5112">
            <v>13.63214114955751</v>
          </cell>
        </row>
        <row r="5113">
          <cell r="O5113">
            <v>43577</v>
          </cell>
          <cell r="P5113">
            <v>1.0381935042142261</v>
          </cell>
          <cell r="Q5113">
            <v>13.636392487451081</v>
          </cell>
        </row>
        <row r="5114">
          <cell r="O5114">
            <v>43578</v>
          </cell>
          <cell r="P5114">
            <v>1.0385172806751295</v>
          </cell>
          <cell r="Q5114">
            <v>13.640645204195268</v>
          </cell>
        </row>
        <row r="5115">
          <cell r="O5115">
            <v>43579</v>
          </cell>
          <cell r="P5115">
            <v>1.0388411620615894</v>
          </cell>
          <cell r="Q5115">
            <v>13.64489929910842</v>
          </cell>
        </row>
        <row r="5116">
          <cell r="O5116">
            <v>43580</v>
          </cell>
          <cell r="P5116">
            <v>1.0391651483241033</v>
          </cell>
          <cell r="Q5116">
            <v>13.649154771540342</v>
          </cell>
        </row>
        <row r="5117">
          <cell r="O5117">
            <v>43581</v>
          </cell>
          <cell r="P5117">
            <v>1.0394892394154787</v>
          </cell>
          <cell r="Q5117">
            <v>13.653411620871166</v>
          </cell>
        </row>
        <row r="5118">
          <cell r="O5118">
            <v>43584</v>
          </cell>
          <cell r="P5118">
            <v>1.0398134352907522</v>
          </cell>
          <cell r="Q5118">
            <v>13.657669846510315</v>
          </cell>
        </row>
        <row r="5119">
          <cell r="O5119">
            <v>43585</v>
          </cell>
          <cell r="P5119">
            <v>1.0401377359071113</v>
          </cell>
          <cell r="Q5119">
            <v>13.661929447895455</v>
          </cell>
        </row>
        <row r="5120">
          <cell r="O5120">
            <v>43587</v>
          </cell>
          <cell r="P5120">
            <v>1.0404621412238202</v>
          </cell>
          <cell r="Q5120">
            <v>13.666190424491534</v>
          </cell>
        </row>
        <row r="5121">
          <cell r="O5121">
            <v>43588</v>
          </cell>
          <cell r="P5121">
            <v>1.0407954809113447</v>
          </cell>
          <cell r="Q5121">
            <v>13.67056875164565</v>
          </cell>
        </row>
        <row r="5122">
          <cell r="O5122">
            <v>43591</v>
          </cell>
          <cell r="P5122">
            <v>1.0411289316467238</v>
          </cell>
          <cell r="Q5122">
            <v>13.674948537383475</v>
          </cell>
        </row>
        <row r="5123">
          <cell r="O5123">
            <v>43592</v>
          </cell>
          <cell r="P5123">
            <v>1.0414624933814238</v>
          </cell>
          <cell r="Q5123">
            <v>13.679329781067528</v>
          </cell>
        </row>
        <row r="5124">
          <cell r="O5124">
            <v>43593</v>
          </cell>
          <cell r="P5124">
            <v>1.0417961660691606</v>
          </cell>
          <cell r="Q5124">
            <v>13.683712482089883</v>
          </cell>
        </row>
        <row r="5125">
          <cell r="O5125">
            <v>43594</v>
          </cell>
          <cell r="P5125">
            <v>1.0421299496658254</v>
          </cell>
          <cell r="Q5125">
            <v>13.688096639871182</v>
          </cell>
        </row>
        <row r="5126">
          <cell r="O5126">
            <v>43595</v>
          </cell>
          <cell r="P5126">
            <v>1.0424638441294118</v>
          </cell>
          <cell r="Q5126">
            <v>13.692482253859682</v>
          </cell>
        </row>
        <row r="5127">
          <cell r="O5127">
            <v>43598</v>
          </cell>
          <cell r="P5127">
            <v>1.0427978494199472</v>
          </cell>
          <cell r="Q5127">
            <v>13.696869323530352</v>
          </cell>
        </row>
        <row r="5128">
          <cell r="O5128">
            <v>43599</v>
          </cell>
          <cell r="P5128">
            <v>1.0431319654994264</v>
          </cell>
          <cell r="Q5128">
            <v>13.701257848384007</v>
          </cell>
        </row>
        <row r="5129">
          <cell r="O5129">
            <v>43600</v>
          </cell>
          <cell r="P5129">
            <v>1.0434661923317463</v>
          </cell>
          <cell r="Q5129">
            <v>13.705647827946439</v>
          </cell>
        </row>
        <row r="5130">
          <cell r="O5130">
            <v>43601</v>
          </cell>
          <cell r="P5130">
            <v>1.0438005298826458</v>
          </cell>
          <cell r="Q5130">
            <v>13.710039261767642</v>
          </cell>
        </row>
        <row r="5131">
          <cell r="O5131">
            <v>43602</v>
          </cell>
          <cell r="P5131">
            <v>1.044134978119647</v>
          </cell>
          <cell r="Q5131">
            <v>13.714432149421024</v>
          </cell>
        </row>
        <row r="5132">
          <cell r="O5132">
            <v>43605</v>
          </cell>
          <cell r="P5132">
            <v>1.0444695370119974</v>
          </cell>
          <cell r="Q5132">
            <v>13.718826490502661</v>
          </cell>
        </row>
        <row r="5133">
          <cell r="O5133">
            <v>43606</v>
          </cell>
          <cell r="P5133">
            <v>1.0448042065306145</v>
          </cell>
          <cell r="Q5133">
            <v>13.723222284630561</v>
          </cell>
        </row>
        <row r="5134">
          <cell r="O5134">
            <v>43607</v>
          </cell>
          <cell r="P5134">
            <v>1.0451389866480369</v>
          </cell>
          <cell r="Q5134">
            <v>13.727619531444027</v>
          </cell>
        </row>
        <row r="5135">
          <cell r="O5135">
            <v>43608</v>
          </cell>
          <cell r="P5135">
            <v>1.0454738773383694</v>
          </cell>
          <cell r="Q5135">
            <v>13.732018230602931</v>
          </cell>
        </row>
        <row r="5136">
          <cell r="O5136">
            <v>43609</v>
          </cell>
          <cell r="P5136">
            <v>1.0458088785772368</v>
          </cell>
          <cell r="Q5136">
            <v>13.736418381787114</v>
          </cell>
        </row>
        <row r="5137">
          <cell r="O5137">
            <v>43612</v>
          </cell>
          <cell r="P5137">
            <v>1.0461439903417369</v>
          </cell>
          <cell r="Q5137">
            <v>13.740819984695758</v>
          </cell>
        </row>
        <row r="5138">
          <cell r="O5138">
            <v>43613</v>
          </cell>
          <cell r="P5138">
            <v>1.0464792126103943</v>
          </cell>
          <cell r="Q5138">
            <v>13.745223039046794</v>
          </cell>
        </row>
        <row r="5139">
          <cell r="O5139">
            <v>43614</v>
          </cell>
          <cell r="P5139">
            <v>1.0468145453631181</v>
          </cell>
          <cell r="Q5139">
            <v>13.749627544576329</v>
          </cell>
        </row>
        <row r="5140">
          <cell r="O5140">
            <v>43615</v>
          </cell>
          <cell r="P5140">
            <v>1.0471499885811602</v>
          </cell>
          <cell r="Q5140">
            <v>13.754033501038112</v>
          </cell>
        </row>
        <row r="5141">
          <cell r="O5141">
            <v>43616</v>
          </cell>
          <cell r="P5141">
            <v>1.0474855422470732</v>
          </cell>
          <cell r="Q5141">
            <v>13.758440908202981</v>
          </cell>
        </row>
        <row r="5142">
          <cell r="O5142">
            <v>43619</v>
          </cell>
          <cell r="P5142">
            <v>1.047821206344673</v>
          </cell>
          <cell r="Q5142">
            <v>13.762849765858357</v>
          </cell>
        </row>
        <row r="5143">
          <cell r="O5143">
            <v>43620</v>
          </cell>
          <cell r="P5143">
            <v>1.0481572345838612</v>
          </cell>
          <cell r="Q5143">
            <v>13.767263406415573</v>
          </cell>
        </row>
        <row r="5144">
          <cell r="O5144">
            <v>43621</v>
          </cell>
          <cell r="P5144">
            <v>1.0484933734068862</v>
          </cell>
          <cell r="Q5144">
            <v>13.771678499461746</v>
          </cell>
        </row>
        <row r="5145">
          <cell r="O5145">
            <v>43622</v>
          </cell>
          <cell r="P5145">
            <v>1.0488296228009077</v>
          </cell>
          <cell r="Q5145">
            <v>13.776095044828224</v>
          </cell>
        </row>
        <row r="5146">
          <cell r="O5146">
            <v>43623</v>
          </cell>
          <cell r="P5146">
            <v>1.0491659827542144</v>
          </cell>
          <cell r="Q5146">
            <v>13.78051304236118</v>
          </cell>
        </row>
        <row r="5147">
          <cell r="O5147">
            <v>43626</v>
          </cell>
          <cell r="P5147">
            <v>1.0495024532561892</v>
          </cell>
          <cell r="Q5147">
            <v>13.784932491921165</v>
          </cell>
        </row>
        <row r="5148">
          <cell r="O5148">
            <v>43627</v>
          </cell>
          <cell r="P5148">
            <v>1.0498390342972801</v>
          </cell>
          <cell r="Q5148">
            <v>13.789353393382713</v>
          </cell>
        </row>
        <row r="5149">
          <cell r="O5149">
            <v>43628</v>
          </cell>
          <cell r="P5149">
            <v>1.0501757258689675</v>
          </cell>
          <cell r="Q5149">
            <v>13.793775746633923</v>
          </cell>
        </row>
        <row r="5150">
          <cell r="O5150">
            <v>43629</v>
          </cell>
          <cell r="P5150">
            <v>1.0505125279637373</v>
          </cell>
          <cell r="Q5150">
            <v>13.798199551576097</v>
          </cell>
        </row>
        <row r="5151">
          <cell r="O5151">
            <v>43630</v>
          </cell>
          <cell r="P5151">
            <v>1.050849440575049</v>
          </cell>
          <cell r="Q5151">
            <v>13.80262480812333</v>
          </cell>
        </row>
        <row r="5152">
          <cell r="O5152">
            <v>43633</v>
          </cell>
          <cell r="P5152">
            <v>1.0511864636973129</v>
          </cell>
          <cell r="Q5152">
            <v>13.807051516202202</v>
          </cell>
        </row>
        <row r="5153">
          <cell r="O5153">
            <v>43634</v>
          </cell>
          <cell r="P5153">
            <v>1.0515235973258592</v>
          </cell>
          <cell r="Q5153">
            <v>13.811479675751375</v>
          </cell>
        </row>
        <row r="5154">
          <cell r="O5154">
            <v>43635</v>
          </cell>
          <cell r="P5154">
            <v>1.0518608414569157</v>
          </cell>
          <cell r="Q5154">
            <v>13.815909286721304</v>
          </cell>
        </row>
        <row r="5155">
          <cell r="O5155">
            <v>43637</v>
          </cell>
          <cell r="P5155">
            <v>1.052198196087581</v>
          </cell>
          <cell r="Q5155">
            <v>13.820340349073877</v>
          </cell>
        </row>
        <row r="5156">
          <cell r="O5156">
            <v>43640</v>
          </cell>
          <cell r="P5156">
            <v>1.0525356612158014</v>
          </cell>
          <cell r="Q5156">
            <v>13.824772862782124</v>
          </cell>
        </row>
        <row r="5157">
          <cell r="O5157">
            <v>43641</v>
          </cell>
          <cell r="P5157">
            <v>1.0528732368403484</v>
          </cell>
          <cell r="Q5157">
            <v>13.829206827829905</v>
          </cell>
        </row>
        <row r="5158">
          <cell r="O5158">
            <v>43642</v>
          </cell>
          <cell r="P5158">
            <v>1.0532109229607951</v>
          </cell>
          <cell r="Q5158">
            <v>13.833642244211614</v>
          </cell>
        </row>
        <row r="5159">
          <cell r="O5159">
            <v>43643</v>
          </cell>
          <cell r="P5159">
            <v>1.0535487195774951</v>
          </cell>
          <cell r="Q5159">
            <v>13.838079111931895</v>
          </cell>
        </row>
        <row r="5160">
          <cell r="O5160">
            <v>43644</v>
          </cell>
          <cell r="P5160">
            <v>1.0538866266915623</v>
          </cell>
          <cell r="Q5160">
            <v>13.84251743100538</v>
          </cell>
        </row>
        <row r="5161">
          <cell r="O5161">
            <v>43647</v>
          </cell>
          <cell r="P5161">
            <v>1.0542246443048495</v>
          </cell>
          <cell r="Q5161">
            <v>13.846957201456405</v>
          </cell>
        </row>
        <row r="5162">
          <cell r="O5162">
            <v>43648</v>
          </cell>
          <cell r="P5162">
            <v>1.0545832186399937</v>
          </cell>
          <cell r="Q5162">
            <v>13.851666978920919</v>
          </cell>
        </row>
        <row r="5163">
          <cell r="O5163">
            <v>43649</v>
          </cell>
          <cell r="P5163">
            <v>1.0549419181749669</v>
          </cell>
          <cell r="Q5163">
            <v>13.856378400851519</v>
          </cell>
        </row>
        <row r="5164">
          <cell r="O5164">
            <v>43650</v>
          </cell>
          <cell r="P5164">
            <v>1.0553007429028736</v>
          </cell>
          <cell r="Q5164">
            <v>13.861091467157632</v>
          </cell>
        </row>
        <row r="5165">
          <cell r="O5165">
            <v>43651</v>
          </cell>
          <cell r="P5165">
            <v>1.0556596928178599</v>
          </cell>
          <cell r="Q5165">
            <v>13.865806177762371</v>
          </cell>
        </row>
        <row r="5166">
          <cell r="O5166">
            <v>43654</v>
          </cell>
          <cell r="P5166">
            <v>1.056018767915083</v>
          </cell>
          <cell r="Q5166">
            <v>13.870522532602127</v>
          </cell>
        </row>
        <row r="5167">
          <cell r="O5167">
            <v>43655</v>
          </cell>
          <cell r="P5167">
            <v>1.0563779681906895</v>
          </cell>
          <cell r="Q5167">
            <v>13.875240531626288</v>
          </cell>
        </row>
        <row r="5168">
          <cell r="O5168">
            <v>43656</v>
          </cell>
          <cell r="P5168">
            <v>1.0567372936417856</v>
          </cell>
          <cell r="Q5168">
            <v>13.879960174796839</v>
          </cell>
        </row>
        <row r="5169">
          <cell r="O5169">
            <v>43657</v>
          </cell>
          <cell r="P5169">
            <v>1.0570967442664163</v>
          </cell>
          <cell r="Q5169">
            <v>13.884681462088107</v>
          </cell>
        </row>
        <row r="5170">
          <cell r="O5170">
            <v>43658</v>
          </cell>
          <cell r="P5170">
            <v>1.0574563200635392</v>
          </cell>
          <cell r="Q5170">
            <v>13.8894043934864</v>
          </cell>
        </row>
        <row r="5171">
          <cell r="O5171">
            <v>43661</v>
          </cell>
          <cell r="P5171">
            <v>1.0578160210330025</v>
          </cell>
          <cell r="Q5171">
            <v>13.894128968989721</v>
          </cell>
        </row>
        <row r="5172">
          <cell r="O5172">
            <v>43662</v>
          </cell>
          <cell r="P5172">
            <v>1.0581758471755232</v>
          </cell>
          <cell r="Q5172">
            <v>13.89885518860749</v>
          </cell>
        </row>
        <row r="5173">
          <cell r="O5173">
            <v>43663</v>
          </cell>
          <cell r="P5173">
            <v>1.0585357984926627</v>
          </cell>
          <cell r="Q5173">
            <v>13.903583052360215</v>
          </cell>
        </row>
        <row r="5174">
          <cell r="O5174">
            <v>43664</v>
          </cell>
          <cell r="P5174">
            <v>1.0588958749868098</v>
          </cell>
          <cell r="Q5174">
            <v>13.908312560279272</v>
          </cell>
        </row>
        <row r="5175">
          <cell r="O5175">
            <v>43665</v>
          </cell>
          <cell r="P5175">
            <v>1.0592560766611574</v>
          </cell>
          <cell r="Q5175">
            <v>13.9130437124066</v>
          </cell>
        </row>
        <row r="5176">
          <cell r="O5176">
            <v>43668</v>
          </cell>
          <cell r="P5176">
            <v>1.0596164035196833</v>
          </cell>
          <cell r="Q5176">
            <v>13.917776508794446</v>
          </cell>
        </row>
        <row r="5177">
          <cell r="O5177">
            <v>43669</v>
          </cell>
          <cell r="P5177">
            <v>1.0599768555671321</v>
          </cell>
          <cell r="Q5177">
            <v>13.922510949505126</v>
          </cell>
        </row>
        <row r="5178">
          <cell r="O5178">
            <v>43670</v>
          </cell>
          <cell r="P5178">
            <v>1.060337432808995</v>
          </cell>
          <cell r="Q5178">
            <v>13.927247034610771</v>
          </cell>
        </row>
        <row r="5179">
          <cell r="O5179">
            <v>43671</v>
          </cell>
          <cell r="P5179">
            <v>1.0606981352514933</v>
          </cell>
          <cell r="Q5179">
            <v>13.931984764193091</v>
          </cell>
        </row>
        <row r="5180">
          <cell r="O5180">
            <v>43672</v>
          </cell>
          <cell r="P5180">
            <v>1.0610589629015599</v>
          </cell>
          <cell r="Q5180">
            <v>13.936724138343152</v>
          </cell>
        </row>
        <row r="5181">
          <cell r="O5181">
            <v>43675</v>
          </cell>
          <cell r="P5181">
            <v>1.0614199157668223</v>
          </cell>
          <cell r="Q5181">
            <v>13.941465157161135</v>
          </cell>
        </row>
        <row r="5182">
          <cell r="O5182">
            <v>43676</v>
          </cell>
          <cell r="P5182">
            <v>1.0617809938555869</v>
          </cell>
          <cell r="Q5182">
            <v>13.946207820756145</v>
          </cell>
        </row>
        <row r="5183">
          <cell r="O5183">
            <v>43677</v>
          </cell>
          <cell r="P5183">
            <v>1.0621421971768212</v>
          </cell>
          <cell r="Q5183">
            <v>13.950952129245968</v>
          </cell>
        </row>
        <row r="5184">
          <cell r="O5184">
            <v>43678</v>
          </cell>
          <cell r="P5184">
            <v>1.062503525740141</v>
          </cell>
          <cell r="Q5184">
            <v>13.955698082756902</v>
          </cell>
        </row>
        <row r="5185">
          <cell r="O5185">
            <v>43679</v>
          </cell>
          <cell r="P5185">
            <v>1.0628648727771444</v>
          </cell>
          <cell r="Q5185">
            <v>13.960444278914704</v>
          </cell>
        </row>
        <row r="5186">
          <cell r="O5186">
            <v>43682</v>
          </cell>
          <cell r="P5186">
            <v>1.0632263449998121</v>
          </cell>
          <cell r="Q5186">
            <v>13.96519211935254</v>
          </cell>
        </row>
        <row r="5187">
          <cell r="O5187">
            <v>43683</v>
          </cell>
          <cell r="P5187">
            <v>1.0635879424196375</v>
          </cell>
          <cell r="Q5187">
            <v>13.969941604221377</v>
          </cell>
        </row>
        <row r="5188">
          <cell r="O5188">
            <v>43684</v>
          </cell>
          <cell r="P5188">
            <v>1.0639496650487013</v>
          </cell>
          <cell r="Q5188">
            <v>13.974692733679888</v>
          </cell>
        </row>
        <row r="5189">
          <cell r="O5189">
            <v>43685</v>
          </cell>
          <cell r="P5189">
            <v>1.064311512899657</v>
          </cell>
          <cell r="Q5189">
            <v>13.979445507894273</v>
          </cell>
        </row>
        <row r="5190">
          <cell r="O5190">
            <v>43686</v>
          </cell>
          <cell r="P5190">
            <v>1.0646734859857212</v>
          </cell>
          <cell r="Q5190">
            <v>13.984199927038132</v>
          </cell>
        </row>
        <row r="5191">
          <cell r="O5191">
            <v>43689</v>
          </cell>
          <cell r="P5191">
            <v>1.0650355843206576</v>
          </cell>
          <cell r="Q5191">
            <v>13.988955991292244</v>
          </cell>
        </row>
        <row r="5192">
          <cell r="O5192">
            <v>43690</v>
          </cell>
          <cell r="P5192">
            <v>1.0653978079187656</v>
          </cell>
          <cell r="Q5192">
            <v>13.993713700844431</v>
          </cell>
        </row>
        <row r="5193">
          <cell r="O5193">
            <v>43691</v>
          </cell>
          <cell r="P5193">
            <v>1.0657601567948687</v>
          </cell>
          <cell r="Q5193">
            <v>13.998473055889392</v>
          </cell>
        </row>
        <row r="5194">
          <cell r="O5194">
            <v>43692</v>
          </cell>
          <cell r="P5194">
            <v>1.0661226309643033</v>
          </cell>
          <cell r="Q5194">
            <v>14.003234056628569</v>
          </cell>
        </row>
        <row r="5195">
          <cell r="O5195">
            <v>43693</v>
          </cell>
          <cell r="P5195">
            <v>1.066485230442906</v>
          </cell>
          <cell r="Q5195">
            <v>14.007996703269972</v>
          </cell>
        </row>
        <row r="5196">
          <cell r="O5196">
            <v>43696</v>
          </cell>
          <cell r="P5196">
            <v>1.0668479552470029</v>
          </cell>
          <cell r="Q5196">
            <v>14.012760996028039</v>
          </cell>
        </row>
        <row r="5197">
          <cell r="O5197">
            <v>43697</v>
          </cell>
          <cell r="P5197">
            <v>1.0672108053934004</v>
          </cell>
          <cell r="Q5197">
            <v>14.017526935123517</v>
          </cell>
        </row>
        <row r="5198">
          <cell r="O5198">
            <v>43698</v>
          </cell>
          <cell r="P5198">
            <v>1.0675737808993722</v>
          </cell>
          <cell r="Q5198">
            <v>14.022294520783289</v>
          </cell>
        </row>
        <row r="5199">
          <cell r="O5199">
            <v>43699</v>
          </cell>
          <cell r="P5199">
            <v>1.0679368817826509</v>
          </cell>
          <cell r="Q5199">
            <v>14.027063753240274</v>
          </cell>
        </row>
        <row r="5200">
          <cell r="O5200">
            <v>43700</v>
          </cell>
          <cell r="P5200">
            <v>1.0683001080614178</v>
          </cell>
          <cell r="Q5200">
            <v>14.031834632733275</v>
          </cell>
        </row>
        <row r="5201">
          <cell r="O5201">
            <v>43703</v>
          </cell>
          <cell r="P5201">
            <v>1.0686634597542928</v>
          </cell>
          <cell r="Q5201">
            <v>14.036607159506858</v>
          </cell>
        </row>
        <row r="5202">
          <cell r="O5202">
            <v>43704</v>
          </cell>
          <cell r="P5202">
            <v>1.0690269368803254</v>
          </cell>
          <cell r="Q5202">
            <v>14.041381333811236</v>
          </cell>
        </row>
        <row r="5203">
          <cell r="O5203">
            <v>43705</v>
          </cell>
          <cell r="P5203">
            <v>1.0693905394589853</v>
          </cell>
          <cell r="Q5203">
            <v>14.046157155902137</v>
          </cell>
        </row>
        <row r="5204">
          <cell r="O5204">
            <v>43706</v>
          </cell>
          <cell r="P5204">
            <v>1.0697542675101539</v>
          </cell>
          <cell r="Q5204">
            <v>14.050934626040696</v>
          </cell>
        </row>
        <row r="5205">
          <cell r="O5205">
            <v>43707</v>
          </cell>
          <cell r="P5205">
            <v>1.0701181210541149</v>
          </cell>
          <cell r="Q5205">
            <v>14.055713744493337</v>
          </cell>
        </row>
        <row r="5206">
          <cell r="O5206">
            <v>43710</v>
          </cell>
          <cell r="P5206">
            <v>1.0704821001115468</v>
          </cell>
          <cell r="Q5206">
            <v>14.060494511531665</v>
          </cell>
        </row>
        <row r="5207">
          <cell r="O5207">
            <v>43711</v>
          </cell>
          <cell r="P5207">
            <v>1.0708460196734484</v>
          </cell>
          <cell r="Q5207">
            <v>14.065274497112203</v>
          </cell>
        </row>
        <row r="5208">
          <cell r="O5208">
            <v>43712</v>
          </cell>
          <cell r="P5208">
            <v>1.0712100646585525</v>
          </cell>
          <cell r="Q5208">
            <v>14.070056130092777</v>
          </cell>
        </row>
        <row r="5209">
          <cell r="O5209">
            <v>43713</v>
          </cell>
          <cell r="P5209">
            <v>1.0715742350886892</v>
          </cell>
          <cell r="Q5209">
            <v>14.074839410760118</v>
          </cell>
        </row>
        <row r="5210">
          <cell r="O5210">
            <v>43714</v>
          </cell>
          <cell r="P5210">
            <v>1.0719385309860496</v>
          </cell>
          <cell r="Q5210">
            <v>14.079624339405704</v>
          </cell>
        </row>
        <row r="5211">
          <cell r="O5211">
            <v>43717</v>
          </cell>
          <cell r="P5211">
            <v>1.0723029523731795</v>
          </cell>
          <cell r="Q5211">
            <v>14.084410916325664</v>
          </cell>
        </row>
        <row r="5212">
          <cell r="O5212">
            <v>43718</v>
          </cell>
          <cell r="P5212">
            <v>1.0726674992729701</v>
          </cell>
          <cell r="Q5212">
            <v>14.08919914182067</v>
          </cell>
        </row>
        <row r="5213">
          <cell r="O5213">
            <v>43719</v>
          </cell>
          <cell r="P5213">
            <v>1.0730321717086535</v>
          </cell>
          <cell r="Q5213">
            <v>14.093989016195868</v>
          </cell>
        </row>
        <row r="5214">
          <cell r="O5214">
            <v>43720</v>
          </cell>
          <cell r="P5214">
            <v>1.0733969697037935</v>
          </cell>
          <cell r="Q5214">
            <v>14.098780539760764</v>
          </cell>
        </row>
        <row r="5215">
          <cell r="O5215">
            <v>43721</v>
          </cell>
          <cell r="P5215">
            <v>1.0737618932822814</v>
          </cell>
          <cell r="Q5215">
            <v>14.103573712829164</v>
          </cell>
        </row>
        <row r="5216">
          <cell r="O5216">
            <v>43724</v>
          </cell>
          <cell r="P5216">
            <v>1.074126942468328</v>
          </cell>
          <cell r="Q5216">
            <v>14.108368535719066</v>
          </cell>
        </row>
        <row r="5217">
          <cell r="O5217">
            <v>43725</v>
          </cell>
          <cell r="P5217">
            <v>1.0744921172864557</v>
          </cell>
          <cell r="Q5217">
            <v>14.113165008752571</v>
          </cell>
        </row>
        <row r="5218">
          <cell r="O5218">
            <v>43726</v>
          </cell>
          <cell r="P5218">
            <v>1.0748574177614967</v>
          </cell>
          <cell r="Q5218">
            <v>14.11796313225584</v>
          </cell>
        </row>
        <row r="5219">
          <cell r="O5219">
            <v>43727</v>
          </cell>
          <cell r="P5219">
            <v>1.0752228439185825</v>
          </cell>
          <cell r="Q5219">
            <v>14.122762906558968</v>
          </cell>
        </row>
        <row r="5220">
          <cell r="O5220">
            <v>43728</v>
          </cell>
          <cell r="P5220">
            <v>1.0755883957831405</v>
          </cell>
          <cell r="Q5220">
            <v>14.12756433199594</v>
          </cell>
        </row>
        <row r="5221">
          <cell r="O5221">
            <v>43731</v>
          </cell>
          <cell r="P5221">
            <v>1.0759540733808886</v>
          </cell>
          <cell r="Q5221">
            <v>14.132367408904551</v>
          </cell>
        </row>
        <row r="5222">
          <cell r="O5222">
            <v>43732</v>
          </cell>
          <cell r="P5222">
            <v>1.076319876737827</v>
          </cell>
          <cell r="Q5222">
            <v>14.137172137626308</v>
          </cell>
        </row>
        <row r="5223">
          <cell r="O5223">
            <v>43733</v>
          </cell>
          <cell r="P5223">
            <v>1.076685805880236</v>
          </cell>
          <cell r="Q5223">
            <v>14.141978518506395</v>
          </cell>
        </row>
        <row r="5224">
          <cell r="O5224">
            <v>43734</v>
          </cell>
          <cell r="P5224">
            <v>1.0770518608346678</v>
          </cell>
          <cell r="Q5224">
            <v>14.146786551893568</v>
          </cell>
        </row>
        <row r="5225">
          <cell r="O5225">
            <v>43735</v>
          </cell>
          <cell r="P5225">
            <v>1.077418041627944</v>
          </cell>
          <cell r="Q5225">
            <v>14.151596238140121</v>
          </cell>
        </row>
        <row r="5226">
          <cell r="O5226">
            <v>43738</v>
          </cell>
          <cell r="P5226">
            <v>1.0777843482871479</v>
          </cell>
          <cell r="Q5226">
            <v>14.156407577601787</v>
          </cell>
        </row>
        <row r="5227">
          <cell r="O5227">
            <v>43739</v>
          </cell>
          <cell r="P5227">
            <v>1.0781507808396213</v>
          </cell>
          <cell r="Q5227">
            <v>14.161220570637694</v>
          </cell>
        </row>
        <row r="5228">
          <cell r="O5228">
            <v>43740</v>
          </cell>
          <cell r="P5228">
            <v>1.0785452396808968</v>
          </cell>
          <cell r="Q5228">
            <v>14.166401681440201</v>
          </cell>
        </row>
        <row r="5229">
          <cell r="O5229">
            <v>43741</v>
          </cell>
          <cell r="P5229">
            <v>1.0789398450435859</v>
          </cell>
          <cell r="Q5229">
            <v>14.171584716762075</v>
          </cell>
        </row>
        <row r="5230">
          <cell r="O5230">
            <v>43742</v>
          </cell>
          <cell r="P5230">
            <v>1.0793345969568855</v>
          </cell>
          <cell r="Q5230">
            <v>14.176769676986806</v>
          </cell>
        </row>
        <row r="5231">
          <cell r="O5231">
            <v>43745</v>
          </cell>
          <cell r="P5231">
            <v>1.0797294954503864</v>
          </cell>
          <cell r="Q5231">
            <v>14.181956562503064</v>
          </cell>
        </row>
        <row r="5232">
          <cell r="O5232">
            <v>43746</v>
          </cell>
          <cell r="P5232">
            <v>1.0801245405540609</v>
          </cell>
          <cell r="Q5232">
            <v>14.187145373704526</v>
          </cell>
        </row>
        <row r="5233">
          <cell r="O5233">
            <v>43747</v>
          </cell>
          <cell r="P5233">
            <v>1.0805197322982592</v>
          </cell>
          <cell r="Q5233">
            <v>14.192336110989832</v>
          </cell>
        </row>
        <row r="5234">
          <cell r="O5234">
            <v>43748</v>
          </cell>
          <cell r="P5234">
            <v>1.0809150707137023</v>
          </cell>
          <cell r="Q5234">
            <v>14.197528774762498</v>
          </cell>
        </row>
        <row r="5235">
          <cell r="O5235">
            <v>43749</v>
          </cell>
          <cell r="P5235">
            <v>1.0813105558314737</v>
          </cell>
          <cell r="Q5235">
            <v>14.202723365430794</v>
          </cell>
        </row>
        <row r="5236">
          <cell r="O5236">
            <v>43752</v>
          </cell>
          <cell r="P5236">
            <v>1.0817061876830139</v>
          </cell>
          <cell r="Q5236">
            <v>14.207919883407682</v>
          </cell>
        </row>
        <row r="5237">
          <cell r="O5237">
            <v>43753</v>
          </cell>
          <cell r="P5237">
            <v>1.0821019663001132</v>
          </cell>
          <cell r="Q5237">
            <v>14.213118329110722</v>
          </cell>
        </row>
        <row r="5238">
          <cell r="O5238">
            <v>43754</v>
          </cell>
          <cell r="P5238">
            <v>1.0824978917149064</v>
          </cell>
          <cell r="Q5238">
            <v>14.218318702961996</v>
          </cell>
        </row>
        <row r="5239">
          <cell r="O5239">
            <v>43755</v>
          </cell>
          <cell r="P5239">
            <v>1.082893963959866</v>
          </cell>
          <cell r="Q5239">
            <v>14.223521005388019</v>
          </cell>
        </row>
        <row r="5240">
          <cell r="O5240">
            <v>43756</v>
          </cell>
          <cell r="P5240">
            <v>1.0832901830677961</v>
          </cell>
          <cell r="Q5240">
            <v>14.228725236819665</v>
          </cell>
        </row>
        <row r="5241">
          <cell r="O5241">
            <v>43759</v>
          </cell>
          <cell r="P5241">
            <v>1.0836865490718264</v>
          </cell>
          <cell r="Q5241">
            <v>14.233931397692084</v>
          </cell>
        </row>
        <row r="5242">
          <cell r="O5242">
            <v>43760</v>
          </cell>
          <cell r="P5242">
            <v>1.0840830620054072</v>
          </cell>
          <cell r="Q5242">
            <v>14.239139488444636</v>
          </cell>
        </row>
        <row r="5243">
          <cell r="O5243">
            <v>43761</v>
          </cell>
          <cell r="P5243">
            <v>1.084479721902303</v>
          </cell>
          <cell r="Q5243">
            <v>14.244349509520811</v>
          </cell>
        </row>
        <row r="5244">
          <cell r="O5244">
            <v>43762</v>
          </cell>
          <cell r="P5244">
            <v>1.0848765287965878</v>
          </cell>
          <cell r="Q5244">
            <v>14.249561461368158</v>
          </cell>
        </row>
        <row r="5245">
          <cell r="O5245">
            <v>43763</v>
          </cell>
          <cell r="P5245">
            <v>1.0852734827226378</v>
          </cell>
          <cell r="Q5245">
            <v>14.254775344438203</v>
          </cell>
        </row>
        <row r="5246">
          <cell r="O5246">
            <v>43766</v>
          </cell>
          <cell r="P5246">
            <v>1.0856705837151297</v>
          </cell>
          <cell r="Q5246">
            <v>14.259991159186413</v>
          </cell>
        </row>
        <row r="5247">
          <cell r="O5247">
            <v>43767</v>
          </cell>
          <cell r="P5247">
            <v>1.0860678318090315</v>
          </cell>
          <cell r="Q5247">
            <v>14.265208906072083</v>
          </cell>
        </row>
        <row r="5248">
          <cell r="O5248">
            <v>43768</v>
          </cell>
          <cell r="P5248">
            <v>1.0864652270396007</v>
          </cell>
          <cell r="Q5248">
            <v>14.27042858555831</v>
          </cell>
        </row>
        <row r="5249">
          <cell r="O5249">
            <v>43769</v>
          </cell>
          <cell r="P5249">
            <v>1.0868627694423771</v>
          </cell>
          <cell r="Q5249">
            <v>14.275650198111904</v>
          </cell>
        </row>
        <row r="5250">
          <cell r="O5250">
            <v>43770</v>
          </cell>
          <cell r="P5250">
            <v>1.0872604590531796</v>
          </cell>
          <cell r="Q5250">
            <v>14.280873744203332</v>
          </cell>
        </row>
        <row r="5251">
          <cell r="O5251">
            <v>43773</v>
          </cell>
          <cell r="P5251">
            <v>1.0876582959081009</v>
          </cell>
          <cell r="Q5251">
            <v>14.286099224306664</v>
          </cell>
        </row>
        <row r="5252">
          <cell r="O5252">
            <v>43774</v>
          </cell>
          <cell r="P5252">
            <v>1.0880562800435027</v>
          </cell>
          <cell r="Q5252">
            <v>14.291326638899502</v>
          </cell>
        </row>
        <row r="5253">
          <cell r="O5253">
            <v>43775</v>
          </cell>
          <cell r="P5253">
            <v>1.0884544114960113</v>
          </cell>
          <cell r="Q5253">
            <v>14.296555988462918</v>
          </cell>
        </row>
        <row r="5254">
          <cell r="O5254">
            <v>43776</v>
          </cell>
          <cell r="P5254">
            <v>1.0888526903025126</v>
          </cell>
          <cell r="Q5254">
            <v>14.301787273481406</v>
          </cell>
        </row>
        <row r="5255">
          <cell r="O5255">
            <v>43777</v>
          </cell>
          <cell r="P5255">
            <v>1.0892511165001508</v>
          </cell>
          <cell r="Q5255">
            <v>14.307020494442838</v>
          </cell>
        </row>
        <row r="5256">
          <cell r="O5256">
            <v>43780</v>
          </cell>
          <cell r="P5256">
            <v>1.0896496901263193</v>
          </cell>
          <cell r="Q5256">
            <v>14.312255651838369</v>
          </cell>
        </row>
        <row r="5257">
          <cell r="O5257">
            <v>43781</v>
          </cell>
          <cell r="P5257">
            <v>1.0900484112186599</v>
          </cell>
          <cell r="Q5257">
            <v>14.317492746162415</v>
          </cell>
        </row>
        <row r="5258">
          <cell r="O5258">
            <v>43782</v>
          </cell>
          <cell r="P5258">
            <v>1.0904472798150588</v>
          </cell>
          <cell r="Q5258">
            <v>14.322731777912601</v>
          </cell>
        </row>
        <row r="5259">
          <cell r="O5259">
            <v>43783</v>
          </cell>
          <cell r="P5259">
            <v>1.0908462959536407</v>
          </cell>
          <cell r="Q5259">
            <v>14.327972747589682</v>
          </cell>
        </row>
        <row r="5260">
          <cell r="O5260">
            <v>43787</v>
          </cell>
          <cell r="P5260">
            <v>1.0912454596727672</v>
          </cell>
          <cell r="Q5260">
            <v>14.333215655697529</v>
          </cell>
        </row>
        <row r="5261">
          <cell r="O5261">
            <v>43788</v>
          </cell>
          <cell r="P5261">
            <v>1.0916447710110306</v>
          </cell>
          <cell r="Q5261">
            <v>14.338460502743043</v>
          </cell>
        </row>
        <row r="5262">
          <cell r="O5262">
            <v>43789</v>
          </cell>
          <cell r="P5262">
            <v>1.092044230007253</v>
          </cell>
          <cell r="Q5262">
            <v>14.343707289236141</v>
          </cell>
        </row>
        <row r="5263">
          <cell r="O5263">
            <v>43790</v>
          </cell>
          <cell r="P5263">
            <v>1.0924438367004798</v>
          </cell>
          <cell r="Q5263">
            <v>14.348956015689671</v>
          </cell>
        </row>
        <row r="5264">
          <cell r="O5264">
            <v>43791</v>
          </cell>
          <cell r="P5264">
            <v>1.0928435911299779</v>
          </cell>
          <cell r="Q5264">
            <v>14.354206682619395</v>
          </cell>
        </row>
        <row r="5265">
          <cell r="O5265">
            <v>43794</v>
          </cell>
          <cell r="P5265">
            <v>1.0932434933352326</v>
          </cell>
          <cell r="Q5265">
            <v>14.359459290543946</v>
          </cell>
        </row>
        <row r="5266">
          <cell r="O5266">
            <v>43795</v>
          </cell>
          <cell r="P5266">
            <v>1.0936435433559422</v>
          </cell>
          <cell r="Q5266">
            <v>14.364713839984741</v>
          </cell>
        </row>
        <row r="5267">
          <cell r="O5267">
            <v>43796</v>
          </cell>
          <cell r="P5267">
            <v>1.0940437412320168</v>
          </cell>
          <cell r="Q5267">
            <v>14.369970331465998</v>
          </cell>
        </row>
        <row r="5268">
          <cell r="O5268">
            <v>43797</v>
          </cell>
          <cell r="P5268">
            <v>1.0944440870035734</v>
          </cell>
          <cell r="Q5268">
            <v>14.375228765514638</v>
          </cell>
        </row>
        <row r="5269">
          <cell r="O5269">
            <v>43798</v>
          </cell>
          <cell r="P5269">
            <v>1.0948445807109337</v>
          </cell>
          <cell r="Q5269">
            <v>14.380489142660277</v>
          </cell>
        </row>
        <row r="5270">
          <cell r="O5270">
            <v>43801</v>
          </cell>
          <cell r="P5270">
            <v>1.0952452223946212</v>
          </cell>
          <cell r="Q5270">
            <v>14.385751463435181</v>
          </cell>
        </row>
        <row r="5271">
          <cell r="O5271">
            <v>43802</v>
          </cell>
          <cell r="P5271">
            <v>1.0956460120953573</v>
          </cell>
          <cell r="Q5271">
            <v>14.391015728374212</v>
          </cell>
        </row>
        <row r="5272">
          <cell r="O5272">
            <v>43803</v>
          </cell>
          <cell r="P5272">
            <v>1.0960469498540582</v>
          </cell>
          <cell r="Q5272">
            <v>14.396281938014797</v>
          </cell>
        </row>
        <row r="5273">
          <cell r="O5273">
            <v>43804</v>
          </cell>
          <cell r="P5273">
            <v>1.0964480357118322</v>
          </cell>
          <cell r="Q5273">
            <v>14.40155009289688</v>
          </cell>
        </row>
        <row r="5274">
          <cell r="O5274">
            <v>43805</v>
          </cell>
          <cell r="P5274">
            <v>1.0968492697099776</v>
          </cell>
          <cell r="Q5274">
            <v>14.406820193562902</v>
          </cell>
        </row>
        <row r="5275">
          <cell r="O5275">
            <v>43808</v>
          </cell>
          <cell r="P5275">
            <v>1.0972506518899794</v>
          </cell>
          <cell r="Q5275">
            <v>14.412092240557758</v>
          </cell>
        </row>
        <row r="5276">
          <cell r="O5276">
            <v>43809</v>
          </cell>
          <cell r="P5276">
            <v>1.0976521822935055</v>
          </cell>
          <cell r="Q5276">
            <v>14.417366234428748</v>
          </cell>
        </row>
        <row r="5277">
          <cell r="O5277">
            <v>43810</v>
          </cell>
          <cell r="P5277">
            <v>1.0980538609624049</v>
          </cell>
          <cell r="Q5277">
            <v>14.422642175725544</v>
          </cell>
        </row>
        <row r="5278">
          <cell r="O5278">
            <v>43811</v>
          </cell>
          <cell r="P5278">
            <v>1.0984556879387064</v>
          </cell>
          <cell r="Q5278">
            <v>14.427920065000183</v>
          </cell>
        </row>
        <row r="5279">
          <cell r="O5279">
            <v>43812</v>
          </cell>
          <cell r="P5279">
            <v>1.0988576632646125</v>
          </cell>
          <cell r="Q5279">
            <v>14.433199902806987</v>
          </cell>
        </row>
        <row r="5280">
          <cell r="O5280">
            <v>43815</v>
          </cell>
          <cell r="P5280">
            <v>1.0992597869825005</v>
          </cell>
          <cell r="Q5280">
            <v>14.438481689702565</v>
          </cell>
        </row>
        <row r="5281">
          <cell r="O5281">
            <v>43816</v>
          </cell>
          <cell r="P5281">
            <v>1.0996620591349175</v>
          </cell>
          <cell r="Q5281">
            <v>14.443765426245767</v>
          </cell>
        </row>
        <row r="5282">
          <cell r="O5282">
            <v>43817</v>
          </cell>
          <cell r="P5282">
            <v>1.1000644797645793</v>
          </cell>
          <cell r="Q5282">
            <v>14.449051112997648</v>
          </cell>
        </row>
        <row r="5283">
          <cell r="O5283">
            <v>43818</v>
          </cell>
          <cell r="P5283">
            <v>1.1004670489143673</v>
          </cell>
          <cell r="Q5283">
            <v>14.454338750521448</v>
          </cell>
        </row>
        <row r="5284">
          <cell r="O5284">
            <v>43819</v>
          </cell>
          <cell r="P5284">
            <v>1.1008697666273262</v>
          </cell>
          <cell r="Q5284">
            <v>14.459628339382546</v>
          </cell>
        </row>
        <row r="5285">
          <cell r="O5285">
            <v>43822</v>
          </cell>
          <cell r="P5285">
            <v>1.1012726329466627</v>
          </cell>
          <cell r="Q5285">
            <v>14.46491988014845</v>
          </cell>
        </row>
        <row r="5286">
          <cell r="O5286">
            <v>43823</v>
          </cell>
          <cell r="P5286">
            <v>1.1016756479157408</v>
          </cell>
          <cell r="Q5286">
            <v>14.470213373388738</v>
          </cell>
        </row>
        <row r="5287">
          <cell r="O5287">
            <v>43825</v>
          </cell>
          <cell r="P5287">
            <v>1.1020788115780826</v>
          </cell>
          <cell r="Q5287">
            <v>14.475508819675056</v>
          </cell>
        </row>
        <row r="5288">
          <cell r="O5288">
            <v>43826</v>
          </cell>
          <cell r="P5288">
            <v>1.1024821239773639</v>
          </cell>
          <cell r="Q5288">
            <v>14.480806219581076</v>
          </cell>
        </row>
        <row r="5289">
          <cell r="O5289">
            <v>43829</v>
          </cell>
          <cell r="P5289">
            <v>1.1028855851574135</v>
          </cell>
          <cell r="Q5289">
            <v>14.486105573682478</v>
          </cell>
        </row>
        <row r="5290">
          <cell r="O5290">
            <v>43830</v>
          </cell>
          <cell r="P5290">
            <v>1.1032891951622092</v>
          </cell>
          <cell r="Q5290">
            <v>14.491406882556898</v>
          </cell>
        </row>
        <row r="5291">
          <cell r="O5291">
            <v>43832</v>
          </cell>
          <cell r="P5291">
            <v>1.1036929540358782</v>
          </cell>
          <cell r="Q5291">
            <v>14.496710146783935</v>
          </cell>
        </row>
        <row r="5292">
          <cell r="O5292">
            <v>43833</v>
          </cell>
          <cell r="P5292">
            <v>1.104118195324602</v>
          </cell>
          <cell r="Q5292">
            <v>14.502295576755678</v>
          </cell>
        </row>
        <row r="5293">
          <cell r="O5293">
            <v>43836</v>
          </cell>
          <cell r="P5293">
            <v>1.1045436020251798</v>
          </cell>
          <cell r="Q5293">
            <v>14.50788317936764</v>
          </cell>
        </row>
        <row r="5294">
          <cell r="O5294">
            <v>43837</v>
          </cell>
          <cell r="P5294">
            <v>1.1049691741877281</v>
          </cell>
          <cell r="Q5294">
            <v>14.513472955278091</v>
          </cell>
        </row>
        <row r="5295">
          <cell r="O5295">
            <v>43838</v>
          </cell>
          <cell r="P5295">
            <v>1.1053949118625523</v>
          </cell>
          <cell r="Q5295">
            <v>14.519064905147776</v>
          </cell>
        </row>
        <row r="5296">
          <cell r="O5296">
            <v>43839</v>
          </cell>
          <cell r="P5296">
            <v>1.1058208151001447</v>
          </cell>
          <cell r="Q5296">
            <v>14.524659029639897</v>
          </cell>
        </row>
        <row r="5297">
          <cell r="O5297">
            <v>43840</v>
          </cell>
          <cell r="P5297">
            <v>1.1062468839511808</v>
          </cell>
          <cell r="Q5297">
            <v>14.530255329420063</v>
          </cell>
        </row>
        <row r="5298">
          <cell r="O5298">
            <v>43843</v>
          </cell>
          <cell r="P5298">
            <v>1.1066731184665179</v>
          </cell>
          <cell r="Q5298">
            <v>14.535853805156275</v>
          </cell>
        </row>
        <row r="5299">
          <cell r="O5299">
            <v>43844</v>
          </cell>
          <cell r="P5299">
            <v>1.1070995186971919</v>
          </cell>
          <cell r="Q5299">
            <v>14.541454457518872</v>
          </cell>
        </row>
        <row r="5300">
          <cell r="O5300">
            <v>43845</v>
          </cell>
          <cell r="P5300">
            <v>1.1075260846944144</v>
          </cell>
          <cell r="Q5300">
            <v>14.547057287180506</v>
          </cell>
        </row>
        <row r="5301">
          <cell r="O5301">
            <v>43846</v>
          </cell>
          <cell r="P5301">
            <v>1.1079528165095736</v>
          </cell>
          <cell r="Q5301">
            <v>14.552662294816146</v>
          </cell>
        </row>
        <row r="5302">
          <cell r="O5302">
            <v>43847</v>
          </cell>
          <cell r="P5302">
            <v>1.1083797141942258</v>
          </cell>
          <cell r="Q5302">
            <v>14.558269481102972</v>
          </cell>
        </row>
        <row r="5303">
          <cell r="O5303">
            <v>43850</v>
          </cell>
          <cell r="P5303">
            <v>1.1088067778001014</v>
          </cell>
          <cell r="Q5303">
            <v>14.563878846720447</v>
          </cell>
        </row>
        <row r="5304">
          <cell r="O5304">
            <v>43851</v>
          </cell>
          <cell r="P5304">
            <v>1.1092340073790945</v>
          </cell>
          <cell r="Q5304">
            <v>14.569490392350188</v>
          </cell>
        </row>
        <row r="5305">
          <cell r="O5305">
            <v>43852</v>
          </cell>
          <cell r="P5305">
            <v>1.1096614029832668</v>
          </cell>
          <cell r="Q5305">
            <v>14.575104118676009</v>
          </cell>
        </row>
        <row r="5306">
          <cell r="O5306">
            <v>43853</v>
          </cell>
          <cell r="P5306">
            <v>1.1100889646648417</v>
          </cell>
          <cell r="Q5306">
            <v>14.580720026383855</v>
          </cell>
        </row>
        <row r="5307">
          <cell r="O5307">
            <v>43854</v>
          </cell>
          <cell r="P5307">
            <v>1.1105166924762051</v>
          </cell>
          <cell r="Q5307">
            <v>14.586338116161794</v>
          </cell>
        </row>
        <row r="5308">
          <cell r="O5308">
            <v>43857</v>
          </cell>
          <cell r="P5308">
            <v>1.1109445864699004</v>
          </cell>
          <cell r="Q5308">
            <v>14.591958388699974</v>
          </cell>
        </row>
        <row r="5309">
          <cell r="O5309">
            <v>43858</v>
          </cell>
          <cell r="P5309">
            <v>1.1113726466986289</v>
          </cell>
          <cell r="Q5309">
            <v>14.597580844690611</v>
          </cell>
        </row>
        <row r="5310">
          <cell r="O5310">
            <v>43859</v>
          </cell>
          <cell r="P5310">
            <v>1.1118008732152471</v>
          </cell>
          <cell r="Q5310">
            <v>14.603205484827962</v>
          </cell>
        </row>
        <row r="5311">
          <cell r="O5311">
            <v>43860</v>
          </cell>
          <cell r="P5311">
            <v>1.1122292660727642</v>
          </cell>
          <cell r="Q5311">
            <v>14.608832309808287</v>
          </cell>
        </row>
        <row r="5312">
          <cell r="O5312">
            <v>43861</v>
          </cell>
          <cell r="P5312">
            <v>1.1126578253243402</v>
          </cell>
          <cell r="Q5312">
            <v>14.614461320329829</v>
          </cell>
        </row>
        <row r="5313">
          <cell r="O5313">
            <v>43864</v>
          </cell>
          <cell r="P5313">
            <v>1.1130865510232859</v>
          </cell>
          <cell r="Q5313">
            <v>14.620092517092811</v>
          </cell>
        </row>
        <row r="5314">
          <cell r="O5314">
            <v>43865</v>
          </cell>
          <cell r="P5314">
            <v>1.1135154432230576</v>
          </cell>
          <cell r="Q5314">
            <v>14.625725900799369</v>
          </cell>
        </row>
        <row r="5315">
          <cell r="O5315">
            <v>43866</v>
          </cell>
          <cell r="P5315">
            <v>1.1139445019772589</v>
          </cell>
          <cell r="Q5315">
            <v>14.631361472153568</v>
          </cell>
        </row>
        <row r="5316">
          <cell r="O5316">
            <v>43867</v>
          </cell>
          <cell r="P5316">
            <v>1.1143737273396368</v>
          </cell>
          <cell r="Q5316">
            <v>14.636999231861362</v>
          </cell>
        </row>
        <row r="5317">
          <cell r="O5317">
            <v>43868</v>
          </cell>
          <cell r="P5317">
            <v>1.1148031193640799</v>
          </cell>
          <cell r="Q5317">
            <v>14.642639180630566</v>
          </cell>
        </row>
        <row r="5318">
          <cell r="O5318">
            <v>43871</v>
          </cell>
          <cell r="P5318">
            <v>1.1152326781046182</v>
          </cell>
          <cell r="Q5318">
            <v>14.648281319170845</v>
          </cell>
        </row>
        <row r="5319">
          <cell r="O5319">
            <v>43872</v>
          </cell>
          <cell r="P5319">
            <v>1.1156624036154197</v>
          </cell>
          <cell r="Q5319">
            <v>14.653925648193685</v>
          </cell>
        </row>
        <row r="5320">
          <cell r="O5320">
            <v>43873</v>
          </cell>
          <cell r="P5320">
            <v>1.1160922959507902</v>
          </cell>
          <cell r="Q5320">
            <v>14.659572168412375</v>
          </cell>
        </row>
        <row r="5321">
          <cell r="O5321">
            <v>43874</v>
          </cell>
          <cell r="P5321">
            <v>1.1165223551651702</v>
          </cell>
          <cell r="Q5321">
            <v>14.665220880541979</v>
          </cell>
        </row>
        <row r="5322">
          <cell r="O5322">
            <v>43875</v>
          </cell>
          <cell r="P5322">
            <v>1.1169525813131356</v>
          </cell>
          <cell r="Q5322">
            <v>14.670871785299335</v>
          </cell>
        </row>
        <row r="5323">
          <cell r="O5323">
            <v>43878</v>
          </cell>
          <cell r="P5323">
            <v>1.1173829744493926</v>
          </cell>
          <cell r="Q5323">
            <v>14.676524883402994</v>
          </cell>
        </row>
        <row r="5324">
          <cell r="O5324">
            <v>43879</v>
          </cell>
          <cell r="P5324">
            <v>1.1178135346287799</v>
          </cell>
          <cell r="Q5324">
            <v>14.682180175573249</v>
          </cell>
        </row>
        <row r="5325">
          <cell r="O5325">
            <v>43880</v>
          </cell>
          <cell r="P5325">
            <v>1.1182442619062645</v>
          </cell>
          <cell r="Q5325">
            <v>14.687837662532077</v>
          </cell>
        </row>
        <row r="5326">
          <cell r="O5326">
            <v>43881</v>
          </cell>
          <cell r="P5326">
            <v>1.1186751563369419</v>
          </cell>
          <cell r="Q5326">
            <v>14.693497345003141</v>
          </cell>
        </row>
        <row r="5327">
          <cell r="O5327">
            <v>43882</v>
          </cell>
          <cell r="P5327">
            <v>1.1191062179760336</v>
          </cell>
          <cell r="Q5327">
            <v>14.699159223711762</v>
          </cell>
        </row>
        <row r="5328">
          <cell r="O5328">
            <v>43887</v>
          </cell>
          <cell r="P5328">
            <v>1.1195374468788863</v>
          </cell>
          <cell r="Q5328">
            <v>14.704823299384902</v>
          </cell>
        </row>
        <row r="5329">
          <cell r="O5329">
            <v>43888</v>
          </cell>
          <cell r="P5329">
            <v>1.11996884310097</v>
          </cell>
          <cell r="Q5329">
            <v>14.710489572751147</v>
          </cell>
        </row>
        <row r="5330">
          <cell r="O5330">
            <v>43889</v>
          </cell>
          <cell r="P5330">
            <v>1.1204004066978768</v>
          </cell>
          <cell r="Q5330">
            <v>14.716158044540682</v>
          </cell>
        </row>
        <row r="5331">
          <cell r="O5331">
            <v>43892</v>
          </cell>
          <cell r="P5331">
            <v>1.120832137725319</v>
          </cell>
          <cell r="Q5331">
            <v>14.721828715485275</v>
          </cell>
        </row>
        <row r="5332">
          <cell r="O5332">
            <v>43893</v>
          </cell>
          <cell r="P5332">
            <v>1.12126403623913</v>
          </cell>
          <cell r="Q5332">
            <v>14.727501586318281</v>
          </cell>
        </row>
        <row r="5333">
          <cell r="O5333">
            <v>43894</v>
          </cell>
          <cell r="P5333">
            <v>1.1216961022952598</v>
          </cell>
          <cell r="Q5333">
            <v>14.733176657774591</v>
          </cell>
        </row>
        <row r="5334">
          <cell r="O5334">
            <v>43895</v>
          </cell>
          <cell r="P5334">
            <v>1.1221283359497753</v>
          </cell>
          <cell r="Q5334">
            <v>14.738853930590624</v>
          </cell>
        </row>
        <row r="5335">
          <cell r="O5335">
            <v>43896</v>
          </cell>
          <cell r="P5335">
            <v>1.12256073725886</v>
          </cell>
          <cell r="Q5335">
            <v>14.744533405504338</v>
          </cell>
        </row>
        <row r="5336">
          <cell r="O5336">
            <v>43899</v>
          </cell>
          <cell r="P5336">
            <v>1.1229933062788104</v>
          </cell>
          <cell r="Q5336">
            <v>14.750215083255174</v>
          </cell>
        </row>
        <row r="5337">
          <cell r="O5337">
            <v>43900</v>
          </cell>
          <cell r="P5337">
            <v>1.123426043066037</v>
          </cell>
          <cell r="Q5337">
            <v>14.755898964584066</v>
          </cell>
        </row>
        <row r="5338">
          <cell r="O5338">
            <v>43901</v>
          </cell>
          <cell r="P5338">
            <v>1.1238589476770617</v>
          </cell>
          <cell r="Q5338">
            <v>14.761585050233416</v>
          </cell>
        </row>
        <row r="5339">
          <cell r="O5339">
            <v>43902</v>
          </cell>
          <cell r="P5339">
            <v>1.1242920201685176</v>
          </cell>
          <cell r="Q5339">
            <v>14.767273340947082</v>
          </cell>
        </row>
        <row r="5340">
          <cell r="O5340">
            <v>43903</v>
          </cell>
          <cell r="P5340">
            <v>1.1247252605971461</v>
          </cell>
          <cell r="Q5340">
            <v>14.77296383747035</v>
          </cell>
        </row>
        <row r="5341">
          <cell r="O5341">
            <v>43906</v>
          </cell>
          <cell r="P5341">
            <v>1.1251586690197983</v>
          </cell>
          <cell r="Q5341">
            <v>14.778656540549942</v>
          </cell>
        </row>
        <row r="5342">
          <cell r="O5342">
            <v>43907</v>
          </cell>
          <cell r="P5342">
            <v>1.125592245493432</v>
          </cell>
          <cell r="Q5342">
            <v>14.784351450933983</v>
          </cell>
        </row>
        <row r="5343">
          <cell r="O5343">
            <v>43908</v>
          </cell>
          <cell r="P5343">
            <v>1.1260259900751106</v>
          </cell>
          <cell r="Q5343">
            <v>14.790048569371987</v>
          </cell>
        </row>
        <row r="5344">
          <cell r="O5344">
            <v>43909</v>
          </cell>
          <cell r="P5344">
            <v>1.1264599028220033</v>
          </cell>
          <cell r="Q5344">
            <v>14.795747896614854</v>
          </cell>
        </row>
        <row r="5345">
          <cell r="O5345">
            <v>43910</v>
          </cell>
          <cell r="P5345">
            <v>1.1268939837913825</v>
          </cell>
          <cell r="Q5345">
            <v>14.801449433414845</v>
          </cell>
        </row>
        <row r="5346">
          <cell r="O5346">
            <v>43913</v>
          </cell>
          <cell r="P5346">
            <v>1.127328233040624</v>
          </cell>
          <cell r="Q5346">
            <v>14.807153180525573</v>
          </cell>
        </row>
        <row r="5347">
          <cell r="O5347">
            <v>43914</v>
          </cell>
          <cell r="P5347">
            <v>1.1277626506272056</v>
          </cell>
          <cell r="Q5347">
            <v>14.812859138701993</v>
          </cell>
        </row>
        <row r="5348">
          <cell r="O5348">
            <v>43915</v>
          </cell>
          <cell r="P5348">
            <v>1.128197236608705</v>
          </cell>
          <cell r="Q5348">
            <v>14.818567308700374</v>
          </cell>
        </row>
        <row r="5349">
          <cell r="O5349">
            <v>43916</v>
          </cell>
          <cell r="P5349">
            <v>1.1286319910428004</v>
          </cell>
          <cell r="Q5349">
            <v>14.824277691278304</v>
          </cell>
        </row>
        <row r="5350">
          <cell r="O5350">
            <v>43917</v>
          </cell>
          <cell r="P5350">
            <v>1.1290669139872691</v>
          </cell>
          <cell r="Q5350">
            <v>14.829990287194672</v>
          </cell>
        </row>
        <row r="5351">
          <cell r="O5351">
            <v>43920</v>
          </cell>
          <cell r="P5351">
            <v>1.1295020054999849</v>
          </cell>
          <cell r="Q5351">
            <v>14.835705097209633</v>
          </cell>
        </row>
        <row r="5352">
          <cell r="O5352">
            <v>43921</v>
          </cell>
          <cell r="P5352">
            <v>1.1299372656389197</v>
          </cell>
          <cell r="Q5352">
            <v>14.841422122084634</v>
          </cell>
        </row>
        <row r="5353">
          <cell r="O5353">
            <v>43922</v>
          </cell>
          <cell r="P5353">
            <v>1.1303726944621415</v>
          </cell>
          <cell r="Q5353">
            <v>14.847141362582382</v>
          </cell>
        </row>
        <row r="5354">
          <cell r="O5354">
            <v>43923</v>
          </cell>
          <cell r="P5354">
            <v>1.1308387049212536</v>
          </cell>
          <cell r="Q5354">
            <v>14.853262284643554</v>
          </cell>
        </row>
        <row r="5355">
          <cell r="O5355">
            <v>43924</v>
          </cell>
          <cell r="P5355">
            <v>1.1313049088649429</v>
          </cell>
          <cell r="Q5355">
            <v>14.859385748072617</v>
          </cell>
        </row>
        <row r="5356">
          <cell r="O5356">
            <v>43927</v>
          </cell>
          <cell r="P5356">
            <v>1.1317713063633139</v>
          </cell>
          <cell r="Q5356">
            <v>14.86551175379037</v>
          </cell>
        </row>
        <row r="5357">
          <cell r="O5357">
            <v>43928</v>
          </cell>
          <cell r="P5357">
            <v>1.1322378974866019</v>
          </cell>
          <cell r="Q5357">
            <v>14.87164030271934</v>
          </cell>
        </row>
        <row r="5358">
          <cell r="O5358">
            <v>43929</v>
          </cell>
          <cell r="P5358">
            <v>1.1327046823051692</v>
          </cell>
          <cell r="Q5358">
            <v>14.877771395783716</v>
          </cell>
        </row>
        <row r="5359">
          <cell r="O5359">
            <v>43930</v>
          </cell>
          <cell r="P5359">
            <v>1.1331716608895068</v>
          </cell>
          <cell r="Q5359">
            <v>14.883905033909377</v>
          </cell>
        </row>
        <row r="5360">
          <cell r="O5360">
            <v>43934</v>
          </cell>
          <cell r="P5360">
            <v>1.1336388333102294</v>
          </cell>
          <cell r="Q5360">
            <v>14.890041218023828</v>
          </cell>
        </row>
        <row r="5361">
          <cell r="O5361">
            <v>43935</v>
          </cell>
          <cell r="P5361">
            <v>1.1341061996380783</v>
          </cell>
          <cell r="Q5361">
            <v>14.896179949056238</v>
          </cell>
        </row>
        <row r="5362">
          <cell r="O5362">
            <v>43936</v>
          </cell>
          <cell r="P5362">
            <v>1.1345737599439178</v>
          </cell>
          <cell r="Q5362">
            <v>14.90232122793739</v>
          </cell>
        </row>
        <row r="5363">
          <cell r="O5363">
            <v>43937</v>
          </cell>
          <cell r="P5363">
            <v>1.1350415142987336</v>
          </cell>
          <cell r="Q5363">
            <v>14.908465055599661</v>
          </cell>
        </row>
        <row r="5364">
          <cell r="O5364">
            <v>43938</v>
          </cell>
          <cell r="P5364">
            <v>1.1355094627736337</v>
          </cell>
          <cell r="Q5364">
            <v>14.91461143297704</v>
          </cell>
        </row>
        <row r="5365">
          <cell r="O5365">
            <v>43941</v>
          </cell>
          <cell r="P5365">
            <v>1.1359776054398452</v>
          </cell>
          <cell r="Q5365">
            <v>14.920760361005069</v>
          </cell>
        </row>
        <row r="5366">
          <cell r="O5366">
            <v>43943</v>
          </cell>
          <cell r="P5366">
            <v>1.1364459423687152</v>
          </cell>
          <cell r="Q5366">
            <v>14.926911840620878</v>
          </cell>
        </row>
        <row r="5367">
          <cell r="O5367">
            <v>43944</v>
          </cell>
          <cell r="P5367">
            <v>1.1369144736317081</v>
          </cell>
          <cell r="Q5367">
            <v>14.93306587276313</v>
          </cell>
        </row>
        <row r="5368">
          <cell r="O5368">
            <v>43945</v>
          </cell>
          <cell r="P5368">
            <v>1.1373831993004051</v>
          </cell>
          <cell r="Q5368">
            <v>14.939222458372027</v>
          </cell>
        </row>
        <row r="5369">
          <cell r="O5369">
            <v>43948</v>
          </cell>
          <cell r="P5369">
            <v>1.1378521194465032</v>
          </cell>
          <cell r="Q5369">
            <v>14.945381598389289</v>
          </cell>
        </row>
        <row r="5370">
          <cell r="O5370">
            <v>43949</v>
          </cell>
          <cell r="P5370">
            <v>1.1383212341418141</v>
          </cell>
          <cell r="Q5370">
            <v>14.951543293758142</v>
          </cell>
        </row>
        <row r="5371">
          <cell r="O5371">
            <v>43950</v>
          </cell>
          <cell r="P5371">
            <v>1.1387905434582628</v>
          </cell>
          <cell r="Q5371">
            <v>14.957707545423302</v>
          </cell>
        </row>
        <row r="5372">
          <cell r="O5372">
            <v>43951</v>
          </cell>
          <cell r="P5372">
            <v>1.1392600474678882</v>
          </cell>
          <cell r="Q5372">
            <v>14.963874354330983</v>
          </cell>
        </row>
        <row r="5373">
          <cell r="O5373">
            <v>43955</v>
          </cell>
          <cell r="P5373">
            <v>1.1397297462428397</v>
          </cell>
          <cell r="Q5373">
            <v>14.970043721428846</v>
          </cell>
        </row>
        <row r="5374">
          <cell r="O5374">
            <v>43956</v>
          </cell>
          <cell r="P5374">
            <v>1.140199639855378</v>
          </cell>
          <cell r="Q5374">
            <v>14.976215647666015</v>
          </cell>
        </row>
        <row r="5375">
          <cell r="O5375">
            <v>43957</v>
          </cell>
          <cell r="P5375">
            <v>1.1406697283778733</v>
          </cell>
          <cell r="Q5375">
            <v>14.982390133993054</v>
          </cell>
        </row>
        <row r="5376">
          <cell r="O5376">
            <v>43958</v>
          </cell>
          <cell r="P5376">
            <v>1.1411400118828041</v>
          </cell>
          <cell r="Q5376">
            <v>14.988567181361949</v>
          </cell>
        </row>
        <row r="5377">
          <cell r="O5377">
            <v>43959</v>
          </cell>
          <cell r="P5377">
            <v>1.1416104904427578</v>
          </cell>
          <cell r="Q5377">
            <v>14.994746790726115</v>
          </cell>
        </row>
        <row r="5378">
          <cell r="O5378">
            <v>43962</v>
          </cell>
          <cell r="P5378">
            <v>1.1420811641304287</v>
          </cell>
          <cell r="Q5378">
            <v>15.000928963040375</v>
          </cell>
        </row>
        <row r="5379">
          <cell r="O5379">
            <v>43963</v>
          </cell>
          <cell r="P5379">
            <v>1.1425520330186161</v>
          </cell>
          <cell r="Q5379">
            <v>15.007113699260923</v>
          </cell>
        </row>
        <row r="5380">
          <cell r="O5380">
            <v>43964</v>
          </cell>
          <cell r="P5380">
            <v>1.1430230971802253</v>
          </cell>
          <cell r="Q5380">
            <v>15.013301000345358</v>
          </cell>
        </row>
        <row r="5381">
          <cell r="O5381">
            <v>43965</v>
          </cell>
          <cell r="P5381">
            <v>1.1434943566882658</v>
          </cell>
          <cell r="Q5381">
            <v>15.019490867252632</v>
          </cell>
        </row>
        <row r="5382">
          <cell r="O5382">
            <v>43966</v>
          </cell>
          <cell r="P5382">
            <v>1.1439658116158506</v>
          </cell>
          <cell r="Q5382">
            <v>15.025683300943069</v>
          </cell>
        </row>
        <row r="5383">
          <cell r="O5383">
            <v>43969</v>
          </cell>
          <cell r="P5383">
            <v>1.144437462036195</v>
          </cell>
          <cell r="Q5383">
            <v>15.031878302378331</v>
          </cell>
        </row>
        <row r="5384">
          <cell r="O5384">
            <v>43970</v>
          </cell>
          <cell r="P5384">
            <v>1.1449093080226156</v>
          </cell>
          <cell r="Q5384">
            <v>15.038075872521413</v>
          </cell>
        </row>
        <row r="5385">
          <cell r="O5385">
            <v>43971</v>
          </cell>
          <cell r="P5385">
            <v>1.1453813496485312</v>
          </cell>
          <cell r="Q5385">
            <v>15.044276012336651</v>
          </cell>
        </row>
        <row r="5386">
          <cell r="O5386">
            <v>43972</v>
          </cell>
          <cell r="P5386">
            <v>1.1458535869874598</v>
          </cell>
          <cell r="Q5386">
            <v>15.050478722789682</v>
          </cell>
        </row>
        <row r="5387">
          <cell r="O5387">
            <v>43973</v>
          </cell>
          <cell r="P5387">
            <v>1.1463260201130185</v>
          </cell>
          <cell r="Q5387">
            <v>15.056684004847451</v>
          </cell>
        </row>
        <row r="5388">
          <cell r="O5388">
            <v>43976</v>
          </cell>
          <cell r="P5388">
            <v>1.1467986490989237</v>
          </cell>
          <cell r="Q5388">
            <v>15.062891859478199</v>
          </cell>
        </row>
        <row r="5389">
          <cell r="O5389">
            <v>43977</v>
          </cell>
          <cell r="P5389">
            <v>1.1472714740189887</v>
          </cell>
          <cell r="Q5389">
            <v>15.069102287651447</v>
          </cell>
        </row>
        <row r="5390">
          <cell r="O5390">
            <v>43978</v>
          </cell>
          <cell r="P5390">
            <v>1.147744494947124</v>
          </cell>
          <cell r="Q5390">
            <v>15.075315290337988</v>
          </cell>
        </row>
        <row r="5391">
          <cell r="O5391">
            <v>43979</v>
          </cell>
          <cell r="P5391">
            <v>1.1482177119573369</v>
          </cell>
          <cell r="Q5391">
            <v>15.081530868509885</v>
          </cell>
        </row>
        <row r="5392">
          <cell r="O5392">
            <v>43980</v>
          </cell>
          <cell r="P5392">
            <v>1.14869112512373</v>
          </cell>
          <cell r="Q5392">
            <v>15.087749023140461</v>
          </cell>
        </row>
        <row r="5393">
          <cell r="O5393">
            <v>43983</v>
          </cell>
          <cell r="P5393">
            <v>1.1491647345204992</v>
          </cell>
          <cell r="Q5393">
            <v>15.093969755204256</v>
          </cell>
        </row>
        <row r="5394">
          <cell r="O5394">
            <v>43984</v>
          </cell>
          <cell r="P5394">
            <v>1.1496385402219362</v>
          </cell>
          <cell r="Q5394">
            <v>15.100193065677074</v>
          </cell>
        </row>
        <row r="5395">
          <cell r="O5395">
            <v>43985</v>
          </cell>
          <cell r="P5395">
            <v>1.1501125423024252</v>
          </cell>
          <cell r="Q5395">
            <v>15.106418955535929</v>
          </cell>
        </row>
        <row r="5396">
          <cell r="O5396">
            <v>43986</v>
          </cell>
          <cell r="P5396">
            <v>1.1505867408364439</v>
          </cell>
          <cell r="Q5396">
            <v>15.112647425759066</v>
          </cell>
        </row>
        <row r="5397">
          <cell r="O5397">
            <v>43987</v>
          </cell>
          <cell r="P5397">
            <v>1.1510611358985601</v>
          </cell>
          <cell r="Q5397">
            <v>15.118878477325914</v>
          </cell>
        </row>
        <row r="5398">
          <cell r="O5398">
            <v>43990</v>
          </cell>
          <cell r="P5398">
            <v>1.1515357275634344</v>
          </cell>
          <cell r="Q5398">
            <v>15.125112111217119</v>
          </cell>
        </row>
        <row r="5399">
          <cell r="O5399">
            <v>43991</v>
          </cell>
          <cell r="P5399">
            <v>1.1520105159058169</v>
          </cell>
          <cell r="Q5399">
            <v>15.131348328414504</v>
          </cell>
        </row>
        <row r="5400">
          <cell r="O5400">
            <v>43992</v>
          </cell>
          <cell r="P5400">
            <v>1.1524855010005486</v>
          </cell>
          <cell r="Q5400">
            <v>15.137587129901085</v>
          </cell>
        </row>
        <row r="5401">
          <cell r="O5401">
            <v>43994</v>
          </cell>
          <cell r="P5401">
            <v>1.1529606829225592</v>
          </cell>
          <cell r="Q5401">
            <v>15.143828516661044</v>
          </cell>
        </row>
        <row r="5402">
          <cell r="O5402">
            <v>43997</v>
          </cell>
          <cell r="P5402">
            <v>1.1534360617468669</v>
          </cell>
          <cell r="Q5402">
            <v>15.150072489679724</v>
          </cell>
        </row>
        <row r="5403">
          <cell r="O5403">
            <v>43998</v>
          </cell>
          <cell r="P5403">
            <v>1.1539116375485783</v>
          </cell>
          <cell r="Q5403">
            <v>15.156319049943631</v>
          </cell>
        </row>
        <row r="5404">
          <cell r="O5404">
            <v>43999</v>
          </cell>
          <cell r="P5404">
            <v>1.1543874104028864</v>
          </cell>
          <cell r="Q5404">
            <v>15.162568198440404</v>
          </cell>
        </row>
        <row r="5405">
          <cell r="O5405">
            <v>44000</v>
          </cell>
          <cell r="P5405">
            <v>1.1548633803850719</v>
          </cell>
          <cell r="Q5405">
            <v>15.168819936158835</v>
          </cell>
        </row>
        <row r="5406">
          <cell r="O5406">
            <v>44001</v>
          </cell>
          <cell r="P5406">
            <v>1.1553395475705017</v>
          </cell>
          <cell r="Q5406">
            <v>15.175074264088849</v>
          </cell>
        </row>
        <row r="5407">
          <cell r="O5407">
            <v>44004</v>
          </cell>
          <cell r="P5407">
            <v>1.1558159120346272</v>
          </cell>
          <cell r="Q5407">
            <v>15.181331183221479</v>
          </cell>
        </row>
        <row r="5408">
          <cell r="O5408">
            <v>44005</v>
          </cell>
          <cell r="P5408">
            <v>1.1562924738529854</v>
          </cell>
          <cell r="Q5408">
            <v>15.187590694548883</v>
          </cell>
        </row>
        <row r="5409">
          <cell r="O5409">
            <v>44006</v>
          </cell>
          <cell r="P5409">
            <v>1.1567692331011976</v>
          </cell>
          <cell r="Q5409">
            <v>15.193852799064326</v>
          </cell>
        </row>
        <row r="5410">
          <cell r="O5410">
            <v>44007</v>
          </cell>
          <cell r="P5410">
            <v>1.1572461898549691</v>
          </cell>
          <cell r="Q5410">
            <v>15.200117497762177</v>
          </cell>
        </row>
        <row r="5411">
          <cell r="O5411">
            <v>44008</v>
          </cell>
          <cell r="P5411">
            <v>1.157723344190088</v>
          </cell>
          <cell r="Q5411">
            <v>15.206384791637895</v>
          </cell>
        </row>
        <row r="5412">
          <cell r="O5412">
            <v>44011</v>
          </cell>
          <cell r="P5412">
            <v>1.1582006961824252</v>
          </cell>
          <cell r="Q5412">
            <v>15.212654681688017</v>
          </cell>
        </row>
        <row r="5413">
          <cell r="O5413">
            <v>44012</v>
          </cell>
          <cell r="P5413">
            <v>1.1586782459079337</v>
          </cell>
          <cell r="Q5413">
            <v>15.218927168910174</v>
          </cell>
        </row>
        <row r="5414">
          <cell r="O5414">
            <v>44013</v>
          </cell>
          <cell r="P5414">
            <v>1.1591559934426481</v>
          </cell>
          <cell r="Q5414">
            <v>15.225202254303053</v>
          </cell>
        </row>
        <row r="5415">
          <cell r="O5415">
            <v>44014</v>
          </cell>
          <cell r="P5415">
            <v>1.159652072536929</v>
          </cell>
          <cell r="Q5415">
            <v>15.231718119801128</v>
          </cell>
        </row>
        <row r="5416">
          <cell r="O5416">
            <v>44015</v>
          </cell>
          <cell r="P5416">
            <v>1.1601483650185271</v>
          </cell>
          <cell r="Q5416">
            <v>15.238236788084228</v>
          </cell>
        </row>
        <row r="5417">
          <cell r="O5417">
            <v>44018</v>
          </cell>
          <cell r="P5417">
            <v>1.1606448709723256</v>
          </cell>
          <cell r="Q5417">
            <v>15.244758260267275</v>
          </cell>
        </row>
        <row r="5418">
          <cell r="O5418">
            <v>44019</v>
          </cell>
          <cell r="P5418">
            <v>1.1611415904832998</v>
          </cell>
          <cell r="Q5418">
            <v>15.251282537466395</v>
          </cell>
        </row>
        <row r="5419">
          <cell r="O5419">
            <v>44020</v>
          </cell>
          <cell r="P5419">
            <v>1.1616385236365201</v>
          </cell>
          <cell r="Q5419">
            <v>15.257809620798964</v>
          </cell>
        </row>
        <row r="5420">
          <cell r="O5420">
            <v>44021</v>
          </cell>
          <cell r="P5420">
            <v>1.1621356705171499</v>
          </cell>
          <cell r="Q5420">
            <v>15.264339511383582</v>
          </cell>
        </row>
        <row r="5421">
          <cell r="O5421">
            <v>44022</v>
          </cell>
          <cell r="P5421">
            <v>1.1626330312104445</v>
          </cell>
          <cell r="Q5421">
            <v>15.270872210340054</v>
          </cell>
        </row>
        <row r="5422">
          <cell r="O5422">
            <v>44025</v>
          </cell>
          <cell r="P5422">
            <v>1.1631306058017503</v>
          </cell>
          <cell r="Q5422">
            <v>15.27740771878938</v>
          </cell>
        </row>
        <row r="5423">
          <cell r="O5423">
            <v>44026</v>
          </cell>
          <cell r="P5423">
            <v>1.1636283943765058</v>
          </cell>
          <cell r="Q5423">
            <v>15.283946037853775</v>
          </cell>
        </row>
        <row r="5424">
          <cell r="O5424">
            <v>44027</v>
          </cell>
          <cell r="P5424">
            <v>1.16412639702024</v>
          </cell>
          <cell r="Q5424">
            <v>15.290487168656639</v>
          </cell>
        </row>
        <row r="5425">
          <cell r="O5425">
            <v>44028</v>
          </cell>
          <cell r="P5425">
            <v>1.1646246138185723</v>
          </cell>
          <cell r="Q5425">
            <v>15.297031112322557</v>
          </cell>
        </row>
        <row r="5426">
          <cell r="O5426">
            <v>44029</v>
          </cell>
          <cell r="P5426">
            <v>1.1651230448572112</v>
          </cell>
          <cell r="Q5426">
            <v>15.303577869977289</v>
          </cell>
        </row>
        <row r="5427">
          <cell r="O5427">
            <v>44032</v>
          </cell>
          <cell r="P5427">
            <v>1.1656216902219538</v>
          </cell>
          <cell r="Q5427">
            <v>15.310127442747758</v>
          </cell>
        </row>
        <row r="5428">
          <cell r="O5428">
            <v>44033</v>
          </cell>
          <cell r="P5428">
            <v>1.1661205499986864</v>
          </cell>
          <cell r="Q5428">
            <v>15.316679831762055</v>
          </cell>
        </row>
        <row r="5429">
          <cell r="O5429">
            <v>44034</v>
          </cell>
          <cell r="P5429">
            <v>1.1666196242733831</v>
          </cell>
          <cell r="Q5429">
            <v>15.323235038149427</v>
          </cell>
        </row>
        <row r="5430">
          <cell r="O5430">
            <v>44035</v>
          </cell>
          <cell r="P5430">
            <v>1.1671189131321051</v>
          </cell>
          <cell r="Q5430">
            <v>15.329793063040267</v>
          </cell>
        </row>
        <row r="5431">
          <cell r="O5431">
            <v>44036</v>
          </cell>
          <cell r="P5431">
            <v>1.1676184166610011</v>
          </cell>
          <cell r="Q5431">
            <v>15.336353907566112</v>
          </cell>
        </row>
        <row r="5432">
          <cell r="O5432">
            <v>44039</v>
          </cell>
          <cell r="P5432">
            <v>1.1681181349463052</v>
          </cell>
          <cell r="Q5432">
            <v>15.342917572859628</v>
          </cell>
        </row>
        <row r="5433">
          <cell r="O5433">
            <v>44040</v>
          </cell>
          <cell r="P5433">
            <v>1.1686180680743381</v>
          </cell>
          <cell r="Q5433">
            <v>15.349484060054609</v>
          </cell>
        </row>
        <row r="5434">
          <cell r="O5434">
            <v>44041</v>
          </cell>
          <cell r="P5434">
            <v>1.1691182161315055</v>
          </cell>
          <cell r="Q5434">
            <v>15.356053370285974</v>
          </cell>
        </row>
        <row r="5435">
          <cell r="O5435">
            <v>44042</v>
          </cell>
          <cell r="P5435">
            <v>1.169618579204299</v>
          </cell>
          <cell r="Q5435">
            <v>15.362625504689765</v>
          </cell>
        </row>
        <row r="5436">
          <cell r="O5436">
            <v>44043</v>
          </cell>
          <cell r="P5436">
            <v>1.170119157379294</v>
          </cell>
          <cell r="Q5436">
            <v>15.369200464403127</v>
          </cell>
        </row>
        <row r="5437">
          <cell r="O5437">
            <v>44046</v>
          </cell>
          <cell r="P5437">
            <v>1.1706199507431487</v>
          </cell>
          <cell r="Q5437">
            <v>15.375778250564295</v>
          </cell>
        </row>
        <row r="5438">
          <cell r="O5438">
            <v>44047</v>
          </cell>
          <cell r="P5438">
            <v>1.1711209593826066</v>
          </cell>
          <cell r="Q5438">
            <v>15.382358864312618</v>
          </cell>
        </row>
        <row r="5439">
          <cell r="O5439">
            <v>44048</v>
          </cell>
          <cell r="P5439">
            <v>1.1716221833844935</v>
          </cell>
          <cell r="Q5439">
            <v>15.388942306788531</v>
          </cell>
        </row>
        <row r="5440">
          <cell r="O5440">
            <v>44049</v>
          </cell>
          <cell r="P5440">
            <v>1.1721236228357179</v>
          </cell>
          <cell r="Q5440">
            <v>15.395528579133552</v>
          </cell>
        </row>
        <row r="5441">
          <cell r="O5441">
            <v>44050</v>
          </cell>
          <cell r="P5441">
            <v>1.1726252778232695</v>
          </cell>
          <cell r="Q5441">
            <v>15.402117682490271</v>
          </cell>
        </row>
        <row r="5442">
          <cell r="O5442">
            <v>44053</v>
          </cell>
          <cell r="P5442">
            <v>1.1731271484342216</v>
          </cell>
          <cell r="Q5442">
            <v>15.408709618002369</v>
          </cell>
        </row>
        <row r="5443">
          <cell r="O5443">
            <v>44054</v>
          </cell>
          <cell r="P5443">
            <v>1.1736292347557271</v>
          </cell>
          <cell r="Q5443">
            <v>15.415304386814578</v>
          </cell>
        </row>
        <row r="5444">
          <cell r="O5444">
            <v>44055</v>
          </cell>
          <cell r="P5444">
            <v>1.1741315368750205</v>
          </cell>
          <cell r="Q5444">
            <v>15.421901990072698</v>
          </cell>
        </row>
        <row r="5445">
          <cell r="O5445">
            <v>44056</v>
          </cell>
          <cell r="P5445">
            <v>1.1746340548794156</v>
          </cell>
          <cell r="Q5445">
            <v>15.428502428923574</v>
          </cell>
        </row>
        <row r="5446">
          <cell r="O5446">
            <v>44057</v>
          </cell>
          <cell r="P5446">
            <v>1.1751367888563085</v>
          </cell>
          <cell r="Q5446">
            <v>15.435105704515129</v>
          </cell>
        </row>
        <row r="5447">
          <cell r="O5447">
            <v>44060</v>
          </cell>
          <cell r="P5447">
            <v>1.1756397388931725</v>
          </cell>
          <cell r="Q5447">
            <v>15.441711817996302</v>
          </cell>
        </row>
        <row r="5448">
          <cell r="O5448">
            <v>44061</v>
          </cell>
          <cell r="P5448">
            <v>1.1761429050775611</v>
          </cell>
          <cell r="Q5448">
            <v>15.448320770517084</v>
          </cell>
        </row>
        <row r="5449">
          <cell r="O5449">
            <v>44062</v>
          </cell>
          <cell r="P5449">
            <v>1.1766462874971062</v>
          </cell>
          <cell r="Q5449">
            <v>15.454932563228496</v>
          </cell>
        </row>
        <row r="5450">
          <cell r="O5450">
            <v>44063</v>
          </cell>
          <cell r="P5450">
            <v>1.1771498862395187</v>
          </cell>
          <cell r="Q5450">
            <v>15.461547197282599</v>
          </cell>
        </row>
        <row r="5451">
          <cell r="O5451">
            <v>44064</v>
          </cell>
          <cell r="P5451">
            <v>1.177653701392587</v>
          </cell>
          <cell r="Q5451">
            <v>15.468164673832469</v>
          </cell>
        </row>
        <row r="5452">
          <cell r="O5452">
            <v>44067</v>
          </cell>
          <cell r="P5452">
            <v>1.178157733044177</v>
          </cell>
          <cell r="Q5452">
            <v>15.4747849940322</v>
          </cell>
        </row>
        <row r="5453">
          <cell r="O5453">
            <v>44068</v>
          </cell>
          <cell r="P5453">
            <v>1.1786619812822319</v>
          </cell>
          <cell r="Q5453">
            <v>15.481408159036905</v>
          </cell>
        </row>
        <row r="5454">
          <cell r="O5454">
            <v>44069</v>
          </cell>
          <cell r="P5454">
            <v>1.1791664461947717</v>
          </cell>
          <cell r="Q5454">
            <v>15.488034170002699</v>
          </cell>
        </row>
        <row r="5455">
          <cell r="O5455">
            <v>44070</v>
          </cell>
          <cell r="P5455">
            <v>1.1796711278698933</v>
          </cell>
          <cell r="Q5455">
            <v>15.494663028086714</v>
          </cell>
        </row>
        <row r="5456">
          <cell r="O5456">
            <v>44071</v>
          </cell>
          <cell r="P5456">
            <v>1.1801760263957684</v>
          </cell>
          <cell r="Q5456">
            <v>15.501294734447061</v>
          </cell>
        </row>
        <row r="5457">
          <cell r="O5457">
            <v>44074</v>
          </cell>
          <cell r="P5457">
            <v>1.1806811418606462</v>
          </cell>
          <cell r="Q5457">
            <v>15.507929290242869</v>
          </cell>
        </row>
        <row r="5458">
          <cell r="O5458">
            <v>44075</v>
          </cell>
          <cell r="P5458">
            <v>1.1811864743528493</v>
          </cell>
          <cell r="Q5458">
            <v>15.514566696634233</v>
          </cell>
        </row>
        <row r="5459">
          <cell r="O5459">
            <v>44076</v>
          </cell>
          <cell r="P5459">
            <v>1.1816920239607775</v>
          </cell>
          <cell r="Q5459">
            <v>15.52120695478226</v>
          </cell>
        </row>
        <row r="5460">
          <cell r="O5460">
            <v>44077</v>
          </cell>
          <cell r="P5460">
            <v>1.1821977907729031</v>
          </cell>
          <cell r="Q5460">
            <v>15.527850065849007</v>
          </cell>
        </row>
        <row r="5461">
          <cell r="O5461">
            <v>44078</v>
          </cell>
          <cell r="P5461">
            <v>1.1827037748777749</v>
          </cell>
          <cell r="Q5461">
            <v>15.534496030997541</v>
          </cell>
        </row>
        <row r="5462">
          <cell r="O5462">
            <v>44082</v>
          </cell>
          <cell r="P5462">
            <v>1.1832099763640129</v>
          </cell>
          <cell r="Q5462">
            <v>15.541144851391865</v>
          </cell>
        </row>
        <row r="5463">
          <cell r="O5463">
            <v>44083</v>
          </cell>
          <cell r="P5463">
            <v>1.1837163953203136</v>
          </cell>
          <cell r="Q5463">
            <v>15.547796528196978</v>
          </cell>
        </row>
        <row r="5464">
          <cell r="O5464">
            <v>44084</v>
          </cell>
          <cell r="P5464">
            <v>1.1842230318354452</v>
          </cell>
          <cell r="Q5464">
            <v>15.554451062578829</v>
          </cell>
        </row>
        <row r="5465">
          <cell r="O5465">
            <v>44085</v>
          </cell>
          <cell r="P5465">
            <v>1.1847298859982485</v>
          </cell>
          <cell r="Q5465">
            <v>15.56110845570432</v>
          </cell>
        </row>
        <row r="5466">
          <cell r="O5466">
            <v>44088</v>
          </cell>
          <cell r="P5466">
            <v>1.1852369578976389</v>
          </cell>
          <cell r="Q5466">
            <v>15.567768708741328</v>
          </cell>
        </row>
        <row r="5467">
          <cell r="O5467">
            <v>44089</v>
          </cell>
          <cell r="P5467">
            <v>1.1857442476226019</v>
          </cell>
          <cell r="Q5467">
            <v>15.574431822858655</v>
          </cell>
        </row>
        <row r="5468">
          <cell r="O5468">
            <v>44090</v>
          </cell>
          <cell r="P5468">
            <v>1.1862517552621967</v>
          </cell>
          <cell r="Q5468">
            <v>15.581097799226068</v>
          </cell>
        </row>
        <row r="5469">
          <cell r="O5469">
            <v>44091</v>
          </cell>
          <cell r="P5469">
            <v>1.1867594809055531</v>
          </cell>
          <cell r="Q5469">
            <v>15.587766639014264</v>
          </cell>
        </row>
        <row r="5470">
          <cell r="O5470">
            <v>44092</v>
          </cell>
          <cell r="P5470">
            <v>1.1872674246418731</v>
          </cell>
          <cell r="Q5470">
            <v>15.59443834339489</v>
          </cell>
        </row>
        <row r="5471">
          <cell r="O5471">
            <v>44095</v>
          </cell>
          <cell r="P5471">
            <v>1.1877755865604294</v>
          </cell>
          <cell r="Q5471">
            <v>15.601112913540515</v>
          </cell>
        </row>
        <row r="5472">
          <cell r="O5472">
            <v>44096</v>
          </cell>
          <cell r="P5472">
            <v>1.1882839667505656</v>
          </cell>
          <cell r="Q5472">
            <v>15.607790350624644</v>
          </cell>
        </row>
        <row r="5473">
          <cell r="O5473">
            <v>44097</v>
          </cell>
          <cell r="P5473">
            <v>1.188792565301696</v>
          </cell>
          <cell r="Q5473">
            <v>15.614470655821711</v>
          </cell>
        </row>
        <row r="5474">
          <cell r="O5474">
            <v>44098</v>
          </cell>
          <cell r="P5474">
            <v>1.1893013823033041</v>
          </cell>
          <cell r="Q5474">
            <v>15.621153830307057</v>
          </cell>
        </row>
        <row r="5475">
          <cell r="O5475">
            <v>44099</v>
          </cell>
          <cell r="P5475">
            <v>1.1898104178449451</v>
          </cell>
          <cell r="Q5475">
            <v>15.627839875256965</v>
          </cell>
        </row>
        <row r="5476">
          <cell r="O5476">
            <v>44102</v>
          </cell>
          <cell r="P5476">
            <v>1.1903196720162428</v>
          </cell>
          <cell r="Q5476">
            <v>15.634528791848618</v>
          </cell>
        </row>
        <row r="5477">
          <cell r="O5477">
            <v>44103</v>
          </cell>
          <cell r="P5477">
            <v>1.1908291449068908</v>
          </cell>
          <cell r="Q5477">
            <v>15.641220581260123</v>
          </cell>
        </row>
        <row r="5478">
          <cell r="O5478">
            <v>44104</v>
          </cell>
          <cell r="P5478">
            <v>1.1913388366066502</v>
          </cell>
          <cell r="Q5478">
            <v>15.647915244670463</v>
          </cell>
        </row>
        <row r="5479">
          <cell r="O5479">
            <v>44105</v>
          </cell>
          <cell r="P5479">
            <v>1.1918487472053536</v>
          </cell>
          <cell r="Q5479">
            <v>15.654612783259566</v>
          </cell>
        </row>
        <row r="5480">
          <cell r="O5480">
            <v>44106</v>
          </cell>
          <cell r="P5480">
            <v>1.1923857574577861</v>
          </cell>
          <cell r="Q5480">
            <v>15.661666268512777</v>
          </cell>
        </row>
        <row r="5481">
          <cell r="O5481">
            <v>44109</v>
          </cell>
          <cell r="P5481">
            <v>1.1929230106177424</v>
          </cell>
          <cell r="Q5481">
            <v>15.668722944290991</v>
          </cell>
        </row>
        <row r="5482">
          <cell r="O5482">
            <v>44110</v>
          </cell>
          <cell r="P5482">
            <v>1.1934605067899047</v>
          </cell>
          <cell r="Q5482">
            <v>15.675782811969178</v>
          </cell>
        </row>
        <row r="5483">
          <cell r="O5483">
            <v>44111</v>
          </cell>
          <cell r="P5483">
            <v>1.1939982460790388</v>
          </cell>
          <cell r="Q5483">
            <v>15.682845872923414</v>
          </cell>
        </row>
        <row r="5484">
          <cell r="O5484">
            <v>44112</v>
          </cell>
          <cell r="P5484">
            <v>1.1945362285899948</v>
          </cell>
          <cell r="Q5484">
            <v>15.689912128530871</v>
          </cell>
        </row>
        <row r="5485">
          <cell r="O5485">
            <v>44113</v>
          </cell>
          <cell r="P5485">
            <v>1.1950744544277059</v>
          </cell>
          <cell r="Q5485">
            <v>15.696981580169822</v>
          </cell>
        </row>
        <row r="5486">
          <cell r="O5486">
            <v>44117</v>
          </cell>
          <cell r="P5486">
            <v>1.1956129236971911</v>
          </cell>
          <cell r="Q5486">
            <v>15.704054229219663</v>
          </cell>
        </row>
        <row r="5487">
          <cell r="O5487">
            <v>44118</v>
          </cell>
          <cell r="P5487">
            <v>1.1961516365035498</v>
          </cell>
          <cell r="Q5487">
            <v>15.711130077060846</v>
          </cell>
        </row>
        <row r="5488">
          <cell r="O5488">
            <v>44119</v>
          </cell>
          <cell r="P5488">
            <v>1.1966905929519662</v>
          </cell>
          <cell r="Q5488">
            <v>15.718209125074935</v>
          </cell>
        </row>
        <row r="5489">
          <cell r="O5489">
            <v>44120</v>
          </cell>
          <cell r="P5489">
            <v>1.1972297931477069</v>
          </cell>
          <cell r="Q5489">
            <v>15.725291374644582</v>
          </cell>
        </row>
        <row r="5490">
          <cell r="O5490">
            <v>44123</v>
          </cell>
          <cell r="P5490">
            <v>1.1977692371961199</v>
          </cell>
          <cell r="Q5490">
            <v>15.732376827153502</v>
          </cell>
        </row>
        <row r="5491">
          <cell r="O5491">
            <v>44124</v>
          </cell>
          <cell r="P5491">
            <v>1.1983089252026355</v>
          </cell>
          <cell r="Q5491">
            <v>15.739465483986494</v>
          </cell>
        </row>
        <row r="5492">
          <cell r="O5492">
            <v>44125</v>
          </cell>
          <cell r="P5492">
            <v>1.1988488572727669</v>
          </cell>
          <cell r="Q5492">
            <v>15.746557346529448</v>
          </cell>
        </row>
        <row r="5493">
          <cell r="O5493">
            <v>44126</v>
          </cell>
          <cell r="P5493">
            <v>1.1993890335121069</v>
          </cell>
          <cell r="Q5493">
            <v>15.753652416169293</v>
          </cell>
        </row>
        <row r="5494">
          <cell r="O5494">
            <v>44127</v>
          </cell>
          <cell r="P5494">
            <v>1.1999294540263312</v>
          </cell>
          <cell r="Q5494">
            <v>15.760750694294055</v>
          </cell>
        </row>
        <row r="5495">
          <cell r="O5495">
            <v>44130</v>
          </cell>
          <cell r="P5495">
            <v>1.200470118921195</v>
          </cell>
          <cell r="Q5495">
            <v>15.767852182292797</v>
          </cell>
        </row>
        <row r="5496">
          <cell r="O5496">
            <v>44131</v>
          </cell>
          <cell r="P5496">
            <v>1.2010110283025346</v>
          </cell>
          <cell r="Q5496">
            <v>15.774956881555651</v>
          </cell>
        </row>
        <row r="5497">
          <cell r="O5497">
            <v>44132</v>
          </cell>
          <cell r="P5497">
            <v>1.2015521822762665</v>
          </cell>
          <cell r="Q5497">
            <v>15.782064793473802</v>
          </cell>
        </row>
        <row r="5498">
          <cell r="O5498">
            <v>44133</v>
          </cell>
          <cell r="P5498">
            <v>1.2020935809483875</v>
          </cell>
          <cell r="Q5498">
            <v>15.78917591943949</v>
          </cell>
        </row>
        <row r="5499">
          <cell r="O5499">
            <v>44134</v>
          </cell>
          <cell r="P5499">
            <v>1.2026352244249743</v>
          </cell>
          <cell r="Q5499">
            <v>15.796290260846005</v>
          </cell>
        </row>
        <row r="5500">
          <cell r="O5500">
            <v>44138</v>
          </cell>
          <cell r="P5500">
            <v>1.2031771128121822</v>
          </cell>
          <cell r="Q5500">
            <v>15.803407819087665</v>
          </cell>
        </row>
        <row r="5501">
          <cell r="O5501">
            <v>44139</v>
          </cell>
          <cell r="P5501">
            <v>1.2037192462162463</v>
          </cell>
          <cell r="Q5501">
            <v>15.810528595559843</v>
          </cell>
        </row>
        <row r="5502">
          <cell r="O5502">
            <v>44140</v>
          </cell>
          <cell r="P5502">
            <v>1.2042616247434808</v>
          </cell>
          <cell r="Q5502">
            <v>15.817652591658945</v>
          </cell>
        </row>
        <row r="5503">
          <cell r="O5503">
            <v>44141</v>
          </cell>
          <cell r="P5503">
            <v>1.2048042485002788</v>
          </cell>
          <cell r="Q5503">
            <v>15.824779808782417</v>
          </cell>
        </row>
        <row r="5504">
          <cell r="O5504">
            <v>44144</v>
          </cell>
          <cell r="P5504">
            <v>1.2053471175931114</v>
          </cell>
          <cell r="Q5504">
            <v>15.831910248328727</v>
          </cell>
        </row>
        <row r="5505">
          <cell r="O5505">
            <v>44145</v>
          </cell>
          <cell r="P5505">
            <v>1.2058902321285276</v>
          </cell>
          <cell r="Q5505">
            <v>15.83904391169737</v>
          </cell>
        </row>
        <row r="5506">
          <cell r="O5506">
            <v>44146</v>
          </cell>
          <cell r="P5506">
            <v>1.2064335922131555</v>
          </cell>
          <cell r="Q5506">
            <v>15.846180800288874</v>
          </cell>
        </row>
        <row r="5507">
          <cell r="O5507">
            <v>44147</v>
          </cell>
          <cell r="P5507">
            <v>1.2069771979536998</v>
          </cell>
          <cell r="Q5507">
            <v>15.85332091550478</v>
          </cell>
        </row>
        <row r="5508">
          <cell r="O5508">
            <v>44148</v>
          </cell>
          <cell r="P5508">
            <v>1.2075210494569433</v>
          </cell>
          <cell r="Q5508">
            <v>15.860464258747646</v>
          </cell>
        </row>
        <row r="5509">
          <cell r="O5509">
            <v>44151</v>
          </cell>
          <cell r="P5509">
            <v>1.2080651468297459</v>
          </cell>
          <cell r="Q5509">
            <v>15.867610831421054</v>
          </cell>
        </row>
        <row r="5510">
          <cell r="O5510">
            <v>44152</v>
          </cell>
          <cell r="P5510">
            <v>1.2086094901790445</v>
          </cell>
          <cell r="Q5510">
            <v>15.87476063492959</v>
          </cell>
        </row>
        <row r="5511">
          <cell r="O5511">
            <v>44153</v>
          </cell>
          <cell r="P5511">
            <v>1.2091540796118523</v>
          </cell>
          <cell r="Q5511">
            <v>15.881913670678841</v>
          </cell>
        </row>
        <row r="5512">
          <cell r="O5512">
            <v>44154</v>
          </cell>
          <cell r="P5512">
            <v>1.20969891523526</v>
          </cell>
          <cell r="Q5512">
            <v>15.889069940075418</v>
          </cell>
        </row>
        <row r="5513">
          <cell r="O5513">
            <v>44155</v>
          </cell>
          <cell r="P5513">
            <v>1.2102439971564343</v>
          </cell>
          <cell r="Q5513">
            <v>15.896229444526924</v>
          </cell>
        </row>
        <row r="5514">
          <cell r="O5514">
            <v>44158</v>
          </cell>
          <cell r="P5514">
            <v>1.2107893254826179</v>
          </cell>
          <cell r="Q5514">
            <v>15.903392185441964</v>
          </cell>
        </row>
        <row r="5515">
          <cell r="O5515">
            <v>44159</v>
          </cell>
          <cell r="P5515">
            <v>1.2113349003211282</v>
          </cell>
          <cell r="Q5515">
            <v>15.910558164230125</v>
          </cell>
        </row>
        <row r="5516">
          <cell r="O5516">
            <v>44160</v>
          </cell>
          <cell r="P5516">
            <v>1.2118807217793603</v>
          </cell>
          <cell r="Q5516">
            <v>15.91772738230201</v>
          </cell>
        </row>
        <row r="5517">
          <cell r="O5517">
            <v>44161</v>
          </cell>
          <cell r="P5517">
            <v>1.2124267899647838</v>
          </cell>
          <cell r="Q5517">
            <v>15.924899841069204</v>
          </cell>
        </row>
        <row r="5518">
          <cell r="O5518">
            <v>44162</v>
          </cell>
          <cell r="P5518">
            <v>1.2129731049849433</v>
          </cell>
          <cell r="Q5518">
            <v>15.932075541944275</v>
          </cell>
        </row>
        <row r="5519">
          <cell r="O5519">
            <v>44165</v>
          </cell>
          <cell r="P5519">
            <v>1.2135196669474588</v>
          </cell>
          <cell r="Q5519">
            <v>15.939254486340786</v>
          </cell>
        </row>
        <row r="5520">
          <cell r="O5520">
            <v>44166</v>
          </cell>
          <cell r="P5520">
            <v>1.2140664759600253</v>
          </cell>
          <cell r="Q5520">
            <v>15.946436675673281</v>
          </cell>
        </row>
        <row r="5521">
          <cell r="O5521">
            <v>44167</v>
          </cell>
          <cell r="P5521">
            <v>1.2146135321304121</v>
          </cell>
          <cell r="Q5521">
            <v>15.95362211135728</v>
          </cell>
        </row>
        <row r="5522">
          <cell r="O5522">
            <v>44168</v>
          </cell>
          <cell r="P5522">
            <v>1.2151608355664616</v>
          </cell>
          <cell r="Q5522">
            <v>15.960810794809262</v>
          </cell>
        </row>
        <row r="5523">
          <cell r="O5523">
            <v>44169</v>
          </cell>
          <cell r="P5523">
            <v>1.2157083863760934</v>
          </cell>
          <cell r="Q5523">
            <v>15.968002727446725</v>
          </cell>
        </row>
        <row r="5524">
          <cell r="O5524">
            <v>44172</v>
          </cell>
          <cell r="P5524">
            <v>1.2162561846672983</v>
          </cell>
          <cell r="Q5524">
            <v>15.975197910688101</v>
          </cell>
        </row>
        <row r="5525">
          <cell r="O5525">
            <v>44173</v>
          </cell>
          <cell r="P5525">
            <v>1.2168042305481426</v>
          </cell>
          <cell r="Q5525">
            <v>15.982396345952806</v>
          </cell>
        </row>
        <row r="5526">
          <cell r="O5526">
            <v>44174</v>
          </cell>
          <cell r="P5526">
            <v>1.2173525241267655</v>
          </cell>
          <cell r="Q5526">
            <v>15.989598034661222</v>
          </cell>
        </row>
        <row r="5527">
          <cell r="O5527">
            <v>44175</v>
          </cell>
          <cell r="P5527">
            <v>1.21790106551138</v>
          </cell>
          <cell r="Q5527">
            <v>15.996802978234699</v>
          </cell>
        </row>
        <row r="5528">
          <cell r="O5528">
            <v>44176</v>
          </cell>
          <cell r="P5528">
            <v>1.2184498548102718</v>
          </cell>
          <cell r="Q5528">
            <v>16.004011178095539</v>
          </cell>
        </row>
        <row r="5529">
          <cell r="O5529">
            <v>44179</v>
          </cell>
          <cell r="P5529">
            <v>1.2189988921318011</v>
          </cell>
          <cell r="Q5529">
            <v>16.011222635667025</v>
          </cell>
        </row>
        <row r="5530">
          <cell r="O5530">
            <v>44180</v>
          </cell>
          <cell r="P5530">
            <v>1.2195481775843982</v>
          </cell>
          <cell r="Q5530">
            <v>16.018437352373358</v>
          </cell>
        </row>
        <row r="5531">
          <cell r="O5531">
            <v>44181</v>
          </cell>
          <cell r="P5531">
            <v>1.2200977112765687</v>
          </cell>
          <cell r="Q5531">
            <v>16.025655329639729</v>
          </cell>
        </row>
        <row r="5532">
          <cell r="O5532">
            <v>44182</v>
          </cell>
          <cell r="P5532">
            <v>1.2206474933168898</v>
          </cell>
          <cell r="Q5532">
            <v>16.032876568892277</v>
          </cell>
        </row>
        <row r="5533">
          <cell r="O5533">
            <v>44183</v>
          </cell>
          <cell r="P5533">
            <v>1.2211975238140105</v>
          </cell>
          <cell r="Q5533">
            <v>16.04010107155807</v>
          </cell>
        </row>
        <row r="5534">
          <cell r="O5534">
            <v>44186</v>
          </cell>
          <cell r="P5534">
            <v>1.2217478028766535</v>
          </cell>
          <cell r="Q5534">
            <v>16.047328839065155</v>
          </cell>
        </row>
        <row r="5535">
          <cell r="O5535">
            <v>44187</v>
          </cell>
          <cell r="P5535">
            <v>1.2222983306136115</v>
          </cell>
          <cell r="Q5535">
            <v>16.054559872842496</v>
          </cell>
        </row>
        <row r="5536">
          <cell r="O5536">
            <v>44188</v>
          </cell>
          <cell r="P5536">
            <v>1.2228491071337506</v>
          </cell>
          <cell r="Q5536">
            <v>16.061794174320017</v>
          </cell>
        </row>
        <row r="5537">
          <cell r="O5537">
            <v>44189</v>
          </cell>
          <cell r="P5537">
            <v>1.2234001325460078</v>
          </cell>
          <cell r="Q5537">
            <v>16.069031744928576</v>
          </cell>
        </row>
        <row r="5538">
          <cell r="O5538">
            <v>44193</v>
          </cell>
          <cell r="P5538">
            <v>1.2239514069593922</v>
          </cell>
          <cell r="Q5538">
            <v>16.076272586099979</v>
          </cell>
        </row>
        <row r="5539">
          <cell r="O5539">
            <v>44194</v>
          </cell>
          <cell r="P5539">
            <v>1.2245029304829829</v>
          </cell>
          <cell r="Q5539">
            <v>16.083516699266955</v>
          </cell>
        </row>
        <row r="5540">
          <cell r="O5540">
            <v>44195</v>
          </cell>
          <cell r="P5540">
            <v>1.2250547032259314</v>
          </cell>
          <cell r="Q5540">
            <v>16.090764085863171</v>
          </cell>
        </row>
        <row r="5541">
          <cell r="O5541">
            <v>44196</v>
          </cell>
          <cell r="P5541">
            <v>1.2256067252974603</v>
          </cell>
          <cell r="Q5541">
            <v>16.098014747323244</v>
          </cell>
        </row>
        <row r="5542">
          <cell r="O5542">
            <v>44200</v>
          </cell>
          <cell r="P5542">
            <v>1.226158996806862</v>
          </cell>
          <cell r="Q5542">
            <v>16.105268685082699</v>
          </cell>
        </row>
        <row r="5543">
          <cell r="O5543">
            <v>44201</v>
          </cell>
          <cell r="P5543">
            <v>1.2267245288400714</v>
          </cell>
          <cell r="Q5543">
            <v>16.112696796256355</v>
          </cell>
        </row>
        <row r="5544">
          <cell r="O5544">
            <v>44202</v>
          </cell>
          <cell r="P5544">
            <v>1.2272903224747929</v>
          </cell>
          <cell r="Q5544">
            <v>16.120128343495519</v>
          </cell>
        </row>
        <row r="5545">
          <cell r="O5545">
            <v>44203</v>
          </cell>
          <cell r="P5545">
            <v>1.2278563778283518</v>
          </cell>
          <cell r="Q5545">
            <v>16.127563328341235</v>
          </cell>
        </row>
        <row r="5546">
          <cell r="O5546">
            <v>44204</v>
          </cell>
          <cell r="P5546">
            <v>1.2284226950181503</v>
          </cell>
          <cell r="Q5546">
            <v>16.135001752335544</v>
          </cell>
        </row>
        <row r="5547">
          <cell r="O5547">
            <v>44207</v>
          </cell>
          <cell r="P5547">
            <v>1.2289892741616679</v>
          </cell>
          <cell r="Q5547">
            <v>16.14244361702151</v>
          </cell>
        </row>
        <row r="5548">
          <cell r="O5548">
            <v>44208</v>
          </cell>
          <cell r="P5548">
            <v>1.2295561153764607</v>
          </cell>
          <cell r="Q5548">
            <v>16.149888923943195</v>
          </cell>
        </row>
        <row r="5549">
          <cell r="O5549">
            <v>44209</v>
          </cell>
          <cell r="P5549">
            <v>1.2301232187801625</v>
          </cell>
          <cell r="Q5549">
            <v>16.157337674645696</v>
          </cell>
        </row>
        <row r="5550">
          <cell r="O5550">
            <v>44210</v>
          </cell>
          <cell r="P5550">
            <v>1.2306905844904836</v>
          </cell>
          <cell r="Q5550">
            <v>16.164789870675104</v>
          </cell>
        </row>
        <row r="5551">
          <cell r="O5551">
            <v>44211</v>
          </cell>
          <cell r="P5551">
            <v>1.2312582126252103</v>
          </cell>
          <cell r="Q5551">
            <v>16.172245513578506</v>
          </cell>
        </row>
        <row r="5552">
          <cell r="O5552">
            <v>44214</v>
          </cell>
          <cell r="P5552">
            <v>1.231826103302206</v>
          </cell>
          <cell r="Q5552">
            <v>16.179704604904007</v>
          </cell>
        </row>
        <row r="5553">
          <cell r="O5553">
            <v>44215</v>
          </cell>
          <cell r="P5553">
            <v>1.232394256639409</v>
          </cell>
          <cell r="Q5553">
            <v>16.1871671462007</v>
          </cell>
        </row>
        <row r="5554">
          <cell r="O5554">
            <v>44216</v>
          </cell>
          <cell r="P5554">
            <v>1.2329626727548364</v>
          </cell>
          <cell r="Q5554">
            <v>16.194633139018702</v>
          </cell>
        </row>
        <row r="5555">
          <cell r="O5555">
            <v>44217</v>
          </cell>
          <cell r="P5555">
            <v>1.2335313517665785</v>
          </cell>
          <cell r="Q5555">
            <v>16.202102584909099</v>
          </cell>
        </row>
        <row r="5556">
          <cell r="O5556">
            <v>44218</v>
          </cell>
          <cell r="P5556">
            <v>1.2341002937928025</v>
          </cell>
          <cell r="Q5556">
            <v>16.209575485423986</v>
          </cell>
        </row>
        <row r="5557">
          <cell r="O5557">
            <v>44221</v>
          </cell>
          <cell r="P5557">
            <v>1.2346694989517519</v>
          </cell>
          <cell r="Q5557">
            <v>16.217051842116462</v>
          </cell>
        </row>
        <row r="5558">
          <cell r="O5558">
            <v>44222</v>
          </cell>
          <cell r="P5558">
            <v>1.2352389673617443</v>
          </cell>
          <cell r="Q5558">
            <v>16.224531656540595</v>
          </cell>
        </row>
        <row r="5559">
          <cell r="O5559">
            <v>44223</v>
          </cell>
          <cell r="P5559">
            <v>1.235808699141173</v>
          </cell>
          <cell r="Q5559">
            <v>16.232014930251445</v>
          </cell>
        </row>
        <row r="5560">
          <cell r="O5560">
            <v>44224</v>
          </cell>
          <cell r="P5560">
            <v>1.2363786944085084</v>
          </cell>
          <cell r="Q5560">
            <v>16.239501664805097</v>
          </cell>
        </row>
        <row r="5561">
          <cell r="O5561">
            <v>44225</v>
          </cell>
          <cell r="P5561">
            <v>1.2369489532822935</v>
          </cell>
          <cell r="Q5561">
            <v>16.246991861758573</v>
          </cell>
        </row>
        <row r="5562">
          <cell r="O5562">
            <v>44228</v>
          </cell>
          <cell r="P5562">
            <v>1.237519475881147</v>
          </cell>
          <cell r="Q5562">
            <v>16.254485522669903</v>
          </cell>
        </row>
        <row r="5563">
          <cell r="O5563">
            <v>44229</v>
          </cell>
          <cell r="P5563">
            <v>1.2380902623237633</v>
          </cell>
          <cell r="Q5563">
            <v>16.261982649098105</v>
          </cell>
        </row>
        <row r="5564">
          <cell r="O5564">
            <v>44230</v>
          </cell>
          <cell r="P5564">
            <v>1.2386613127289103</v>
          </cell>
          <cell r="Q5564">
            <v>16.269483242603162</v>
          </cell>
        </row>
        <row r="5565">
          <cell r="O5565">
            <v>44231</v>
          </cell>
          <cell r="P5565">
            <v>1.2392326272154324</v>
          </cell>
          <cell r="Q5565">
            <v>16.276987304746065</v>
          </cell>
        </row>
        <row r="5566">
          <cell r="O5566">
            <v>44232</v>
          </cell>
          <cell r="P5566">
            <v>1.2398042059022447</v>
          </cell>
          <cell r="Q5566">
            <v>16.284494837088733</v>
          </cell>
        </row>
        <row r="5567">
          <cell r="O5567">
            <v>44235</v>
          </cell>
          <cell r="P5567">
            <v>1.2403760489083404</v>
          </cell>
          <cell r="Q5567">
            <v>16.292005841194104</v>
          </cell>
        </row>
        <row r="5568">
          <cell r="O5568">
            <v>44236</v>
          </cell>
          <cell r="P5568">
            <v>1.2409481563527855</v>
          </cell>
          <cell r="Q5568">
            <v>16.299520318626087</v>
          </cell>
        </row>
        <row r="5569">
          <cell r="O5569">
            <v>44237</v>
          </cell>
          <cell r="P5569">
            <v>1.2415205283547195</v>
          </cell>
          <cell r="Q5569">
            <v>16.307038270949537</v>
          </cell>
        </row>
        <row r="5570">
          <cell r="O5570">
            <v>44238</v>
          </cell>
          <cell r="P5570">
            <v>1.2420931650333553</v>
          </cell>
          <cell r="Q5570">
            <v>16.314559699730292</v>
          </cell>
        </row>
        <row r="5571">
          <cell r="O5571">
            <v>44239</v>
          </cell>
          <cell r="P5571">
            <v>1.2426660665079818</v>
          </cell>
          <cell r="Q5571">
            <v>16.322084606535174</v>
          </cell>
        </row>
        <row r="5572">
          <cell r="O5572">
            <v>44244</v>
          </cell>
          <cell r="P5572">
            <v>1.2432392328979596</v>
          </cell>
          <cell r="Q5572">
            <v>16.329612992931953</v>
          </cell>
        </row>
        <row r="5573">
          <cell r="O5573">
            <v>44245</v>
          </cell>
          <cell r="P5573">
            <v>1.2438126643227236</v>
          </cell>
          <cell r="Q5573">
            <v>16.337144860489378</v>
          </cell>
        </row>
        <row r="5574">
          <cell r="O5574">
            <v>44246</v>
          </cell>
          <cell r="P5574">
            <v>1.2443863609017818</v>
          </cell>
          <cell r="Q5574">
            <v>16.344680210777152</v>
          </cell>
        </row>
        <row r="5575">
          <cell r="O5575">
            <v>44249</v>
          </cell>
          <cell r="P5575">
            <v>1.2449603227547159</v>
          </cell>
          <cell r="Q5575">
            <v>16.352219045365949</v>
          </cell>
        </row>
        <row r="5576">
          <cell r="O5576">
            <v>44250</v>
          </cell>
          <cell r="P5576">
            <v>1.2455345500011814</v>
          </cell>
          <cell r="Q5576">
            <v>16.35976136582741</v>
          </cell>
        </row>
        <row r="5577">
          <cell r="O5577">
            <v>44251</v>
          </cell>
          <cell r="P5577">
            <v>1.2461090427609043</v>
          </cell>
          <cell r="Q5577">
            <v>16.367307173734108</v>
          </cell>
        </row>
        <row r="5578">
          <cell r="O5578">
            <v>44252</v>
          </cell>
          <cell r="P5578">
            <v>1.2466838011536874</v>
          </cell>
          <cell r="Q5578">
            <v>16.374856470659616</v>
          </cell>
        </row>
        <row r="5579">
          <cell r="O5579">
            <v>44253</v>
          </cell>
          <cell r="P5579">
            <v>1.2472588252994024</v>
          </cell>
          <cell r="Q5579">
            <v>16.382409258178416</v>
          </cell>
        </row>
        <row r="5580">
          <cell r="O5580">
            <v>44256</v>
          </cell>
          <cell r="P5580">
            <v>1.2478341153179966</v>
          </cell>
          <cell r="Q5580">
            <v>16.38996553786599</v>
          </cell>
        </row>
        <row r="5581">
          <cell r="O5581">
            <v>44257</v>
          </cell>
          <cell r="P5581">
            <v>1.2484096713294888</v>
          </cell>
          <cell r="Q5581">
            <v>16.397525311298747</v>
          </cell>
        </row>
        <row r="5582">
          <cell r="O5582">
            <v>44258</v>
          </cell>
          <cell r="P5582">
            <v>1.248985493453971</v>
          </cell>
          <cell r="Q5582">
            <v>16.405088580054066</v>
          </cell>
        </row>
        <row r="5583">
          <cell r="O5583">
            <v>44259</v>
          </cell>
          <cell r="P5583">
            <v>1.2495615818116061</v>
          </cell>
          <cell r="Q5583">
            <v>16.412655345710252</v>
          </cell>
        </row>
        <row r="5584">
          <cell r="O5584">
            <v>44260</v>
          </cell>
          <cell r="P5584">
            <v>1.2501379365226311</v>
          </cell>
          <cell r="Q5584">
            <v>16.420225609846586</v>
          </cell>
        </row>
        <row r="5585">
          <cell r="O5585">
            <v>44263</v>
          </cell>
          <cell r="P5585">
            <v>1.2507145577073551</v>
          </cell>
          <cell r="Q5585">
            <v>16.427799374043296</v>
          </cell>
        </row>
        <row r="5586">
          <cell r="O5586">
            <v>44264</v>
          </cell>
          <cell r="P5586">
            <v>1.2512914454861572</v>
          </cell>
          <cell r="Q5586">
            <v>16.435376639881532</v>
          </cell>
        </row>
        <row r="5587">
          <cell r="O5587">
            <v>44265</v>
          </cell>
          <cell r="P5587">
            <v>1.2518685999794905</v>
          </cell>
          <cell r="Q5587">
            <v>16.442957408943407</v>
          </cell>
        </row>
        <row r="5588">
          <cell r="O5588">
            <v>44266</v>
          </cell>
          <cell r="P5588">
            <v>1.2524460213078796</v>
          </cell>
          <cell r="Q5588">
            <v>16.450541682811984</v>
          </cell>
        </row>
        <row r="5589">
          <cell r="O5589">
            <v>44267</v>
          </cell>
          <cell r="P5589">
            <v>1.2530237095919212</v>
          </cell>
          <cell r="Q5589">
            <v>16.45812946307127</v>
          </cell>
        </row>
        <row r="5590">
          <cell r="O5590">
            <v>44270</v>
          </cell>
          <cell r="P5590">
            <v>1.2536016649522825</v>
          </cell>
          <cell r="Q5590">
            <v>16.46572075130619</v>
          </cell>
        </row>
        <row r="5591">
          <cell r="O5591">
            <v>44271</v>
          </cell>
          <cell r="P5591">
            <v>1.2541798875097041</v>
          </cell>
          <cell r="Q5591">
            <v>16.473315549102644</v>
          </cell>
        </row>
        <row r="5592">
          <cell r="O5592">
            <v>44272</v>
          </cell>
          <cell r="P5592">
            <v>1.2547583773849962</v>
          </cell>
          <cell r="Q5592">
            <v>16.48091385804744</v>
          </cell>
        </row>
        <row r="5593">
          <cell r="O5593">
            <v>44273</v>
          </cell>
          <cell r="P5593">
            <v>1.2553371346990421</v>
          </cell>
          <cell r="Q5593">
            <v>16.488515679728348</v>
          </cell>
        </row>
        <row r="5594">
          <cell r="O5594">
            <v>44274</v>
          </cell>
          <cell r="P5594">
            <v>1.255916159572795</v>
          </cell>
          <cell r="Q5594">
            <v>16.496121015734055</v>
          </cell>
        </row>
        <row r="5595">
          <cell r="O5595">
            <v>44277</v>
          </cell>
          <cell r="P5595">
            <v>1.2564954521272811</v>
          </cell>
          <cell r="Q5595">
            <v>16.503729867654204</v>
          </cell>
        </row>
        <row r="5596">
          <cell r="O5596">
            <v>44278</v>
          </cell>
          <cell r="P5596">
            <v>1.2570750124835961</v>
          </cell>
          <cell r="Q5596">
            <v>16.511342237079365</v>
          </cell>
        </row>
        <row r="5597">
          <cell r="O5597">
            <v>44279</v>
          </cell>
          <cell r="P5597">
            <v>1.2576548407629073</v>
          </cell>
          <cell r="Q5597">
            <v>16.518958125601028</v>
          </cell>
        </row>
        <row r="5598">
          <cell r="O5598">
            <v>44280</v>
          </cell>
          <cell r="P5598">
            <v>1.2582349370864536</v>
          </cell>
          <cell r="Q5598">
            <v>16.526577534811636</v>
          </cell>
        </row>
        <row r="5599">
          <cell r="O5599">
            <v>44281</v>
          </cell>
          <cell r="P5599">
            <v>1.2588153015755432</v>
          </cell>
          <cell r="Q5599">
            <v>16.534200466304544</v>
          </cell>
        </row>
        <row r="5600">
          <cell r="O5600">
            <v>44284</v>
          </cell>
          <cell r="P5600">
            <v>1.2593959343515579</v>
          </cell>
          <cell r="Q5600">
            <v>16.541826921674062</v>
          </cell>
        </row>
        <row r="5601">
          <cell r="O5601">
            <v>44285</v>
          </cell>
          <cell r="P5601">
            <v>1.2599768355359471</v>
          </cell>
          <cell r="Q5601">
            <v>16.549456902515402</v>
          </cell>
        </row>
        <row r="5602">
          <cell r="O5602">
            <v>44286</v>
          </cell>
          <cell r="P5602">
            <v>1.2605580052502332</v>
          </cell>
          <cell r="Q5602">
            <v>16.557090410424721</v>
          </cell>
        </row>
        <row r="5603">
          <cell r="O5603">
            <v>44287</v>
          </cell>
          <cell r="P5603">
            <v>1.261139443616007</v>
          </cell>
          <cell r="Q5603">
            <v>16.56472744699909</v>
          </cell>
        </row>
        <row r="5604">
          <cell r="O5604">
            <v>44291</v>
          </cell>
          <cell r="P5604">
            <v>1.2617181484845841</v>
          </cell>
          <cell r="Q5604">
            <v>16.572328579822866</v>
          </cell>
        </row>
        <row r="5605">
          <cell r="O5605">
            <v>44292</v>
          </cell>
          <cell r="P5605">
            <v>1.2622971194703316</v>
          </cell>
          <cell r="Q5605">
            <v>16.579933208024116</v>
          </cell>
        </row>
        <row r="5606">
          <cell r="O5606">
            <v>44293</v>
          </cell>
          <cell r="P5606">
            <v>1.2628763566931933</v>
          </cell>
          <cell r="Q5606">
            <v>16.587541333178262</v>
          </cell>
        </row>
        <row r="5607">
          <cell r="O5607">
            <v>44294</v>
          </cell>
          <cell r="P5607">
            <v>1.263455860273184</v>
          </cell>
          <cell r="Q5607">
            <v>16.595152956861668</v>
          </cell>
        </row>
        <row r="5608">
          <cell r="O5608">
            <v>44295</v>
          </cell>
          <cell r="P5608">
            <v>1.2640356303303835</v>
          </cell>
          <cell r="Q5608">
            <v>16.602768080651551</v>
          </cell>
        </row>
        <row r="5609">
          <cell r="O5609">
            <v>44298</v>
          </cell>
          <cell r="P5609">
            <v>1.2646156669849433</v>
          </cell>
          <cell r="Q5609">
            <v>16.610386706126068</v>
          </cell>
        </row>
        <row r="5610">
          <cell r="O5610">
            <v>44299</v>
          </cell>
          <cell r="P5610">
            <v>1.2651959703570814</v>
          </cell>
          <cell r="Q5610">
            <v>16.618008834864252</v>
          </cell>
        </row>
        <row r="5611">
          <cell r="O5611">
            <v>44300</v>
          </cell>
          <cell r="P5611">
            <v>1.265776540567086</v>
          </cell>
          <cell r="Q5611">
            <v>16.625634468446055</v>
          </cell>
        </row>
        <row r="5612">
          <cell r="O5612">
            <v>44301</v>
          </cell>
          <cell r="P5612">
            <v>1.2663573777353121</v>
          </cell>
          <cell r="Q5612">
            <v>16.633263608452303</v>
          </cell>
        </row>
        <row r="5613">
          <cell r="O5613">
            <v>44302</v>
          </cell>
          <cell r="P5613">
            <v>1.2669384819821836</v>
          </cell>
          <cell r="Q5613">
            <v>16.640896256464742</v>
          </cell>
        </row>
        <row r="5614">
          <cell r="O5614">
            <v>44305</v>
          </cell>
          <cell r="P5614">
            <v>1.2675198534281931</v>
          </cell>
          <cell r="Q5614">
            <v>16.648532414065997</v>
          </cell>
        </row>
        <row r="5615">
          <cell r="O5615">
            <v>44306</v>
          </cell>
          <cell r="P5615">
            <v>1.2681014921939</v>
          </cell>
          <cell r="Q5615">
            <v>16.656172082839596</v>
          </cell>
        </row>
        <row r="5616">
          <cell r="O5616">
            <v>44308</v>
          </cell>
          <cell r="P5616">
            <v>1.2686833983999346</v>
          </cell>
          <cell r="Q5616">
            <v>16.663815264369976</v>
          </cell>
        </row>
        <row r="5617">
          <cell r="O5617">
            <v>44309</v>
          </cell>
          <cell r="P5617">
            <v>1.2692655721669919</v>
          </cell>
          <cell r="Q5617">
            <v>16.671461960242436</v>
          </cell>
        </row>
        <row r="5618">
          <cell r="O5618">
            <v>44312</v>
          </cell>
          <cell r="P5618">
            <v>1.2698480136158372</v>
          </cell>
          <cell r="Q5618">
            <v>16.679112172043201</v>
          </cell>
        </row>
        <row r="5619">
          <cell r="O5619">
            <v>44313</v>
          </cell>
          <cell r="P5619">
            <v>1.270430722867302</v>
          </cell>
          <cell r="Q5619">
            <v>16.686765901359351</v>
          </cell>
        </row>
        <row r="5620">
          <cell r="O5620">
            <v>44314</v>
          </cell>
          <cell r="P5620">
            <v>1.2710137000422865</v>
          </cell>
          <cell r="Q5620">
            <v>16.694423149778885</v>
          </cell>
        </row>
        <row r="5621">
          <cell r="O5621">
            <v>44315</v>
          </cell>
          <cell r="P5621">
            <v>1.2715969452617597</v>
          </cell>
          <cell r="Q5621">
            <v>16.702083918890693</v>
          </cell>
        </row>
        <row r="5622">
          <cell r="O5622">
            <v>44316</v>
          </cell>
          <cell r="P5622">
            <v>1.2721804586467567</v>
          </cell>
          <cell r="Q5622">
            <v>16.709748210284545</v>
          </cell>
        </row>
        <row r="5623">
          <cell r="O5623">
            <v>44319</v>
          </cell>
          <cell r="P5623">
            <v>1.2727642403183812</v>
          </cell>
          <cell r="Q5623">
            <v>16.717416025551099</v>
          </cell>
        </row>
        <row r="5624">
          <cell r="O5624">
            <v>44320</v>
          </cell>
          <cell r="P5624">
            <v>1.2733482903978033</v>
          </cell>
          <cell r="Q5624">
            <v>16.725087366281898</v>
          </cell>
        </row>
        <row r="5625">
          <cell r="O5625">
            <v>44321</v>
          </cell>
          <cell r="P5625">
            <v>1.2739326090062622</v>
          </cell>
          <cell r="Q5625">
            <v>16.732762234069376</v>
          </cell>
        </row>
        <row r="5626">
          <cell r="O5626">
            <v>44322</v>
          </cell>
          <cell r="P5626">
            <v>1.2745171962650637</v>
          </cell>
          <cell r="Q5626">
            <v>16.740440630506864</v>
          </cell>
        </row>
        <row r="5627">
          <cell r="O5627">
            <v>44323</v>
          </cell>
          <cell r="P5627">
            <v>1.2751020522955807</v>
          </cell>
          <cell r="Q5627">
            <v>16.748122557188555</v>
          </cell>
        </row>
        <row r="5628">
          <cell r="O5628">
            <v>44326</v>
          </cell>
          <cell r="P5628">
            <v>1.2756871772192544</v>
          </cell>
          <cell r="Q5628">
            <v>16.755808015709551</v>
          </cell>
        </row>
        <row r="5629">
          <cell r="O5629">
            <v>44327</v>
          </cell>
          <cell r="P5629">
            <v>1.276272571157592</v>
          </cell>
          <cell r="Q5629">
            <v>16.763497007665812</v>
          </cell>
        </row>
        <row r="5630">
          <cell r="O5630">
            <v>44328</v>
          </cell>
          <cell r="P5630">
            <v>1.2768582342321699</v>
          </cell>
          <cell r="Q5630">
            <v>16.771189534654216</v>
          </cell>
        </row>
        <row r="5631">
          <cell r="O5631">
            <v>44329</v>
          </cell>
          <cell r="P5631">
            <v>1.2774441665646294</v>
          </cell>
          <cell r="Q5631">
            <v>16.778885598272485</v>
          </cell>
        </row>
        <row r="5632">
          <cell r="O5632">
            <v>44330</v>
          </cell>
          <cell r="P5632">
            <v>1.2780303682766812</v>
          </cell>
          <cell r="Q5632">
            <v>16.786585200119255</v>
          </cell>
        </row>
        <row r="5633">
          <cell r="O5633">
            <v>44333</v>
          </cell>
          <cell r="P5633">
            <v>1.2786168394901003</v>
          </cell>
          <cell r="Q5633">
            <v>16.794288341794012</v>
          </cell>
        </row>
        <row r="5634">
          <cell r="O5634">
            <v>44334</v>
          </cell>
          <cell r="P5634">
            <v>1.2792035803267314</v>
          </cell>
          <cell r="Q5634">
            <v>16.801995024897153</v>
          </cell>
        </row>
        <row r="5635">
          <cell r="O5635">
            <v>44335</v>
          </cell>
          <cell r="P5635">
            <v>1.2797905909084852</v>
          </cell>
          <cell r="Q5635">
            <v>16.809705251029939</v>
          </cell>
        </row>
        <row r="5636">
          <cell r="O5636">
            <v>44336</v>
          </cell>
          <cell r="P5636">
            <v>1.2803778713573397</v>
          </cell>
          <cell r="Q5636">
            <v>16.817419021794521</v>
          </cell>
        </row>
        <row r="5637">
          <cell r="O5637">
            <v>44337</v>
          </cell>
          <cell r="P5637">
            <v>1.2809654217953375</v>
          </cell>
          <cell r="Q5637">
            <v>16.825136338793893</v>
          </cell>
        </row>
        <row r="5638">
          <cell r="O5638">
            <v>44340</v>
          </cell>
          <cell r="P5638">
            <v>1.2815532423445908</v>
          </cell>
          <cell r="Q5638">
            <v>16.832857203631971</v>
          </cell>
        </row>
        <row r="5639">
          <cell r="O5639">
            <v>44341</v>
          </cell>
          <cell r="P5639">
            <v>1.2821413331272784</v>
          </cell>
          <cell r="Q5639">
            <v>16.840581617913536</v>
          </cell>
        </row>
        <row r="5640">
          <cell r="O5640">
            <v>44342</v>
          </cell>
          <cell r="P5640">
            <v>1.2827296942656432</v>
          </cell>
          <cell r="Q5640">
            <v>16.848309583244216</v>
          </cell>
        </row>
        <row r="5641">
          <cell r="O5641">
            <v>44343</v>
          </cell>
          <cell r="P5641">
            <v>1.2833183258819985</v>
          </cell>
          <cell r="Q5641">
            <v>16.856041101230566</v>
          </cell>
        </row>
        <row r="5642">
          <cell r="O5642">
            <v>44344</v>
          </cell>
          <cell r="P5642">
            <v>1.2839072280987207</v>
          </cell>
          <cell r="Q5642">
            <v>16.863776173479966</v>
          </cell>
        </row>
        <row r="5643">
          <cell r="O5643">
            <v>44347</v>
          </cell>
          <cell r="P5643">
            <v>1.2844964010382551</v>
          </cell>
          <cell r="Q5643">
            <v>16.8715148016007</v>
          </cell>
        </row>
        <row r="5644">
          <cell r="O5644">
            <v>44348</v>
          </cell>
          <cell r="P5644">
            <v>1.2850858448231126</v>
          </cell>
          <cell r="Q5644">
            <v>16.879256987201916</v>
          </cell>
        </row>
        <row r="5645">
          <cell r="O5645">
            <v>44349</v>
          </cell>
          <cell r="P5645">
            <v>1.2856755595758711</v>
          </cell>
          <cell r="Q5645">
            <v>16.887002731893645</v>
          </cell>
        </row>
        <row r="5646">
          <cell r="O5646">
            <v>44351</v>
          </cell>
          <cell r="P5646">
            <v>1.286265545419174</v>
          </cell>
          <cell r="Q5646">
            <v>16.894752037286775</v>
          </cell>
        </row>
        <row r="5647">
          <cell r="O5647">
            <v>44354</v>
          </cell>
          <cell r="P5647">
            <v>1.2868558024757317</v>
          </cell>
          <cell r="Q5647">
            <v>16.902504904993069</v>
          </cell>
        </row>
        <row r="5648">
          <cell r="O5648">
            <v>44355</v>
          </cell>
          <cell r="P5648">
            <v>1.2874463308683215</v>
          </cell>
          <cell r="Q5648">
            <v>16.910261336625179</v>
          </cell>
        </row>
        <row r="5649">
          <cell r="O5649">
            <v>44356</v>
          </cell>
          <cell r="P5649">
            <v>1.2880371307197866</v>
          </cell>
          <cell r="Q5649">
            <v>16.918021333796617</v>
          </cell>
        </row>
        <row r="5650">
          <cell r="O5650">
            <v>44357</v>
          </cell>
          <cell r="P5650">
            <v>1.288628202153036</v>
          </cell>
          <cell r="Q5650">
            <v>16.925784898121755</v>
          </cell>
        </row>
        <row r="5651">
          <cell r="O5651">
            <v>44358</v>
          </cell>
          <cell r="P5651">
            <v>1.2892195452910444</v>
          </cell>
          <cell r="Q5651">
            <v>16.933552031215839</v>
          </cell>
        </row>
        <row r="5652">
          <cell r="O5652">
            <v>44361</v>
          </cell>
          <cell r="P5652">
            <v>1.2898111602568547</v>
          </cell>
          <cell r="Q5652">
            <v>16.941322734694999</v>
          </cell>
        </row>
        <row r="5653">
          <cell r="O5653">
            <v>44362</v>
          </cell>
          <cell r="P5653">
            <v>1.2904030471735741</v>
          </cell>
          <cell r="Q5653">
            <v>16.949097010176217</v>
          </cell>
        </row>
        <row r="5654">
          <cell r="O5654">
            <v>44363</v>
          </cell>
          <cell r="P5654">
            <v>1.2909952061643775</v>
          </cell>
          <cell r="Q5654">
            <v>16.956874859277363</v>
          </cell>
        </row>
        <row r="5655">
          <cell r="O5655">
            <v>44364</v>
          </cell>
          <cell r="P5655">
            <v>1.2915876373525037</v>
          </cell>
          <cell r="Q5655">
            <v>16.964656283617146</v>
          </cell>
        </row>
        <row r="5656">
          <cell r="O5656">
            <v>44365</v>
          </cell>
          <cell r="P5656">
            <v>1.2921803408612591</v>
          </cell>
          <cell r="Q5656">
            <v>16.972441284815158</v>
          </cell>
        </row>
        <row r="5657">
          <cell r="O5657">
            <v>44368</v>
          </cell>
          <cell r="P5657">
            <v>1.2927733168140165</v>
          </cell>
          <cell r="Q5657">
            <v>16.980229864491875</v>
          </cell>
        </row>
        <row r="5658">
          <cell r="O5658">
            <v>44369</v>
          </cell>
          <cell r="P5658">
            <v>1.2933665653342132</v>
          </cell>
          <cell r="Q5658">
            <v>16.988022024268606</v>
          </cell>
        </row>
        <row r="5659">
          <cell r="O5659">
            <v>44370</v>
          </cell>
          <cell r="P5659">
            <v>1.2939600865453535</v>
          </cell>
          <cell r="Q5659">
            <v>16.995817765767548</v>
          </cell>
        </row>
        <row r="5660">
          <cell r="O5660">
            <v>44371</v>
          </cell>
          <cell r="P5660">
            <v>1.2945538805710068</v>
          </cell>
          <cell r="Q5660">
            <v>17.003617090611755</v>
          </cell>
        </row>
        <row r="5661">
          <cell r="O5661">
            <v>44372</v>
          </cell>
          <cell r="P5661">
            <v>1.2951479475348087</v>
          </cell>
          <cell r="Q5661">
            <v>17.011420000425144</v>
          </cell>
        </row>
        <row r="5662">
          <cell r="O5662">
            <v>44375</v>
          </cell>
          <cell r="P5662">
            <v>1.2957422875604607</v>
          </cell>
          <cell r="Q5662">
            <v>17.019226496832506</v>
          </cell>
        </row>
        <row r="5663">
          <cell r="O5663">
            <v>44376</v>
          </cell>
          <cell r="P5663">
            <v>1.2963369007717302</v>
          </cell>
          <cell r="Q5663">
            <v>17.027036581459488</v>
          </cell>
        </row>
        <row r="5664">
          <cell r="O5664">
            <v>44377</v>
          </cell>
          <cell r="P5664">
            <v>1.2969317872924497</v>
          </cell>
          <cell r="Q5664">
            <v>17.034850255932593</v>
          </cell>
        </row>
        <row r="5665">
          <cell r="O5665">
            <v>44378</v>
          </cell>
          <cell r="P5665">
            <v>1.2975269472465187</v>
          </cell>
          <cell r="Q5665">
            <v>17.042667521879217</v>
          </cell>
        </row>
        <row r="5666">
          <cell r="O5666">
            <v>44379</v>
          </cell>
          <cell r="P5666">
            <v>1.2981482801614745</v>
          </cell>
          <cell r="Q5666">
            <v>17.05082856262867</v>
          </cell>
        </row>
        <row r="5667">
          <cell r="O5667">
            <v>44382</v>
          </cell>
          <cell r="P5667">
            <v>1.2987699111540192</v>
          </cell>
          <cell r="Q5667">
            <v>17.058993518547091</v>
          </cell>
        </row>
        <row r="5668">
          <cell r="O5668">
            <v>44383</v>
          </cell>
          <cell r="P5668">
            <v>1.2993918403650422</v>
          </cell>
          <cell r="Q5668">
            <v>17.067162391485031</v>
          </cell>
        </row>
        <row r="5669">
          <cell r="O5669">
            <v>44384</v>
          </cell>
          <cell r="P5669">
            <v>1.3000140679355114</v>
          </cell>
          <cell r="Q5669">
            <v>17.075335183294062</v>
          </cell>
        </row>
        <row r="5670">
          <cell r="O5670">
            <v>44385</v>
          </cell>
          <cell r="P5670">
            <v>1.3006365940064735</v>
          </cell>
          <cell r="Q5670">
            <v>17.083511895826796</v>
          </cell>
        </row>
        <row r="5671">
          <cell r="O5671">
            <v>44386</v>
          </cell>
          <cell r="P5671">
            <v>1.3012594187190543</v>
          </cell>
          <cell r="Q5671">
            <v>17.091692530936879</v>
          </cell>
        </row>
        <row r="5672">
          <cell r="O5672">
            <v>44389</v>
          </cell>
          <cell r="P5672">
            <v>1.3018825422144544</v>
          </cell>
          <cell r="Q5672">
            <v>17.099877090478945</v>
          </cell>
        </row>
        <row r="5673">
          <cell r="O5673">
            <v>44390</v>
          </cell>
          <cell r="P5673">
            <v>1.3025059646339563</v>
          </cell>
          <cell r="Q5673">
            <v>17.108065576308704</v>
          </cell>
        </row>
        <row r="5674">
          <cell r="O5674">
            <v>44391</v>
          </cell>
          <cell r="P5674">
            <v>1.3031296861189172</v>
          </cell>
          <cell r="Q5674">
            <v>17.11625799028284</v>
          </cell>
        </row>
        <row r="5675">
          <cell r="O5675">
            <v>44392</v>
          </cell>
          <cell r="P5675">
            <v>1.3037537068107732</v>
          </cell>
          <cell r="Q5675">
            <v>17.124454334259081</v>
          </cell>
        </row>
        <row r="5676">
          <cell r="O5676">
            <v>44393</v>
          </cell>
          <cell r="P5676">
            <v>1.304378026851039</v>
          </cell>
          <cell r="Q5676">
            <v>17.132654610096186</v>
          </cell>
        </row>
        <row r="5677">
          <cell r="O5677">
            <v>44396</v>
          </cell>
          <cell r="P5677">
            <v>1.305002646381306</v>
          </cell>
          <cell r="Q5677">
            <v>17.140858819653914</v>
          </cell>
        </row>
        <row r="5678">
          <cell r="O5678">
            <v>44397</v>
          </cell>
          <cell r="P5678">
            <v>1.3056275655432454</v>
          </cell>
          <cell r="Q5678">
            <v>17.149066964793086</v>
          </cell>
        </row>
        <row r="5679">
          <cell r="O5679">
            <v>44398</v>
          </cell>
          <cell r="P5679">
            <v>1.3062527844786047</v>
          </cell>
          <cell r="Q5679">
            <v>17.157279047375514</v>
          </cell>
        </row>
        <row r="5680">
          <cell r="O5680">
            <v>44399</v>
          </cell>
          <cell r="P5680">
            <v>1.306878303329208</v>
          </cell>
          <cell r="Q5680">
            <v>17.165495069264015</v>
          </cell>
        </row>
        <row r="5681">
          <cell r="O5681">
            <v>44400</v>
          </cell>
          <cell r="P5681">
            <v>1.3075041222369594</v>
          </cell>
          <cell r="Q5681">
            <v>17.17371503232247</v>
          </cell>
        </row>
        <row r="5682">
          <cell r="O5682">
            <v>44403</v>
          </cell>
          <cell r="P5682">
            <v>1.3081302413438392</v>
          </cell>
          <cell r="Q5682">
            <v>17.18193893841574</v>
          </cell>
        </row>
        <row r="5683">
          <cell r="O5683">
            <v>44404</v>
          </cell>
          <cell r="P5683">
            <v>1.3087566607919066</v>
          </cell>
          <cell r="Q5683">
            <v>17.190166789409748</v>
          </cell>
        </row>
        <row r="5684">
          <cell r="O5684">
            <v>44405</v>
          </cell>
          <cell r="P5684">
            <v>1.3093833807232971</v>
          </cell>
          <cell r="Q5684">
            <v>17.198398587171397</v>
          </cell>
        </row>
        <row r="5685">
          <cell r="O5685">
            <v>44406</v>
          </cell>
          <cell r="P5685">
            <v>1.3100104012802232</v>
          </cell>
          <cell r="Q5685">
            <v>17.206634333568612</v>
          </cell>
        </row>
        <row r="5686">
          <cell r="O5686">
            <v>44407</v>
          </cell>
          <cell r="P5686">
            <v>1.3106377226049784</v>
          </cell>
          <cell r="Q5686">
            <v>17.21487403047038</v>
          </cell>
        </row>
        <row r="5687">
          <cell r="O5687">
            <v>44410</v>
          </cell>
          <cell r="P5687">
            <v>1.3112653448399296</v>
          </cell>
          <cell r="Q5687">
            <v>17.223117679746654</v>
          </cell>
        </row>
        <row r="5688">
          <cell r="O5688">
            <v>44411</v>
          </cell>
          <cell r="P5688">
            <v>1.3118932681275239</v>
          </cell>
          <cell r="Q5688">
            <v>17.231365283268431</v>
          </cell>
        </row>
        <row r="5689">
          <cell r="O5689">
            <v>44412</v>
          </cell>
          <cell r="P5689">
            <v>1.3125214926102848</v>
          </cell>
          <cell r="Q5689">
            <v>17.239616842907729</v>
          </cell>
        </row>
        <row r="5690">
          <cell r="O5690">
            <v>44413</v>
          </cell>
          <cell r="P5690">
            <v>1.3131500184308129</v>
          </cell>
          <cell r="Q5690">
            <v>17.24787236053756</v>
          </cell>
        </row>
        <row r="5691">
          <cell r="O5691">
            <v>44414</v>
          </cell>
          <cell r="P5691">
            <v>1.3137788457317878</v>
          </cell>
          <cell r="Q5691">
            <v>17.25613183803199</v>
          </cell>
        </row>
        <row r="5692">
          <cell r="O5692">
            <v>44417</v>
          </cell>
          <cell r="P5692">
            <v>1.3144079746559649</v>
          </cell>
          <cell r="Q5692">
            <v>17.264395277266065</v>
          </cell>
        </row>
        <row r="5693">
          <cell r="O5693">
            <v>44418</v>
          </cell>
          <cell r="P5693">
            <v>1.3150374053461782</v>
          </cell>
          <cell r="Q5693">
            <v>17.272662680115875</v>
          </cell>
        </row>
        <row r="5694">
          <cell r="O5694">
            <v>44419</v>
          </cell>
          <cell r="P5694">
            <v>1.3156671379453375</v>
          </cell>
          <cell r="Q5694">
            <v>17.280934048458505</v>
          </cell>
        </row>
        <row r="5695">
          <cell r="O5695">
            <v>44420</v>
          </cell>
          <cell r="P5695">
            <v>1.3162971725964305</v>
          </cell>
          <cell r="Q5695">
            <v>17.289209384172054</v>
          </cell>
        </row>
        <row r="5696">
          <cell r="O5696">
            <v>44421</v>
          </cell>
          <cell r="P5696">
            <v>1.3169275094425239</v>
          </cell>
          <cell r="Q5696">
            <v>17.297488689135665</v>
          </cell>
        </row>
        <row r="5697">
          <cell r="O5697">
            <v>44424</v>
          </cell>
          <cell r="P5697">
            <v>1.3175581486267596</v>
          </cell>
          <cell r="Q5697">
            <v>17.305771965229471</v>
          </cell>
        </row>
        <row r="5698">
          <cell r="O5698">
            <v>44425</v>
          </cell>
          <cell r="P5698">
            <v>1.3181890902923574</v>
          </cell>
          <cell r="Q5698">
            <v>17.314059214334627</v>
          </cell>
        </row>
        <row r="5699">
          <cell r="O5699">
            <v>44426</v>
          </cell>
          <cell r="P5699">
            <v>1.3188203345826148</v>
          </cell>
          <cell r="Q5699">
            <v>17.322350438333306</v>
          </cell>
        </row>
        <row r="5700">
          <cell r="O5700">
            <v>44427</v>
          </cell>
          <cell r="P5700">
            <v>1.3194518816409055</v>
          </cell>
          <cell r="Q5700">
            <v>17.330645639108681</v>
          </cell>
        </row>
        <row r="5701">
          <cell r="O5701">
            <v>44428</v>
          </cell>
          <cell r="P5701">
            <v>1.320083731610681</v>
          </cell>
          <cell r="Q5701">
            <v>17.338944818544952</v>
          </cell>
        </row>
        <row r="5702">
          <cell r="O5702">
            <v>44431</v>
          </cell>
          <cell r="P5702">
            <v>1.3207158846354707</v>
          </cell>
          <cell r="Q5702">
            <v>17.347247978527335</v>
          </cell>
        </row>
        <row r="5703">
          <cell r="O5703">
            <v>44432</v>
          </cell>
          <cell r="P5703">
            <v>1.32134834085888</v>
          </cell>
          <cell r="Q5703">
            <v>17.35555512094205</v>
          </cell>
        </row>
        <row r="5704">
          <cell r="O5704">
            <v>44433</v>
          </cell>
          <cell r="P5704">
            <v>1.321981100424592</v>
          </cell>
          <cell r="Q5704">
            <v>17.363866247676338</v>
          </cell>
        </row>
        <row r="5705">
          <cell r="O5705">
            <v>44434</v>
          </cell>
          <cell r="P5705">
            <v>1.3226141634763657</v>
          </cell>
          <cell r="Q5705">
            <v>17.372181360618431</v>
          </cell>
        </row>
        <row r="5706">
          <cell r="O5706">
            <v>44435</v>
          </cell>
          <cell r="P5706">
            <v>1.3232475301580409</v>
          </cell>
          <cell r="Q5706">
            <v>17.380500461657629</v>
          </cell>
        </row>
        <row r="5707">
          <cell r="O5707">
            <v>44438</v>
          </cell>
          <cell r="P5707">
            <v>1.3238812006135288</v>
          </cell>
          <cell r="Q5707">
            <v>17.388823552684165</v>
          </cell>
        </row>
        <row r="5708">
          <cell r="O5708">
            <v>44439</v>
          </cell>
          <cell r="P5708">
            <v>1.3245151749868223</v>
          </cell>
          <cell r="Q5708">
            <v>17.397150635589348</v>
          </cell>
        </row>
        <row r="5709">
          <cell r="O5709">
            <v>44440</v>
          </cell>
          <cell r="P5709">
            <v>1.3251494534219901</v>
          </cell>
          <cell r="Q5709">
            <v>17.405481712265484</v>
          </cell>
        </row>
        <row r="5710">
          <cell r="O5710">
            <v>44441</v>
          </cell>
          <cell r="P5710">
            <v>1.3257840360631759</v>
          </cell>
          <cell r="Q5710">
            <v>17.41381678460586</v>
          </cell>
        </row>
        <row r="5711">
          <cell r="O5711">
            <v>44442</v>
          </cell>
          <cell r="P5711">
            <v>1.326418923054604</v>
          </cell>
          <cell r="Q5711">
            <v>17.422155854504823</v>
          </cell>
        </row>
        <row r="5712">
          <cell r="O5712">
            <v>44445</v>
          </cell>
          <cell r="P5712">
            <v>1.3270541145405723</v>
          </cell>
          <cell r="Q5712">
            <v>17.430498923857687</v>
          </cell>
        </row>
        <row r="5713">
          <cell r="O5713">
            <v>44447</v>
          </cell>
          <cell r="P5713">
            <v>1.3276896106654581</v>
          </cell>
          <cell r="Q5713">
            <v>17.438845994560808</v>
          </cell>
        </row>
        <row r="5714">
          <cell r="O5714">
            <v>44448</v>
          </cell>
          <cell r="P5714">
            <v>1.3283254115737135</v>
          </cell>
          <cell r="Q5714">
            <v>17.447197068511525</v>
          </cell>
        </row>
        <row r="5715">
          <cell r="O5715">
            <v>44449</v>
          </cell>
          <cell r="P5715">
            <v>1.3289615174098692</v>
          </cell>
          <cell r="Q5715">
            <v>17.455552147608213</v>
          </cell>
        </row>
        <row r="5716">
          <cell r="O5716">
            <v>44452</v>
          </cell>
          <cell r="P5716">
            <v>1.3295979283185335</v>
          </cell>
          <cell r="Q5716">
            <v>17.46391123375026</v>
          </cell>
        </row>
        <row r="5717">
          <cell r="O5717">
            <v>44453</v>
          </cell>
          <cell r="P5717">
            <v>1.3302346444443884</v>
          </cell>
          <cell r="Q5717">
            <v>17.472274328838029</v>
          </cell>
        </row>
        <row r="5718">
          <cell r="O5718">
            <v>44454</v>
          </cell>
          <cell r="P5718">
            <v>1.3308716659321969</v>
          </cell>
          <cell r="Q5718">
            <v>17.480641434772938</v>
          </cell>
        </row>
        <row r="5719">
          <cell r="O5719">
            <v>44455</v>
          </cell>
          <cell r="P5719">
            <v>1.3315089929267956</v>
          </cell>
          <cell r="Q5719">
            <v>17.489012553457382</v>
          </cell>
        </row>
        <row r="5720">
          <cell r="O5720">
            <v>44456</v>
          </cell>
          <cell r="P5720">
            <v>1.3321466255730992</v>
          </cell>
          <cell r="Q5720">
            <v>17.497387686794774</v>
          </cell>
        </row>
        <row r="5721">
          <cell r="O5721">
            <v>44459</v>
          </cell>
          <cell r="P5721">
            <v>1.3327845640160996</v>
          </cell>
          <cell r="Q5721">
            <v>17.505766836689546</v>
          </cell>
        </row>
        <row r="5722">
          <cell r="O5722">
            <v>44460</v>
          </cell>
          <cell r="P5722">
            <v>1.333422808400865</v>
          </cell>
          <cell r="Q5722">
            <v>17.514150005047124</v>
          </cell>
        </row>
        <row r="5723">
          <cell r="O5723">
            <v>44461</v>
          </cell>
          <cell r="P5723">
            <v>1.3340613588725407</v>
          </cell>
          <cell r="Q5723">
            <v>17.522537193773957</v>
          </cell>
        </row>
        <row r="5724">
          <cell r="O5724">
            <v>44462</v>
          </cell>
          <cell r="P5724">
            <v>1.334700215576349</v>
          </cell>
          <cell r="Q5724">
            <v>17.530928404777498</v>
          </cell>
        </row>
        <row r="5725">
          <cell r="O5725">
            <v>44463</v>
          </cell>
          <cell r="P5725">
            <v>1.3353393786575889</v>
          </cell>
          <cell r="Q5725">
            <v>17.539323639966216</v>
          </cell>
        </row>
        <row r="5726">
          <cell r="O5726">
            <v>44466</v>
          </cell>
          <cell r="P5726">
            <v>1.3359788482616357</v>
          </cell>
          <cell r="Q5726">
            <v>17.547722901249571</v>
          </cell>
        </row>
        <row r="5727">
          <cell r="O5727">
            <v>44467</v>
          </cell>
          <cell r="P5727">
            <v>1.3366186245339418</v>
          </cell>
          <cell r="Q5727">
            <v>17.556126190538041</v>
          </cell>
        </row>
        <row r="5728">
          <cell r="O5728">
            <v>44468</v>
          </cell>
          <cell r="P5728">
            <v>1.3372587076200366</v>
          </cell>
          <cell r="Q5728">
            <v>17.564533509743121</v>
          </cell>
        </row>
        <row r="5729">
          <cell r="O5729">
            <v>44469</v>
          </cell>
          <cell r="P5729">
            <v>1.3378990976655261</v>
          </cell>
          <cell r="Q5729">
            <v>17.572944860777302</v>
          </cell>
        </row>
        <row r="5730">
          <cell r="O5730">
            <v>44470</v>
          </cell>
          <cell r="P5730">
            <v>1.3385397948160933</v>
          </cell>
          <cell r="Q5730">
            <v>17.581360245554091</v>
          </cell>
        </row>
        <row r="5731">
          <cell r="O5731">
            <v>44473</v>
          </cell>
          <cell r="P5731">
            <v>1.3391767111154957</v>
          </cell>
          <cell r="Q5731">
            <v>17.589725969867573</v>
          </cell>
        </row>
        <row r="5732">
          <cell r="O5732">
            <v>44474</v>
          </cell>
          <cell r="P5732">
            <v>1.339813930894256</v>
          </cell>
          <cell r="Q5732">
            <v>17.598095680300812</v>
          </cell>
        </row>
        <row r="5733">
          <cell r="O5733">
            <v>44475</v>
          </cell>
          <cell r="P5733">
            <v>1.3404514542955255</v>
          </cell>
          <cell r="Q5733">
            <v>17.606469378734058</v>
          </cell>
        </row>
        <row r="5734">
          <cell r="O5734">
            <v>44476</v>
          </cell>
          <cell r="P5734">
            <v>1.3410892814625301</v>
          </cell>
          <cell r="Q5734">
            <v>17.614847067048547</v>
          </cell>
        </row>
        <row r="5735">
          <cell r="O5735">
            <v>44477</v>
          </cell>
          <cell r="P5735">
            <v>1.3417274125385692</v>
          </cell>
          <cell r="Q5735">
            <v>17.623228747126479</v>
          </cell>
        </row>
        <row r="5736">
          <cell r="O5736">
            <v>44480</v>
          </cell>
          <cell r="P5736">
            <v>1.3423658476670179</v>
          </cell>
          <cell r="Q5736">
            <v>17.631614420851044</v>
          </cell>
        </row>
        <row r="5737">
          <cell r="O5737">
            <v>44482</v>
          </cell>
          <cell r="P5737">
            <v>1.343004586991327</v>
          </cell>
          <cell r="Q5737">
            <v>17.640004090106427</v>
          </cell>
        </row>
        <row r="5738">
          <cell r="O5738">
            <v>44483</v>
          </cell>
          <cell r="P5738">
            <v>1.3436436306550206</v>
          </cell>
          <cell r="Q5738">
            <v>17.648397756777786</v>
          </cell>
        </row>
        <row r="5739">
          <cell r="O5739">
            <v>44484</v>
          </cell>
          <cell r="P5739">
            <v>1.3442829788016979</v>
          </cell>
          <cell r="Q5739">
            <v>17.656795422751255</v>
          </cell>
        </row>
        <row r="5740">
          <cell r="O5740">
            <v>44487</v>
          </cell>
          <cell r="P5740">
            <v>1.3449226315750324</v>
          </cell>
          <cell r="Q5740">
            <v>17.665197089913949</v>
          </cell>
        </row>
        <row r="5741">
          <cell r="O5741">
            <v>44488</v>
          </cell>
          <cell r="P5741">
            <v>1.3455625891187737</v>
          </cell>
          <cell r="Q5741">
            <v>17.673602760153972</v>
          </cell>
        </row>
        <row r="5742">
          <cell r="O5742">
            <v>44489</v>
          </cell>
          <cell r="P5742">
            <v>1.3462028515767444</v>
          </cell>
          <cell r="Q5742">
            <v>17.682012435360406</v>
          </cell>
        </row>
        <row r="5743">
          <cell r="O5743">
            <v>44490</v>
          </cell>
          <cell r="P5743">
            <v>1.3468434190928429</v>
          </cell>
          <cell r="Q5743">
            <v>17.690426117423311</v>
          </cell>
        </row>
        <row r="5744">
          <cell r="O5744">
            <v>44491</v>
          </cell>
          <cell r="P5744">
            <v>1.3474842918110412</v>
          </cell>
          <cell r="Q5744">
            <v>17.698843808233718</v>
          </cell>
        </row>
        <row r="5745">
          <cell r="O5745">
            <v>44494</v>
          </cell>
          <cell r="P5745">
            <v>1.3481254698753882</v>
          </cell>
          <cell r="Q5745">
            <v>17.70726550968368</v>
          </cell>
        </row>
        <row r="5746">
          <cell r="O5746">
            <v>44495</v>
          </cell>
          <cell r="P5746">
            <v>1.3487669534300053</v>
          </cell>
          <cell r="Q5746">
            <v>17.715691223666184</v>
          </cell>
        </row>
        <row r="5747">
          <cell r="O5747">
            <v>44496</v>
          </cell>
          <cell r="P5747">
            <v>1.3494087426190888</v>
          </cell>
          <cell r="Q5747">
            <v>17.724120952075214</v>
          </cell>
        </row>
        <row r="5748">
          <cell r="O5748">
            <v>44497</v>
          </cell>
          <cell r="P5748">
            <v>1.3500508375869111</v>
          </cell>
          <cell r="Q5748">
            <v>17.732554696805749</v>
          </cell>
        </row>
        <row r="5749">
          <cell r="O5749">
            <v>44498</v>
          </cell>
          <cell r="P5749">
            <v>1.3506932384778183</v>
          </cell>
          <cell r="Q5749">
            <v>17.740992459753738</v>
          </cell>
        </row>
        <row r="5750">
          <cell r="O5750">
            <v>44501</v>
          </cell>
          <cell r="P5750">
            <v>1.3513359454362304</v>
          </cell>
          <cell r="Q5750">
            <v>17.74943424281609</v>
          </cell>
        </row>
        <row r="5751">
          <cell r="O5751">
            <v>44503</v>
          </cell>
          <cell r="P5751">
            <v>1.3519789586066437</v>
          </cell>
          <cell r="Q5751">
            <v>17.757880047890737</v>
          </cell>
        </row>
        <row r="5752">
          <cell r="O5752">
            <v>44504</v>
          </cell>
          <cell r="P5752">
            <v>1.3526222781336286</v>
          </cell>
          <cell r="Q5752">
            <v>17.766329876876565</v>
          </cell>
        </row>
        <row r="5753">
          <cell r="O5753">
            <v>44505</v>
          </cell>
          <cell r="P5753">
            <v>1.3532659041618285</v>
          </cell>
          <cell r="Q5753">
            <v>17.774783731673427</v>
          </cell>
        </row>
        <row r="5754">
          <cell r="O5754">
            <v>44508</v>
          </cell>
          <cell r="P5754">
            <v>1.353909836835965</v>
          </cell>
          <cell r="Q5754">
            <v>17.783241614182202</v>
          </cell>
        </row>
        <row r="5755">
          <cell r="O5755">
            <v>44509</v>
          </cell>
          <cell r="P5755">
            <v>1.3545540763008304</v>
          </cell>
          <cell r="Q5755">
            <v>17.791703526304701</v>
          </cell>
        </row>
        <row r="5756">
          <cell r="O5756">
            <v>44510</v>
          </cell>
          <cell r="P5756">
            <v>1.3551986227012951</v>
          </cell>
          <cell r="Q5756">
            <v>17.800169469943757</v>
          </cell>
        </row>
        <row r="5757">
          <cell r="O5757">
            <v>44511</v>
          </cell>
          <cell r="P5757">
            <v>1.3558434761823006</v>
          </cell>
          <cell r="Q5757">
            <v>17.808639447003138</v>
          </cell>
        </row>
        <row r="5758">
          <cell r="O5758">
            <v>44512</v>
          </cell>
          <cell r="P5758">
            <v>1.3564886368888676</v>
          </cell>
          <cell r="Q5758">
            <v>17.817113459387645</v>
          </cell>
        </row>
        <row r="5759">
          <cell r="O5759">
            <v>44516</v>
          </cell>
          <cell r="P5759">
            <v>1.3571341049660868</v>
          </cell>
          <cell r="Q5759">
            <v>17.825591509003015</v>
          </cell>
        </row>
        <row r="5760">
          <cell r="O5760">
            <v>44517</v>
          </cell>
          <cell r="P5760">
            <v>1.3577798805591275</v>
          </cell>
          <cell r="Q5760">
            <v>17.834073597755999</v>
          </cell>
        </row>
        <row r="5761">
          <cell r="O5761">
            <v>44518</v>
          </cell>
          <cell r="P5761">
            <v>1.3584259638132303</v>
          </cell>
          <cell r="Q5761">
            <v>17.842559727554303</v>
          </cell>
        </row>
        <row r="5762">
          <cell r="O5762">
            <v>44519</v>
          </cell>
          <cell r="P5762">
            <v>1.3590723548737127</v>
          </cell>
          <cell r="Q5762">
            <v>17.851049900306624</v>
          </cell>
        </row>
        <row r="5763">
          <cell r="O5763">
            <v>44522</v>
          </cell>
          <cell r="P5763">
            <v>1.3597190538859665</v>
          </cell>
          <cell r="Q5763">
            <v>17.859544117922649</v>
          </cell>
        </row>
        <row r="5764">
          <cell r="O5764">
            <v>44523</v>
          </cell>
          <cell r="P5764">
            <v>1.3603660609954569</v>
          </cell>
          <cell r="Q5764">
            <v>17.868042382313025</v>
          </cell>
        </row>
        <row r="5765">
          <cell r="O5765">
            <v>44524</v>
          </cell>
          <cell r="P5765">
            <v>1.3610133763477259</v>
          </cell>
          <cell r="Q5765">
            <v>17.876544695389406</v>
          </cell>
        </row>
        <row r="5766">
          <cell r="O5766">
            <v>44525</v>
          </cell>
          <cell r="P5766">
            <v>1.3616610000883886</v>
          </cell>
          <cell r="Q5766">
            <v>17.885051059064406</v>
          </cell>
        </row>
        <row r="5767">
          <cell r="O5767">
            <v>44526</v>
          </cell>
          <cell r="P5767">
            <v>1.3623089323631339</v>
          </cell>
          <cell r="Q5767">
            <v>17.893561475251605</v>
          </cell>
        </row>
        <row r="5768">
          <cell r="O5768">
            <v>44529</v>
          </cell>
          <cell r="P5768">
            <v>1.3629571733177281</v>
          </cell>
          <cell r="Q5768">
            <v>17.902075945865615</v>
          </cell>
        </row>
        <row r="5769">
          <cell r="O5769">
            <v>44530</v>
          </cell>
          <cell r="P5769">
            <v>1.3636057230980105</v>
          </cell>
          <cell r="Q5769">
            <v>17.910594472821991</v>
          </cell>
        </row>
        <row r="5770">
          <cell r="O5770">
            <v>44531</v>
          </cell>
          <cell r="P5770">
            <v>1.364254581849895</v>
          </cell>
          <cell r="Q5770">
            <v>17.919117058037269</v>
          </cell>
        </row>
        <row r="5771">
          <cell r="O5771">
            <v>44532</v>
          </cell>
          <cell r="P5771">
            <v>1.364903749719371</v>
          </cell>
          <cell r="Q5771">
            <v>17.927643703428984</v>
          </cell>
        </row>
        <row r="5772">
          <cell r="O5772">
            <v>44533</v>
          </cell>
          <cell r="P5772">
            <v>1.3655532268525012</v>
          </cell>
          <cell r="Q5772">
            <v>17.93617441091563</v>
          </cell>
        </row>
        <row r="5773">
          <cell r="O5773">
            <v>44536</v>
          </cell>
          <cell r="P5773">
            <v>1.3662030133954239</v>
          </cell>
          <cell r="Q5773">
            <v>17.944709182416695</v>
          </cell>
        </row>
        <row r="5774">
          <cell r="O5774">
            <v>44537</v>
          </cell>
          <cell r="P5774">
            <v>1.3668531094943532</v>
          </cell>
          <cell r="Q5774">
            <v>17.953248019852662</v>
          </cell>
        </row>
        <row r="5775">
          <cell r="O5775">
            <v>44538</v>
          </cell>
          <cell r="P5775">
            <v>1.367503515295575</v>
          </cell>
          <cell r="Q5775">
            <v>17.961790925144953</v>
          </cell>
        </row>
        <row r="5776">
          <cell r="O5776">
            <v>44539</v>
          </cell>
          <cell r="P5776">
            <v>1.3681542309454531</v>
          </cell>
          <cell r="Q5776">
            <v>17.97033790021602</v>
          </cell>
        </row>
        <row r="5777">
          <cell r="O5777">
            <v>44540</v>
          </cell>
          <cell r="P5777">
            <v>1.3688052565904241</v>
          </cell>
          <cell r="Q5777">
            <v>17.978888946989272</v>
          </cell>
        </row>
        <row r="5778">
          <cell r="O5778">
            <v>44543</v>
          </cell>
          <cell r="P5778">
            <v>1.3694565923769995</v>
          </cell>
          <cell r="Q5778">
            <v>17.987444067389092</v>
          </cell>
        </row>
        <row r="5779">
          <cell r="O5779">
            <v>44544</v>
          </cell>
          <cell r="P5779">
            <v>1.3701082384517651</v>
          </cell>
          <cell r="Q5779">
            <v>17.99600326334085</v>
          </cell>
        </row>
        <row r="5780">
          <cell r="O5780">
            <v>44545</v>
          </cell>
          <cell r="P5780">
            <v>1.3707601949613832</v>
          </cell>
          <cell r="Q5780">
            <v>18.004566536770913</v>
          </cell>
        </row>
        <row r="5781">
          <cell r="O5781">
            <v>44546</v>
          </cell>
          <cell r="P5781">
            <v>1.3714124620525898</v>
          </cell>
          <cell r="Q5781">
            <v>18.013133889606618</v>
          </cell>
        </row>
        <row r="5782">
          <cell r="O5782">
            <v>44547</v>
          </cell>
          <cell r="P5782">
            <v>1.3720650398721945</v>
          </cell>
          <cell r="Q5782">
            <v>18.021705323776271</v>
          </cell>
        </row>
        <row r="5783">
          <cell r="O5783">
            <v>44550</v>
          </cell>
          <cell r="P5783">
            <v>1.3727179285670834</v>
          </cell>
          <cell r="Q5783">
            <v>18.030280841209184</v>
          </cell>
        </row>
        <row r="5784">
          <cell r="O5784">
            <v>44551</v>
          </cell>
          <cell r="P5784">
            <v>1.3733711282842169</v>
          </cell>
          <cell r="Q5784">
            <v>18.038860443835638</v>
          </cell>
        </row>
        <row r="5785">
          <cell r="O5785">
            <v>44552</v>
          </cell>
          <cell r="P5785">
            <v>1.3740246391706292</v>
          </cell>
          <cell r="Q5785">
            <v>18.04744413358689</v>
          </cell>
        </row>
        <row r="5786">
          <cell r="O5786">
            <v>44553</v>
          </cell>
          <cell r="P5786">
            <v>1.3746784613734295</v>
          </cell>
          <cell r="Q5786">
            <v>18.056031912395181</v>
          </cell>
        </row>
        <row r="5787">
          <cell r="O5787">
            <v>44554</v>
          </cell>
          <cell r="P5787">
            <v>1.3753325950398032</v>
          </cell>
          <cell r="Q5787">
            <v>18.064623782193749</v>
          </cell>
        </row>
        <row r="5788">
          <cell r="O5788">
            <v>44557</v>
          </cell>
          <cell r="P5788">
            <v>1.3759870403170085</v>
          </cell>
          <cell r="Q5788">
            <v>18.073219744916788</v>
          </cell>
        </row>
        <row r="5789">
          <cell r="O5789">
            <v>44558</v>
          </cell>
          <cell r="P5789">
            <v>1.3766417973523806</v>
          </cell>
          <cell r="Q5789">
            <v>18.081819802499513</v>
          </cell>
        </row>
        <row r="5790">
          <cell r="O5790">
            <v>44559</v>
          </cell>
          <cell r="P5790">
            <v>1.3772968662933265</v>
          </cell>
          <cell r="Q5790">
            <v>18.090423956878073</v>
          </cell>
        </row>
        <row r="5791">
          <cell r="O5791">
            <v>44560</v>
          </cell>
          <cell r="P5791">
            <v>1.3779522472873309</v>
          </cell>
          <cell r="Q5791">
            <v>18.099032209989641</v>
          </cell>
        </row>
        <row r="5792">
          <cell r="O5792">
            <v>44561</v>
          </cell>
          <cell r="P5792">
            <v>1.3786079404819513</v>
          </cell>
          <cell r="Q5792">
            <v>18.107644563772343</v>
          </cell>
        </row>
        <row r="5793">
          <cell r="O5793">
            <v>44564</v>
          </cell>
          <cell r="P5793">
            <v>1.3792639460248215</v>
          </cell>
          <cell r="Q5793">
            <v>18.116261020165307</v>
          </cell>
        </row>
        <row r="5794">
          <cell r="O5794">
            <v>44565</v>
          </cell>
          <cell r="P5794">
            <v>1.3799338296947496</v>
          </cell>
          <cell r="Q5794">
            <v>18.125059762025078</v>
          </cell>
        </row>
        <row r="5795">
          <cell r="O5795">
            <v>44566</v>
          </cell>
          <cell r="P5795">
            <v>1.3806040390927332</v>
          </cell>
          <cell r="Q5795">
            <v>18.133862782235266</v>
          </cell>
        </row>
        <row r="5796">
          <cell r="O5796">
            <v>44567</v>
          </cell>
          <cell r="P5796">
            <v>1.3812745743759582</v>
          </cell>
          <cell r="Q5796">
            <v>18.142670082860462</v>
          </cell>
        </row>
        <row r="5797">
          <cell r="O5797">
            <v>44568</v>
          </cell>
          <cell r="P5797">
            <v>1.38194543570169</v>
          </cell>
          <cell r="Q5797">
            <v>18.151481665966305</v>
          </cell>
        </row>
        <row r="5798">
          <cell r="O5798">
            <v>44571</v>
          </cell>
          <cell r="P5798">
            <v>1.3826166232272774</v>
          </cell>
          <cell r="Q5798">
            <v>18.160297533619531</v>
          </cell>
        </row>
        <row r="5799">
          <cell r="O5799">
            <v>44572</v>
          </cell>
          <cell r="P5799">
            <v>1.3832881371101478</v>
          </cell>
          <cell r="Q5799">
            <v>18.169117687887905</v>
          </cell>
        </row>
        <row r="5800">
          <cell r="O5800">
            <v>44573</v>
          </cell>
          <cell r="P5800">
            <v>1.3839599775078126</v>
          </cell>
          <cell r="Q5800">
            <v>18.177942130840297</v>
          </cell>
        </row>
        <row r="5801">
          <cell r="O5801">
            <v>44574</v>
          </cell>
          <cell r="P5801">
            <v>1.3846321445778635</v>
          </cell>
          <cell r="Q5801">
            <v>18.186770864546631</v>
          </cell>
        </row>
        <row r="5802">
          <cell r="O5802">
            <v>44575</v>
          </cell>
          <cell r="P5802">
            <v>1.3853046384779719</v>
          </cell>
          <cell r="Q5802">
            <v>18.19560389107788</v>
          </cell>
        </row>
        <row r="5803">
          <cell r="O5803">
            <v>44578</v>
          </cell>
          <cell r="P5803">
            <v>1.3859774593658936</v>
          </cell>
          <cell r="Q5803">
            <v>18.204441212506122</v>
          </cell>
        </row>
        <row r="5804">
          <cell r="O5804">
            <v>44579</v>
          </cell>
          <cell r="P5804">
            <v>1.386650607399464</v>
          </cell>
          <cell r="Q5804">
            <v>18.213282830904486</v>
          </cell>
        </row>
        <row r="5805">
          <cell r="O5805">
            <v>44580</v>
          </cell>
          <cell r="P5805">
            <v>1.3873240827366007</v>
          </cell>
          <cell r="Q5805">
            <v>18.222128748347178</v>
          </cell>
        </row>
        <row r="5806">
          <cell r="O5806">
            <v>44581</v>
          </cell>
          <cell r="P5806">
            <v>1.3879978855353021</v>
          </cell>
          <cell r="Q5806">
            <v>18.230978966909458</v>
          </cell>
        </row>
        <row r="5807">
          <cell r="O5807">
            <v>44582</v>
          </cell>
          <cell r="P5807">
            <v>1.3886720159536479</v>
          </cell>
          <cell r="Q5807">
            <v>18.23983348866766</v>
          </cell>
        </row>
        <row r="5808">
          <cell r="O5808">
            <v>44585</v>
          </cell>
          <cell r="P5808">
            <v>1.3893464741498005</v>
          </cell>
          <cell r="Q5808">
            <v>18.248692315699216</v>
          </cell>
        </row>
        <row r="5809">
          <cell r="O5809">
            <v>44586</v>
          </cell>
          <cell r="P5809">
            <v>1.3900212602820015</v>
          </cell>
          <cell r="Q5809">
            <v>18.257555450082574</v>
          </cell>
        </row>
        <row r="5810">
          <cell r="O5810">
            <v>44587</v>
          </cell>
          <cell r="P5810">
            <v>1.3906963745085772</v>
          </cell>
          <cell r="Q5810">
            <v>18.266422893897314</v>
          </cell>
        </row>
        <row r="5811">
          <cell r="O5811">
            <v>44588</v>
          </cell>
          <cell r="P5811">
            <v>1.3913718169879323</v>
          </cell>
          <cell r="Q5811">
            <v>18.27529464922404</v>
          </cell>
        </row>
        <row r="5812">
          <cell r="O5812">
            <v>44589</v>
          </cell>
          <cell r="P5812">
            <v>1.3920475878785554</v>
          </cell>
          <cell r="Q5812">
            <v>18.284170718144452</v>
          </cell>
        </row>
        <row r="5813">
          <cell r="O5813">
            <v>44592</v>
          </cell>
          <cell r="P5813">
            <v>1.3927236873390141</v>
          </cell>
          <cell r="Q5813">
            <v>18.293051102741298</v>
          </cell>
        </row>
        <row r="5814">
          <cell r="O5814">
            <v>44593</v>
          </cell>
          <cell r="P5814">
            <v>1.3934001155279598</v>
          </cell>
          <cell r="Q5814">
            <v>18.30193580509842</v>
          </cell>
        </row>
        <row r="5815">
          <cell r="O5815">
            <v>44594</v>
          </cell>
          <cell r="P5815">
            <v>1.3940768726041246</v>
          </cell>
          <cell r="Q5815">
            <v>18.310824827300717</v>
          </cell>
        </row>
        <row r="5816">
          <cell r="O5816">
            <v>44595</v>
          </cell>
          <cell r="P5816">
            <v>1.3947539587263218</v>
          </cell>
          <cell r="Q5816">
            <v>18.319718171434165</v>
          </cell>
        </row>
        <row r="5817">
          <cell r="O5817">
            <v>44596</v>
          </cell>
          <cell r="P5817">
            <v>1.3954313740534463</v>
          </cell>
          <cell r="Q5817">
            <v>18.328615839585805</v>
          </cell>
        </row>
        <row r="5818">
          <cell r="O5818">
            <v>44599</v>
          </cell>
          <cell r="P5818">
            <v>1.3961091187444752</v>
          </cell>
          <cell r="Q5818">
            <v>18.337517833843755</v>
          </cell>
        </row>
        <row r="5819">
          <cell r="O5819">
            <v>44600</v>
          </cell>
          <cell r="P5819">
            <v>1.3967871929584672</v>
          </cell>
          <cell r="Q5819">
            <v>18.346424156297211</v>
          </cell>
        </row>
        <row r="5820">
          <cell r="O5820">
            <v>44601</v>
          </cell>
          <cell r="P5820">
            <v>1.3974655968545628</v>
          </cell>
          <cell r="Q5820">
            <v>18.355334809036439</v>
          </cell>
        </row>
        <row r="5821">
          <cell r="O5821">
            <v>44602</v>
          </cell>
          <cell r="P5821">
            <v>1.3981443305919821</v>
          </cell>
          <cell r="Q5821">
            <v>18.364249794152752</v>
          </cell>
        </row>
        <row r="5822">
          <cell r="O5822">
            <v>44603</v>
          </cell>
          <cell r="P5822">
            <v>1.398823394330029</v>
          </cell>
          <cell r="Q5822">
            <v>18.373169113738566</v>
          </cell>
        </row>
        <row r="5823">
          <cell r="O5823">
            <v>44606</v>
          </cell>
          <cell r="P5823">
            <v>1.399502788228089</v>
          </cell>
          <cell r="Q5823">
            <v>18.382092769887368</v>
          </cell>
        </row>
        <row r="5824">
          <cell r="O5824">
            <v>44607</v>
          </cell>
          <cell r="P5824">
            <v>1.4001825124456284</v>
          </cell>
          <cell r="Q5824">
            <v>18.3910207646937</v>
          </cell>
        </row>
        <row r="5825">
          <cell r="O5825">
            <v>44608</v>
          </cell>
          <cell r="P5825">
            <v>1.4008625671421941</v>
          </cell>
          <cell r="Q5825">
            <v>18.399953100253171</v>
          </cell>
        </row>
        <row r="5826">
          <cell r="O5826">
            <v>44609</v>
          </cell>
          <cell r="P5826">
            <v>1.4015429524774188</v>
          </cell>
          <cell r="Q5826">
            <v>18.408889778662513</v>
          </cell>
        </row>
        <row r="5827">
          <cell r="O5827">
            <v>44610</v>
          </cell>
          <cell r="P5827">
            <v>1.4022236686110117</v>
          </cell>
          <cell r="Q5827">
            <v>18.417830802019463</v>
          </cell>
        </row>
        <row r="5828">
          <cell r="O5828">
            <v>44613</v>
          </cell>
          <cell r="P5828">
            <v>1.4029047157027668</v>
          </cell>
          <cell r="Q5828">
            <v>18.426776172422869</v>
          </cell>
        </row>
        <row r="5829">
          <cell r="O5829">
            <v>44614</v>
          </cell>
          <cell r="P5829">
            <v>1.4035860939125593</v>
          </cell>
          <cell r="Q5829">
            <v>18.435725891972655</v>
          </cell>
        </row>
        <row r="5830">
          <cell r="O5830">
            <v>44615</v>
          </cell>
          <cell r="P5830">
            <v>1.4042678034003466</v>
          </cell>
          <cell r="Q5830">
            <v>18.444679962769818</v>
          </cell>
        </row>
        <row r="5831">
          <cell r="O5831">
            <v>44616</v>
          </cell>
          <cell r="P5831">
            <v>1.4049498443261679</v>
          </cell>
          <cell r="Q5831">
            <v>18.453638386916424</v>
          </cell>
        </row>
        <row r="5832">
          <cell r="O5832">
            <v>44617</v>
          </cell>
          <cell r="P5832">
            <v>1.4056322168501416</v>
          </cell>
          <cell r="Q5832">
            <v>18.462601166515594</v>
          </cell>
        </row>
        <row r="5833">
          <cell r="O5833">
            <v>44622</v>
          </cell>
          <cell r="P5833">
            <v>1.4063149211324724</v>
          </cell>
          <cell r="Q5833">
            <v>18.47156830367156</v>
          </cell>
        </row>
        <row r="5834">
          <cell r="O5834">
            <v>44623</v>
          </cell>
          <cell r="P5834">
            <v>1.406997957333443</v>
          </cell>
          <cell r="Q5834">
            <v>18.480539800489606</v>
          </cell>
        </row>
        <row r="5835">
          <cell r="O5835">
            <v>44624</v>
          </cell>
          <cell r="P5835">
            <v>1.40768132561342</v>
          </cell>
          <cell r="Q5835">
            <v>18.489515659076098</v>
          </cell>
        </row>
        <row r="5836">
          <cell r="O5836">
            <v>44627</v>
          </cell>
          <cell r="P5836">
            <v>1.4083650261328504</v>
          </cell>
          <cell r="Q5836">
            <v>18.498495881538464</v>
          </cell>
        </row>
        <row r="5837">
          <cell r="O5837">
            <v>44628</v>
          </cell>
          <cell r="P5837">
            <v>1.4090490590522649</v>
          </cell>
          <cell r="Q5837">
            <v>18.507480469985232</v>
          </cell>
        </row>
        <row r="5838">
          <cell r="O5838">
            <v>44629</v>
          </cell>
          <cell r="P5838">
            <v>1.4097334245322748</v>
          </cell>
          <cell r="Q5838">
            <v>18.51646942652599</v>
          </cell>
        </row>
        <row r="5839">
          <cell r="O5839">
            <v>44630</v>
          </cell>
          <cell r="P5839">
            <v>1.4104181227335733</v>
          </cell>
          <cell r="Q5839">
            <v>18.525462753271395</v>
          </cell>
        </row>
        <row r="5840">
          <cell r="O5840">
            <v>44631</v>
          </cell>
          <cell r="P5840">
            <v>1.4111031538169365</v>
          </cell>
          <cell r="Q5840">
            <v>18.534460452333207</v>
          </cell>
        </row>
        <row r="5841">
          <cell r="O5841">
            <v>44634</v>
          </cell>
          <cell r="P5841">
            <v>1.411788517943221</v>
          </cell>
          <cell r="Q5841">
            <v>18.543462525824225</v>
          </cell>
        </row>
        <row r="5842">
          <cell r="O5842">
            <v>44635</v>
          </cell>
          <cell r="P5842">
            <v>1.4124742152733669</v>
          </cell>
          <cell r="Q5842">
            <v>18.552468975858357</v>
          </cell>
        </row>
        <row r="5843">
          <cell r="O5843">
            <v>44636</v>
          </cell>
          <cell r="P5843">
            <v>1.4131602459683945</v>
          </cell>
          <cell r="Q5843">
            <v>18.561479804550562</v>
          </cell>
        </row>
        <row r="5844">
          <cell r="O5844">
            <v>44637</v>
          </cell>
          <cell r="P5844">
            <v>1.4138466101894094</v>
          </cell>
          <cell r="Q5844">
            <v>18.57049501401692</v>
          </cell>
        </row>
        <row r="5845">
          <cell r="O5845">
            <v>44638</v>
          </cell>
          <cell r="P5845">
            <v>1.4145333080975953</v>
          </cell>
          <cell r="Q5845">
            <v>18.579514606374534</v>
          </cell>
        </row>
        <row r="5846">
          <cell r="O5846">
            <v>44641</v>
          </cell>
          <cell r="P5846">
            <v>1.4152203398542191</v>
          </cell>
          <cell r="Q5846">
            <v>18.588538583741602</v>
          </cell>
        </row>
        <row r="5847">
          <cell r="O5847">
            <v>44642</v>
          </cell>
          <cell r="P5847">
            <v>1.4159077056206317</v>
          </cell>
          <cell r="Q5847">
            <v>18.597566948237422</v>
          </cell>
        </row>
        <row r="5848">
          <cell r="O5848">
            <v>44643</v>
          </cell>
          <cell r="P5848">
            <v>1.4165954055582641</v>
          </cell>
          <cell r="Q5848">
            <v>18.606599701982351</v>
          </cell>
        </row>
        <row r="5849">
          <cell r="O5849">
            <v>44644</v>
          </cell>
          <cell r="P5849">
            <v>1.4172834398286298</v>
          </cell>
          <cell r="Q5849">
            <v>18.615636847097822</v>
          </cell>
        </row>
        <row r="5850">
          <cell r="O5850">
            <v>44645</v>
          </cell>
          <cell r="P5850">
            <v>1.4179718085933244</v>
          </cell>
          <cell r="Q5850">
            <v>18.62467838570635</v>
          </cell>
        </row>
        <row r="5851">
          <cell r="O5851">
            <v>44648</v>
          </cell>
          <cell r="P5851">
            <v>1.418660512014027</v>
          </cell>
          <cell r="Q5851">
            <v>18.633724319931549</v>
          </cell>
        </row>
        <row r="5852">
          <cell r="O5852">
            <v>44649</v>
          </cell>
          <cell r="P5852">
            <v>1.4193495502524967</v>
          </cell>
          <cell r="Q5852">
            <v>18.64277465189808</v>
          </cell>
        </row>
        <row r="5853">
          <cell r="O5853">
            <v>44650</v>
          </cell>
          <cell r="P5853">
            <v>1.4200389234705766</v>
          </cell>
          <cell r="Q5853">
            <v>18.651829383731709</v>
          </cell>
        </row>
        <row r="5854">
          <cell r="O5854">
            <v>44651</v>
          </cell>
          <cell r="P5854">
            <v>1.4207286318301899</v>
          </cell>
          <cell r="Q5854">
            <v>18.660888517559254</v>
          </cell>
        </row>
        <row r="5855">
          <cell r="O5855">
            <v>44652</v>
          </cell>
          <cell r="P5855">
            <v>1.4214186754933438</v>
          </cell>
          <cell r="Q5855">
            <v>18.669952055508631</v>
          </cell>
        </row>
        <row r="5856">
          <cell r="O5856">
            <v>44655</v>
          </cell>
          <cell r="P5856">
            <v>1.4221040202395998</v>
          </cell>
          <cell r="Q5856">
            <v>18.678953874448187</v>
          </cell>
        </row>
        <row r="5857">
          <cell r="O5857">
            <v>44656</v>
          </cell>
          <cell r="P5857">
            <v>1.4227896957281065</v>
          </cell>
          <cell r="Q5857">
            <v>18.687960037598263</v>
          </cell>
        </row>
        <row r="5858">
          <cell r="O5858">
            <v>44657</v>
          </cell>
          <cell r="P5858">
            <v>1.423475702117601</v>
          </cell>
          <cell r="Q5858">
            <v>18.696970547043829</v>
          </cell>
        </row>
        <row r="5859">
          <cell r="O5859">
            <v>44658</v>
          </cell>
          <cell r="P5859">
            <v>1.4241620395669028</v>
          </cell>
          <cell r="Q5859">
            <v>18.705985404870933</v>
          </cell>
        </row>
        <row r="5860">
          <cell r="O5860">
            <v>44659</v>
          </cell>
          <cell r="P5860">
            <v>1.4248487082349095</v>
          </cell>
          <cell r="Q5860">
            <v>18.715004613166656</v>
          </cell>
        </row>
        <row r="5861">
          <cell r="O5861">
            <v>44662</v>
          </cell>
          <cell r="P5861">
            <v>1.4255357082806008</v>
          </cell>
          <cell r="Q5861">
            <v>18.724028174019153</v>
          </cell>
        </row>
        <row r="5862">
          <cell r="O5862">
            <v>44663</v>
          </cell>
          <cell r="P5862">
            <v>1.4262230398630336</v>
          </cell>
          <cell r="Q5862">
            <v>18.733056089517593</v>
          </cell>
        </row>
        <row r="5863">
          <cell r="O5863">
            <v>44664</v>
          </cell>
          <cell r="P5863">
            <v>1.4269107031413477</v>
          </cell>
          <cell r="Q5863">
            <v>18.742088361752234</v>
          </cell>
        </row>
        <row r="5864">
          <cell r="O5864">
            <v>44665</v>
          </cell>
          <cell r="P5864">
            <v>1.4275986982747599</v>
          </cell>
          <cell r="Q5864">
            <v>18.751124992814344</v>
          </cell>
        </row>
        <row r="5865">
          <cell r="O5865">
            <v>44669</v>
          </cell>
          <cell r="P5865">
            <v>1.428287025422569</v>
          </cell>
          <cell r="Q5865">
            <v>18.760165984796274</v>
          </cell>
        </row>
        <row r="5866">
          <cell r="O5866">
            <v>44670</v>
          </cell>
          <cell r="P5866">
            <v>1.4289756847441553</v>
          </cell>
          <cell r="Q5866">
            <v>18.76921133979144</v>
          </cell>
        </row>
        <row r="5867">
          <cell r="O5867">
            <v>44671</v>
          </cell>
          <cell r="P5867">
            <v>1.4296646763989733</v>
          </cell>
          <cell r="Q5867">
            <v>18.778261059894234</v>
          </cell>
        </row>
        <row r="5868">
          <cell r="O5868">
            <v>44673</v>
          </cell>
          <cell r="P5868">
            <v>1.4303540005465656</v>
          </cell>
          <cell r="Q5868">
            <v>18.787315147200204</v>
          </cell>
        </row>
        <row r="5869">
          <cell r="O5869">
            <v>44676</v>
          </cell>
          <cell r="P5869">
            <v>1.4310436573465481</v>
          </cell>
          <cell r="Q5869">
            <v>18.796373603805861</v>
          </cell>
        </row>
        <row r="5870">
          <cell r="O5870">
            <v>44677</v>
          </cell>
          <cell r="P5870">
            <v>1.4317336469586204</v>
          </cell>
          <cell r="Q5870">
            <v>18.805436431808818</v>
          </cell>
        </row>
        <row r="5871">
          <cell r="O5871">
            <v>44678</v>
          </cell>
          <cell r="P5871">
            <v>1.4324239695425602</v>
          </cell>
          <cell r="Q5871">
            <v>18.814503633307716</v>
          </cell>
        </row>
        <row r="5872">
          <cell r="O5872">
            <v>44679</v>
          </cell>
          <cell r="P5872">
            <v>1.4331146252582294</v>
          </cell>
          <cell r="Q5872">
            <v>18.823575210402289</v>
          </cell>
        </row>
        <row r="5873">
          <cell r="O5873">
            <v>44680</v>
          </cell>
          <cell r="P5873">
            <v>1.4338056142655637</v>
          </cell>
          <cell r="Q5873">
            <v>18.832651165193258</v>
          </cell>
        </row>
        <row r="5874">
          <cell r="O5874">
            <v>44683</v>
          </cell>
          <cell r="P5874">
            <v>1.4344969367245852</v>
          </cell>
          <cell r="Q5874">
            <v>18.841731499782465</v>
          </cell>
        </row>
        <row r="5875">
          <cell r="O5875">
            <v>44684</v>
          </cell>
          <cell r="P5875">
            <v>1.4351885927953927</v>
          </cell>
          <cell r="Q5875">
            <v>18.850816216272765</v>
          </cell>
        </row>
        <row r="5876">
          <cell r="O5876">
            <v>44685</v>
          </cell>
          <cell r="P5876">
            <v>1.4358805826381651</v>
          </cell>
          <cell r="Q5876">
            <v>18.859905316768071</v>
          </cell>
        </row>
        <row r="5877">
          <cell r="O5877">
            <v>44686</v>
          </cell>
          <cell r="P5877">
            <v>1.4365729064131638</v>
          </cell>
          <cell r="Q5877">
            <v>18.868998803373366</v>
          </cell>
        </row>
        <row r="5878">
          <cell r="O5878">
            <v>44687</v>
          </cell>
          <cell r="P5878">
            <v>1.4372655642807282</v>
          </cell>
          <cell r="Q5878">
            <v>18.878096678194666</v>
          </cell>
        </row>
        <row r="5879">
          <cell r="O5879">
            <v>44690</v>
          </cell>
          <cell r="P5879">
            <v>1.4379585564012798</v>
          </cell>
          <cell r="Q5879">
            <v>18.887198943339065</v>
          </cell>
        </row>
        <row r="5880">
          <cell r="O5880">
            <v>44691</v>
          </cell>
          <cell r="P5880">
            <v>1.438651882935319</v>
          </cell>
          <cell r="Q5880">
            <v>18.896305600914697</v>
          </cell>
        </row>
        <row r="5881">
          <cell r="O5881">
            <v>44692</v>
          </cell>
          <cell r="P5881">
            <v>1.4393455440434284</v>
          </cell>
          <cell r="Q5881">
            <v>18.905416653030766</v>
          </cell>
        </row>
        <row r="5882">
          <cell r="O5882">
            <v>44693</v>
          </cell>
          <cell r="P5882">
            <v>1.4400395398862684</v>
          </cell>
          <cell r="Q5882">
            <v>18.914532101797505</v>
          </cell>
        </row>
        <row r="5883">
          <cell r="O5883">
            <v>44694</v>
          </cell>
          <cell r="P5883">
            <v>1.4407338706245825</v>
          </cell>
          <cell r="Q5883">
            <v>18.923651949326235</v>
          </cell>
        </row>
        <row r="5884">
          <cell r="O5884">
            <v>44697</v>
          </cell>
          <cell r="P5884">
            <v>1.4414285364191926</v>
          </cell>
          <cell r="Q5884">
            <v>18.932776197729311</v>
          </cell>
        </row>
        <row r="5885">
          <cell r="O5885">
            <v>44698</v>
          </cell>
          <cell r="P5885">
            <v>1.4421235374310024</v>
          </cell>
          <cell r="Q5885">
            <v>18.94190484912016</v>
          </cell>
        </row>
        <row r="5886">
          <cell r="O5886">
            <v>44699</v>
          </cell>
          <cell r="P5886">
            <v>1.4428188738209944</v>
          </cell>
          <cell r="Q5886">
            <v>18.951037905613241</v>
          </cell>
        </row>
        <row r="5887">
          <cell r="O5887">
            <v>44700</v>
          </cell>
          <cell r="P5887">
            <v>1.4435145457502339</v>
          </cell>
          <cell r="Q5887">
            <v>18.960175369324105</v>
          </cell>
        </row>
        <row r="5888">
          <cell r="O5888">
            <v>44701</v>
          </cell>
          <cell r="P5888">
            <v>1.4442105533798655</v>
          </cell>
          <cell r="Q5888">
            <v>18.969317242369343</v>
          </cell>
        </row>
        <row r="5889">
          <cell r="O5889">
            <v>44704</v>
          </cell>
          <cell r="P5889">
            <v>1.4449068968711136</v>
          </cell>
          <cell r="Q5889">
            <v>18.978463526866594</v>
          </cell>
        </row>
        <row r="5890">
          <cell r="O5890">
            <v>44705</v>
          </cell>
          <cell r="P5890">
            <v>1.4456035763852839</v>
          </cell>
          <cell r="Q5890">
            <v>18.987614224934564</v>
          </cell>
        </row>
        <row r="5891">
          <cell r="O5891">
            <v>44706</v>
          </cell>
          <cell r="P5891">
            <v>1.4463005920837635</v>
          </cell>
          <cell r="Q5891">
            <v>18.996769338693031</v>
          </cell>
        </row>
        <row r="5892">
          <cell r="O5892">
            <v>44707</v>
          </cell>
          <cell r="P5892">
            <v>1.4469979441280185</v>
          </cell>
          <cell r="Q5892">
            <v>19.005928870262807</v>
          </cell>
        </row>
        <row r="5893">
          <cell r="O5893">
            <v>44708</v>
          </cell>
          <cell r="P5893">
            <v>1.4476956326795976</v>
          </cell>
          <cell r="Q5893">
            <v>19.015092821765794</v>
          </cell>
        </row>
        <row r="5894">
          <cell r="O5894">
            <v>44711</v>
          </cell>
          <cell r="P5894">
            <v>1.4483936579001273</v>
          </cell>
          <cell r="Q5894">
            <v>19.024261195324907</v>
          </cell>
        </row>
        <row r="5895">
          <cell r="O5895">
            <v>44712</v>
          </cell>
          <cell r="P5895">
            <v>1.4490920199513182</v>
          </cell>
          <cell r="Q5895">
            <v>19.033433993064179</v>
          </cell>
        </row>
        <row r="5896">
          <cell r="O5896">
            <v>44713</v>
          </cell>
          <cell r="P5896">
            <v>1.4497907189949588</v>
          </cell>
          <cell r="Q5896">
            <v>19.04261121710865</v>
          </cell>
        </row>
        <row r="5897">
          <cell r="O5897">
            <v>44714</v>
          </cell>
          <cell r="P5897">
            <v>1.4504897551929206</v>
          </cell>
          <cell r="Q5897">
            <v>19.051792869584464</v>
          </cell>
        </row>
        <row r="5898">
          <cell r="O5898">
            <v>44715</v>
          </cell>
          <cell r="P5898">
            <v>1.4511891287071552</v>
          </cell>
          <cell r="Q5898">
            <v>19.060978952618811</v>
          </cell>
        </row>
        <row r="5899">
          <cell r="O5899">
            <v>44718</v>
          </cell>
          <cell r="P5899">
            <v>1.4518888396996925</v>
          </cell>
          <cell r="Q5899">
            <v>19.070169468339909</v>
          </cell>
        </row>
        <row r="5900">
          <cell r="O5900">
            <v>44719</v>
          </cell>
          <cell r="P5900">
            <v>1.452588888332645</v>
          </cell>
          <cell r="Q5900">
            <v>19.079364418877063</v>
          </cell>
        </row>
        <row r="5901">
          <cell r="O5901">
            <v>44720</v>
          </cell>
          <cell r="P5901">
            <v>1.4532892747682096</v>
          </cell>
          <cell r="Q5901">
            <v>19.088563806360682</v>
          </cell>
        </row>
        <row r="5902">
          <cell r="O5902">
            <v>44721</v>
          </cell>
          <cell r="P5902">
            <v>1.4539899991686571</v>
          </cell>
          <cell r="Q5902">
            <v>19.097767632922157</v>
          </cell>
        </row>
        <row r="5903">
          <cell r="O5903">
            <v>44722</v>
          </cell>
          <cell r="P5903">
            <v>1.4546910616963458</v>
          </cell>
          <cell r="Q5903">
            <v>19.106975900694014</v>
          </cell>
        </row>
        <row r="5904">
          <cell r="O5904">
            <v>44725</v>
          </cell>
          <cell r="P5904">
            <v>1.45539246251371</v>
          </cell>
          <cell r="Q5904">
            <v>19.116188611809786</v>
          </cell>
        </row>
        <row r="5905">
          <cell r="O5905">
            <v>44726</v>
          </cell>
          <cell r="P5905">
            <v>1.4560942017832676</v>
          </cell>
          <cell r="Q5905">
            <v>19.125405768404104</v>
          </cell>
        </row>
        <row r="5906">
          <cell r="O5906">
            <v>44727</v>
          </cell>
          <cell r="P5906">
            <v>1.4567962796676168</v>
          </cell>
          <cell r="Q5906">
            <v>19.134627372612648</v>
          </cell>
        </row>
        <row r="5907">
          <cell r="O5907">
            <v>44729</v>
          </cell>
          <cell r="P5907">
            <v>1.4574986963294367</v>
          </cell>
          <cell r="Q5907">
            <v>19.143853426572164</v>
          </cell>
        </row>
        <row r="5908">
          <cell r="O5908">
            <v>44732</v>
          </cell>
          <cell r="P5908">
            <v>1.4582014519314865</v>
          </cell>
          <cell r="Q5908">
            <v>19.153083932420454</v>
          </cell>
        </row>
        <row r="5909">
          <cell r="O5909">
            <v>44733</v>
          </cell>
          <cell r="P5909">
            <v>1.4589045466366097</v>
          </cell>
          <cell r="Q5909">
            <v>19.162318892296422</v>
          </cell>
        </row>
        <row r="5910">
          <cell r="O5910">
            <v>44734</v>
          </cell>
          <cell r="P5910">
            <v>1.459607980607726</v>
          </cell>
          <cell r="Q5910">
            <v>19.171558308339975</v>
          </cell>
        </row>
        <row r="5911">
          <cell r="O5911">
            <v>44735</v>
          </cell>
          <cell r="P5911">
            <v>1.4603117540078401</v>
          </cell>
          <cell r="Q5911">
            <v>19.180802182692133</v>
          </cell>
        </row>
        <row r="5912">
          <cell r="O5912">
            <v>44736</v>
          </cell>
          <cell r="P5912">
            <v>1.4610158670000357</v>
          </cell>
          <cell r="Q5912">
            <v>19.19005051749496</v>
          </cell>
        </row>
        <row r="5913">
          <cell r="O5913">
            <v>44739</v>
          </cell>
          <cell r="P5913">
            <v>1.4617203197474797</v>
          </cell>
          <cell r="Q5913">
            <v>19.199303314891608</v>
          </cell>
        </row>
        <row r="5914">
          <cell r="O5914">
            <v>44740</v>
          </cell>
          <cell r="P5914">
            <v>1.4624251124134173</v>
          </cell>
          <cell r="Q5914">
            <v>19.208560577026258</v>
          </cell>
        </row>
        <row r="5915">
          <cell r="O5915">
            <v>44741</v>
          </cell>
          <cell r="P5915">
            <v>1.4631302451611778</v>
          </cell>
          <cell r="Q5915">
            <v>19.217822306044198</v>
          </cell>
        </row>
        <row r="5916">
          <cell r="O5916">
            <v>44742</v>
          </cell>
          <cell r="P5916">
            <v>1.463835718154169</v>
          </cell>
          <cell r="Q5916">
            <v>19.227088504091743</v>
          </cell>
        </row>
        <row r="5917">
          <cell r="O5917">
            <v>44743</v>
          </cell>
          <cell r="P5917">
            <v>1.4645415315558827</v>
          </cell>
          <cell r="Q5917">
            <v>19.236359173316316</v>
          </cell>
        </row>
        <row r="5918">
          <cell r="O5918">
            <v>44746</v>
          </cell>
          <cell r="P5918">
            <v>1.4652496438486702</v>
          </cell>
          <cell r="Q5918">
            <v>19.245660037856929</v>
          </cell>
        </row>
        <row r="5919">
          <cell r="O5919">
            <v>44747</v>
          </cell>
          <cell r="P5919">
            <v>1.4659580987729133</v>
          </cell>
          <cell r="Q5919">
            <v>19.254965402769567</v>
          </cell>
        </row>
        <row r="5920">
          <cell r="O5920">
            <v>44748</v>
          </cell>
          <cell r="P5920">
            <v>1.4666668964937108</v>
          </cell>
          <cell r="Q5920">
            <v>19.264275270222768</v>
          </cell>
        </row>
        <row r="5921">
          <cell r="O5921">
            <v>44749</v>
          </cell>
          <cell r="P5921">
            <v>1.467376037176241</v>
          </cell>
          <cell r="Q5921">
            <v>19.273589642386096</v>
          </cell>
        </row>
        <row r="5922">
          <cell r="O5922">
            <v>44750</v>
          </cell>
          <cell r="P5922">
            <v>1.4680855209857662</v>
          </cell>
          <cell r="Q5922">
            <v>19.282908521430226</v>
          </cell>
        </row>
        <row r="5923">
          <cell r="O5923">
            <v>44753</v>
          </cell>
          <cell r="P5923">
            <v>1.468795348087631</v>
          </cell>
          <cell r="Q5923">
            <v>19.292231909526926</v>
          </cell>
        </row>
        <row r="5924">
          <cell r="O5924">
            <v>44754</v>
          </cell>
          <cell r="P5924">
            <v>1.4695055186472616</v>
          </cell>
          <cell r="Q5924">
            <v>19.301559808849014</v>
          </cell>
        </row>
        <row r="5925">
          <cell r="O5925">
            <v>44755</v>
          </cell>
          <cell r="P5925">
            <v>1.4702160328301677</v>
          </cell>
          <cell r="Q5925">
            <v>19.310892221570416</v>
          </cell>
        </row>
        <row r="5926">
          <cell r="O5926">
            <v>44756</v>
          </cell>
          <cell r="P5926">
            <v>1.4709268908019386</v>
          </cell>
          <cell r="Q5926">
            <v>19.320229149866108</v>
          </cell>
        </row>
        <row r="5927">
          <cell r="O5927">
            <v>44757</v>
          </cell>
          <cell r="P5927">
            <v>1.4716380927282506</v>
          </cell>
          <cell r="Q5927">
            <v>19.329570595912202</v>
          </cell>
        </row>
        <row r="5928">
          <cell r="O5928">
            <v>44760</v>
          </cell>
          <cell r="P5928">
            <v>1.4723496387748585</v>
          </cell>
          <cell r="Q5928">
            <v>19.338916561885839</v>
          </cell>
        </row>
        <row r="5929">
          <cell r="O5929">
            <v>44761</v>
          </cell>
          <cell r="P5929">
            <v>1.4730615291076021</v>
          </cell>
          <cell r="Q5929">
            <v>19.348267049965287</v>
          </cell>
        </row>
        <row r="5930">
          <cell r="O5930">
            <v>44762</v>
          </cell>
          <cell r="P5930">
            <v>1.4737737638924013</v>
          </cell>
          <cell r="Q5930">
            <v>19.357622062329856</v>
          </cell>
        </row>
        <row r="5931">
          <cell r="O5931">
            <v>44763</v>
          </cell>
          <cell r="P5931">
            <v>1.4744863432952611</v>
          </cell>
          <cell r="Q5931">
            <v>19.366981601159971</v>
          </cell>
        </row>
        <row r="5932">
          <cell r="O5932">
            <v>44764</v>
          </cell>
          <cell r="P5932">
            <v>1.4751992674822687</v>
          </cell>
          <cell r="Q5932">
            <v>19.376345668637153</v>
          </cell>
        </row>
        <row r="5933">
          <cell r="O5933">
            <v>44767</v>
          </cell>
          <cell r="P5933">
            <v>1.47591253661959</v>
          </cell>
          <cell r="Q5933">
            <v>19.385714266943939</v>
          </cell>
        </row>
        <row r="5934">
          <cell r="O5934">
            <v>44768</v>
          </cell>
          <cell r="P5934">
            <v>1.4766261508734793</v>
          </cell>
          <cell r="Q5934">
            <v>19.395087398264039</v>
          </cell>
        </row>
        <row r="5935">
          <cell r="O5935">
            <v>44769</v>
          </cell>
          <cell r="P5935">
            <v>1.477340110410271</v>
          </cell>
          <cell r="Q5935">
            <v>19.404465064782208</v>
          </cell>
        </row>
        <row r="5936">
          <cell r="O5936">
            <v>44770</v>
          </cell>
          <cell r="P5936">
            <v>1.4780544153963804</v>
          </cell>
          <cell r="Q5936">
            <v>19.413847268684268</v>
          </cell>
        </row>
        <row r="5937">
          <cell r="O5937">
            <v>44771</v>
          </cell>
          <cell r="P5937">
            <v>1.4787690659983086</v>
          </cell>
          <cell r="Q5937">
            <v>19.423234012157163</v>
          </cell>
        </row>
        <row r="5938">
          <cell r="O5938">
            <v>44774</v>
          </cell>
          <cell r="P5938">
            <v>1.4794840623826369</v>
          </cell>
          <cell r="Q5938">
            <v>19.432625297388896</v>
          </cell>
        </row>
        <row r="5939">
          <cell r="O5939">
            <v>44775</v>
          </cell>
          <cell r="P5939">
            <v>1.4801994047160321</v>
          </cell>
          <cell r="Q5939">
            <v>19.442021126568591</v>
          </cell>
        </row>
        <row r="5940">
          <cell r="O5940">
            <v>44776</v>
          </cell>
          <cell r="P5940">
            <v>1.4809150931652408</v>
          </cell>
          <cell r="Q5940">
            <v>19.451421501886422</v>
          </cell>
        </row>
        <row r="5941">
          <cell r="O5941">
            <v>44777</v>
          </cell>
          <cell r="P5941">
            <v>1.4816311278970946</v>
          </cell>
          <cell r="Q5941">
            <v>19.460826425533671</v>
          </cell>
        </row>
        <row r="5942">
          <cell r="O5942">
            <v>44778</v>
          </cell>
          <cell r="P5942">
            <v>1.482347509078507</v>
          </cell>
          <cell r="Q5942">
            <v>19.470235899702704</v>
          </cell>
        </row>
        <row r="5943">
          <cell r="O5943">
            <v>44781</v>
          </cell>
          <cell r="P5943">
            <v>1.4830642368764746</v>
          </cell>
          <cell r="Q5943">
            <v>19.47964992658698</v>
          </cell>
        </row>
        <row r="5944">
          <cell r="O5944">
            <v>44782</v>
          </cell>
          <cell r="P5944">
            <v>1.4837813114580778</v>
          </cell>
          <cell r="Q5944">
            <v>19.489068508381052</v>
          </cell>
        </row>
        <row r="5945">
          <cell r="O5945">
            <v>44783</v>
          </cell>
          <cell r="P5945">
            <v>1.4844987329904777</v>
          </cell>
          <cell r="Q5945">
            <v>19.498491647280538</v>
          </cell>
        </row>
        <row r="5946">
          <cell r="O5946">
            <v>44784</v>
          </cell>
          <cell r="P5946">
            <v>1.4852165016409196</v>
          </cell>
          <cell r="Q5946">
            <v>19.507919345482158</v>
          </cell>
        </row>
        <row r="5947">
          <cell r="O5947">
            <v>44785</v>
          </cell>
          <cell r="P5947">
            <v>1.4859346175767341</v>
          </cell>
          <cell r="Q5947">
            <v>19.517351605183755</v>
          </cell>
        </row>
        <row r="5948">
          <cell r="O5948">
            <v>44788</v>
          </cell>
          <cell r="P5948">
            <v>1.4866530809653313</v>
          </cell>
          <cell r="Q5948">
            <v>19.526788428584215</v>
          </cell>
        </row>
        <row r="5949">
          <cell r="O5949">
            <v>44789</v>
          </cell>
          <cell r="P5949">
            <v>1.4873718919742052</v>
          </cell>
          <cell r="Q5949">
            <v>19.53622981788353</v>
          </cell>
        </row>
        <row r="5950">
          <cell r="O5950">
            <v>44790</v>
          </cell>
          <cell r="P5950">
            <v>1.4880910507709342</v>
          </cell>
          <cell r="Q5950">
            <v>19.545675775282792</v>
          </cell>
        </row>
        <row r="5951">
          <cell r="O5951">
            <v>44791</v>
          </cell>
          <cell r="P5951">
            <v>1.4888105575231796</v>
          </cell>
          <cell r="Q5951">
            <v>19.555126302984192</v>
          </cell>
        </row>
        <row r="5952">
          <cell r="O5952">
            <v>44792</v>
          </cell>
          <cell r="P5952">
            <v>1.489530412398685</v>
          </cell>
          <cell r="Q5952">
            <v>19.564581403190996</v>
          </cell>
        </row>
        <row r="5953">
          <cell r="O5953">
            <v>44795</v>
          </cell>
          <cell r="P5953">
            <v>1.4902506155652762</v>
          </cell>
          <cell r="Q5953">
            <v>19.574041078107548</v>
          </cell>
        </row>
        <row r="5954">
          <cell r="O5954">
            <v>44796</v>
          </cell>
          <cell r="P5954">
            <v>1.4909711671908656</v>
          </cell>
          <cell r="Q5954">
            <v>19.583505329939335</v>
          </cell>
        </row>
        <row r="5955">
          <cell r="O5955">
            <v>44797</v>
          </cell>
          <cell r="P5955">
            <v>1.4916920674434446</v>
          </cell>
          <cell r="Q5955">
            <v>19.592974160892876</v>
          </cell>
        </row>
        <row r="5956">
          <cell r="O5956">
            <v>44798</v>
          </cell>
          <cell r="P5956">
            <v>1.4924133164910924</v>
          </cell>
          <cell r="Q5956">
            <v>19.602447573175848</v>
          </cell>
        </row>
        <row r="5957">
          <cell r="O5957">
            <v>44799</v>
          </cell>
          <cell r="P5957">
            <v>1.4931349145019686</v>
          </cell>
          <cell r="Q5957">
            <v>19.611925568996984</v>
          </cell>
        </row>
        <row r="5958">
          <cell r="O5958">
            <v>44802</v>
          </cell>
          <cell r="P5958">
            <v>1.4938568616443155</v>
          </cell>
          <cell r="Q5958">
            <v>19.621408150566097</v>
          </cell>
        </row>
        <row r="5959">
          <cell r="O5959">
            <v>44803</v>
          </cell>
          <cell r="P5959">
            <v>1.4945791580864609</v>
          </cell>
          <cell r="Q5959">
            <v>19.630895320094133</v>
          </cell>
        </row>
        <row r="5960">
          <cell r="O5960">
            <v>44804</v>
          </cell>
          <cell r="P5960">
            <v>1.4953018039968153</v>
          </cell>
          <cell r="Q5960">
            <v>19.640387079793111</v>
          </cell>
        </row>
        <row r="5961">
          <cell r="O5961">
            <v>44805</v>
          </cell>
          <cell r="P5961">
            <v>1.4960247995438716</v>
          </cell>
          <cell r="Q5961">
            <v>19.649883431876148</v>
          </cell>
        </row>
        <row r="5962">
          <cell r="O5962">
            <v>44806</v>
          </cell>
          <cell r="P5962">
            <v>1.4967481448962063</v>
          </cell>
          <cell r="Q5962">
            <v>19.659384378557448</v>
          </cell>
        </row>
        <row r="5963">
          <cell r="O5963">
            <v>44809</v>
          </cell>
          <cell r="P5963">
            <v>1.4974718402224825</v>
          </cell>
          <cell r="Q5963">
            <v>19.668889922052351</v>
          </cell>
        </row>
        <row r="5964">
          <cell r="O5964">
            <v>44810</v>
          </cell>
          <cell r="P5964">
            <v>1.4981958856914428</v>
          </cell>
          <cell r="Q5964">
            <v>19.67840006457725</v>
          </cell>
        </row>
        <row r="5965">
          <cell r="O5965">
            <v>44812</v>
          </cell>
          <cell r="P5965">
            <v>1.4989202814719143</v>
          </cell>
          <cell r="Q5965">
            <v>19.687914808349646</v>
          </cell>
        </row>
        <row r="5966">
          <cell r="O5966">
            <v>44813</v>
          </cell>
          <cell r="P5966">
            <v>1.4996450277328099</v>
          </cell>
          <cell r="Q5966">
            <v>19.697434155588162</v>
          </cell>
        </row>
        <row r="5967">
          <cell r="O5967">
            <v>44816</v>
          </cell>
          <cell r="P5967">
            <v>1.5003701246431231</v>
          </cell>
          <cell r="Q5967">
            <v>19.706958108512477</v>
          </cell>
        </row>
        <row r="5968">
          <cell r="O5968">
            <v>44817</v>
          </cell>
          <cell r="P5968">
            <v>1.501095572371933</v>
          </cell>
          <cell r="Q5968">
            <v>19.716486669343407</v>
          </cell>
        </row>
        <row r="5969">
          <cell r="O5969">
            <v>44818</v>
          </cell>
          <cell r="P5969">
            <v>1.5018213710884021</v>
          </cell>
          <cell r="Q5969">
            <v>19.726019840302854</v>
          </cell>
        </row>
        <row r="5970">
          <cell r="O5970">
            <v>44819</v>
          </cell>
          <cell r="P5970">
            <v>1.502547520961776</v>
          </cell>
          <cell r="Q5970">
            <v>19.735557623613811</v>
          </cell>
        </row>
        <row r="5971">
          <cell r="O5971">
            <v>44820</v>
          </cell>
          <cell r="P5971">
            <v>1.5032740221613849</v>
          </cell>
          <cell r="Q5971">
            <v>19.745100021500388</v>
          </cell>
        </row>
        <row r="5972">
          <cell r="O5972">
            <v>44823</v>
          </cell>
          <cell r="P5972">
            <v>1.5040008748566402</v>
          </cell>
          <cell r="Q5972">
            <v>19.754647036187759</v>
          </cell>
        </row>
        <row r="5973">
          <cell r="O5973">
            <v>44824</v>
          </cell>
          <cell r="P5973">
            <v>1.5047280792170421</v>
          </cell>
          <cell r="Q5973">
            <v>19.764198669902257</v>
          </cell>
        </row>
        <row r="5974">
          <cell r="O5974">
            <v>44825</v>
          </cell>
          <cell r="P5974">
            <v>1.5054556354121693</v>
          </cell>
          <cell r="Q5974">
            <v>19.773754924871255</v>
          </cell>
        </row>
        <row r="5975">
          <cell r="O5975">
            <v>44826</v>
          </cell>
          <cell r="P5975">
            <v>1.5061835436116875</v>
          </cell>
          <cell r="Q5975">
            <v>19.783315803323269</v>
          </cell>
        </row>
        <row r="5976">
          <cell r="O5976">
            <v>44827</v>
          </cell>
          <cell r="P5976">
            <v>1.5069118039853464</v>
          </cell>
          <cell r="Q5976">
            <v>19.792881307487917</v>
          </cell>
        </row>
        <row r="5977">
          <cell r="O5977">
            <v>44830</v>
          </cell>
          <cell r="P5977">
            <v>1.5076404167029769</v>
          </cell>
          <cell r="Q5977">
            <v>19.802451439595881</v>
          </cell>
        </row>
        <row r="5978">
          <cell r="O5978">
            <v>44831</v>
          </cell>
          <cell r="P5978">
            <v>1.5083693819344961</v>
          </cell>
          <cell r="Q5978">
            <v>19.812026201878972</v>
          </cell>
        </row>
        <row r="5979">
          <cell r="O5979">
            <v>44832</v>
          </cell>
          <cell r="P5979">
            <v>1.5090986998499067</v>
          </cell>
          <cell r="Q5979">
            <v>19.821605596570134</v>
          </cell>
        </row>
        <row r="5980">
          <cell r="O5980">
            <v>44833</v>
          </cell>
          <cell r="P5980">
            <v>1.5098283706192903</v>
          </cell>
          <cell r="Q5980">
            <v>19.831189625903342</v>
          </cell>
        </row>
        <row r="5981">
          <cell r="O5981">
            <v>44834</v>
          </cell>
          <cell r="P5981">
            <v>1.5105583944128174</v>
          </cell>
          <cell r="Q5981">
            <v>19.84077829211374</v>
          </cell>
        </row>
        <row r="5982">
          <cell r="O5982">
            <v>44837</v>
          </cell>
          <cell r="P5982">
            <v>1.5112887714007415</v>
          </cell>
          <cell r="Q5982">
            <v>19.850371597437562</v>
          </cell>
        </row>
        <row r="5983">
          <cell r="O5983">
            <v>44838</v>
          </cell>
          <cell r="P5983">
            <v>1.5120122516590757</v>
          </cell>
          <cell r="Q5983">
            <v>19.859874316072883</v>
          </cell>
        </row>
        <row r="5984">
          <cell r="O5984">
            <v>44839</v>
          </cell>
          <cell r="P5984">
            <v>1.5127360784619823</v>
          </cell>
          <cell r="Q5984">
            <v>19.869381586477974</v>
          </cell>
        </row>
        <row r="5985">
          <cell r="O5985">
            <v>44840</v>
          </cell>
          <cell r="P5985">
            <v>1.5134602519749498</v>
          </cell>
          <cell r="Q5985">
            <v>19.878893410826475</v>
          </cell>
        </row>
        <row r="5986">
          <cell r="O5986">
            <v>44841</v>
          </cell>
          <cell r="P5986">
            <v>1.5141847723635493</v>
          </cell>
          <cell r="Q5986">
            <v>19.888409791293121</v>
          </cell>
        </row>
        <row r="5987">
          <cell r="O5987">
            <v>44844</v>
          </cell>
          <cell r="P5987">
            <v>1.5149096397934334</v>
          </cell>
          <cell r="Q5987">
            <v>19.897930730053712</v>
          </cell>
        </row>
        <row r="5988">
          <cell r="O5988">
            <v>44845</v>
          </cell>
          <cell r="P5988">
            <v>1.5156348544303309</v>
          </cell>
          <cell r="Q5988">
            <v>19.907456229285057</v>
          </cell>
        </row>
        <row r="5989">
          <cell r="O5989">
            <v>44847</v>
          </cell>
          <cell r="P5989">
            <v>1.5163604164400581</v>
          </cell>
          <cell r="Q5989">
            <v>19.916986291165106</v>
          </cell>
        </row>
        <row r="5990">
          <cell r="O5990">
            <v>44848</v>
          </cell>
          <cell r="P5990">
            <v>1.5170863259885081</v>
          </cell>
          <cell r="Q5990">
            <v>19.926520917872814</v>
          </cell>
        </row>
        <row r="5991">
          <cell r="O5991">
            <v>44851</v>
          </cell>
          <cell r="P5991">
            <v>1.5178125832416569</v>
          </cell>
          <cell r="Q5991">
            <v>19.93606011158824</v>
          </cell>
        </row>
        <row r="5992">
          <cell r="O5992">
            <v>44852</v>
          </cell>
          <cell r="P5992">
            <v>1.5185391883655603</v>
          </cell>
          <cell r="Q5992">
            <v>19.945603874492477</v>
          </cell>
        </row>
        <row r="5993">
          <cell r="O5993">
            <v>44853</v>
          </cell>
          <cell r="P5993">
            <v>1.5192661415263542</v>
          </cell>
          <cell r="Q5993">
            <v>19.955152208767675</v>
          </cell>
        </row>
        <row r="5994">
          <cell r="O5994">
            <v>44854</v>
          </cell>
          <cell r="P5994">
            <v>1.5199934428902599</v>
          </cell>
          <cell r="Q5994">
            <v>19.964705116597113</v>
          </cell>
        </row>
        <row r="5995">
          <cell r="O5995">
            <v>44855</v>
          </cell>
          <cell r="P5995">
            <v>1.5207210926235744</v>
          </cell>
          <cell r="Q5995">
            <v>19.974262600165048</v>
          </cell>
        </row>
        <row r="5996">
          <cell r="O5996">
            <v>44858</v>
          </cell>
          <cell r="P5996">
            <v>1.521449090892681</v>
          </cell>
          <cell r="Q5996">
            <v>19.983824661656886</v>
          </cell>
        </row>
        <row r="5997">
          <cell r="O5997">
            <v>44859</v>
          </cell>
          <cell r="P5997">
            <v>1.5221774378640398</v>
          </cell>
          <cell r="Q5997">
            <v>19.993391303259031</v>
          </cell>
        </row>
        <row r="5998">
          <cell r="O5998">
            <v>44860</v>
          </cell>
          <cell r="P5998">
            <v>1.5229061337041958</v>
          </cell>
          <cell r="Q5998">
            <v>20.002962527159013</v>
          </cell>
        </row>
        <row r="5999">
          <cell r="O5999">
            <v>44861</v>
          </cell>
          <cell r="P5999">
            <v>1.5236351785797722</v>
          </cell>
          <cell r="Q5999">
            <v>20.012538335545379</v>
          </cell>
        </row>
        <row r="6000">
          <cell r="O6000">
            <v>44862</v>
          </cell>
          <cell r="P6000">
            <v>1.5243645726574762</v>
          </cell>
          <cell r="Q6000">
            <v>20.022118730607783</v>
          </cell>
        </row>
        <row r="6001">
          <cell r="O6001">
            <v>44865</v>
          </cell>
          <cell r="P6001">
            <v>1.525094316104094</v>
          </cell>
          <cell r="Q6001">
            <v>20.031703714536917</v>
          </cell>
        </row>
        <row r="6002">
          <cell r="O6002">
            <v>44866</v>
          </cell>
          <cell r="P6002">
            <v>1.5258244090864945</v>
          </cell>
          <cell r="Q6002">
            <v>20.041293289524564</v>
          </cell>
        </row>
        <row r="6003">
          <cell r="O6003">
            <v>44868</v>
          </cell>
          <cell r="P6003">
            <v>1.5265548517716288</v>
          </cell>
          <cell r="Q6003">
            <v>20.050887457763572</v>
          </cell>
        </row>
        <row r="6004">
          <cell r="O6004">
            <v>44869</v>
          </cell>
          <cell r="P6004">
            <v>1.5272856443265266</v>
          </cell>
          <cell r="Q6004">
            <v>20.060486221447839</v>
          </cell>
        </row>
        <row r="6005">
          <cell r="O6005">
            <v>44872</v>
          </cell>
          <cell r="P6005">
            <v>1.5280167869183028</v>
          </cell>
          <cell r="Q6005">
            <v>20.070089582772372</v>
          </cell>
        </row>
        <row r="6006">
          <cell r="O6006">
            <v>44873</v>
          </cell>
          <cell r="P6006">
            <v>1.5287482797141505</v>
          </cell>
          <cell r="Q6006">
            <v>20.079697543933207</v>
          </cell>
        </row>
        <row r="6007">
          <cell r="O6007">
            <v>44874</v>
          </cell>
          <cell r="P6007">
            <v>1.529480122881347</v>
          </cell>
          <cell r="Q6007">
            <v>20.089310107127488</v>
          </cell>
        </row>
        <row r="6008">
          <cell r="O6008">
            <v>44875</v>
          </cell>
          <cell r="P6008">
            <v>1.5302123165872492</v>
          </cell>
          <cell r="Q6008">
            <v>20.098927274553404</v>
          </cell>
        </row>
        <row r="6009">
          <cell r="O6009">
            <v>44876</v>
          </cell>
          <cell r="P6009">
            <v>1.5309448609992953</v>
          </cell>
          <cell r="Q6009">
            <v>20.108549048410204</v>
          </cell>
        </row>
        <row r="6010">
          <cell r="O6010">
            <v>44879</v>
          </cell>
          <cell r="P6010">
            <v>1.5316777562850075</v>
          </cell>
          <cell r="Q6010">
            <v>20.118175430898251</v>
          </cell>
        </row>
        <row r="6011">
          <cell r="O6011">
            <v>44881</v>
          </cell>
          <cell r="P6011">
            <v>1.5324110026119884</v>
          </cell>
          <cell r="Q6011">
            <v>20.127806424218964</v>
          </cell>
        </row>
        <row r="6012">
          <cell r="O6012">
            <v>44882</v>
          </cell>
          <cell r="P6012">
            <v>1.5331446001479221</v>
          </cell>
          <cell r="Q6012">
            <v>20.137442030574825</v>
          </cell>
        </row>
        <row r="6013">
          <cell r="O6013">
            <v>44883</v>
          </cell>
          <cell r="P6013">
            <v>1.5338785490605746</v>
          </cell>
          <cell r="Q6013">
            <v>20.147082252169394</v>
          </cell>
        </row>
        <row r="6014">
          <cell r="O6014">
            <v>44886</v>
          </cell>
          <cell r="P6014">
            <v>1.5346128495177924</v>
          </cell>
          <cell r="Q6014">
            <v>20.156727091207291</v>
          </cell>
        </row>
        <row r="6015">
          <cell r="O6015">
            <v>44887</v>
          </cell>
          <cell r="P6015">
            <v>1.5353475016875056</v>
          </cell>
          <cell r="Q6015">
            <v>20.166376549894231</v>
          </cell>
        </row>
        <row r="6016">
          <cell r="O6016">
            <v>44888</v>
          </cell>
          <cell r="P6016">
            <v>1.5360825057377263</v>
          </cell>
          <cell r="Q6016">
            <v>20.176030630437012</v>
          </cell>
        </row>
        <row r="6017">
          <cell r="O6017">
            <v>44889</v>
          </cell>
          <cell r="P6017">
            <v>1.5368178618365471</v>
          </cell>
          <cell r="Q6017">
            <v>20.185689335043485</v>
          </cell>
        </row>
        <row r="6018">
          <cell r="O6018">
            <v>44890</v>
          </cell>
          <cell r="P6018">
            <v>1.5375535701521437</v>
          </cell>
          <cell r="Q6018">
            <v>20.195352665922584</v>
          </cell>
        </row>
        <row r="6019">
          <cell r="O6019">
            <v>44893</v>
          </cell>
          <cell r="P6019">
            <v>1.5382896308527723</v>
          </cell>
          <cell r="Q6019">
            <v>20.20502062528432</v>
          </cell>
        </row>
        <row r="6020">
          <cell r="O6020">
            <v>44894</v>
          </cell>
          <cell r="P6020">
            <v>1.5390260441067722</v>
          </cell>
          <cell r="Q6020">
            <v>20.214693215339778</v>
          </cell>
        </row>
        <row r="6021">
          <cell r="O6021">
            <v>44895</v>
          </cell>
          <cell r="P6021">
            <v>1.5397628100825638</v>
          </cell>
          <cell r="Q6021">
            <v>20.224370438301115</v>
          </cell>
        </row>
        <row r="6022">
          <cell r="O6022">
            <v>44896</v>
          </cell>
          <cell r="P6022">
            <v>1.5404999289486514</v>
          </cell>
          <cell r="Q6022">
            <v>20.234052296381595</v>
          </cell>
        </row>
        <row r="6023">
          <cell r="O6023">
            <v>44897</v>
          </cell>
          <cell r="P6023">
            <v>1.5412374008736192</v>
          </cell>
          <cell r="Q6023">
            <v>20.243738791795518</v>
          </cell>
        </row>
        <row r="6024">
          <cell r="O6024">
            <v>44900</v>
          </cell>
          <cell r="P6024">
            <v>1.5419752260261339</v>
          </cell>
          <cell r="Q6024">
            <v>20.25342992675828</v>
          </cell>
        </row>
        <row r="6025">
          <cell r="O6025">
            <v>44901</v>
          </cell>
          <cell r="P6025">
            <v>1.5427134045749444</v>
          </cell>
          <cell r="Q6025">
            <v>20.263125703486356</v>
          </cell>
        </row>
        <row r="6026">
          <cell r="O6026">
            <v>44902</v>
          </cell>
          <cell r="P6026">
            <v>1.5434519366888841</v>
          </cell>
          <cell r="Q6026">
            <v>20.272826124197319</v>
          </cell>
        </row>
        <row r="6027">
          <cell r="O6027">
            <v>44903</v>
          </cell>
          <cell r="P6027">
            <v>1.544190822536865</v>
          </cell>
          <cell r="Q6027">
            <v>20.28253119110979</v>
          </cell>
        </row>
        <row r="6028">
          <cell r="O6028">
            <v>44904</v>
          </cell>
          <cell r="P6028">
            <v>1.544930062287883</v>
          </cell>
          <cell r="Q6028">
            <v>20.292240906443478</v>
          </cell>
        </row>
        <row r="6029">
          <cell r="O6029">
            <v>44907</v>
          </cell>
          <cell r="P6029">
            <v>1.5456696561110177</v>
          </cell>
          <cell r="Q6029">
            <v>20.301955272419207</v>
          </cell>
        </row>
        <row r="6030">
          <cell r="O6030">
            <v>44908</v>
          </cell>
          <cell r="P6030">
            <v>1.5464096041754274</v>
          </cell>
          <cell r="Q6030">
            <v>20.311674291258818</v>
          </cell>
        </row>
        <row r="6031">
          <cell r="O6031">
            <v>44909</v>
          </cell>
          <cell r="P6031">
            <v>1.5471499066503558</v>
          </cell>
          <cell r="Q6031">
            <v>20.321397965185284</v>
          </cell>
        </row>
        <row r="6032">
          <cell r="O6032">
            <v>44910</v>
          </cell>
          <cell r="P6032">
            <v>1.5478905637051261</v>
          </cell>
          <cell r="Q6032">
            <v>20.331126296422621</v>
          </cell>
        </row>
        <row r="6033">
          <cell r="O6033">
            <v>44911</v>
          </cell>
          <cell r="P6033">
            <v>1.5486315755091498</v>
          </cell>
          <cell r="Q6033">
            <v>20.340859287196</v>
          </cell>
        </row>
        <row r="6034">
          <cell r="O6034">
            <v>44914</v>
          </cell>
          <cell r="P6034">
            <v>1.5493729422319125</v>
          </cell>
          <cell r="Q6034">
            <v>20.350596939731574</v>
          </cell>
        </row>
        <row r="6035">
          <cell r="O6035">
            <v>44915</v>
          </cell>
          <cell r="P6035">
            <v>1.5501146640429886</v>
          </cell>
          <cell r="Q6035">
            <v>20.360339256256655</v>
          </cell>
        </row>
        <row r="6036">
          <cell r="O6036">
            <v>44916</v>
          </cell>
          <cell r="P6036">
            <v>1.5508567411120342</v>
          </cell>
          <cell r="Q6036">
            <v>20.37008623899963</v>
          </cell>
        </row>
        <row r="6037">
          <cell r="O6037">
            <v>44917</v>
          </cell>
          <cell r="P6037">
            <v>1.5515991736087829</v>
          </cell>
          <cell r="Q6037">
            <v>20.379837890189901</v>
          </cell>
        </row>
        <row r="6038">
          <cell r="O6038">
            <v>44918</v>
          </cell>
          <cell r="P6038">
            <v>1.5523419617030576</v>
          </cell>
          <cell r="Q6038">
            <v>20.38959421205805</v>
          </cell>
        </row>
        <row r="6039">
          <cell r="O6039">
            <v>44921</v>
          </cell>
          <cell r="P6039">
            <v>1.5530851055647588</v>
          </cell>
          <cell r="Q6039">
            <v>20.399355206835672</v>
          </cell>
        </row>
        <row r="6040">
          <cell r="O6040">
            <v>44922</v>
          </cell>
          <cell r="P6040">
            <v>1.5538286053638732</v>
          </cell>
          <cell r="Q6040">
            <v>20.409120876755502</v>
          </cell>
        </row>
        <row r="6041">
          <cell r="O6041">
            <v>44923</v>
          </cell>
          <cell r="P6041">
            <v>1.5545724612704677</v>
          </cell>
          <cell r="Q6041">
            <v>20.418891224051315</v>
          </cell>
        </row>
        <row r="6042">
          <cell r="O6042">
            <v>44924</v>
          </cell>
          <cell r="P6042">
            <v>1.5553166734546935</v>
          </cell>
          <cell r="Q6042">
            <v>20.428666250958006</v>
          </cell>
        </row>
        <row r="6043">
          <cell r="O6043">
            <v>44925</v>
          </cell>
          <cell r="P6043">
            <v>1.5560612420867814</v>
          </cell>
          <cell r="Q6043">
            <v>20.438445959711512</v>
          </cell>
        </row>
        <row r="6044">
          <cell r="O6044">
            <v>44928</v>
          </cell>
          <cell r="P6044">
            <v>1.5568061673370501</v>
          </cell>
          <cell r="Q6044">
            <v>20.448230352548919</v>
          </cell>
        </row>
        <row r="6045">
          <cell r="O6045">
            <v>44929</v>
          </cell>
          <cell r="P6045">
            <v>1.5575619094257238</v>
          </cell>
          <cell r="Q6045">
            <v>20.458156821649919</v>
          </cell>
        </row>
        <row r="6046">
          <cell r="O6046">
            <v>44930</v>
          </cell>
          <cell r="P6046">
            <v>1.5583180185770318</v>
          </cell>
          <cell r="Q6046">
            <v>20.46808811201991</v>
          </cell>
        </row>
        <row r="6047">
          <cell r="O6047">
            <v>44931</v>
          </cell>
          <cell r="P6047">
            <v>1.5590744949688067</v>
          </cell>
          <cell r="Q6047">
            <v>20.478024225994673</v>
          </cell>
        </row>
        <row r="6048">
          <cell r="O6048">
            <v>44932</v>
          </cell>
          <cell r="P6048">
            <v>1.559831338778976</v>
          </cell>
          <cell r="Q6048">
            <v>20.487965165911241</v>
          </cell>
        </row>
        <row r="6049">
          <cell r="O6049">
            <v>44935</v>
          </cell>
          <cell r="P6049">
            <v>1.560588550185549</v>
          </cell>
          <cell r="Q6049">
            <v>20.497910934107722</v>
          </cell>
        </row>
        <row r="6050">
          <cell r="O6050">
            <v>44936</v>
          </cell>
          <cell r="P6050">
            <v>1.5613461293666251</v>
          </cell>
          <cell r="Q6050">
            <v>20.507861532923396</v>
          </cell>
        </row>
        <row r="6051">
          <cell r="O6051">
            <v>44937</v>
          </cell>
          <cell r="P6051">
            <v>1.562104076500394</v>
          </cell>
          <cell r="Q6051">
            <v>20.517816964698742</v>
          </cell>
        </row>
        <row r="6052">
          <cell r="O6052">
            <v>44938</v>
          </cell>
          <cell r="P6052">
            <v>1.5628623917651285</v>
          </cell>
          <cell r="Q6052">
            <v>20.527777231775321</v>
          </cell>
        </row>
        <row r="6053">
          <cell r="O6053">
            <v>44939</v>
          </cell>
          <cell r="P6053">
            <v>1.5636210753391919</v>
          </cell>
          <cell r="Q6053">
            <v>20.537742336495892</v>
          </cell>
        </row>
        <row r="6054">
          <cell r="O6054">
            <v>44942</v>
          </cell>
          <cell r="P6054">
            <v>1.5643801274010349</v>
          </cell>
          <cell r="Q6054">
            <v>20.547712281204355</v>
          </cell>
        </row>
        <row r="6055">
          <cell r="O6055">
            <v>44943</v>
          </cell>
          <cell r="P6055">
            <v>1.5651395481291979</v>
          </cell>
          <cell r="Q6055">
            <v>20.557687068245787</v>
          </cell>
        </row>
        <row r="6056">
          <cell r="O6056">
            <v>44944</v>
          </cell>
          <cell r="P6056">
            <v>1.5658993377023052</v>
          </cell>
          <cell r="Q6056">
            <v>20.567666699966374</v>
          </cell>
        </row>
        <row r="6057">
          <cell r="O6057">
            <v>44945</v>
          </cell>
          <cell r="P6057">
            <v>1.5666594962990741</v>
          </cell>
          <cell r="Q6057">
            <v>20.57765117871352</v>
          </cell>
        </row>
        <row r="6058">
          <cell r="O6058">
            <v>44946</v>
          </cell>
          <cell r="P6058">
            <v>1.5674200240983043</v>
          </cell>
          <cell r="Q6058">
            <v>20.587640506835708</v>
          </cell>
        </row>
        <row r="6059">
          <cell r="O6059">
            <v>44949</v>
          </cell>
          <cell r="P6059">
            <v>1.5681809212788904</v>
          </cell>
          <cell r="Q6059">
            <v>20.597634686682674</v>
          </cell>
        </row>
        <row r="6060">
          <cell r="O6060">
            <v>44950</v>
          </cell>
          <cell r="P6060">
            <v>1.5689421880198102</v>
          </cell>
          <cell r="Q6060">
            <v>20.607633720605239</v>
          </cell>
        </row>
        <row r="6061">
          <cell r="O6061">
            <v>44951</v>
          </cell>
          <cell r="P6061">
            <v>1.5697038245001289</v>
          </cell>
          <cell r="Q6061">
            <v>20.617637610955377</v>
          </cell>
        </row>
        <row r="6062">
          <cell r="O6062">
            <v>44952</v>
          </cell>
          <cell r="P6062">
            <v>1.570465830899004</v>
          </cell>
          <cell r="Q6062">
            <v>20.627646360086278</v>
          </cell>
        </row>
        <row r="6063">
          <cell r="O6063">
            <v>44953</v>
          </cell>
          <cell r="P6063">
            <v>1.5712282073956791</v>
          </cell>
          <cell r="Q6063">
            <v>20.637659970352257</v>
          </cell>
        </row>
        <row r="6064">
          <cell r="O6064">
            <v>44956</v>
          </cell>
          <cell r="P6064">
            <v>1.5719909541694863</v>
          </cell>
          <cell r="Q6064">
            <v>20.647678444108788</v>
          </cell>
        </row>
        <row r="6065">
          <cell r="O6065">
            <v>44957</v>
          </cell>
          <cell r="P6065">
            <v>1.5727540713998458</v>
          </cell>
          <cell r="Q6065">
            <v>20.657701783712511</v>
          </cell>
        </row>
        <row r="6066">
          <cell r="O6066">
            <v>44958</v>
          </cell>
          <cell r="P6066">
            <v>1.5735175592662649</v>
          </cell>
          <cell r="Q6066">
            <v>20.667729991521206</v>
          </cell>
        </row>
        <row r="6067">
          <cell r="O6067">
            <v>44959</v>
          </cell>
          <cell r="P6067">
            <v>1.5742814179483429</v>
          </cell>
          <cell r="Q6067">
            <v>20.67776306989386</v>
          </cell>
        </row>
        <row r="6068">
          <cell r="O6068">
            <v>44960</v>
          </cell>
          <cell r="P6068">
            <v>1.5750456476257624</v>
          </cell>
          <cell r="Q6068">
            <v>20.687801021190559</v>
          </cell>
        </row>
        <row r="6069">
          <cell r="O6069">
            <v>44963</v>
          </cell>
          <cell r="P6069">
            <v>1.5758102484783005</v>
          </cell>
          <cell r="Q6069">
            <v>20.697843847772621</v>
          </cell>
        </row>
        <row r="6070">
          <cell r="O6070">
            <v>44964</v>
          </cell>
          <cell r="P6070">
            <v>1.5765752206858175</v>
          </cell>
          <cell r="Q6070">
            <v>20.707891552002469</v>
          </cell>
        </row>
        <row r="6071">
          <cell r="O6071">
            <v>44965</v>
          </cell>
          <cell r="P6071">
            <v>1.5773405644282654</v>
          </cell>
          <cell r="Q6071">
            <v>20.717944136243723</v>
          </cell>
        </row>
        <row r="6072">
          <cell r="O6072">
            <v>44966</v>
          </cell>
          <cell r="P6072">
            <v>1.5781062798856837</v>
          </cell>
          <cell r="Q6072">
            <v>20.728001602861148</v>
          </cell>
        </row>
        <row r="6073">
          <cell r="O6073">
            <v>44967</v>
          </cell>
          <cell r="P6073">
            <v>1.5788723672382003</v>
          </cell>
          <cell r="Q6073">
            <v>20.738063954220681</v>
          </cell>
        </row>
        <row r="6074">
          <cell r="O6074">
            <v>44970</v>
          </cell>
          <cell r="P6074">
            <v>1.5796388266660311</v>
          </cell>
          <cell r="Q6074">
            <v>20.74813119268941</v>
          </cell>
        </row>
        <row r="6075">
          <cell r="O6075">
            <v>44971</v>
          </cell>
          <cell r="P6075">
            <v>1.5804056583494837</v>
          </cell>
          <cell r="Q6075">
            <v>20.758203320635619</v>
          </cell>
        </row>
        <row r="6076">
          <cell r="O6076">
            <v>44972</v>
          </cell>
          <cell r="P6076">
            <v>1.5811728624689512</v>
          </cell>
          <cell r="Q6076">
            <v>20.768280340428735</v>
          </cell>
        </row>
        <row r="6077">
          <cell r="O6077">
            <v>44973</v>
          </cell>
          <cell r="P6077">
            <v>1.5819404392049179</v>
          </cell>
          <cell r="Q6077">
            <v>20.778362254439362</v>
          </cell>
        </row>
        <row r="6078">
          <cell r="O6078">
            <v>44974</v>
          </cell>
          <cell r="P6078">
            <v>1.5827083887379523</v>
          </cell>
          <cell r="Q6078">
            <v>20.78844906503922</v>
          </cell>
        </row>
        <row r="6079">
          <cell r="O6079">
            <v>44979</v>
          </cell>
          <cell r="P6079">
            <v>1.5834767112487194</v>
          </cell>
          <cell r="Q6079">
            <v>20.798540774601296</v>
          </cell>
        </row>
        <row r="6080">
          <cell r="O6080">
            <v>44980</v>
          </cell>
          <cell r="P6080">
            <v>1.5842454069179659</v>
          </cell>
          <cell r="Q6080">
            <v>20.808637385499647</v>
          </cell>
        </row>
        <row r="6081">
          <cell r="O6081">
            <v>44981</v>
          </cell>
          <cell r="P6081">
            <v>1.5850144759265306</v>
          </cell>
          <cell r="Q6081">
            <v>20.818738900109548</v>
          </cell>
        </row>
        <row r="6082">
          <cell r="O6082">
            <v>44984</v>
          </cell>
          <cell r="P6082">
            <v>1.5857839184553422</v>
          </cell>
          <cell r="Q6082">
            <v>20.828845320807442</v>
          </cell>
        </row>
        <row r="6083">
          <cell r="O6083">
            <v>44985</v>
          </cell>
          <cell r="P6083">
            <v>1.5865537346854159</v>
          </cell>
          <cell r="Q6083">
            <v>20.838956649970925</v>
          </cell>
        </row>
        <row r="6084">
          <cell r="O6084">
            <v>44986</v>
          </cell>
          <cell r="P6084">
            <v>1.5873239247978583</v>
          </cell>
          <cell r="Q6084">
            <v>20.849072889978771</v>
          </cell>
        </row>
        <row r="6085">
          <cell r="O6085">
            <v>44987</v>
          </cell>
          <cell r="P6085">
            <v>1.5880944889738642</v>
          </cell>
          <cell r="Q6085">
            <v>20.85919404321093</v>
          </cell>
        </row>
        <row r="6086">
          <cell r="O6086">
            <v>44988</v>
          </cell>
          <cell r="P6086">
            <v>1.5888654273947158</v>
          </cell>
          <cell r="Q6086">
            <v>20.869320112048499</v>
          </cell>
        </row>
        <row r="6087">
          <cell r="O6087">
            <v>44991</v>
          </cell>
          <cell r="P6087">
            <v>1.5896367402417857</v>
          </cell>
          <cell r="Q6087">
            <v>20.879451098873751</v>
          </cell>
        </row>
        <row r="6088">
          <cell r="O6088">
            <v>44992</v>
          </cell>
          <cell r="P6088">
            <v>1.5904084276965378</v>
          </cell>
          <cell r="Q6088">
            <v>20.889587006070172</v>
          </cell>
        </row>
        <row r="6089">
          <cell r="O6089">
            <v>44993</v>
          </cell>
          <cell r="P6089">
            <v>1.5911804899405211</v>
          </cell>
          <cell r="Q6089">
            <v>20.899727836022354</v>
          </cell>
        </row>
        <row r="6090">
          <cell r="O6090">
            <v>44994</v>
          </cell>
          <cell r="P6090">
            <v>1.5919529271553781</v>
          </cell>
          <cell r="Q6090">
            <v>20.909873591116128</v>
          </cell>
        </row>
        <row r="6091">
          <cell r="O6091">
            <v>44995</v>
          </cell>
          <cell r="P6091">
            <v>1.5927257395228387</v>
          </cell>
          <cell r="Q6091">
            <v>20.920024273738463</v>
          </cell>
        </row>
        <row r="6092">
          <cell r="O6092">
            <v>44998</v>
          </cell>
          <cell r="P6092">
            <v>1.5934989272247206</v>
          </cell>
          <cell r="Q6092">
            <v>20.930179886277489</v>
          </cell>
        </row>
        <row r="6093">
          <cell r="O6093">
            <v>44999</v>
          </cell>
          <cell r="P6093">
            <v>1.5942724904429324</v>
          </cell>
          <cell r="Q6093">
            <v>20.940340431122522</v>
          </cell>
        </row>
        <row r="6094">
          <cell r="O6094">
            <v>45000</v>
          </cell>
          <cell r="P6094">
            <v>1.5950464293594722</v>
          </cell>
          <cell r="Q6094">
            <v>20.950505910664063</v>
          </cell>
        </row>
        <row r="6095">
          <cell r="O6095">
            <v>45001</v>
          </cell>
          <cell r="P6095">
            <v>1.5958207441564294</v>
          </cell>
          <cell r="Q6095">
            <v>20.960676327293804</v>
          </cell>
        </row>
        <row r="6096">
          <cell r="O6096">
            <v>45002</v>
          </cell>
          <cell r="P6096">
            <v>1.596595435015977</v>
          </cell>
          <cell r="Q6096">
            <v>20.97085168340454</v>
          </cell>
        </row>
        <row r="6097">
          <cell r="O6097">
            <v>45005</v>
          </cell>
          <cell r="P6097">
            <v>1.597370502120385</v>
          </cell>
          <cell r="Q6097">
            <v>20.981031981390338</v>
          </cell>
        </row>
        <row r="6098">
          <cell r="O6098">
            <v>45006</v>
          </cell>
          <cell r="P6098">
            <v>1.5981459456520084</v>
          </cell>
          <cell r="Q6098">
            <v>20.99121722364638</v>
          </cell>
        </row>
        <row r="6099">
          <cell r="O6099">
            <v>45007</v>
          </cell>
          <cell r="P6099">
            <v>1.5989217657932919</v>
          </cell>
          <cell r="Q6099">
            <v>21.00140741256903</v>
          </cell>
        </row>
        <row r="6100">
          <cell r="O6100">
            <v>45008</v>
          </cell>
          <cell r="P6100">
            <v>1.5996979627267722</v>
          </cell>
          <cell r="Q6100">
            <v>21.011602550555857</v>
          </cell>
        </row>
        <row r="6101">
          <cell r="O6101">
            <v>45009</v>
          </cell>
          <cell r="P6101">
            <v>1.6004745366350714</v>
          </cell>
          <cell r="Q6101">
            <v>21.021802640005557</v>
          </cell>
        </row>
        <row r="6102">
          <cell r="O6102">
            <v>45012</v>
          </cell>
          <cell r="P6102">
            <v>1.6012514877009083</v>
          </cell>
          <cell r="Q6102">
            <v>21.032007683318088</v>
          </cell>
        </row>
        <row r="6103">
          <cell r="O6103">
            <v>45013</v>
          </cell>
          <cell r="P6103">
            <v>1.6020288161070841</v>
          </cell>
          <cell r="Q6103">
            <v>21.042217682894499</v>
          </cell>
        </row>
        <row r="6104">
          <cell r="O6104">
            <v>45014</v>
          </cell>
          <cell r="P6104">
            <v>1.602806522036494</v>
          </cell>
          <cell r="Q6104">
            <v>21.052432641137063</v>
          </cell>
        </row>
        <row r="6105">
          <cell r="O6105">
            <v>45015</v>
          </cell>
          <cell r="P6105">
            <v>1.6035846056721239</v>
          </cell>
          <cell r="Q6105">
            <v>21.062652560449258</v>
          </cell>
        </row>
        <row r="6106">
          <cell r="O6106">
            <v>45016</v>
          </cell>
          <cell r="P6106">
            <v>1.6043630671970441</v>
          </cell>
          <cell r="Q6106">
            <v>21.072877443235658</v>
          </cell>
        </row>
        <row r="6107">
          <cell r="O6107">
            <v>45019</v>
          </cell>
          <cell r="P6107">
            <v>1.6051419067944217</v>
          </cell>
          <cell r="Q6107">
            <v>21.083107291902113</v>
          </cell>
        </row>
        <row r="6108">
          <cell r="O6108">
            <v>45020</v>
          </cell>
          <cell r="P6108">
            <v>1.6059149536084423</v>
          </cell>
          <cell r="Q6108">
            <v>21.093261053916965</v>
          </cell>
        </row>
        <row r="6109">
          <cell r="O6109">
            <v>45021</v>
          </cell>
          <cell r="P6109">
            <v>1.6066883728841306</v>
          </cell>
          <cell r="Q6109">
            <v>21.103419708115663</v>
          </cell>
        </row>
        <row r="6110">
          <cell r="O6110">
            <v>45022</v>
          </cell>
          <cell r="P6110">
            <v>1.6074621648005991</v>
          </cell>
          <cell r="Q6110">
            <v>21.113583256850799</v>
          </cell>
        </row>
        <row r="6111">
          <cell r="O6111">
            <v>45026</v>
          </cell>
          <cell r="P6111">
            <v>1.6082363295370512</v>
          </cell>
          <cell r="Q6111">
            <v>21.123751702476159</v>
          </cell>
        </row>
        <row r="6112">
          <cell r="O6112">
            <v>45027</v>
          </cell>
          <cell r="P6112">
            <v>1.6090108672727776</v>
          </cell>
          <cell r="Q6112">
            <v>21.133925047346679</v>
          </cell>
        </row>
        <row r="6113">
          <cell r="O6113">
            <v>45028</v>
          </cell>
          <cell r="P6113">
            <v>1.6097857781871554</v>
          </cell>
          <cell r="Q6113">
            <v>21.144103293818432</v>
          </cell>
        </row>
        <row r="6114">
          <cell r="O6114">
            <v>45029</v>
          </cell>
          <cell r="P6114">
            <v>1.6105610624596471</v>
          </cell>
          <cell r="Q6114">
            <v>21.154286444248608</v>
          </cell>
        </row>
        <row r="6115">
          <cell r="O6115">
            <v>45030</v>
          </cell>
          <cell r="P6115">
            <v>1.6113367202698059</v>
          </cell>
          <cell r="Q6115">
            <v>21.164474500995592</v>
          </cell>
        </row>
        <row r="6116">
          <cell r="O6116">
            <v>45033</v>
          </cell>
          <cell r="P6116">
            <v>1.6121127517972713</v>
          </cell>
          <cell r="Q6116">
            <v>21.174667466418896</v>
          </cell>
        </row>
        <row r="6117">
          <cell r="O6117">
            <v>45034</v>
          </cell>
          <cell r="P6117">
            <v>1.612889157221769</v>
          </cell>
          <cell r="Q6117">
            <v>21.184865342879167</v>
          </cell>
        </row>
        <row r="6118">
          <cell r="O6118">
            <v>45035</v>
          </cell>
          <cell r="P6118">
            <v>1.6136659367231134</v>
          </cell>
          <cell r="Q6118">
            <v>21.195068132738228</v>
          </cell>
        </row>
        <row r="6119">
          <cell r="O6119">
            <v>45036</v>
          </cell>
          <cell r="P6119">
            <v>1.6144430904812062</v>
          </cell>
          <cell r="Q6119">
            <v>21.205275838359032</v>
          </cell>
        </row>
        <row r="6120">
          <cell r="O6120">
            <v>45040</v>
          </cell>
          <cell r="P6120">
            <v>1.6152206186760372</v>
          </cell>
          <cell r="Q6120">
            <v>21.215488462105704</v>
          </cell>
        </row>
        <row r="6121">
          <cell r="O6121">
            <v>45041</v>
          </cell>
          <cell r="P6121">
            <v>1.6159985214876817</v>
          </cell>
          <cell r="Q6121">
            <v>21.225706006343476</v>
          </cell>
        </row>
        <row r="6122">
          <cell r="O6122">
            <v>45042</v>
          </cell>
          <cell r="P6122">
            <v>1.6167767990963064</v>
          </cell>
          <cell r="Q6122">
            <v>21.23592847343879</v>
          </cell>
        </row>
        <row r="6123">
          <cell r="O6123">
            <v>45043</v>
          </cell>
          <cell r="P6123">
            <v>1.6175554516821622</v>
          </cell>
          <cell r="Q6123">
            <v>21.246155865759199</v>
          </cell>
        </row>
        <row r="6124">
          <cell r="O6124">
            <v>45044</v>
          </cell>
          <cell r="P6124">
            <v>1.6183344794255901</v>
          </cell>
          <cell r="Q6124">
            <v>21.25638818567343</v>
          </cell>
        </row>
        <row r="6125">
          <cell r="O6125">
            <v>45048</v>
          </cell>
          <cell r="P6125">
            <v>1.6191138825070168</v>
          </cell>
          <cell r="Q6125">
            <v>21.26662543555134</v>
          </cell>
        </row>
        <row r="6126">
          <cell r="O6126">
            <v>45049</v>
          </cell>
          <cell r="P6126">
            <v>1.6198936611069583</v>
          </cell>
          <cell r="Q6126">
            <v>21.276867617763955</v>
          </cell>
        </row>
        <row r="6127">
          <cell r="O6127">
            <v>45050</v>
          </cell>
          <cell r="P6127">
            <v>1.6206738154060194</v>
          </cell>
          <cell r="Q6127">
            <v>21.287114734683477</v>
          </cell>
        </row>
        <row r="6128">
          <cell r="O6128">
            <v>45051</v>
          </cell>
          <cell r="P6128">
            <v>1.621454345584888</v>
          </cell>
          <cell r="Q6128">
            <v>21.297366788683185</v>
          </cell>
        </row>
        <row r="6129">
          <cell r="O6129">
            <v>45054</v>
          </cell>
          <cell r="P6129">
            <v>1.6222352518243464</v>
          </cell>
          <cell r="Q6129">
            <v>21.307623782137615</v>
          </cell>
        </row>
        <row r="6130">
          <cell r="O6130">
            <v>45055</v>
          </cell>
          <cell r="P6130">
            <v>1.6230165343052603</v>
          </cell>
          <cell r="Q6130">
            <v>21.317885717422381</v>
          </cell>
        </row>
        <row r="6131">
          <cell r="O6131">
            <v>45056</v>
          </cell>
          <cell r="P6131">
            <v>1.6237981932085848</v>
          </cell>
          <cell r="Q6131">
            <v>21.328152596914283</v>
          </cell>
        </row>
        <row r="6132">
          <cell r="O6132">
            <v>45057</v>
          </cell>
          <cell r="P6132">
            <v>1.6245802287153639</v>
          </cell>
          <cell r="Q6132">
            <v>21.338424422991285</v>
          </cell>
        </row>
        <row r="6133">
          <cell r="O6133">
            <v>45058</v>
          </cell>
          <cell r="P6133">
            <v>1.6253626410067299</v>
          </cell>
          <cell r="Q6133">
            <v>21.348701198032511</v>
          </cell>
        </row>
        <row r="6134">
          <cell r="O6134">
            <v>45061</v>
          </cell>
          <cell r="P6134">
            <v>1.6261454302639002</v>
          </cell>
          <cell r="Q6134">
            <v>21.358982924418207</v>
          </cell>
        </row>
        <row r="6135">
          <cell r="O6135">
            <v>45062</v>
          </cell>
          <cell r="P6135">
            <v>1.6269285966681837</v>
          </cell>
          <cell r="Q6135">
            <v>21.369269604529809</v>
          </cell>
        </row>
        <row r="6136">
          <cell r="O6136">
            <v>45063</v>
          </cell>
          <cell r="P6136">
            <v>1.6277121404009749</v>
          </cell>
          <cell r="Q6136">
            <v>21.37956124074989</v>
          </cell>
        </row>
        <row r="6137">
          <cell r="O6137">
            <v>45064</v>
          </cell>
          <cell r="P6137">
            <v>1.6284960616437594</v>
          </cell>
          <cell r="Q6137">
            <v>21.389857835462212</v>
          </cell>
        </row>
        <row r="6138">
          <cell r="O6138">
            <v>45065</v>
          </cell>
          <cell r="P6138">
            <v>1.6292803605781088</v>
          </cell>
          <cell r="Q6138">
            <v>21.40015939105167</v>
          </cell>
        </row>
        <row r="6139">
          <cell r="O6139">
            <v>45068</v>
          </cell>
          <cell r="P6139">
            <v>1.6300650373856829</v>
          </cell>
          <cell r="Q6139">
            <v>21.410465909904318</v>
          </cell>
        </row>
        <row r="6140">
          <cell r="O6140">
            <v>45069</v>
          </cell>
          <cell r="P6140">
            <v>1.6308500922482325</v>
          </cell>
          <cell r="Q6140">
            <v>21.420777394407402</v>
          </cell>
        </row>
        <row r="6141">
          <cell r="O6141">
            <v>45070</v>
          </cell>
          <cell r="P6141">
            <v>1.631635525347594</v>
          </cell>
          <cell r="Q6141">
            <v>21.431093846949299</v>
          </cell>
        </row>
        <row r="6142">
          <cell r="O6142">
            <v>45071</v>
          </cell>
          <cell r="P6142">
            <v>1.6324213368656924</v>
          </cell>
          <cell r="Q6142">
            <v>21.441415269919535</v>
          </cell>
        </row>
        <row r="6143">
          <cell r="O6143">
            <v>45072</v>
          </cell>
          <cell r="P6143">
            <v>1.6332075269845441</v>
          </cell>
          <cell r="Q6143">
            <v>21.451741665708855</v>
          </cell>
        </row>
        <row r="6144">
          <cell r="O6144">
            <v>45075</v>
          </cell>
          <cell r="P6144">
            <v>1.6339940958862489</v>
          </cell>
          <cell r="Q6144">
            <v>21.462073036709089</v>
          </cell>
        </row>
        <row r="6145">
          <cell r="O6145">
            <v>45076</v>
          </cell>
          <cell r="P6145">
            <v>1.634781043753001</v>
          </cell>
          <cell r="Q6145">
            <v>21.472409385313309</v>
          </cell>
        </row>
        <row r="6146">
          <cell r="O6146">
            <v>45077</v>
          </cell>
          <cell r="P6146">
            <v>1.6355683707670792</v>
          </cell>
          <cell r="Q6146">
            <v>21.482750713915696</v>
          </cell>
        </row>
        <row r="6147">
          <cell r="O6147">
            <v>45078</v>
          </cell>
          <cell r="P6147">
            <v>1.6363560771108514</v>
          </cell>
          <cell r="Q6147">
            <v>21.493097024911606</v>
          </cell>
        </row>
        <row r="6148">
          <cell r="O6148">
            <v>45079</v>
          </cell>
          <cell r="P6148">
            <v>1.6371441629667756</v>
          </cell>
          <cell r="Q6148">
            <v>21.503448320697572</v>
          </cell>
        </row>
        <row r="6149">
          <cell r="O6149">
            <v>45082</v>
          </cell>
          <cell r="P6149">
            <v>1.6379326285173961</v>
          </cell>
          <cell r="Q6149">
            <v>21.513804603671268</v>
          </cell>
        </row>
        <row r="6150">
          <cell r="O6150">
            <v>45083</v>
          </cell>
          <cell r="P6150">
            <v>1.6387214739453499</v>
          </cell>
          <cell r="Q6150">
            <v>21.524165876231582</v>
          </cell>
        </row>
        <row r="6151">
          <cell r="O6151">
            <v>45084</v>
          </cell>
          <cell r="P6151">
            <v>1.639510699433361</v>
          </cell>
          <cell r="Q6151">
            <v>21.534532140778541</v>
          </cell>
        </row>
        <row r="6152">
          <cell r="O6152">
            <v>45086</v>
          </cell>
          <cell r="P6152">
            <v>1.6403003051642382</v>
          </cell>
          <cell r="Q6152">
            <v>21.544903399713291</v>
          </cell>
        </row>
        <row r="6153">
          <cell r="O6153">
            <v>45089</v>
          </cell>
          <cell r="P6153">
            <v>1.6410902913208851</v>
          </cell>
          <cell r="Q6153">
            <v>21.555279655438223</v>
          </cell>
        </row>
        <row r="6154">
          <cell r="O6154">
            <v>45090</v>
          </cell>
          <cell r="P6154">
            <v>1.641880658086291</v>
          </cell>
          <cell r="Q6154">
            <v>21.565660910356851</v>
          </cell>
        </row>
        <row r="6155">
          <cell r="O6155">
            <v>45091</v>
          </cell>
          <cell r="P6155">
            <v>1.6426714056435352</v>
          </cell>
          <cell r="Q6155">
            <v>21.576047166873874</v>
          </cell>
        </row>
        <row r="6156">
          <cell r="O6156">
            <v>45092</v>
          </cell>
          <cell r="P6156">
            <v>1.6434625341757851</v>
          </cell>
          <cell r="Q6156">
            <v>21.586438427395144</v>
          </cell>
        </row>
        <row r="6157">
          <cell r="O6157">
            <v>45093</v>
          </cell>
          <cell r="P6157">
            <v>1.6442540438662996</v>
          </cell>
          <cell r="Q6157">
            <v>21.596834694327718</v>
          </cell>
        </row>
        <row r="6158">
          <cell r="O6158">
            <v>45096</v>
          </cell>
          <cell r="P6158">
            <v>1.6450459348984217</v>
          </cell>
          <cell r="Q6158">
            <v>21.60723597007976</v>
          </cell>
        </row>
        <row r="6159">
          <cell r="O6159">
            <v>45097</v>
          </cell>
          <cell r="P6159">
            <v>1.6458382074555886</v>
          </cell>
          <cell r="Q6159">
            <v>21.617642257060666</v>
          </cell>
        </row>
        <row r="6160">
          <cell r="O6160">
            <v>45098</v>
          </cell>
          <cell r="P6160">
            <v>1.6466308617213234</v>
          </cell>
          <cell r="Q6160">
            <v>21.62805355768096</v>
          </cell>
        </row>
        <row r="6161">
          <cell r="O6161">
            <v>45099</v>
          </cell>
          <cell r="P6161">
            <v>1.647423897879241</v>
          </cell>
          <cell r="Q6161">
            <v>21.638469874352378</v>
          </cell>
        </row>
        <row r="6162">
          <cell r="O6162">
            <v>45100</v>
          </cell>
          <cell r="P6162">
            <v>1.6482173161130418</v>
          </cell>
          <cell r="Q6162">
            <v>21.648891209487775</v>
          </cell>
        </row>
        <row r="6163">
          <cell r="O6163">
            <v>45103</v>
          </cell>
          <cell r="P6163">
            <v>1.6490111166065211</v>
          </cell>
          <cell r="Q6163">
            <v>21.659317565501251</v>
          </cell>
        </row>
        <row r="6164">
          <cell r="O6164">
            <v>45104</v>
          </cell>
          <cell r="P6164">
            <v>1.6498052995435564</v>
          </cell>
          <cell r="Q6164">
            <v>21.669748944807989</v>
          </cell>
        </row>
        <row r="6165">
          <cell r="O6165">
            <v>45105</v>
          </cell>
          <cell r="P6165">
            <v>1.6505998651081206</v>
          </cell>
          <cell r="Q6165">
            <v>21.680185349824423</v>
          </cell>
        </row>
        <row r="6166">
          <cell r="O6166">
            <v>45106</v>
          </cell>
          <cell r="P6166">
            <v>1.6513948134842731</v>
          </cell>
          <cell r="Q6166">
            <v>21.690626782968124</v>
          </cell>
        </row>
        <row r="6167">
          <cell r="O6167">
            <v>45107</v>
          </cell>
          <cell r="P6167">
            <v>1.6521901448561633</v>
          </cell>
          <cell r="Q6167">
            <v>21.701073246657845</v>
          </cell>
        </row>
        <row r="6168">
          <cell r="O6168">
            <v>45110</v>
          </cell>
          <cell r="P6168">
            <v>1.6529858594080309</v>
          </cell>
          <cell r="Q6168">
            <v>21.711524743313522</v>
          </cell>
        </row>
        <row r="6169">
          <cell r="O6169">
            <v>45111</v>
          </cell>
          <cell r="P6169">
            <v>1.6537922515384513</v>
          </cell>
          <cell r="Q6169">
            <v>21.722116487092084</v>
          </cell>
        </row>
        <row r="6170">
          <cell r="O6170">
            <v>45112</v>
          </cell>
          <cell r="P6170">
            <v>1.6545990372118125</v>
          </cell>
          <cell r="Q6170">
            <v>21.732713399951344</v>
          </cell>
        </row>
        <row r="6171">
          <cell r="O6171">
            <v>45113</v>
          </cell>
          <cell r="P6171">
            <v>1.6554062166198673</v>
          </cell>
          <cell r="Q6171">
            <v>21.743315484409919</v>
          </cell>
        </row>
        <row r="6172">
          <cell r="O6172">
            <v>45114</v>
          </cell>
          <cell r="P6172">
            <v>1.6562137899544598</v>
          </cell>
          <cell r="Q6172">
            <v>21.753922742987633</v>
          </cell>
        </row>
        <row r="6173">
          <cell r="O6173">
            <v>45117</v>
          </cell>
          <cell r="P6173">
            <v>1.6570217574075299</v>
          </cell>
          <cell r="Q6173">
            <v>21.764535178205563</v>
          </cell>
        </row>
        <row r="6174">
          <cell r="O6174">
            <v>45118</v>
          </cell>
          <cell r="P6174">
            <v>1.6578301191711113</v>
          </cell>
          <cell r="Q6174">
            <v>21.775152792586024</v>
          </cell>
        </row>
        <row r="6175">
          <cell r="O6175">
            <v>45119</v>
          </cell>
          <cell r="P6175">
            <v>1.6586388754373351</v>
          </cell>
          <cell r="Q6175">
            <v>21.785775588652601</v>
          </cell>
        </row>
        <row r="6176">
          <cell r="O6176">
            <v>45120</v>
          </cell>
          <cell r="P6176">
            <v>1.6594480263984224</v>
          </cell>
          <cell r="Q6176">
            <v>21.796403568930067</v>
          </cell>
        </row>
        <row r="6177">
          <cell r="O6177">
            <v>45121</v>
          </cell>
          <cell r="P6177">
            <v>1.6602575722466926</v>
          </cell>
          <cell r="Q6177">
            <v>21.807036735944489</v>
          </cell>
        </row>
        <row r="6178">
          <cell r="O6178">
            <v>45124</v>
          </cell>
          <cell r="P6178">
            <v>1.6610675131745569</v>
          </cell>
          <cell r="Q6178">
            <v>21.817675092223137</v>
          </cell>
        </row>
        <row r="6179">
          <cell r="O6179">
            <v>45125</v>
          </cell>
          <cell r="P6179">
            <v>1.6618778493745241</v>
          </cell>
          <cell r="Q6179">
            <v>21.828318640294562</v>
          </cell>
        </row>
        <row r="6180">
          <cell r="O6180">
            <v>45126</v>
          </cell>
          <cell r="P6180">
            <v>1.6626885810391974</v>
          </cell>
          <cell r="Q6180">
            <v>21.838967382688548</v>
          </cell>
        </row>
        <row r="6181">
          <cell r="O6181">
            <v>45127</v>
          </cell>
          <cell r="P6181">
            <v>1.6634997083612693</v>
          </cell>
          <cell r="Q6181">
            <v>21.849621321936066</v>
          </cell>
        </row>
        <row r="6182">
          <cell r="O6182">
            <v>45128</v>
          </cell>
          <cell r="P6182">
            <v>1.6643112315335356</v>
          </cell>
          <cell r="Q6182">
            <v>21.860280460569438</v>
          </cell>
        </row>
        <row r="6183">
          <cell r="O6183">
            <v>45131</v>
          </cell>
          <cell r="P6183">
            <v>1.66512315074888</v>
          </cell>
          <cell r="Q6183">
            <v>21.870944801122135</v>
          </cell>
        </row>
        <row r="6184">
          <cell r="O6184">
            <v>45132</v>
          </cell>
          <cell r="P6184">
            <v>1.6659354662002865</v>
          </cell>
          <cell r="Q6184">
            <v>21.881614346128956</v>
          </cell>
        </row>
        <row r="6185">
          <cell r="O6185">
            <v>45133</v>
          </cell>
          <cell r="P6185">
            <v>1.6667481780808278</v>
          </cell>
          <cell r="Q6185">
            <v>21.89228909812585</v>
          </cell>
        </row>
        <row r="6186">
          <cell r="O6186">
            <v>45134</v>
          </cell>
          <cell r="P6186">
            <v>1.6675612865836795</v>
          </cell>
          <cell r="Q6186">
            <v>21.902969059650136</v>
          </cell>
        </row>
        <row r="6187">
          <cell r="O6187">
            <v>45135</v>
          </cell>
          <cell r="P6187">
            <v>1.6683747919021041</v>
          </cell>
          <cell r="Q6187">
            <v>21.913654233240258</v>
          </cell>
        </row>
        <row r="6188">
          <cell r="O6188">
            <v>45138</v>
          </cell>
          <cell r="P6188">
            <v>1.6691886942294636</v>
          </cell>
          <cell r="Q6188">
            <v>21.924344621435978</v>
          </cell>
        </row>
        <row r="6189">
          <cell r="O6189">
            <v>45139</v>
          </cell>
          <cell r="P6189">
            <v>1.6700029937592162</v>
          </cell>
          <cell r="Q6189">
            <v>21.935040226778316</v>
          </cell>
        </row>
        <row r="6190">
          <cell r="O6190">
            <v>45140</v>
          </cell>
          <cell r="P6190">
            <v>1.6708176906849126</v>
          </cell>
          <cell r="Q6190">
            <v>21.945741051809506</v>
          </cell>
        </row>
        <row r="6191">
          <cell r="O6191">
            <v>45141</v>
          </cell>
          <cell r="P6191">
            <v>1.6716327852001993</v>
          </cell>
          <cell r="Q6191">
            <v>21.956447099073046</v>
          </cell>
        </row>
        <row r="6192">
          <cell r="O6192">
            <v>45142</v>
          </cell>
          <cell r="P6192">
            <v>1.6724482774988174</v>
          </cell>
          <cell r="Q6192">
            <v>21.967158371113673</v>
          </cell>
        </row>
        <row r="6193">
          <cell r="O6193">
            <v>45145</v>
          </cell>
          <cell r="P6193">
            <v>1.6732641677746061</v>
          </cell>
          <cell r="Q6193">
            <v>21.977874870477411</v>
          </cell>
        </row>
        <row r="6194">
          <cell r="O6194">
            <v>45146</v>
          </cell>
          <cell r="P6194">
            <v>1.674080456221497</v>
          </cell>
          <cell r="Q6194">
            <v>21.988596599711503</v>
          </cell>
        </row>
        <row r="6195">
          <cell r="O6195">
            <v>45147</v>
          </cell>
          <cell r="P6195">
            <v>1.674897143033518</v>
          </cell>
          <cell r="Q6195">
            <v>21.999323561364449</v>
          </cell>
        </row>
        <row r="6196">
          <cell r="O6196">
            <v>45148</v>
          </cell>
          <cell r="P6196">
            <v>1.6757142284047928</v>
          </cell>
          <cell r="Q6196">
            <v>22.010055757986013</v>
          </cell>
        </row>
        <row r="6197">
          <cell r="O6197">
            <v>45149</v>
          </cell>
          <cell r="P6197">
            <v>1.67653171252954</v>
          </cell>
          <cell r="Q6197">
            <v>22.020793192127204</v>
          </cell>
        </row>
        <row r="6198">
          <cell r="O6198">
            <v>45152</v>
          </cell>
          <cell r="P6198">
            <v>1.677349595602075</v>
          </cell>
          <cell r="Q6198">
            <v>22.031535866340302</v>
          </cell>
        </row>
        <row r="6199">
          <cell r="O6199">
            <v>45153</v>
          </cell>
          <cell r="P6199">
            <v>1.6781678778168052</v>
          </cell>
          <cell r="Q6199">
            <v>22.042283783178799</v>
          </cell>
        </row>
        <row r="6200">
          <cell r="O6200">
            <v>45154</v>
          </cell>
          <cell r="P6200">
            <v>1.6789865593682378</v>
          </cell>
          <cell r="Q6200">
            <v>22.053036945197494</v>
          </cell>
        </row>
        <row r="6201">
          <cell r="O6201">
            <v>45155</v>
          </cell>
          <cell r="P6201">
            <v>1.6798056404509754</v>
          </cell>
          <cell r="Q6201">
            <v>22.063795354952436</v>
          </cell>
        </row>
        <row r="6202">
          <cell r="O6202">
            <v>45156</v>
          </cell>
          <cell r="P6202">
            <v>1.6806251212597112</v>
          </cell>
          <cell r="Q6202">
            <v>22.074559015000869</v>
          </cell>
        </row>
        <row r="6203">
          <cell r="O6203">
            <v>45159</v>
          </cell>
          <cell r="P6203">
            <v>1.6814450019892406</v>
          </cell>
          <cell r="Q6203">
            <v>22.085327927901382</v>
          </cell>
        </row>
        <row r="6204">
          <cell r="O6204">
            <v>45160</v>
          </cell>
          <cell r="P6204">
            <v>1.6822652828344495</v>
          </cell>
          <cell r="Q6204">
            <v>22.096102096213748</v>
          </cell>
        </row>
        <row r="6205">
          <cell r="O6205">
            <v>45161</v>
          </cell>
          <cell r="P6205">
            <v>1.6830859639903248</v>
          </cell>
          <cell r="Q6205">
            <v>22.106881522499062</v>
          </cell>
        </row>
        <row r="6206">
          <cell r="O6206">
            <v>45162</v>
          </cell>
          <cell r="P6206">
            <v>1.683907045651944</v>
          </cell>
          <cell r="Q6206">
            <v>22.117666209319619</v>
          </cell>
        </row>
        <row r="6207">
          <cell r="O6207">
            <v>45163</v>
          </cell>
          <cell r="P6207">
            <v>1.6847285280144835</v>
          </cell>
          <cell r="Q6207">
            <v>22.128456159239008</v>
          </cell>
        </row>
        <row r="6208">
          <cell r="O6208">
            <v>45166</v>
          </cell>
          <cell r="P6208">
            <v>1.6855504112732174</v>
          </cell>
          <cell r="Q6208">
            <v>22.139251374822102</v>
          </cell>
        </row>
        <row r="6209">
          <cell r="O6209">
            <v>45167</v>
          </cell>
          <cell r="P6209">
            <v>1.6863726956235086</v>
          </cell>
          <cell r="Q6209">
            <v>22.150051858634942</v>
          </cell>
        </row>
        <row r="6210">
          <cell r="O6210">
            <v>45168</v>
          </cell>
          <cell r="P6210">
            <v>1.6871953812608247</v>
          </cell>
          <cell r="Q6210">
            <v>22.160857613244939</v>
          </cell>
        </row>
        <row r="6211">
          <cell r="O6211">
            <v>45169</v>
          </cell>
          <cell r="P6211">
            <v>1.6880184683807253</v>
          </cell>
          <cell r="Q6211">
            <v>22.171668641220716</v>
          </cell>
        </row>
        <row r="6212">
          <cell r="O6212">
            <v>45170</v>
          </cell>
          <cell r="P6212">
            <v>1.6888419571788627</v>
          </cell>
          <cell r="Q6212">
            <v>22.182484945132114</v>
          </cell>
        </row>
        <row r="6213">
          <cell r="O6213">
            <v>45173</v>
          </cell>
          <cell r="P6213">
            <v>1.6896658478509941</v>
          </cell>
          <cell r="Q6213">
            <v>22.193306527550352</v>
          </cell>
        </row>
        <row r="6214">
          <cell r="O6214">
            <v>45174</v>
          </cell>
          <cell r="P6214">
            <v>1.6904901405929638</v>
          </cell>
          <cell r="Q6214">
            <v>22.20413339104779</v>
          </cell>
        </row>
        <row r="6215">
          <cell r="O6215">
            <v>45175</v>
          </cell>
          <cell r="P6215">
            <v>1.6913148356007182</v>
          </cell>
          <cell r="Q6215">
            <v>22.214965538198136</v>
          </cell>
        </row>
        <row r="6216">
          <cell r="O6216">
            <v>45177</v>
          </cell>
          <cell r="P6216">
            <v>1.6921399330702978</v>
          </cell>
          <cell r="Q6216">
            <v>22.225802971576325</v>
          </cell>
        </row>
        <row r="6217">
          <cell r="O6217">
            <v>45180</v>
          </cell>
          <cell r="P6217">
            <v>1.692965433197839</v>
          </cell>
          <cell r="Q6217">
            <v>22.236645693758557</v>
          </cell>
        </row>
        <row r="6218">
          <cell r="O6218">
            <v>45181</v>
          </cell>
          <cell r="P6218">
            <v>1.6937913361795762</v>
          </cell>
          <cell r="Q6218">
            <v>22.24749370732232</v>
          </cell>
        </row>
        <row r="6219">
          <cell r="O6219">
            <v>45182</v>
          </cell>
          <cell r="P6219">
            <v>1.6946176422118404</v>
          </cell>
          <cell r="Q6219">
            <v>22.258347014846365</v>
          </cell>
        </row>
        <row r="6220">
          <cell r="O6220">
            <v>45183</v>
          </cell>
          <cell r="P6220">
            <v>1.6954443514910549</v>
          </cell>
          <cell r="Q6220">
            <v>22.269205618910661</v>
          </cell>
        </row>
        <row r="6221">
          <cell r="O6221">
            <v>45184</v>
          </cell>
          <cell r="P6221">
            <v>1.6962714642137449</v>
          </cell>
          <cell r="Q6221">
            <v>22.280069522096515</v>
          </cell>
        </row>
        <row r="6222">
          <cell r="O6222">
            <v>45187</v>
          </cell>
          <cell r="P6222">
            <v>1.6970989805765302</v>
          </cell>
          <cell r="Q6222">
            <v>22.290938726986472</v>
          </cell>
        </row>
        <row r="6223">
          <cell r="O6223">
            <v>45188</v>
          </cell>
          <cell r="P6223">
            <v>1.6979269007761246</v>
          </cell>
          <cell r="Q6223">
            <v>22.301813236164318</v>
          </cell>
        </row>
        <row r="6224">
          <cell r="O6224">
            <v>45189</v>
          </cell>
          <cell r="P6224">
            <v>1.6987552250093425</v>
          </cell>
          <cell r="Q6224">
            <v>22.312693052215156</v>
          </cell>
        </row>
        <row r="6225">
          <cell r="O6225">
            <v>45190</v>
          </cell>
          <cell r="P6225">
            <v>1.6995839534730939</v>
          </cell>
          <cell r="Q6225">
            <v>22.323578177725349</v>
          </cell>
        </row>
        <row r="6226">
          <cell r="O6226">
            <v>45191</v>
          </cell>
          <cell r="P6226">
            <v>1.7004130863643827</v>
          </cell>
          <cell r="Q6226">
            <v>22.334468615282482</v>
          </cell>
        </row>
        <row r="6227">
          <cell r="O6227">
            <v>45194</v>
          </cell>
          <cell r="P6227">
            <v>1.7012426238803131</v>
          </cell>
          <cell r="Q6227">
            <v>22.345364367475476</v>
          </cell>
        </row>
        <row r="6228">
          <cell r="O6228">
            <v>45195</v>
          </cell>
          <cell r="P6228">
            <v>1.7020725662180869</v>
          </cell>
          <cell r="Q6228">
            <v>22.356265436894518</v>
          </cell>
        </row>
        <row r="6229">
          <cell r="O6229">
            <v>45196</v>
          </cell>
          <cell r="P6229">
            <v>1.7029029135749958</v>
          </cell>
          <cell r="Q6229">
            <v>22.367171826130978</v>
          </cell>
        </row>
        <row r="6230">
          <cell r="O6230">
            <v>45197</v>
          </cell>
          <cell r="P6230">
            <v>1.7037336661484392</v>
          </cell>
          <cell r="Q6230">
            <v>22.378083537777652</v>
          </cell>
        </row>
        <row r="6231">
          <cell r="O6231">
            <v>45198</v>
          </cell>
          <cell r="P6231">
            <v>1.7045648241359022</v>
          </cell>
          <cell r="Q6231">
            <v>22.389000574428447</v>
          </cell>
        </row>
        <row r="6232">
          <cell r="O6232">
            <v>45201</v>
          </cell>
          <cell r="P6232">
            <v>1.7053963877349756</v>
          </cell>
          <cell r="Q6232">
            <v>22.399922938678671</v>
          </cell>
        </row>
        <row r="6233">
          <cell r="O6233">
            <v>45202</v>
          </cell>
          <cell r="P6233">
            <v>1.7062215989024756</v>
          </cell>
          <cell r="Q6233">
            <v>22.410761865448467</v>
          </cell>
        </row>
        <row r="6234">
          <cell r="O6234">
            <v>45203</v>
          </cell>
          <cell r="P6234">
            <v>1.7070472095013229</v>
          </cell>
          <cell r="Q6234">
            <v>22.421606038641599</v>
          </cell>
        </row>
        <row r="6235">
          <cell r="O6235">
            <v>45204</v>
          </cell>
          <cell r="P6235">
            <v>1.7078732197246167</v>
          </cell>
          <cell r="Q6235">
            <v>22.432455460794365</v>
          </cell>
        </row>
        <row r="6236">
          <cell r="O6236">
            <v>45205</v>
          </cell>
          <cell r="P6236">
            <v>1.7086996297655508</v>
          </cell>
          <cell r="Q6236">
            <v>22.443310134444317</v>
          </cell>
        </row>
        <row r="6237">
          <cell r="O6237">
            <v>45208</v>
          </cell>
          <cell r="P6237">
            <v>1.709526439817411</v>
          </cell>
          <cell r="Q6237">
            <v>22.454170062130217</v>
          </cell>
        </row>
        <row r="6238">
          <cell r="O6238">
            <v>45209</v>
          </cell>
          <cell r="P6238">
            <v>1.7103536500735783</v>
          </cell>
          <cell r="Q6238">
            <v>22.465035246392066</v>
          </cell>
        </row>
        <row r="6239">
          <cell r="O6239">
            <v>45210</v>
          </cell>
          <cell r="P6239">
            <v>1.7111812607275285</v>
          </cell>
          <cell r="Q6239">
            <v>22.475905689771118</v>
          </cell>
        </row>
        <row r="6240">
          <cell r="O6240">
            <v>45212</v>
          </cell>
          <cell r="P6240">
            <v>1.7120092719728315</v>
          </cell>
          <cell r="Q6240">
            <v>22.486781394809864</v>
          </cell>
        </row>
        <row r="6241">
          <cell r="O6241">
            <v>45215</v>
          </cell>
          <cell r="P6241">
            <v>1.7128376840031507</v>
          </cell>
          <cell r="Q6241">
            <v>22.497662364052019</v>
          </cell>
        </row>
        <row r="6242">
          <cell r="O6242">
            <v>45216</v>
          </cell>
          <cell r="P6242">
            <v>1.7136664970122448</v>
          </cell>
          <cell r="Q6242">
            <v>22.508548600042548</v>
          </cell>
        </row>
        <row r="6243">
          <cell r="O6243">
            <v>45217</v>
          </cell>
          <cell r="P6243">
            <v>1.7144957111939665</v>
          </cell>
          <cell r="Q6243">
            <v>22.519440105327661</v>
          </cell>
        </row>
        <row r="6244">
          <cell r="O6244">
            <v>45218</v>
          </cell>
          <cell r="P6244">
            <v>1.7153253267422619</v>
          </cell>
          <cell r="Q6244">
            <v>22.530336882454783</v>
          </cell>
        </row>
        <row r="6245">
          <cell r="O6245">
            <v>45219</v>
          </cell>
          <cell r="P6245">
            <v>1.7161553438511747</v>
          </cell>
          <cell r="Q6245">
            <v>22.541238933972625</v>
          </cell>
        </row>
        <row r="6246">
          <cell r="O6246">
            <v>45222</v>
          </cell>
          <cell r="P6246">
            <v>1.7169857627148364</v>
          </cell>
          <cell r="Q6246">
            <v>22.552146262431055</v>
          </cell>
        </row>
        <row r="6247">
          <cell r="O6247">
            <v>45223</v>
          </cell>
          <cell r="P6247">
            <v>1.7178165835274826</v>
          </cell>
          <cell r="Q6247">
            <v>22.563058870381308</v>
          </cell>
        </row>
        <row r="6248">
          <cell r="O6248">
            <v>45224</v>
          </cell>
          <cell r="P6248">
            <v>1.7186478064834325</v>
          </cell>
          <cell r="Q6248">
            <v>22.573976760375707</v>
          </cell>
        </row>
        <row r="6249">
          <cell r="O6249">
            <v>45225</v>
          </cell>
          <cell r="P6249">
            <v>1.7194794317771116</v>
          </cell>
          <cell r="Q6249">
            <v>22.584899934967986</v>
          </cell>
        </row>
        <row r="6250">
          <cell r="O6250">
            <v>45226</v>
          </cell>
          <cell r="P6250">
            <v>1.7203114596030293</v>
          </cell>
          <cell r="Q6250">
            <v>22.595828396712967</v>
          </cell>
        </row>
        <row r="6251">
          <cell r="O6251">
            <v>45229</v>
          </cell>
          <cell r="P6251">
            <v>1.7211438901557967</v>
          </cell>
          <cell r="Q6251">
            <v>22.606762148166819</v>
          </cell>
        </row>
        <row r="6252">
          <cell r="O6252">
            <v>45230</v>
          </cell>
          <cell r="P6252">
            <v>1.7219767236301178</v>
          </cell>
          <cell r="Q6252">
            <v>22.617701191886926</v>
          </cell>
        </row>
        <row r="6253">
          <cell r="O6253">
            <v>45231</v>
          </cell>
          <cell r="P6253">
            <v>1.7228099602207896</v>
          </cell>
          <cell r="Q6253">
            <v>22.628645530431893</v>
          </cell>
        </row>
        <row r="6254">
          <cell r="O6254">
            <v>45233</v>
          </cell>
          <cell r="P6254">
            <v>1.7236436001227058</v>
          </cell>
          <cell r="Q6254">
            <v>22.639595166361598</v>
          </cell>
        </row>
        <row r="6255">
          <cell r="O6255">
            <v>45236</v>
          </cell>
          <cell r="P6255">
            <v>1.7244776435308562</v>
          </cell>
          <cell r="Q6255">
            <v>22.650550102237176</v>
          </cell>
        </row>
        <row r="6256">
          <cell r="O6256">
            <v>45237</v>
          </cell>
          <cell r="P6256">
            <v>1.7253120906403214</v>
          </cell>
          <cell r="Q6256">
            <v>22.661510340620964</v>
          </cell>
        </row>
        <row r="6257">
          <cell r="O6257">
            <v>45238</v>
          </cell>
          <cell r="P6257">
            <v>1.7261469416462802</v>
          </cell>
          <cell r="Q6257">
            <v>22.672475884076579</v>
          </cell>
        </row>
        <row r="6258">
          <cell r="O6258">
            <v>45239</v>
          </cell>
          <cell r="P6258">
            <v>1.7269821967440064</v>
          </cell>
          <cell r="Q6258">
            <v>22.683446735168889</v>
          </cell>
        </row>
        <row r="6259">
          <cell r="O6259">
            <v>45240</v>
          </cell>
          <cell r="P6259">
            <v>1.7278178561288664</v>
          </cell>
          <cell r="Q6259">
            <v>22.69442289646398</v>
          </cell>
        </row>
        <row r="6260">
          <cell r="O6260">
            <v>45243</v>
          </cell>
          <cell r="P6260">
            <v>1.728653919996324</v>
          </cell>
          <cell r="Q6260">
            <v>22.705404370529219</v>
          </cell>
        </row>
        <row r="6261">
          <cell r="O6261">
            <v>45244</v>
          </cell>
          <cell r="P6261">
            <v>1.7294903885419399</v>
          </cell>
          <cell r="Q6261">
            <v>22.716391159933242</v>
          </cell>
        </row>
        <row r="6262">
          <cell r="O6262">
            <v>45246</v>
          </cell>
          <cell r="P6262">
            <v>1.7303272619613643</v>
          </cell>
          <cell r="Q6262">
            <v>22.727383267245862</v>
          </cell>
        </row>
        <row r="6263">
          <cell r="O6263">
            <v>45247</v>
          </cell>
          <cell r="P6263">
            <v>1.7311645404503453</v>
          </cell>
          <cell r="Q6263">
            <v>22.738380695038174</v>
          </cell>
        </row>
        <row r="6264">
          <cell r="O6264">
            <v>45250</v>
          </cell>
          <cell r="P6264">
            <v>1.7320022242047302</v>
          </cell>
          <cell r="Q6264">
            <v>22.749383445882586</v>
          </cell>
        </row>
        <row r="6265">
          <cell r="O6265">
            <v>45251</v>
          </cell>
          <cell r="P6265">
            <v>1.7328403134204564</v>
          </cell>
          <cell r="Q6265">
            <v>22.760391522352677</v>
          </cell>
        </row>
        <row r="6266">
          <cell r="O6266">
            <v>45252</v>
          </cell>
          <cell r="P6266">
            <v>1.7336788082935586</v>
          </cell>
          <cell r="Q6266">
            <v>22.771404927023312</v>
          </cell>
        </row>
        <row r="6267">
          <cell r="O6267">
            <v>45253</v>
          </cell>
          <cell r="P6267">
            <v>1.7345177090201667</v>
          </cell>
          <cell r="Q6267">
            <v>22.782423662470606</v>
          </cell>
        </row>
        <row r="6268">
          <cell r="O6268">
            <v>45254</v>
          </cell>
          <cell r="P6268">
            <v>1.7353570157965068</v>
          </cell>
          <cell r="Q6268">
            <v>22.793447731271936</v>
          </cell>
        </row>
        <row r="6269">
          <cell r="O6269">
            <v>45257</v>
          </cell>
          <cell r="P6269">
            <v>1.7361967288188984</v>
          </cell>
          <cell r="Q6269">
            <v>22.804477136005904</v>
          </cell>
        </row>
        <row r="6270">
          <cell r="O6270">
            <v>45258</v>
          </cell>
          <cell r="P6270">
            <v>1.7370368482837599</v>
          </cell>
          <cell r="Q6270">
            <v>22.815511879252416</v>
          </cell>
        </row>
        <row r="6271">
          <cell r="O6271">
            <v>45259</v>
          </cell>
          <cell r="P6271">
            <v>1.737877374387601</v>
          </cell>
          <cell r="Q6271">
            <v>22.826551963592571</v>
          </cell>
        </row>
        <row r="6272">
          <cell r="O6272">
            <v>45260</v>
          </cell>
          <cell r="P6272">
            <v>1.7387183073270318</v>
          </cell>
          <cell r="Q6272">
            <v>22.837597391608789</v>
          </cell>
        </row>
        <row r="6273">
          <cell r="O6273">
            <v>45261</v>
          </cell>
          <cell r="P6273">
            <v>1.7395596472987542</v>
          </cell>
          <cell r="Q6273">
            <v>22.8486481658847</v>
          </cell>
        </row>
        <row r="6274">
          <cell r="O6274">
            <v>45264</v>
          </cell>
          <cell r="P6274">
            <v>1.7404013944995664</v>
          </cell>
          <cell r="Q6274">
            <v>22.85970428900519</v>
          </cell>
        </row>
        <row r="6275">
          <cell r="O6275">
            <v>45265</v>
          </cell>
          <cell r="P6275">
            <v>1.741243549126366</v>
          </cell>
          <cell r="Q6275">
            <v>22.870765763556463</v>
          </cell>
        </row>
        <row r="6276">
          <cell r="O6276">
            <v>45266</v>
          </cell>
          <cell r="P6276">
            <v>1.7420861113761403</v>
          </cell>
          <cell r="Q6276">
            <v>22.881832592125892</v>
          </cell>
        </row>
        <row r="6277">
          <cell r="O6277">
            <v>45267</v>
          </cell>
          <cell r="P6277">
            <v>1.7429290814459775</v>
          </cell>
          <cell r="Q6277">
            <v>22.892904777302174</v>
          </cell>
        </row>
        <row r="6278">
          <cell r="O6278">
            <v>45268</v>
          </cell>
          <cell r="P6278">
            <v>1.7437724595330584</v>
          </cell>
          <cell r="Q6278">
            <v>22.90398232167523</v>
          </cell>
        </row>
        <row r="6279">
          <cell r="O6279">
            <v>45271</v>
          </cell>
          <cell r="P6279">
            <v>1.7446162458346635</v>
          </cell>
          <cell r="Q6279">
            <v>22.915065227836283</v>
          </cell>
        </row>
        <row r="6280">
          <cell r="O6280">
            <v>45272</v>
          </cell>
          <cell r="P6280">
            <v>1.7454604405481673</v>
          </cell>
          <cell r="Q6280">
            <v>22.926153498377797</v>
          </cell>
        </row>
        <row r="6281">
          <cell r="O6281">
            <v>45273</v>
          </cell>
          <cell r="P6281">
            <v>1.7463050438710372</v>
          </cell>
          <cell r="Q6281">
            <v>22.93724713589345</v>
          </cell>
        </row>
        <row r="6282">
          <cell r="O6282">
            <v>45274</v>
          </cell>
          <cell r="P6282">
            <v>1.7471500560008397</v>
          </cell>
          <cell r="Q6282">
            <v>22.948346142978231</v>
          </cell>
        </row>
        <row r="6283">
          <cell r="O6283">
            <v>45275</v>
          </cell>
          <cell r="P6283">
            <v>1.7479954771352397</v>
          </cell>
          <cell r="Q6283">
            <v>22.959450522228405</v>
          </cell>
        </row>
        <row r="6284">
          <cell r="O6284">
            <v>45278</v>
          </cell>
          <cell r="P6284">
            <v>1.7488413074719944</v>
          </cell>
          <cell r="Q6284">
            <v>22.970560276241468</v>
          </cell>
        </row>
        <row r="6285">
          <cell r="O6285">
            <v>45279</v>
          </cell>
          <cell r="P6285">
            <v>1.7496875472089588</v>
          </cell>
          <cell r="Q6285">
            <v>22.981675407616191</v>
          </cell>
        </row>
        <row r="6286">
          <cell r="O6286">
            <v>45280</v>
          </cell>
          <cell r="P6286">
            <v>1.7505341965440833</v>
          </cell>
          <cell r="Q6286">
            <v>22.992795918952595</v>
          </cell>
        </row>
        <row r="6287">
          <cell r="O6287">
            <v>45281</v>
          </cell>
          <cell r="P6287">
            <v>1.7513812556754158</v>
          </cell>
          <cell r="Q6287">
            <v>23.003921812851992</v>
          </cell>
        </row>
        <row r="6288">
          <cell r="O6288">
            <v>45282</v>
          </cell>
          <cell r="P6288">
            <v>1.7522287248010999</v>
          </cell>
          <cell r="Q6288">
            <v>23.01505309191694</v>
          </cell>
        </row>
        <row r="6289">
          <cell r="O6289">
            <v>45286</v>
          </cell>
          <cell r="P6289">
            <v>1.7530766041193748</v>
          </cell>
          <cell r="Q6289">
            <v>23.026189758751261</v>
          </cell>
        </row>
        <row r="6290">
          <cell r="O6290">
            <v>45287</v>
          </cell>
          <cell r="P6290">
            <v>1.753924893828579</v>
          </cell>
          <cell r="Q6290">
            <v>23.037331815960073</v>
          </cell>
        </row>
        <row r="6291">
          <cell r="O6291">
            <v>45288</v>
          </cell>
          <cell r="P6291">
            <v>1.7547735941271418</v>
          </cell>
          <cell r="Q6291">
            <v>23.048479266149698</v>
          </cell>
        </row>
        <row r="6292">
          <cell r="O6292">
            <v>45289</v>
          </cell>
          <cell r="P6292">
            <v>1.755622705213596</v>
          </cell>
          <cell r="Q6292">
            <v>23.059632111927808</v>
          </cell>
        </row>
        <row r="6293">
          <cell r="O6293">
            <v>45293</v>
          </cell>
          <cell r="P6293">
            <v>1.7564722272865652</v>
          </cell>
          <cell r="Q6293">
            <v>23.070790355903267</v>
          </cell>
        </row>
        <row r="6294">
          <cell r="O6294">
            <v>45294</v>
          </cell>
          <cell r="P6294">
            <v>1.757325946953191</v>
          </cell>
          <cell r="Q6294">
            <v>23.082003734142596</v>
          </cell>
        </row>
        <row r="6295">
          <cell r="O6295">
            <v>45295</v>
          </cell>
          <cell r="P6295">
            <v>1.758180081680782</v>
          </cell>
          <cell r="Q6295">
            <v>23.093222564096081</v>
          </cell>
        </row>
        <row r="6296">
          <cell r="O6296">
            <v>45296</v>
          </cell>
          <cell r="P6296">
            <v>1.7590346316709227</v>
          </cell>
          <cell r="Q6296">
            <v>23.104446848411484</v>
          </cell>
        </row>
        <row r="6297">
          <cell r="O6297">
            <v>45299</v>
          </cell>
          <cell r="P6297">
            <v>1.759889597125299</v>
          </cell>
          <cell r="Q6297">
            <v>23.115676589737898</v>
          </cell>
        </row>
        <row r="6298">
          <cell r="O6298">
            <v>45300</v>
          </cell>
          <cell r="P6298">
            <v>1.760744978245691</v>
          </cell>
          <cell r="Q6298">
            <v>23.126911790725643</v>
          </cell>
        </row>
        <row r="6299">
          <cell r="O6299">
            <v>45301</v>
          </cell>
          <cell r="P6299">
            <v>1.7616007752339775</v>
          </cell>
          <cell r="Q6299">
            <v>23.138152454026351</v>
          </cell>
        </row>
        <row r="6300">
          <cell r="O6300">
            <v>45302</v>
          </cell>
          <cell r="P6300">
            <v>1.762456988292139</v>
          </cell>
          <cell r="Q6300">
            <v>23.149398582292978</v>
          </cell>
        </row>
        <row r="6301">
          <cell r="O6301">
            <v>45303</v>
          </cell>
          <cell r="P6301">
            <v>1.7633136176222526</v>
          </cell>
          <cell r="Q6301">
            <v>23.16065017817975</v>
          </cell>
        </row>
        <row r="6302">
          <cell r="O6302">
            <v>45306</v>
          </cell>
          <cell r="P6302">
            <v>1.7641706634264946</v>
          </cell>
          <cell r="Q6302">
            <v>23.171907244342201</v>
          </cell>
        </row>
        <row r="6303">
          <cell r="O6303">
            <v>45307</v>
          </cell>
          <cell r="P6303">
            <v>1.7650281259071394</v>
          </cell>
          <cell r="Q6303">
            <v>23.183169783437151</v>
          </cell>
        </row>
        <row r="6304">
          <cell r="O6304">
            <v>45308</v>
          </cell>
          <cell r="P6304">
            <v>1.7658860052665617</v>
          </cell>
          <cell r="Q6304">
            <v>23.194437798122738</v>
          </cell>
        </row>
        <row r="6305">
          <cell r="O6305">
            <v>45309</v>
          </cell>
          <cell r="P6305">
            <v>1.7667443017072342</v>
          </cell>
          <cell r="Q6305">
            <v>23.205711291058382</v>
          </cell>
        </row>
        <row r="6306">
          <cell r="O6306">
            <v>45310</v>
          </cell>
          <cell r="P6306">
            <v>1.7676030154317268</v>
          </cell>
          <cell r="Q6306">
            <v>23.216990264904791</v>
          </cell>
        </row>
        <row r="6307">
          <cell r="O6307">
            <v>45313</v>
          </cell>
          <cell r="P6307">
            <v>1.7684621466427117</v>
          </cell>
          <cell r="Q6307">
            <v>23.228274722324002</v>
          </cell>
        </row>
        <row r="6308">
          <cell r="O6308">
            <v>45314</v>
          </cell>
          <cell r="P6308">
            <v>1.7693216955429578</v>
          </cell>
          <cell r="Q6308">
            <v>23.239564665979337</v>
          </cell>
        </row>
        <row r="6309">
          <cell r="O6309">
            <v>45315</v>
          </cell>
          <cell r="P6309">
            <v>1.7701816623353341</v>
          </cell>
          <cell r="Q6309">
            <v>23.250860098535423</v>
          </cell>
        </row>
        <row r="6310">
          <cell r="O6310">
            <v>45316</v>
          </cell>
          <cell r="P6310">
            <v>1.7710420472228077</v>
          </cell>
          <cell r="Q6310">
            <v>23.262161022658177</v>
          </cell>
        </row>
        <row r="6311">
          <cell r="O6311">
            <v>45317</v>
          </cell>
          <cell r="P6311">
            <v>1.7719028504084431</v>
          </cell>
          <cell r="Q6311">
            <v>23.273467441014798</v>
          </cell>
        </row>
        <row r="6312">
          <cell r="O6312">
            <v>45320</v>
          </cell>
          <cell r="P6312">
            <v>1.7727640720954108</v>
          </cell>
          <cell r="Q6312">
            <v>23.284779356273877</v>
          </cell>
        </row>
        <row r="6313">
          <cell r="O6313">
            <v>45321</v>
          </cell>
          <cell r="P6313">
            <v>1.7736257124869717</v>
          </cell>
          <cell r="Q6313">
            <v>23.296096771105187</v>
          </cell>
        </row>
        <row r="6314">
          <cell r="O6314">
            <v>45322</v>
          </cell>
          <cell r="P6314">
            <v>1.774487771786492</v>
          </cell>
          <cell r="Q6314">
            <v>23.307419688179895</v>
          </cell>
        </row>
        <row r="6315">
          <cell r="O6315">
            <v>45323</v>
          </cell>
          <cell r="P6315">
            <v>1.7753502501974345</v>
          </cell>
          <cell r="Q6315">
            <v>23.318748110170425</v>
          </cell>
        </row>
        <row r="6316">
          <cell r="O6316">
            <v>45324</v>
          </cell>
          <cell r="P6316">
            <v>1.7762131479233645</v>
          </cell>
          <cell r="Q6316">
            <v>23.33008203975055</v>
          </cell>
        </row>
        <row r="6317">
          <cell r="O6317">
            <v>45327</v>
          </cell>
          <cell r="P6317">
            <v>1.7770764651679407</v>
          </cell>
          <cell r="Q6317">
            <v>23.341421479595279</v>
          </cell>
        </row>
        <row r="6318">
          <cell r="O6318">
            <v>45328</v>
          </cell>
          <cell r="P6318">
            <v>1.7779402021349286</v>
          </cell>
          <cell r="Q6318">
            <v>23.352766432381017</v>
          </cell>
        </row>
        <row r="6319">
          <cell r="O6319">
            <v>45329</v>
          </cell>
          <cell r="P6319">
            <v>1.7788043590281881</v>
          </cell>
          <cell r="Q6319">
            <v>23.364116900785401</v>
          </cell>
        </row>
        <row r="6320">
          <cell r="O6320">
            <v>45330</v>
          </cell>
          <cell r="P6320">
            <v>1.7796689360516811</v>
          </cell>
          <cell r="Q6320">
            <v>23.375472887487426</v>
          </cell>
        </row>
        <row r="6321">
          <cell r="O6321">
            <v>45331</v>
          </cell>
          <cell r="P6321">
            <v>1.780533933409465</v>
          </cell>
          <cell r="Q6321">
            <v>23.386834395167323</v>
          </cell>
        </row>
        <row r="6322">
          <cell r="O6322">
            <v>45336</v>
          </cell>
          <cell r="P6322">
            <v>1.7813993513057031</v>
          </cell>
          <cell r="Q6322">
            <v>23.398201426506724</v>
          </cell>
        </row>
        <row r="6323">
          <cell r="O6323">
            <v>45337</v>
          </cell>
          <cell r="P6323">
            <v>1.7822651899446553</v>
          </cell>
          <cell r="Q6323">
            <v>23.40957398418853</v>
          </cell>
        </row>
        <row r="6324">
          <cell r="O6324">
            <v>45338</v>
          </cell>
          <cell r="P6324">
            <v>1.7831314495306796</v>
          </cell>
          <cell r="Q6324">
            <v>23.420952070896927</v>
          </cell>
        </row>
        <row r="6325">
          <cell r="O6325">
            <v>45341</v>
          </cell>
          <cell r="P6325">
            <v>1.7839981302682351</v>
          </cell>
          <cell r="Q6325">
            <v>23.43233568931743</v>
          </cell>
        </row>
        <row r="6326">
          <cell r="O6326">
            <v>45342</v>
          </cell>
          <cell r="P6326">
            <v>1.7848652323618834</v>
          </cell>
          <cell r="Q6326">
            <v>23.443724842136902</v>
          </cell>
        </row>
        <row r="6327">
          <cell r="O6327">
            <v>45343</v>
          </cell>
          <cell r="P6327">
            <v>1.7857327560162803</v>
          </cell>
          <cell r="Q6327">
            <v>23.455119532043444</v>
          </cell>
        </row>
        <row r="6328">
          <cell r="O6328">
            <v>45344</v>
          </cell>
          <cell r="P6328">
            <v>1.7866007014361884</v>
          </cell>
          <cell r="Q6328">
            <v>23.466519761726548</v>
          </cell>
        </row>
        <row r="6329">
          <cell r="O6329">
            <v>45345</v>
          </cell>
          <cell r="P6329">
            <v>1.7874690688264643</v>
          </cell>
          <cell r="Q6329">
            <v>23.477925533876963</v>
          </cell>
        </row>
        <row r="6330">
          <cell r="O6330">
            <v>45348</v>
          </cell>
          <cell r="P6330">
            <v>1.7883378583920682</v>
          </cell>
          <cell r="Q6330">
            <v>23.489336851186778</v>
          </cell>
        </row>
        <row r="6331">
          <cell r="O6331">
            <v>45349</v>
          </cell>
          <cell r="P6331">
            <v>1.7892070703380571</v>
          </cell>
          <cell r="Q6331">
            <v>23.500753716349362</v>
          </cell>
        </row>
        <row r="6332">
          <cell r="O6332">
            <v>45350</v>
          </cell>
          <cell r="P6332">
            <v>1.7900767048695914</v>
          </cell>
          <cell r="Q6332">
            <v>23.512176132059444</v>
          </cell>
        </row>
        <row r="6333">
          <cell r="O6333">
            <v>45351</v>
          </cell>
          <cell r="P6333">
            <v>1.7909467621919324</v>
          </cell>
          <cell r="Q6333">
            <v>23.523604101013078</v>
          </cell>
        </row>
        <row r="6334">
          <cell r="O6334">
            <v>45352</v>
          </cell>
          <cell r="P6334">
            <v>1.7918172425104375</v>
          </cell>
          <cell r="Q6334">
            <v>23.535037625907574</v>
          </cell>
        </row>
        <row r="6335">
          <cell r="O6335">
            <v>45355</v>
          </cell>
          <cell r="P6335">
            <v>1.7926881460305653</v>
          </cell>
          <cell r="Q6335">
            <v>23.546476709441574</v>
          </cell>
        </row>
        <row r="6336">
          <cell r="O6336">
            <v>45356</v>
          </cell>
          <cell r="P6336">
            <v>1.7935594729578779</v>
          </cell>
          <cell r="Q6336">
            <v>23.557921354315088</v>
          </cell>
        </row>
        <row r="6337">
          <cell r="O6337">
            <v>45357</v>
          </cell>
          <cell r="P6337">
            <v>1.7944312234980362</v>
          </cell>
          <cell r="Q6337">
            <v>23.56937156322941</v>
          </cell>
        </row>
        <row r="6338">
          <cell r="O6338">
            <v>45358</v>
          </cell>
          <cell r="P6338">
            <v>1.7953033978567992</v>
          </cell>
          <cell r="Q6338">
            <v>23.580827338887133</v>
          </cell>
        </row>
        <row r="6339">
          <cell r="O6339">
            <v>45359</v>
          </cell>
          <cell r="P6339">
            <v>1.7961759962400294</v>
          </cell>
          <cell r="Q6339">
            <v>23.592288683992205</v>
          </cell>
        </row>
        <row r="6340">
          <cell r="O6340">
            <v>45362</v>
          </cell>
          <cell r="P6340">
            <v>1.7970490188536881</v>
          </cell>
          <cell r="Q6340">
            <v>23.603755601249869</v>
          </cell>
        </row>
        <row r="6341">
          <cell r="O6341">
            <v>45363</v>
          </cell>
          <cell r="P6341">
            <v>1.7979224659038369</v>
          </cell>
          <cell r="Q6341">
            <v>23.615228093366692</v>
          </cell>
        </row>
        <row r="6342">
          <cell r="O6342">
            <v>45364</v>
          </cell>
          <cell r="P6342">
            <v>1.7987963375966403</v>
          </cell>
          <cell r="Q6342">
            <v>23.626706163050592</v>
          </cell>
        </row>
        <row r="6343">
          <cell r="O6343">
            <v>45365</v>
          </cell>
          <cell r="P6343">
            <v>1.7996706341383606</v>
          </cell>
          <cell r="Q6343">
            <v>23.638189813010761</v>
          </cell>
        </row>
        <row r="6344">
          <cell r="O6344">
            <v>45366</v>
          </cell>
          <cell r="P6344">
            <v>1.8005453557353612</v>
          </cell>
          <cell r="Q6344">
            <v>23.649679045957733</v>
          </cell>
        </row>
        <row r="6345">
          <cell r="O6345">
            <v>45369</v>
          </cell>
          <cell r="P6345">
            <v>1.8014205025941097</v>
          </cell>
          <cell r="Q6345">
            <v>23.661173864603402</v>
          </cell>
        </row>
        <row r="6346">
          <cell r="O6346">
            <v>45370</v>
          </cell>
          <cell r="P6346">
            <v>1.8022960749211687</v>
          </cell>
          <cell r="Q6346">
            <v>23.672674271660913</v>
          </cell>
        </row>
        <row r="6347">
          <cell r="O6347">
            <v>45371</v>
          </cell>
          <cell r="P6347">
            <v>1.8031720729232068</v>
          </cell>
          <cell r="Q6347">
            <v>23.684180269844802</v>
          </cell>
        </row>
        <row r="6348">
          <cell r="O6348">
            <v>45372</v>
          </cell>
          <cell r="P6348">
            <v>1.8040484968069894</v>
          </cell>
          <cell r="Q6348">
            <v>23.695691861870881</v>
          </cell>
        </row>
        <row r="6349">
          <cell r="O6349">
            <v>45373</v>
          </cell>
          <cell r="P6349">
            <v>1.804925346779388</v>
          </cell>
          <cell r="Q6349">
            <v>23.707209050456342</v>
          </cell>
        </row>
        <row r="6350">
          <cell r="O6350">
            <v>45376</v>
          </cell>
          <cell r="P6350">
            <v>1.8058026230473689</v>
          </cell>
          <cell r="Q6350">
            <v>23.718731838319638</v>
          </cell>
        </row>
        <row r="6351">
          <cell r="O6351">
            <v>45377</v>
          </cell>
          <cell r="P6351">
            <v>1.8066803258180026</v>
          </cell>
          <cell r="Q6351">
            <v>23.730260228180587</v>
          </cell>
        </row>
        <row r="6352">
          <cell r="O6352">
            <v>45378</v>
          </cell>
          <cell r="P6352">
            <v>1.807558455298462</v>
          </cell>
          <cell r="Q6352">
            <v>23.741794222760344</v>
          </cell>
        </row>
        <row r="6353">
          <cell r="O6353">
            <v>45379</v>
          </cell>
          <cell r="P6353">
            <v>1.8084370116960189</v>
          </cell>
          <cell r="Q6353">
            <v>23.753333824781368</v>
          </cell>
        </row>
        <row r="6354">
          <cell r="O6354">
            <v>45383</v>
          </cell>
          <cell r="P6354">
            <v>1.8093159952180449</v>
          </cell>
          <cell r="Q6354">
            <v>23.764879036967436</v>
          </cell>
        </row>
        <row r="6355">
          <cell r="O6355">
            <v>45384</v>
          </cell>
          <cell r="P6355">
            <v>1.8101954060720173</v>
          </cell>
          <cell r="Q6355">
            <v>23.776429862043699</v>
          </cell>
        </row>
        <row r="6356">
          <cell r="O6356">
            <v>45385</v>
          </cell>
          <cell r="P6356">
            <v>1.8110752444655114</v>
          </cell>
          <cell r="Q6356">
            <v>23.787986302736606</v>
          </cell>
        </row>
        <row r="6357">
          <cell r="O6357">
            <v>45386</v>
          </cell>
          <cell r="P6357">
            <v>1.8119555106062051</v>
          </cell>
          <cell r="Q6357">
            <v>23.799548361773951</v>
          </cell>
        </row>
        <row r="6358">
          <cell r="O6358">
            <v>45387</v>
          </cell>
          <cell r="P6358">
            <v>1.8128362047018762</v>
          </cell>
          <cell r="Q6358">
            <v>23.811116041884841</v>
          </cell>
        </row>
        <row r="6359">
          <cell r="O6359">
            <v>45390</v>
          </cell>
          <cell r="P6359">
            <v>1.8137173269604028</v>
          </cell>
          <cell r="Q6359">
            <v>23.822689345799695</v>
          </cell>
        </row>
        <row r="6360">
          <cell r="O6360">
            <v>45391</v>
          </cell>
          <cell r="P6360">
            <v>1.8145988775897697</v>
          </cell>
          <cell r="Q6360">
            <v>23.834268276250338</v>
          </cell>
        </row>
        <row r="6361">
          <cell r="O6361">
            <v>45392</v>
          </cell>
          <cell r="P6361">
            <v>1.8154808567980587</v>
          </cell>
          <cell r="Q6361">
            <v>23.845852835969872</v>
          </cell>
        </row>
        <row r="6362">
          <cell r="O6362">
            <v>45393</v>
          </cell>
          <cell r="P6362">
            <v>1.8163632647934538</v>
          </cell>
          <cell r="Q6362">
            <v>23.857443027692732</v>
          </cell>
        </row>
        <row r="6363">
          <cell r="O6363">
            <v>45394</v>
          </cell>
          <cell r="P6363">
            <v>1.8172461017842427</v>
          </cell>
          <cell r="Q6363">
            <v>23.869038854154727</v>
          </cell>
        </row>
        <row r="6364">
          <cell r="O6364">
            <v>45397</v>
          </cell>
          <cell r="P6364">
            <v>1.8181293679788102</v>
          </cell>
          <cell r="Q6364">
            <v>23.880640318092929</v>
          </cell>
        </row>
        <row r="6365">
          <cell r="O6365">
            <v>45398</v>
          </cell>
          <cell r="P6365">
            <v>1.8190130635856498</v>
          </cell>
          <cell r="Q6365">
            <v>23.892247422245852</v>
          </cell>
        </row>
        <row r="6366">
          <cell r="O6366">
            <v>45399</v>
          </cell>
          <cell r="P6366">
            <v>1.8198971888133479</v>
          </cell>
          <cell r="Q6366">
            <v>23.903860169353216</v>
          </cell>
        </row>
        <row r="6367">
          <cell r="O6367">
            <v>45400</v>
          </cell>
          <cell r="P6367">
            <v>1.8207817438706002</v>
          </cell>
          <cell r="Q6367">
            <v>23.915478562156185</v>
          </cell>
        </row>
        <row r="6368">
          <cell r="O6368">
            <v>45401</v>
          </cell>
          <cell r="P6368">
            <v>1.8216667289662019</v>
          </cell>
          <cell r="Q6368">
            <v>23.927102603397227</v>
          </cell>
        </row>
        <row r="6369">
          <cell r="O6369">
            <v>45404</v>
          </cell>
          <cell r="P6369">
            <v>1.8225521443090484</v>
          </cell>
          <cell r="Q6369">
            <v>23.938732295820131</v>
          </cell>
        </row>
        <row r="6370">
          <cell r="O6370">
            <v>45405</v>
          </cell>
          <cell r="P6370">
            <v>1.8234379901081379</v>
          </cell>
          <cell r="Q6370">
            <v>23.950367642170026</v>
          </cell>
        </row>
        <row r="6371">
          <cell r="O6371">
            <v>45406</v>
          </cell>
          <cell r="P6371">
            <v>1.8243242665725725</v>
          </cell>
          <cell r="Q6371">
            <v>23.962008645193414</v>
          </cell>
        </row>
        <row r="6372">
          <cell r="O6372">
            <v>45407</v>
          </cell>
          <cell r="P6372">
            <v>1.8252109739115518</v>
          </cell>
          <cell r="Q6372">
            <v>23.973655307638079</v>
          </cell>
        </row>
        <row r="6373">
          <cell r="O6373">
            <v>45408</v>
          </cell>
          <cell r="P6373">
            <v>1.8260981123343849</v>
          </cell>
          <cell r="Q6373">
            <v>23.985307632253235</v>
          </cell>
        </row>
        <row r="6374">
          <cell r="O6374">
            <v>45411</v>
          </cell>
          <cell r="P6374">
            <v>1.826985682050474</v>
          </cell>
          <cell r="Q6374">
            <v>23.996965621789325</v>
          </cell>
        </row>
        <row r="6375">
          <cell r="O6375">
            <v>45412</v>
          </cell>
          <cell r="P6375">
            <v>1.8278736832693312</v>
          </cell>
          <cell r="Q6375">
            <v>24.008629278998235</v>
          </cell>
        </row>
        <row r="6376">
          <cell r="O6376">
            <v>45414</v>
          </cell>
          <cell r="P6376">
            <v>1.8287621162005641</v>
          </cell>
          <cell r="Q6376">
            <v>24.020298606633101</v>
          </cell>
        </row>
        <row r="6377">
          <cell r="O6377">
            <v>45415</v>
          </cell>
          <cell r="P6377">
            <v>1.8296509810538912</v>
          </cell>
          <cell r="Q6377">
            <v>24.031973607448528</v>
          </cell>
        </row>
        <row r="6378">
          <cell r="O6378">
            <v>45418</v>
          </cell>
          <cell r="P6378">
            <v>1.8305402780391238</v>
          </cell>
          <cell r="Q6378">
            <v>24.043654284200322</v>
          </cell>
        </row>
        <row r="6379">
          <cell r="O6379">
            <v>45419</v>
          </cell>
          <cell r="P6379">
            <v>1.8314300073661811</v>
          </cell>
          <cell r="Q6379">
            <v>24.055340639645717</v>
          </cell>
        </row>
        <row r="6380">
          <cell r="O6380">
            <v>45420</v>
          </cell>
          <cell r="P6380">
            <v>1.8323201692450835</v>
          </cell>
          <cell r="Q6380">
            <v>24.067032676543278</v>
          </cell>
        </row>
        <row r="6381">
          <cell r="O6381">
            <v>45421</v>
          </cell>
          <cell r="P6381">
            <v>1.8332107638859523</v>
          </cell>
          <cell r="Q6381">
            <v>24.07873039765289</v>
          </cell>
        </row>
        <row r="6382">
          <cell r="O6382">
            <v>45422</v>
          </cell>
          <cell r="P6382">
            <v>1.8341017914990179</v>
          </cell>
          <cell r="Q6382">
            <v>24.09043380573587</v>
          </cell>
        </row>
        <row r="6383">
          <cell r="O6383">
            <v>45425</v>
          </cell>
          <cell r="P6383">
            <v>1.8349932522946029</v>
          </cell>
          <cell r="Q6383">
            <v>24.102142903554753</v>
          </cell>
        </row>
        <row r="6384">
          <cell r="O6384">
            <v>45426</v>
          </cell>
          <cell r="P6384">
            <v>1.8358851464831398</v>
          </cell>
          <cell r="Q6384">
            <v>24.113857693873509</v>
          </cell>
        </row>
        <row r="6385">
          <cell r="O6385">
            <v>45427</v>
          </cell>
          <cell r="P6385">
            <v>1.8367774742751621</v>
          </cell>
          <cell r="Q6385">
            <v>24.125578179457445</v>
          </cell>
        </row>
        <row r="6386">
          <cell r="O6386">
            <v>45428</v>
          </cell>
          <cell r="P6386">
            <v>1.8376702358813048</v>
          </cell>
          <cell r="Q6386">
            <v>24.137304363073188</v>
          </cell>
        </row>
        <row r="6387">
          <cell r="O6387">
            <v>45429</v>
          </cell>
          <cell r="P6387">
            <v>1.8385634315123063</v>
          </cell>
          <cell r="Q6387">
            <v>24.149036247488734</v>
          </cell>
        </row>
        <row r="6388">
          <cell r="O6388">
            <v>45432</v>
          </cell>
          <cell r="P6388">
            <v>1.8394570613790111</v>
          </cell>
          <cell r="Q6388">
            <v>24.160773835473471</v>
          </cell>
        </row>
        <row r="6389">
          <cell r="O6389">
            <v>45433</v>
          </cell>
          <cell r="P6389">
            <v>1.840351125692359</v>
          </cell>
          <cell r="Q6389">
            <v>24.172517129798031</v>
          </cell>
        </row>
        <row r="6390">
          <cell r="O6390">
            <v>45434</v>
          </cell>
          <cell r="P6390">
            <v>1.841245624663399</v>
          </cell>
          <cell r="Q6390">
            <v>24.184266133234491</v>
          </cell>
        </row>
        <row r="6391">
          <cell r="O6391">
            <v>45435</v>
          </cell>
          <cell r="P6391">
            <v>1.8421405585032815</v>
          </cell>
          <cell r="Q6391">
            <v>24.196020848556252</v>
          </cell>
        </row>
        <row r="6392">
          <cell r="O6392">
            <v>45436</v>
          </cell>
          <cell r="P6392">
            <v>1.8430359274232577</v>
          </cell>
          <cell r="Q6392">
            <v>24.207781278538043</v>
          </cell>
        </row>
        <row r="6393">
          <cell r="O6393">
            <v>45439</v>
          </cell>
          <cell r="P6393">
            <v>1.8439317316346882</v>
          </cell>
          <cell r="Q6393">
            <v>24.219547425956026</v>
          </cell>
        </row>
        <row r="6394">
          <cell r="O6394">
            <v>45440</v>
          </cell>
          <cell r="P6394">
            <v>1.8448279713490257</v>
          </cell>
          <cell r="Q6394">
            <v>24.231319293587578</v>
          </cell>
        </row>
        <row r="6395">
          <cell r="O6395">
            <v>45441</v>
          </cell>
          <cell r="P6395">
            <v>1.8457246467778394</v>
          </cell>
          <cell r="Q6395">
            <v>24.243096884211603</v>
          </cell>
        </row>
        <row r="6396">
          <cell r="O6396">
            <v>45443</v>
          </cell>
          <cell r="P6396">
            <v>1.8466217581327888</v>
          </cell>
          <cell r="Q6396">
            <v>24.254880200608191</v>
          </cell>
        </row>
        <row r="6397">
          <cell r="O6397">
            <v>45446</v>
          </cell>
          <cell r="P6397">
            <v>1.8475193056256463</v>
          </cell>
          <cell r="Q6397">
            <v>24.266669245558916</v>
          </cell>
        </row>
        <row r="6398">
          <cell r="O6398">
            <v>45447</v>
          </cell>
          <cell r="P6398">
            <v>1.8484172894682838</v>
          </cell>
          <cell r="Q6398">
            <v>24.278464021846659</v>
          </cell>
        </row>
        <row r="6399">
          <cell r="O6399">
            <v>45448</v>
          </cell>
          <cell r="P6399">
            <v>1.849315709872674</v>
          </cell>
          <cell r="Q6399">
            <v>24.290264532255623</v>
          </cell>
        </row>
        <row r="6400">
          <cell r="O6400">
            <v>45449</v>
          </cell>
          <cell r="P6400">
            <v>1.8502145670508983</v>
          </cell>
          <cell r="Q6400">
            <v>24.302070779571441</v>
          </cell>
        </row>
        <row r="6401">
          <cell r="O6401">
            <v>45450</v>
          </cell>
          <cell r="P6401">
            <v>1.8511138612151374</v>
          </cell>
          <cell r="Q6401">
            <v>24.313882766581052</v>
          </cell>
        </row>
        <row r="6402">
          <cell r="O6402">
            <v>45453</v>
          </cell>
          <cell r="P6402">
            <v>1.8520135925776775</v>
          </cell>
          <cell r="Q6402">
            <v>24.325700496072773</v>
          </cell>
        </row>
        <row r="6403">
          <cell r="O6403">
            <v>45454</v>
          </cell>
          <cell r="P6403">
            <v>1.8529137613509057</v>
          </cell>
          <cell r="Q6403">
            <v>24.337523970836255</v>
          </cell>
        </row>
        <row r="6404">
          <cell r="O6404">
            <v>45455</v>
          </cell>
          <cell r="P6404">
            <v>1.8538143677473184</v>
          </cell>
          <cell r="Q6404">
            <v>24.34935319366258</v>
          </cell>
        </row>
        <row r="6405">
          <cell r="O6405">
            <v>45456</v>
          </cell>
          <cell r="P6405">
            <v>1.8547154119795102</v>
          </cell>
          <cell r="Q6405">
            <v>24.361188167344118</v>
          </cell>
        </row>
        <row r="6406">
          <cell r="O6406">
            <v>45457</v>
          </cell>
          <cell r="P6406">
            <v>1.8556168942601805</v>
          </cell>
          <cell r="Q6406">
            <v>24.373028894674626</v>
          </cell>
        </row>
        <row r="6407">
          <cell r="O6407">
            <v>45460</v>
          </cell>
          <cell r="P6407">
            <v>1.8565188148021339</v>
          </cell>
          <cell r="Q6407">
            <v>24.384875378449227</v>
          </cell>
        </row>
        <row r="6408">
          <cell r="O6408">
            <v>45461</v>
          </cell>
          <cell r="P6408">
            <v>1.8574211738182786</v>
          </cell>
          <cell r="Q6408">
            <v>24.396727621464418</v>
          </cell>
        </row>
        <row r="6409">
          <cell r="O6409">
            <v>45462</v>
          </cell>
          <cell r="P6409">
            <v>1.8583239715216238</v>
          </cell>
          <cell r="Q6409">
            <v>24.408585626518015</v>
          </cell>
        </row>
        <row r="6410">
          <cell r="O6410">
            <v>45463</v>
          </cell>
          <cell r="P6410">
            <v>1.8592272081252861</v>
          </cell>
          <cell r="Q6410">
            <v>24.420449396409246</v>
          </cell>
        </row>
        <row r="6411">
          <cell r="O6411">
            <v>45464</v>
          </cell>
          <cell r="P6411">
            <v>1.8601308838424839</v>
          </cell>
          <cell r="Q6411">
            <v>24.432318933938685</v>
          </cell>
        </row>
        <row r="6412">
          <cell r="O6412">
            <v>45467</v>
          </cell>
          <cell r="P6412">
            <v>1.8610349988865409</v>
          </cell>
          <cell r="Q6412">
            <v>24.444194241908274</v>
          </cell>
        </row>
        <row r="6413">
          <cell r="O6413">
            <v>45468</v>
          </cell>
          <cell r="P6413">
            <v>1.8619395534708851</v>
          </cell>
          <cell r="Q6413">
            <v>24.456075323121333</v>
          </cell>
        </row>
        <row r="6414">
          <cell r="O6414">
            <v>45469</v>
          </cell>
          <cell r="P6414">
            <v>1.8628445478090474</v>
          </cell>
          <cell r="Q6414">
            <v>24.467962180382536</v>
          </cell>
        </row>
        <row r="6415">
          <cell r="O6415">
            <v>45470</v>
          </cell>
          <cell r="P6415">
            <v>1.8637499821146617</v>
          </cell>
          <cell r="Q6415">
            <v>24.479854816497905</v>
          </cell>
        </row>
        <row r="6416">
          <cell r="O6416">
            <v>45471</v>
          </cell>
          <cell r="P6416">
            <v>1.864655856601467</v>
          </cell>
          <cell r="Q6416">
            <v>24.491753234274846</v>
          </cell>
        </row>
        <row r="6417">
          <cell r="O6417">
            <v>45474</v>
          </cell>
          <cell r="P6417">
            <v>1.8655621714833108</v>
          </cell>
          <cell r="Q6417">
            <v>24.503657436522182</v>
          </cell>
        </row>
        <row r="6418">
          <cell r="O6418">
            <v>45475</v>
          </cell>
          <cell r="P6418">
            <v>1.866466372308152</v>
          </cell>
          <cell r="Q6418">
            <v>24.515533871199306</v>
          </cell>
        </row>
        <row r="6419">
          <cell r="O6419">
            <v>45476</v>
          </cell>
          <cell r="P6419">
            <v>1.8673710114736832</v>
          </cell>
          <cell r="Q6419">
            <v>24.527416063363511</v>
          </cell>
        </row>
        <row r="6420">
          <cell r="O6420">
            <v>45477</v>
          </cell>
          <cell r="P6420">
            <v>1.8682760891922536</v>
          </cell>
          <cell r="Q6420">
            <v>24.53930401580395</v>
          </cell>
        </row>
        <row r="6421">
          <cell r="O6421">
            <v>45478</v>
          </cell>
          <cell r="P6421">
            <v>1.8691816056763202</v>
          </cell>
          <cell r="Q6421">
            <v>24.551197731311191</v>
          </cell>
        </row>
        <row r="6422">
          <cell r="O6422">
            <v>45481</v>
          </cell>
          <cell r="P6422">
            <v>1.8700875611384411</v>
          </cell>
          <cell r="Q6422">
            <v>24.563097212677125</v>
          </cell>
        </row>
        <row r="6423">
          <cell r="O6423">
            <v>45482</v>
          </cell>
          <cell r="P6423">
            <v>1.8709939557912789</v>
          </cell>
          <cell r="Q6423">
            <v>24.575002462695018</v>
          </cell>
        </row>
        <row r="6424">
          <cell r="O6424">
            <v>45483</v>
          </cell>
          <cell r="P6424">
            <v>1.8719007898475999</v>
          </cell>
          <cell r="Q6424">
            <v>24.586913484159499</v>
          </cell>
        </row>
        <row r="6425">
          <cell r="O6425">
            <v>45484</v>
          </cell>
          <cell r="P6425">
            <v>1.8728080635202708</v>
          </cell>
          <cell r="Q6425">
            <v>24.598830279866515</v>
          </cell>
        </row>
        <row r="6426">
          <cell r="O6426">
            <v>45485</v>
          </cell>
          <cell r="P6426">
            <v>1.873715777022267</v>
          </cell>
          <cell r="Q6426">
            <v>24.610752852613441</v>
          </cell>
        </row>
        <row r="6427">
          <cell r="O6427">
            <v>45488</v>
          </cell>
          <cell r="P6427">
            <v>1.8746239305666637</v>
          </cell>
          <cell r="Q6427">
            <v>24.622681205198958</v>
          </cell>
        </row>
        <row r="6428">
          <cell r="O6428">
            <v>45489</v>
          </cell>
          <cell r="P6428">
            <v>1.8755325243666399</v>
          </cell>
          <cell r="Q6428">
            <v>24.634615340423121</v>
          </cell>
        </row>
        <row r="6429">
          <cell r="O6429">
            <v>45490</v>
          </cell>
          <cell r="P6429">
            <v>1.8764415586354783</v>
          </cell>
          <cell r="Q6429">
            <v>24.64655526108734</v>
          </cell>
        </row>
        <row r="6430">
          <cell r="O6430">
            <v>45491</v>
          </cell>
          <cell r="P6430">
            <v>1.8773510335865684</v>
          </cell>
          <cell r="Q6430">
            <v>24.658500969994424</v>
          </cell>
        </row>
        <row r="6431">
          <cell r="O6431">
            <v>45492</v>
          </cell>
          <cell r="P6431">
            <v>1.8782609494333975</v>
          </cell>
          <cell r="Q6431">
            <v>24.670452469948476</v>
          </cell>
        </row>
        <row r="6432">
          <cell r="O6432">
            <v>45495</v>
          </cell>
          <cell r="P6432">
            <v>1.8791713063895616</v>
          </cell>
          <cell r="Q6432">
            <v>24.682409763755022</v>
          </cell>
        </row>
        <row r="6433">
          <cell r="O6433">
            <v>45496</v>
          </cell>
          <cell r="P6433">
            <v>1.880082104668761</v>
          </cell>
          <cell r="Q6433">
            <v>24.694372854220951</v>
          </cell>
        </row>
        <row r="6434">
          <cell r="O6434">
            <v>45497</v>
          </cell>
          <cell r="P6434">
            <v>1.8809933444847953</v>
          </cell>
          <cell r="Q6434">
            <v>24.706341744154471</v>
          </cell>
        </row>
        <row r="6435">
          <cell r="O6435">
            <v>45498</v>
          </cell>
          <cell r="P6435">
            <v>1.8819050260515708</v>
          </cell>
          <cell r="Q6435">
            <v>24.718316436365185</v>
          </cell>
        </row>
        <row r="6436">
          <cell r="O6436">
            <v>45499</v>
          </cell>
          <cell r="P6436">
            <v>1.8828171495830985</v>
          </cell>
          <cell r="Q6436">
            <v>24.730296933664064</v>
          </cell>
        </row>
        <row r="6437">
          <cell r="O6437">
            <v>45502</v>
          </cell>
          <cell r="P6437">
            <v>1.8837297152934915</v>
          </cell>
          <cell r="Q6437">
            <v>24.742283238863426</v>
          </cell>
        </row>
        <row r="6438">
          <cell r="O6438">
            <v>45503</v>
          </cell>
          <cell r="P6438">
            <v>1.8846427233969705</v>
          </cell>
          <cell r="Q6438">
            <v>24.754275354777008</v>
          </cell>
        </row>
        <row r="6439">
          <cell r="O6439">
            <v>45504</v>
          </cell>
          <cell r="P6439">
            <v>1.8855561741078524</v>
          </cell>
          <cell r="Q6439">
            <v>24.766273284219796</v>
          </cell>
        </row>
        <row r="6440">
          <cell r="O6440">
            <v>45505</v>
          </cell>
          <cell r="P6440">
            <v>1.8864700676405715</v>
          </cell>
          <cell r="Q6440">
            <v>24.778277030008336</v>
          </cell>
        </row>
        <row r="6441">
          <cell r="O6441">
            <v>45506</v>
          </cell>
          <cell r="P6441">
            <v>1.8873844042096519</v>
          </cell>
          <cell r="Q6441">
            <v>24.790286594960342</v>
          </cell>
        </row>
        <row r="6442">
          <cell r="O6442">
            <v>45509</v>
          </cell>
          <cell r="P6442">
            <v>1.8882991840297307</v>
          </cell>
          <cell r="Q6442">
            <v>24.802301981895013</v>
          </cell>
        </row>
        <row r="6443">
          <cell r="O6443">
            <v>45510</v>
          </cell>
          <cell r="P6443">
            <v>1.8892144073155486</v>
          </cell>
          <cell r="Q6443">
            <v>24.814323193632909</v>
          </cell>
        </row>
        <row r="6444">
          <cell r="O6444">
            <v>45511</v>
          </cell>
          <cell r="P6444">
            <v>1.8901300742819478</v>
          </cell>
          <cell r="Q6444">
            <v>24.826350232995924</v>
          </cell>
        </row>
        <row r="6445">
          <cell r="O6445">
            <v>45512</v>
          </cell>
          <cell r="P6445">
            <v>1.8910461851438753</v>
          </cell>
          <cell r="Q6445">
            <v>24.838383102807335</v>
          </cell>
        </row>
        <row r="6446">
          <cell r="O6446">
            <v>45513</v>
          </cell>
          <cell r="P6446">
            <v>1.891962740116387</v>
          </cell>
          <cell r="Q6446">
            <v>24.850421805891838</v>
          </cell>
        </row>
        <row r="6447">
          <cell r="O6447">
            <v>45516</v>
          </cell>
          <cell r="P6447">
            <v>1.8928797394146402</v>
          </cell>
          <cell r="Q6447">
            <v>24.862466345075465</v>
          </cell>
        </row>
        <row r="6448">
          <cell r="O6448">
            <v>45517</v>
          </cell>
          <cell r="P6448">
            <v>1.8937971832538918</v>
          </cell>
          <cell r="Q6448">
            <v>24.874516723185565</v>
          </cell>
        </row>
        <row r="6449">
          <cell r="O6449">
            <v>45518</v>
          </cell>
          <cell r="P6449">
            <v>1.8947150718495112</v>
          </cell>
          <cell r="Q6449">
            <v>24.88657294305095</v>
          </cell>
        </row>
        <row r="6450">
          <cell r="O6450">
            <v>45519</v>
          </cell>
          <cell r="P6450">
            <v>1.8956334054169697</v>
          </cell>
          <cell r="Q6450">
            <v>24.898635007501777</v>
          </cell>
        </row>
        <row r="6451">
          <cell r="O6451">
            <v>45520</v>
          </cell>
          <cell r="P6451">
            <v>1.8965521841718438</v>
          </cell>
          <cell r="Q6451">
            <v>24.910702919369594</v>
          </cell>
        </row>
        <row r="6452">
          <cell r="O6452">
            <v>45523</v>
          </cell>
          <cell r="P6452">
            <v>1.8974714083298114</v>
          </cell>
          <cell r="Q6452">
            <v>24.922776681487264</v>
          </cell>
        </row>
        <row r="6453">
          <cell r="O6453">
            <v>45524</v>
          </cell>
          <cell r="P6453">
            <v>1.8983910781066602</v>
          </cell>
          <cell r="Q6453">
            <v>24.934856296689102</v>
          </cell>
        </row>
        <row r="6454">
          <cell r="O6454">
            <v>45525</v>
          </cell>
          <cell r="P6454">
            <v>1.8993111937182772</v>
          </cell>
          <cell r="Q6454">
            <v>24.946941767810728</v>
          </cell>
        </row>
        <row r="6455">
          <cell r="O6455">
            <v>45526</v>
          </cell>
          <cell r="P6455">
            <v>1.9002317553806625</v>
          </cell>
          <cell r="Q6455">
            <v>24.959033097689243</v>
          </cell>
        </row>
        <row r="6456">
          <cell r="O6456">
            <v>45527</v>
          </cell>
          <cell r="P6456">
            <v>1.901152763309911</v>
          </cell>
          <cell r="Q6456">
            <v>24.971130289163</v>
          </cell>
        </row>
        <row r="6457">
          <cell r="O6457">
            <v>45530</v>
          </cell>
          <cell r="P6457">
            <v>1.9020742177222298</v>
          </cell>
          <cell r="Q6457">
            <v>24.983233345071813</v>
          </cell>
        </row>
        <row r="6458">
          <cell r="O6458">
            <v>45531</v>
          </cell>
          <cell r="P6458">
            <v>1.9029961188339306</v>
          </cell>
          <cell r="Q6458">
            <v>24.995342268256884</v>
          </cell>
        </row>
        <row r="6459">
          <cell r="O6459">
            <v>45532</v>
          </cell>
          <cell r="P6459">
            <v>1.9039184668614297</v>
          </cell>
          <cell r="Q6459">
            <v>25.007457061560782</v>
          </cell>
        </row>
        <row r="6460">
          <cell r="O6460">
            <v>45533</v>
          </cell>
          <cell r="P6460">
            <v>1.9048412620212425</v>
          </cell>
          <cell r="Q6460">
            <v>25.019577727827375</v>
          </cell>
        </row>
        <row r="6461">
          <cell r="O6461">
            <v>45534</v>
          </cell>
          <cell r="P6461">
            <v>1.9057645045299982</v>
          </cell>
          <cell r="Q6461">
            <v>25.031704269902036</v>
          </cell>
        </row>
        <row r="6462">
          <cell r="O6462">
            <v>45537</v>
          </cell>
          <cell r="P6462">
            <v>1.9066881946044283</v>
          </cell>
          <cell r="Q6462">
            <v>25.043836690631469</v>
          </cell>
        </row>
        <row r="6463">
          <cell r="O6463">
            <v>45538</v>
          </cell>
          <cell r="P6463">
            <v>1.907612332461367</v>
          </cell>
          <cell r="Q6463">
            <v>25.055974992863735</v>
          </cell>
        </row>
        <row r="6464">
          <cell r="O6464">
            <v>45539</v>
          </cell>
          <cell r="P6464">
            <v>1.9085369183177565</v>
          </cell>
          <cell r="Q6464">
            <v>25.068119179448313</v>
          </cell>
        </row>
        <row r="6465">
          <cell r="O6465">
            <v>45540</v>
          </cell>
          <cell r="P6465">
            <v>1.9094619523906451</v>
          </cell>
          <cell r="Q6465">
            <v>25.080269253236072</v>
          </cell>
        </row>
        <row r="6466">
          <cell r="O6466">
            <v>45541</v>
          </cell>
          <cell r="P6466">
            <v>1.9103874348971845</v>
          </cell>
          <cell r="Q6466">
            <v>25.092425217079242</v>
          </cell>
        </row>
        <row r="6467">
          <cell r="O6467">
            <v>45544</v>
          </cell>
          <cell r="P6467">
            <v>1.9113133660546335</v>
          </cell>
          <cell r="Q6467">
            <v>25.104587073831457</v>
          </cell>
        </row>
        <row r="6468">
          <cell r="O6468">
            <v>45545</v>
          </cell>
          <cell r="P6468">
            <v>1.9122397460803557</v>
          </cell>
          <cell r="Q6468">
            <v>25.11675482634773</v>
          </cell>
        </row>
        <row r="6469">
          <cell r="O6469">
            <v>45546</v>
          </cell>
          <cell r="P6469">
            <v>1.9131665751918174</v>
          </cell>
          <cell r="Q6469">
            <v>25.128928477484425</v>
          </cell>
        </row>
        <row r="6470">
          <cell r="O6470">
            <v>45547</v>
          </cell>
          <cell r="P6470">
            <v>1.9140938536065994</v>
          </cell>
          <cell r="Q6470">
            <v>25.141108030099407</v>
          </cell>
        </row>
        <row r="6471">
          <cell r="O6471">
            <v>45548</v>
          </cell>
          <cell r="P6471">
            <v>1.9150215815423761</v>
          </cell>
          <cell r="Q6471">
            <v>25.153293487051769</v>
          </cell>
        </row>
        <row r="6472">
          <cell r="O6472">
            <v>45551</v>
          </cell>
          <cell r="P6472">
            <v>1.9159497592169386</v>
          </cell>
          <cell r="Q6472">
            <v>25.165484851202137</v>
          </cell>
        </row>
        <row r="6473">
          <cell r="O6473">
            <v>45552</v>
          </cell>
          <cell r="P6473">
            <v>1.9168783868481762</v>
          </cell>
          <cell r="Q6473">
            <v>25.177682125412435</v>
          </cell>
        </row>
        <row r="6474">
          <cell r="O6474">
            <v>45553</v>
          </cell>
          <cell r="P6474">
            <v>1.9178074646540904</v>
          </cell>
          <cell r="Q6474">
            <v>25.189885312546043</v>
          </cell>
        </row>
        <row r="6475">
          <cell r="O6475">
            <v>45554</v>
          </cell>
          <cell r="P6475">
            <v>1.918736992852782</v>
          </cell>
          <cell r="Q6475">
            <v>25.202094415467666</v>
          </cell>
        </row>
        <row r="6476">
          <cell r="O6476">
            <v>45555</v>
          </cell>
          <cell r="P6476">
            <v>1.9196669716624635</v>
          </cell>
          <cell r="Q6476">
            <v>25.214309437043465</v>
          </cell>
        </row>
        <row r="6477">
          <cell r="O6477">
            <v>45558</v>
          </cell>
          <cell r="P6477">
            <v>1.9205974013014486</v>
          </cell>
          <cell r="Q6477">
            <v>25.226530380140929</v>
          </cell>
        </row>
        <row r="6478">
          <cell r="O6478">
            <v>45559</v>
          </cell>
          <cell r="P6478">
            <v>1.9215282819881616</v>
          </cell>
          <cell r="Q6478">
            <v>25.238757247629003</v>
          </cell>
        </row>
        <row r="6479">
          <cell r="O6479">
            <v>45560</v>
          </cell>
          <cell r="P6479">
            <v>1.9224596139411283</v>
          </cell>
          <cell r="Q6479">
            <v>25.250990042377964</v>
          </cell>
        </row>
        <row r="6480">
          <cell r="O6480">
            <v>45561</v>
          </cell>
          <cell r="P6480">
            <v>1.9233913973789869</v>
          </cell>
          <cell r="Q6480">
            <v>25.263228767259569</v>
          </cell>
        </row>
        <row r="6481">
          <cell r="O6481">
            <v>45562</v>
          </cell>
          <cell r="P6481">
            <v>1.9243236325204756</v>
          </cell>
          <cell r="Q6481">
            <v>25.275473425146881</v>
          </cell>
        </row>
        <row r="6482">
          <cell r="O6482">
            <v>45565</v>
          </cell>
          <cell r="P6482">
            <v>1.9252563195844428</v>
          </cell>
          <cell r="Q6482">
            <v>25.287724018914421</v>
          </cell>
        </row>
        <row r="6483">
          <cell r="O6483">
            <v>45566</v>
          </cell>
          <cell r="P6483">
            <v>1.9261894587898378</v>
          </cell>
          <cell r="Q6483">
            <v>25.299980551438022</v>
          </cell>
        </row>
        <row r="6484">
          <cell r="O6484">
            <v>45567</v>
          </cell>
          <cell r="P6484">
            <v>1.9271230503557264</v>
          </cell>
          <cell r="Q6484">
            <v>25.312243025595059</v>
          </cell>
        </row>
        <row r="6485">
          <cell r="O6485">
            <v>45568</v>
          </cell>
          <cell r="P6485">
            <v>1.9280570945012716</v>
          </cell>
          <cell r="Q6485">
            <v>25.324511444264179</v>
          </cell>
        </row>
        <row r="6486">
          <cell r="O6486">
            <v>45569</v>
          </cell>
          <cell r="P6486">
            <v>1.9289915914457467</v>
          </cell>
          <cell r="Q6486">
            <v>25.336785810325477</v>
          </cell>
        </row>
        <row r="6487">
          <cell r="O6487">
            <v>45572</v>
          </cell>
          <cell r="P6487">
            <v>1.9299265414085285</v>
          </cell>
          <cell r="Q6487">
            <v>25.349066126660407</v>
          </cell>
        </row>
        <row r="6488">
          <cell r="O6488">
            <v>45573</v>
          </cell>
          <cell r="P6488">
            <v>1.9308619446091055</v>
          </cell>
          <cell r="Q6488">
            <v>25.361352396151894</v>
          </cell>
        </row>
        <row r="6489">
          <cell r="O6489">
            <v>45574</v>
          </cell>
          <cell r="P6489">
            <v>1.9317978012670693</v>
          </cell>
          <cell r="Q6489">
            <v>25.37364462168421</v>
          </cell>
        </row>
        <row r="6490">
          <cell r="O6490">
            <v>45575</v>
          </cell>
          <cell r="P6490">
            <v>1.9327341116021184</v>
          </cell>
          <cell r="Q6490">
            <v>25.385942806143042</v>
          </cell>
        </row>
        <row r="6491">
          <cell r="O6491">
            <v>45576</v>
          </cell>
          <cell r="P6491">
            <v>1.9336708758340615</v>
          </cell>
          <cell r="Q6491">
            <v>25.398246952415512</v>
          </cell>
        </row>
        <row r="6492">
          <cell r="O6492">
            <v>45579</v>
          </cell>
          <cell r="P6492">
            <v>1.934608094182807</v>
          </cell>
          <cell r="Q6492">
            <v>25.410557063390062</v>
          </cell>
        </row>
        <row r="6493">
          <cell r="O6493">
            <v>45580</v>
          </cell>
          <cell r="P6493">
            <v>1.9355457668683771</v>
          </cell>
          <cell r="Q6493">
            <v>25.422873141956625</v>
          </cell>
        </row>
        <row r="6494">
          <cell r="O6494">
            <v>45581</v>
          </cell>
          <cell r="P6494">
            <v>1.9364838941108964</v>
          </cell>
          <cell r="Q6494">
            <v>25.435195191006475</v>
          </cell>
        </row>
        <row r="6495">
          <cell r="O6495">
            <v>45582</v>
          </cell>
          <cell r="P6495">
            <v>1.9374224761305994</v>
          </cell>
          <cell r="Q6495">
            <v>25.447523213432333</v>
          </cell>
        </row>
        <row r="6496">
          <cell r="O6496">
            <v>45583</v>
          </cell>
          <cell r="P6496">
            <v>1.9383615131478271</v>
          </cell>
          <cell r="Q6496">
            <v>25.459857212128323</v>
          </cell>
        </row>
        <row r="6497">
          <cell r="O6497">
            <v>45586</v>
          </cell>
          <cell r="P6497">
            <v>1.9393010053830237</v>
          </cell>
          <cell r="Q6497">
            <v>25.472197189989917</v>
          </cell>
        </row>
        <row r="6498">
          <cell r="O6498">
            <v>45587</v>
          </cell>
          <cell r="P6498">
            <v>1.9402409530567477</v>
          </cell>
          <cell r="Q6498">
            <v>25.484543149914092</v>
          </cell>
        </row>
        <row r="6499">
          <cell r="O6499">
            <v>45588</v>
          </cell>
          <cell r="P6499">
            <v>1.9411813563896569</v>
          </cell>
          <cell r="Q6499">
            <v>25.496895094799129</v>
          </cell>
        </row>
        <row r="6500">
          <cell r="O6500">
            <v>45589</v>
          </cell>
          <cell r="P6500">
            <v>1.9421222156025244</v>
          </cell>
          <cell r="Q6500">
            <v>25.509253027544819</v>
          </cell>
        </row>
        <row r="6501">
          <cell r="O6501">
            <v>45590</v>
          </cell>
          <cell r="P6501">
            <v>1.9430635309162219</v>
          </cell>
          <cell r="Q6501">
            <v>25.521616951052263</v>
          </cell>
        </row>
        <row r="6502">
          <cell r="O6502">
            <v>45593</v>
          </cell>
          <cell r="P6502">
            <v>1.9440053025517334</v>
          </cell>
          <cell r="Q6502">
            <v>25.533986868224016</v>
          </cell>
        </row>
        <row r="6503">
          <cell r="O6503">
            <v>45594</v>
          </cell>
          <cell r="P6503">
            <v>1.9449475307301523</v>
          </cell>
          <cell r="Q6503">
            <v>25.546362781964085</v>
          </cell>
        </row>
        <row r="6504">
          <cell r="O6504">
            <v>45595</v>
          </cell>
          <cell r="P6504">
            <v>1.9458902156726738</v>
          </cell>
          <cell r="Q6504">
            <v>25.558744695177811</v>
          </cell>
        </row>
        <row r="6505">
          <cell r="O6505">
            <v>45596</v>
          </cell>
          <cell r="P6505">
            <v>1.9468333576006065</v>
          </cell>
          <cell r="Q6505">
            <v>25.571132610772022</v>
          </cell>
        </row>
        <row r="6506">
          <cell r="O6506">
            <v>45597</v>
          </cell>
          <cell r="P6506">
            <v>1.9477769567353618</v>
          </cell>
          <cell r="Q6506">
            <v>25.58352653165489</v>
          </cell>
        </row>
        <row r="6507">
          <cell r="O6507">
            <v>45600</v>
          </cell>
          <cell r="P6507">
            <v>1.9487210132984576</v>
          </cell>
          <cell r="Q6507">
            <v>25.595926460736006</v>
          </cell>
        </row>
        <row r="6508">
          <cell r="O6508">
            <v>45601</v>
          </cell>
          <cell r="P6508">
            <v>1.9496655275115271</v>
          </cell>
          <cell r="Q6508">
            <v>25.60833240092645</v>
          </cell>
        </row>
        <row r="6509">
          <cell r="O6509">
            <v>45602</v>
          </cell>
          <cell r="P6509">
            <v>1.9506104995963021</v>
          </cell>
          <cell r="Q6509">
            <v>25.620744355138619</v>
          </cell>
        </row>
        <row r="6510">
          <cell r="O6510">
            <v>45603</v>
          </cell>
          <cell r="P6510">
            <v>1.9515559297746274</v>
          </cell>
          <cell r="Q6510">
            <v>25.633162326286381</v>
          </cell>
        </row>
        <row r="6511">
          <cell r="O6511">
            <v>45604</v>
          </cell>
          <cell r="P6511">
            <v>1.9525018182684541</v>
          </cell>
          <cell r="Q6511">
            <v>25.645586317285002</v>
          </cell>
        </row>
        <row r="6512">
          <cell r="O6512">
            <v>45607</v>
          </cell>
          <cell r="P6512">
            <v>1.9534481652998434</v>
          </cell>
          <cell r="Q6512">
            <v>25.658016331051197</v>
          </cell>
        </row>
        <row r="6513">
          <cell r="O6513">
            <v>45608</v>
          </cell>
          <cell r="P6513">
            <v>1.9543949710909607</v>
          </cell>
          <cell r="Q6513">
            <v>25.670452370503053</v>
          </cell>
        </row>
        <row r="6514">
          <cell r="O6514">
            <v>45609</v>
          </cell>
          <cell r="P6514">
            <v>1.9553422358640815</v>
          </cell>
          <cell r="Q6514">
            <v>25.682894438560094</v>
          </cell>
        </row>
        <row r="6515">
          <cell r="O6515">
            <v>45610</v>
          </cell>
          <cell r="P6515">
            <v>1.9562899598415875</v>
          </cell>
          <cell r="Q6515">
            <v>25.695342538143244</v>
          </cell>
        </row>
        <row r="6516">
          <cell r="O6516">
            <v>45614</v>
          </cell>
          <cell r="P6516">
            <v>1.9572381432459691</v>
          </cell>
          <cell r="Q6516">
            <v>25.707796672174858</v>
          </cell>
        </row>
        <row r="6517">
          <cell r="O6517">
            <v>45615</v>
          </cell>
          <cell r="P6517">
            <v>1.9581867862998277</v>
          </cell>
          <cell r="Q6517">
            <v>25.720256843578746</v>
          </cell>
        </row>
        <row r="6518">
          <cell r="O6518">
            <v>45616</v>
          </cell>
          <cell r="P6518">
            <v>1.9591358892258675</v>
          </cell>
          <cell r="Q6518">
            <v>25.732723055280061</v>
          </cell>
        </row>
        <row r="6519">
          <cell r="O6519">
            <v>45617</v>
          </cell>
          <cell r="P6519">
            <v>1.9600854522469073</v>
          </cell>
          <cell r="Q6519">
            <v>25.745195310205474</v>
          </cell>
        </row>
        <row r="6520">
          <cell r="O6520">
            <v>45618</v>
          </cell>
          <cell r="P6520">
            <v>1.9610354755858697</v>
          </cell>
          <cell r="Q6520">
            <v>25.757673611283014</v>
          </cell>
        </row>
        <row r="6521">
          <cell r="O6521">
            <v>45621</v>
          </cell>
          <cell r="P6521">
            <v>1.9619859594657831</v>
          </cell>
          <cell r="Q6521">
            <v>25.770157961442095</v>
          </cell>
        </row>
        <row r="6522">
          <cell r="O6522">
            <v>45622</v>
          </cell>
          <cell r="P6522">
            <v>1.9629369041097919</v>
          </cell>
          <cell r="Q6522">
            <v>25.782648363613664</v>
          </cell>
        </row>
        <row r="6523">
          <cell r="O6523">
            <v>45623</v>
          </cell>
          <cell r="P6523">
            <v>1.9638883097411433</v>
          </cell>
          <cell r="Q6523">
            <v>25.795144820730005</v>
          </cell>
        </row>
        <row r="6524">
          <cell r="O6524">
            <v>45624</v>
          </cell>
          <cell r="P6524">
            <v>1.9648401765831924</v>
          </cell>
          <cell r="Q6524">
            <v>25.807647335724834</v>
          </cell>
        </row>
        <row r="6525">
          <cell r="O6525">
            <v>45625</v>
          </cell>
          <cell r="P6525">
            <v>1.9657925048594069</v>
          </cell>
          <cell r="Q6525">
            <v>25.820155911533337</v>
          </cell>
        </row>
        <row r="6526">
          <cell r="O6526">
            <v>45628</v>
          </cell>
          <cell r="P6526">
            <v>1.9667452947933592</v>
          </cell>
          <cell r="Q6526">
            <v>25.832670551092079</v>
          </cell>
        </row>
        <row r="6527">
          <cell r="O6527">
            <v>45629</v>
          </cell>
          <cell r="P6527">
            <v>1.9676985466087322</v>
          </cell>
          <cell r="Q6527">
            <v>25.845191257339067</v>
          </cell>
        </row>
        <row r="6528">
          <cell r="O6528">
            <v>45630</v>
          </cell>
          <cell r="P6528">
            <v>1.9686522605293171</v>
          </cell>
          <cell r="Q6528">
            <v>25.85771803321375</v>
          </cell>
        </row>
        <row r="6529">
          <cell r="O6529">
            <v>45631</v>
          </cell>
          <cell r="P6529">
            <v>1.9696064367790154</v>
          </cell>
          <cell r="Q6529">
            <v>25.870250881657007</v>
          </cell>
        </row>
        <row r="6530">
          <cell r="O6530">
            <v>45632</v>
          </cell>
          <cell r="P6530">
            <v>1.9705610755818346</v>
          </cell>
          <cell r="Q6530">
            <v>25.882789805611115</v>
          </cell>
        </row>
        <row r="6531">
          <cell r="O6531">
            <v>45635</v>
          </cell>
          <cell r="P6531">
            <v>1.971516177161891</v>
          </cell>
          <cell r="Q6531">
            <v>25.895334808019786</v>
          </cell>
        </row>
        <row r="6532">
          <cell r="O6532">
            <v>45636</v>
          </cell>
          <cell r="P6532">
            <v>1.9724717417434117</v>
          </cell>
          <cell r="Q6532">
            <v>25.90788589182818</v>
          </cell>
        </row>
        <row r="6533">
          <cell r="O6533">
            <v>45637</v>
          </cell>
          <cell r="P6533">
            <v>1.9734277695507345</v>
          </cell>
          <cell r="Q6533">
            <v>25.920443059982915</v>
          </cell>
        </row>
        <row r="6534">
          <cell r="O6534">
            <v>45638</v>
          </cell>
          <cell r="P6534">
            <v>1.974384260808298</v>
          </cell>
          <cell r="Q6534">
            <v>25.933006315431932</v>
          </cell>
        </row>
        <row r="6535">
          <cell r="O6535">
            <v>45639</v>
          </cell>
          <cell r="P6535">
            <v>1.9753412157406605</v>
          </cell>
          <cell r="Q6535">
            <v>25.945575661124739</v>
          </cell>
        </row>
        <row r="6536">
          <cell r="O6536">
            <v>45642</v>
          </cell>
          <cell r="P6536">
            <v>1.9762986345724809</v>
          </cell>
          <cell r="Q6536">
            <v>25.958151100012177</v>
          </cell>
        </row>
        <row r="6537">
          <cell r="O6537">
            <v>45643</v>
          </cell>
          <cell r="P6537">
            <v>1.9772565175285333</v>
          </cell>
          <cell r="Q6537">
            <v>25.970732635046588</v>
          </cell>
        </row>
        <row r="6538">
          <cell r="O6538">
            <v>45644</v>
          </cell>
          <cell r="P6538">
            <v>1.9782148648336944</v>
          </cell>
          <cell r="Q6538">
            <v>25.983320269181672</v>
          </cell>
        </row>
        <row r="6539">
          <cell r="O6539">
            <v>45645</v>
          </cell>
          <cell r="P6539">
            <v>1.9791736767129586</v>
          </cell>
          <cell r="Q6539">
            <v>25.995914005372665</v>
          </cell>
        </row>
        <row r="6540">
          <cell r="O6540">
            <v>45646</v>
          </cell>
          <cell r="P6540">
            <v>1.9801329533914218</v>
          </cell>
          <cell r="Q6540">
            <v>26.008513846576143</v>
          </cell>
        </row>
        <row r="6541">
          <cell r="O6541">
            <v>45649</v>
          </cell>
          <cell r="P6541">
            <v>1.9810926950942924</v>
          </cell>
          <cell r="Q6541">
            <v>26.02111979575016</v>
          </cell>
        </row>
        <row r="6542">
          <cell r="O6542">
            <v>45650</v>
          </cell>
          <cell r="P6542">
            <v>1.9820529020468887</v>
          </cell>
          <cell r="Q6542">
            <v>26.033731855854207</v>
          </cell>
        </row>
        <row r="6543">
          <cell r="O6543">
            <v>45652</v>
          </cell>
          <cell r="P6543">
            <v>1.9830135744746367</v>
          </cell>
          <cell r="Q6543">
            <v>26.046350029849197</v>
          </cell>
        </row>
        <row r="6544">
          <cell r="O6544">
            <v>45653</v>
          </cell>
          <cell r="P6544">
            <v>1.9839747126030756</v>
          </cell>
          <cell r="Q6544">
            <v>26.058974320697526</v>
          </cell>
        </row>
        <row r="6545">
          <cell r="O6545">
            <v>45656</v>
          </cell>
          <cell r="P6545">
            <v>1.9849363166578493</v>
          </cell>
          <cell r="Q6545">
            <v>26.071604731362967</v>
          </cell>
        </row>
        <row r="6546">
          <cell r="O6546">
            <v>45657</v>
          </cell>
          <cell r="P6546">
            <v>1.9858983868647144</v>
          </cell>
          <cell r="Q6546">
            <v>26.084241264810775</v>
          </cell>
        </row>
        <row r="6547">
          <cell r="O6547">
            <v>45659</v>
          </cell>
          <cell r="P6547">
            <v>1.9868609234495356</v>
          </cell>
          <cell r="Q6547">
            <v>26.09688392400761</v>
          </cell>
        </row>
        <row r="6548">
          <cell r="O6548">
            <v>45660</v>
          </cell>
          <cell r="P6548">
            <v>1.9878181060304669</v>
          </cell>
          <cell r="Q6548">
            <v>26.109456259803153</v>
          </cell>
        </row>
        <row r="6549">
          <cell r="O6549">
            <v>45663</v>
          </cell>
          <cell r="P6549">
            <v>1.9887757498114205</v>
          </cell>
          <cell r="Q6549">
            <v>26.122034653336961</v>
          </cell>
        </row>
        <row r="6550">
          <cell r="O6550">
            <v>45664</v>
          </cell>
          <cell r="P6550">
            <v>1.9897338550145178</v>
          </cell>
          <cell r="Q6550">
            <v>26.134619107526543</v>
          </cell>
        </row>
        <row r="6551">
          <cell r="O6551">
            <v>45665</v>
          </cell>
          <cell r="P6551">
            <v>1.9906924218619797</v>
          </cell>
          <cell r="Q6551">
            <v>26.147209625290706</v>
          </cell>
        </row>
        <row r="6552">
          <cell r="O6552">
            <v>45666</v>
          </cell>
          <cell r="P6552">
            <v>1.9916514505761427</v>
          </cell>
          <cell r="Q6552">
            <v>26.159806209549785</v>
          </cell>
        </row>
        <row r="6553">
          <cell r="O6553">
            <v>45667</v>
          </cell>
          <cell r="P6553">
            <v>1.9926109413794493</v>
          </cell>
          <cell r="Q6553">
            <v>26.172408863225499</v>
          </cell>
        </row>
        <row r="6554">
          <cell r="O6554">
            <v>45670</v>
          </cell>
          <cell r="P6554">
            <v>1.9935708944944421</v>
          </cell>
          <cell r="Q6554">
            <v>26.185017589240886</v>
          </cell>
        </row>
        <row r="6555">
          <cell r="O6555">
            <v>45671</v>
          </cell>
          <cell r="P6555">
            <v>1.9945313101437787</v>
          </cell>
          <cell r="Q6555">
            <v>26.197632390520496</v>
          </cell>
        </row>
        <row r="6556">
          <cell r="O6556">
            <v>45672</v>
          </cell>
          <cell r="P6556">
            <v>1.9954921885502213</v>
          </cell>
          <cell r="Q6556">
            <v>26.210253269990247</v>
          </cell>
        </row>
        <row r="6557">
          <cell r="O6557">
            <v>45673</v>
          </cell>
          <cell r="P6557">
            <v>1.9964535299366435</v>
          </cell>
          <cell r="Q6557">
            <v>26.22288023057753</v>
          </cell>
        </row>
        <row r="6558">
          <cell r="O6558">
            <v>45674</v>
          </cell>
          <cell r="P6558">
            <v>1.9974153345260175</v>
          </cell>
          <cell r="Q6558">
            <v>26.235513275211016</v>
          </cell>
        </row>
        <row r="6559">
          <cell r="O6559">
            <v>45677</v>
          </cell>
          <cell r="P6559">
            <v>1.9983776025414315</v>
          </cell>
          <cell r="Q6559">
            <v>26.248152406820918</v>
          </cell>
        </row>
        <row r="6560">
          <cell r="O6560">
            <v>45678</v>
          </cell>
          <cell r="P6560">
            <v>1.99934033420608</v>
          </cell>
          <cell r="Q6560">
            <v>26.260797628338828</v>
          </cell>
        </row>
        <row r="6561">
          <cell r="O6561">
            <v>45679</v>
          </cell>
          <cell r="P6561">
            <v>2.0003035297432592</v>
          </cell>
          <cell r="Q6561">
            <v>26.273448942697684</v>
          </cell>
        </row>
        <row r="6562">
          <cell r="O6562">
            <v>45680</v>
          </cell>
          <cell r="P6562">
            <v>2.0012671893763829</v>
          </cell>
          <cell r="Q6562">
            <v>26.286106352831965</v>
          </cell>
        </row>
        <row r="6563">
          <cell r="O6563">
            <v>45681</v>
          </cell>
          <cell r="P6563">
            <v>2.0022313133289646</v>
          </cell>
          <cell r="Q6563">
            <v>26.298769861677467</v>
          </cell>
        </row>
        <row r="6564">
          <cell r="O6564">
            <v>45684</v>
          </cell>
          <cell r="P6564">
            <v>2.0031959018246273</v>
          </cell>
          <cell r="Q6564">
            <v>26.311439472171408</v>
          </cell>
        </row>
        <row r="6565">
          <cell r="O6565">
            <v>45685</v>
          </cell>
          <cell r="P6565">
            <v>2.0041609550871038</v>
          </cell>
          <cell r="Q6565">
            <v>26.324115187252467</v>
          </cell>
        </row>
        <row r="6566">
          <cell r="O6566">
            <v>45686</v>
          </cell>
          <cell r="P6566">
            <v>2.0051264733402361</v>
          </cell>
          <cell r="Q6566">
            <v>26.336797009860742</v>
          </cell>
        </row>
        <row r="6567">
          <cell r="O6567">
            <v>45687</v>
          </cell>
          <cell r="P6567">
            <v>2.0060924568079703</v>
          </cell>
          <cell r="Q6567">
            <v>26.34948494293771</v>
          </cell>
        </row>
        <row r="6568">
          <cell r="O6568">
            <v>45688</v>
          </cell>
          <cell r="P6568">
            <v>2.0070589057143637</v>
          </cell>
          <cell r="Q6568">
            <v>26.362178989426301</v>
          </cell>
        </row>
        <row r="6569">
          <cell r="O6569">
            <v>45691</v>
          </cell>
          <cell r="P6569">
            <v>2.0080258202835806</v>
          </cell>
          <cell r="Q6569">
            <v>26.374879152270854</v>
          </cell>
        </row>
        <row r="6570">
          <cell r="O6570">
            <v>45692</v>
          </cell>
          <cell r="P6570">
            <v>2.0089932007398934</v>
          </cell>
          <cell r="Q6570">
            <v>26.387585434417122</v>
          </cell>
        </row>
        <row r="6571">
          <cell r="O6571">
            <v>45693</v>
          </cell>
          <cell r="P6571">
            <v>2.0099610473076837</v>
          </cell>
          <cell r="Q6571">
            <v>26.400297838812303</v>
          </cell>
        </row>
        <row r="6572">
          <cell r="O6572">
            <v>45694</v>
          </cell>
          <cell r="P6572">
            <v>2.0109293602114389</v>
          </cell>
          <cell r="Q6572">
            <v>26.413016368404978</v>
          </cell>
        </row>
        <row r="6573">
          <cell r="O6573">
            <v>45695</v>
          </cell>
          <cell r="P6573">
            <v>2.0118981396757545</v>
          </cell>
          <cell r="Q6573">
            <v>26.425741026145143</v>
          </cell>
        </row>
        <row r="6574">
          <cell r="O6574">
            <v>45698</v>
          </cell>
          <cell r="P6574">
            <v>2.0128673859253419</v>
          </cell>
          <cell r="Q6574">
            <v>26.438471814984329</v>
          </cell>
        </row>
        <row r="6575">
          <cell r="O6575">
            <v>45699</v>
          </cell>
          <cell r="P6575">
            <v>2.0138370991850087</v>
          </cell>
          <cell r="Q6575">
            <v>26.451208737875316</v>
          </cell>
        </row>
        <row r="6576">
          <cell r="O6576">
            <v>45700</v>
          </cell>
          <cell r="P6576">
            <v>2.0148072796796819</v>
          </cell>
          <cell r="Q6576">
            <v>26.463951797772467</v>
          </cell>
        </row>
        <row r="6577">
          <cell r="O6577">
            <v>45701</v>
          </cell>
          <cell r="P6577">
            <v>2.0157779276343919</v>
          </cell>
          <cell r="Q6577">
            <v>26.47670099763149</v>
          </cell>
        </row>
        <row r="6578">
          <cell r="O6578">
            <v>45702</v>
          </cell>
          <cell r="P6578">
            <v>2.0167490432742778</v>
          </cell>
          <cell r="Q6578">
            <v>26.489456340409529</v>
          </cell>
        </row>
        <row r="6579">
          <cell r="O6579">
            <v>45705</v>
          </cell>
          <cell r="P6579">
            <v>2.0177206268245897</v>
          </cell>
          <cell r="Q6579">
            <v>26.502217829065184</v>
          </cell>
        </row>
        <row r="6580">
          <cell r="O6580">
            <v>45706</v>
          </cell>
          <cell r="P6580">
            <v>2.0186926785106833</v>
          </cell>
          <cell r="Q6580">
            <v>26.514985466558439</v>
          </cell>
        </row>
        <row r="6581">
          <cell r="O6581">
            <v>45707</v>
          </cell>
          <cell r="P6581">
            <v>2.0196651985580232</v>
          </cell>
          <cell r="Q6581">
            <v>26.527759255850714</v>
          </cell>
        </row>
        <row r="6582">
          <cell r="O6582">
            <v>45708</v>
          </cell>
          <cell r="P6582">
            <v>2.020638187192187</v>
          </cell>
          <cell r="Q6582">
            <v>26.540539199904909</v>
          </cell>
        </row>
        <row r="6583">
          <cell r="O6583">
            <v>45709</v>
          </cell>
          <cell r="P6583">
            <v>2.0216116446388535</v>
          </cell>
          <cell r="Q6583">
            <v>26.553325301685256</v>
          </cell>
        </row>
        <row r="6584">
          <cell r="O6584">
            <v>45712</v>
          </cell>
          <cell r="P6584">
            <v>2.0225855711238228</v>
          </cell>
          <cell r="Q6584">
            <v>26.566117564157572</v>
          </cell>
        </row>
        <row r="6585">
          <cell r="O6585">
            <v>45713</v>
          </cell>
          <cell r="P6585">
            <v>2.023559966872988</v>
          </cell>
          <cell r="Q6585">
            <v>26.578915990288912</v>
          </cell>
        </row>
        <row r="6586">
          <cell r="O6586">
            <v>45714</v>
          </cell>
          <cell r="P6586">
            <v>2.0245348321123662</v>
          </cell>
          <cell r="Q6586">
            <v>26.591720583047941</v>
          </cell>
        </row>
        <row r="6587">
          <cell r="O6587">
            <v>45715</v>
          </cell>
          <cell r="P6587">
            <v>2.0255101670680733</v>
          </cell>
          <cell r="Q6587">
            <v>26.604531345404638</v>
          </cell>
        </row>
        <row r="6588">
          <cell r="O6588">
            <v>45716</v>
          </cell>
          <cell r="P6588">
            <v>2.0264859719663395</v>
          </cell>
          <cell r="Q6588">
            <v>26.617348280330472</v>
          </cell>
        </row>
        <row r="6589">
          <cell r="O6589">
            <v>45721</v>
          </cell>
          <cell r="P6589">
            <v>2.0274622470334998</v>
          </cell>
          <cell r="Q6589">
            <v>26.630171390798289</v>
          </cell>
        </row>
        <row r="6590">
          <cell r="O6590">
            <v>45722</v>
          </cell>
          <cell r="P6590">
            <v>2.028438992496004</v>
          </cell>
          <cell r="Q6590">
            <v>26.64300067978245</v>
          </cell>
        </row>
        <row r="6591">
          <cell r="O6591">
            <v>45723</v>
          </cell>
          <cell r="P6591">
            <v>2.0294162085804071</v>
          </cell>
          <cell r="Q6591">
            <v>26.655836150258693</v>
          </cell>
        </row>
        <row r="6592">
          <cell r="O6592">
            <v>45726</v>
          </cell>
          <cell r="P6592">
            <v>2.0303938955133769</v>
          </cell>
          <cell r="Q6592">
            <v>26.668677805204243</v>
          </cell>
        </row>
        <row r="6593">
          <cell r="O6593">
            <v>45727</v>
          </cell>
          <cell r="P6593">
            <v>2.0313720535216828</v>
          </cell>
          <cell r="Q6593">
            <v>26.681525647597649</v>
          </cell>
        </row>
        <row r="6594">
          <cell r="O6594">
            <v>45728</v>
          </cell>
          <cell r="P6594">
            <v>2.0323506828322175</v>
          </cell>
          <cell r="Q6594">
            <v>26.69437968041909</v>
          </cell>
        </row>
        <row r="6595">
          <cell r="O6595">
            <v>45729</v>
          </cell>
          <cell r="P6595">
            <v>2.0333297836719657</v>
          </cell>
          <cell r="Q6595">
            <v>26.707239906649946</v>
          </cell>
        </row>
        <row r="6596">
          <cell r="O6596">
            <v>45730</v>
          </cell>
          <cell r="P6596">
            <v>2.0343093562680363</v>
          </cell>
          <cell r="Q6596">
            <v>26.720106329273229</v>
          </cell>
        </row>
        <row r="6597">
          <cell r="O6597">
            <v>45733</v>
          </cell>
          <cell r="P6597">
            <v>2.0352894008476436</v>
          </cell>
          <cell r="Q6597">
            <v>26.732978951273346</v>
          </cell>
        </row>
        <row r="6598">
          <cell r="O6598">
            <v>45734</v>
          </cell>
          <cell r="P6598">
            <v>2.0362699176381054</v>
          </cell>
          <cell r="Q6598">
            <v>26.745857775636047</v>
          </cell>
        </row>
        <row r="6599">
          <cell r="O6599">
            <v>45735</v>
          </cell>
          <cell r="P6599">
            <v>2.0372509068668565</v>
          </cell>
          <cell r="Q6599">
            <v>26.758742805348628</v>
          </cell>
        </row>
        <row r="6600">
          <cell r="O6600">
            <v>45736</v>
          </cell>
          <cell r="P6600">
            <v>2.0382323687614385</v>
          </cell>
          <cell r="Q6600">
            <v>26.771634043399793</v>
          </cell>
        </row>
        <row r="6601">
          <cell r="O6601">
            <v>45737</v>
          </cell>
          <cell r="P6601">
            <v>2.0392143035495049</v>
          </cell>
          <cell r="Q6601">
            <v>26.784531492779706</v>
          </cell>
        </row>
        <row r="6602">
          <cell r="O6602">
            <v>45740</v>
          </cell>
          <cell r="P6602">
            <v>2.0401967114588118</v>
          </cell>
          <cell r="Q6602">
            <v>26.797435156479878</v>
          </cell>
        </row>
        <row r="6603">
          <cell r="O6603">
            <v>45741</v>
          </cell>
          <cell r="P6603">
            <v>2.0411795927172398</v>
          </cell>
          <cell r="Q6603">
            <v>26.810345037493466</v>
          </cell>
        </row>
        <row r="6604">
          <cell r="O6604">
            <v>45742</v>
          </cell>
          <cell r="P6604">
            <v>2.0421629475527618</v>
          </cell>
          <cell r="Q6604">
            <v>26.823261138814829</v>
          </cell>
        </row>
        <row r="6605">
          <cell r="O6605">
            <v>45743</v>
          </cell>
          <cell r="P6605">
            <v>2.0431467761934754</v>
          </cell>
          <cell r="Q6605">
            <v>26.836183463439966</v>
          </cell>
        </row>
        <row r="6606">
          <cell r="O6606">
            <v>45744</v>
          </cell>
          <cell r="P6606">
            <v>2.0441310788675757</v>
          </cell>
          <cell r="Q6606">
            <v>26.849112014366163</v>
          </cell>
        </row>
        <row r="6607">
          <cell r="O6607">
            <v>45747</v>
          </cell>
          <cell r="P6607">
            <v>2.045115855803382</v>
          </cell>
          <cell r="Q6607">
            <v>26.862046794592327</v>
          </cell>
        </row>
        <row r="6608">
          <cell r="O6608">
            <v>45748</v>
          </cell>
          <cell r="P6608">
            <v>2.0461011072293105</v>
          </cell>
          <cell r="Q6608">
            <v>26.87498780711865</v>
          </cell>
        </row>
        <row r="6609">
          <cell r="O6609">
            <v>45749</v>
          </cell>
          <cell r="P6609">
            <v>2.0470868333738959</v>
          </cell>
          <cell r="Q6609">
            <v>26.887935054946865</v>
          </cell>
        </row>
        <row r="6610">
          <cell r="O6610">
            <v>45750</v>
          </cell>
          <cell r="P6610">
            <v>2.0480730344657774</v>
          </cell>
          <cell r="Q6610">
            <v>26.900888541080096</v>
          </cell>
        </row>
        <row r="6611">
          <cell r="O6611">
            <v>45751</v>
          </cell>
          <cell r="P6611">
            <v>2.049059710733713</v>
          </cell>
          <cell r="Q6611">
            <v>26.913848268523015</v>
          </cell>
        </row>
        <row r="6612">
          <cell r="O6612">
            <v>45754</v>
          </cell>
          <cell r="P6612">
            <v>2.0500468624065604</v>
          </cell>
          <cell r="Q6612">
            <v>26.926814240281605</v>
          </cell>
        </row>
        <row r="6613">
          <cell r="O6613">
            <v>45755</v>
          </cell>
          <cell r="P6613">
            <v>2.0510344897132957</v>
          </cell>
          <cell r="Q6613">
            <v>26.9397864593634</v>
          </cell>
        </row>
        <row r="6614">
          <cell r="O6614">
            <v>45756</v>
          </cell>
          <cell r="P6614">
            <v>2.0520225928830027</v>
          </cell>
          <cell r="Q6614">
            <v>26.952764928777363</v>
          </cell>
        </row>
        <row r="6615">
          <cell r="O6615">
            <v>45757</v>
          </cell>
          <cell r="P6615">
            <v>2.0530111721448732</v>
          </cell>
          <cell r="Q6615">
            <v>26.965749651533862</v>
          </cell>
        </row>
        <row r="6616">
          <cell r="O6616">
            <v>45758</v>
          </cell>
          <cell r="P6616">
            <v>2.0540002277282174</v>
          </cell>
          <cell r="Q6616">
            <v>26.978740630644829</v>
          </cell>
        </row>
        <row r="6617">
          <cell r="O6617">
            <v>45761</v>
          </cell>
          <cell r="P6617">
            <v>2.0549897598624445</v>
          </cell>
          <cell r="Q6617">
            <v>26.991737869123487</v>
          </cell>
        </row>
        <row r="6618">
          <cell r="O6618">
            <v>45762</v>
          </cell>
          <cell r="P6618">
            <v>2.0559797687770871</v>
          </cell>
          <cell r="Q6618">
            <v>27.004741369984686</v>
          </cell>
        </row>
        <row r="6619">
          <cell r="O6619">
            <v>45763</v>
          </cell>
          <cell r="P6619">
            <v>2.0569702547017763</v>
          </cell>
          <cell r="Q6619">
            <v>27.01775113624457</v>
          </cell>
        </row>
        <row r="6620">
          <cell r="O6620">
            <v>45764</v>
          </cell>
          <cell r="P6620">
            <v>2.0579612178662647</v>
          </cell>
          <cell r="Q6620">
            <v>27.030767170920882</v>
          </cell>
        </row>
        <row r="6621">
          <cell r="O6621">
            <v>45769</v>
          </cell>
          <cell r="P6621">
            <v>2.0589526585004081</v>
          </cell>
          <cell r="Q6621">
            <v>27.043789477032707</v>
          </cell>
        </row>
        <row r="6622">
          <cell r="O6622">
            <v>45770</v>
          </cell>
          <cell r="P6622">
            <v>2.0599445768341753</v>
          </cell>
          <cell r="Q6622">
            <v>27.056818057600626</v>
          </cell>
        </row>
        <row r="6623">
          <cell r="O6623">
            <v>45771</v>
          </cell>
          <cell r="P6623">
            <v>2.0609369730976521</v>
          </cell>
          <cell r="Q6623">
            <v>27.069852915646759</v>
          </cell>
        </row>
        <row r="6624">
          <cell r="O6624">
            <v>45772</v>
          </cell>
          <cell r="P6624">
            <v>2.0619298475210242</v>
          </cell>
          <cell r="Q6624">
            <v>27.082894054194529</v>
          </cell>
        </row>
        <row r="6625">
          <cell r="O6625">
            <v>45775</v>
          </cell>
          <cell r="P6625">
            <v>2.0629232003345965</v>
          </cell>
          <cell r="Q6625">
            <v>27.095941476268933</v>
          </cell>
        </row>
        <row r="6626">
          <cell r="O6626">
            <v>45776</v>
          </cell>
          <cell r="P6626">
            <v>2.0639170317687854</v>
          </cell>
          <cell r="Q6626">
            <v>27.108995184896425</v>
          </cell>
        </row>
        <row r="6627">
          <cell r="O6627">
            <v>45777</v>
          </cell>
          <cell r="P6627">
            <v>2.064911342054109</v>
          </cell>
          <cell r="Q6627">
            <v>27.122055183104795</v>
          </cell>
        </row>
        <row r="6628">
          <cell r="O6628">
            <v>45779</v>
          </cell>
          <cell r="P6628">
            <v>2.0659061314212108</v>
          </cell>
          <cell r="Q6628">
            <v>27.135121473923494</v>
          </cell>
        </row>
        <row r="6629">
          <cell r="O6629">
            <v>45782</v>
          </cell>
          <cell r="P6629">
            <v>2.0669014001008321</v>
          </cell>
          <cell r="Q6629">
            <v>27.148194060383233</v>
          </cell>
        </row>
        <row r="6630">
          <cell r="O6630">
            <v>45783</v>
          </cell>
          <cell r="P6630">
            <v>2.0678971483238344</v>
          </cell>
          <cell r="Q6630">
            <v>27.161272945516327</v>
          </cell>
        </row>
        <row r="6631">
          <cell r="O6631">
            <v>45784</v>
          </cell>
          <cell r="P6631">
            <v>2.0688933763211899</v>
          </cell>
          <cell r="Q6631">
            <v>27.174358132356527</v>
          </cell>
        </row>
        <row r="6632">
          <cell r="O6632">
            <v>45785</v>
          </cell>
          <cell r="P6632">
            <v>2.0698900843239749</v>
          </cell>
          <cell r="Q6632">
            <v>27.187449623938964</v>
          </cell>
        </row>
        <row r="6633">
          <cell r="O6633">
            <v>45786</v>
          </cell>
          <cell r="P6633">
            <v>2.0708872725633878</v>
          </cell>
          <cell r="Q6633">
            <v>27.200547423300364</v>
          </cell>
        </row>
        <row r="6634">
          <cell r="O6634">
            <v>45789</v>
          </cell>
          <cell r="P6634">
            <v>2.0718849412707279</v>
          </cell>
          <cell r="Q6634">
            <v>27.213651533478778</v>
          </cell>
        </row>
        <row r="6635">
          <cell r="O6635">
            <v>45790</v>
          </cell>
          <cell r="P6635">
            <v>2.0728830906774132</v>
          </cell>
          <cell r="Q6635">
            <v>27.226761957513823</v>
          </cell>
        </row>
        <row r="6636">
          <cell r="O6636">
            <v>45791</v>
          </cell>
          <cell r="P6636">
            <v>2.0738817210149736</v>
          </cell>
          <cell r="Q6636">
            <v>27.239878698446578</v>
          </cell>
        </row>
        <row r="6637">
          <cell r="O6637">
            <v>45792</v>
          </cell>
          <cell r="P6637">
            <v>2.0748808325150474</v>
          </cell>
          <cell r="Q6637">
            <v>27.253001759319556</v>
          </cell>
        </row>
        <row r="6638">
          <cell r="O6638">
            <v>45793</v>
          </cell>
          <cell r="P6638">
            <v>2.0758804254093843</v>
          </cell>
          <cell r="Q6638">
            <v>27.266131143176722</v>
          </cell>
        </row>
        <row r="6639">
          <cell r="O6639">
            <v>45796</v>
          </cell>
          <cell r="P6639">
            <v>2.0768804999298478</v>
          </cell>
          <cell r="Q6639">
            <v>27.279266853063543</v>
          </cell>
        </row>
        <row r="6640">
          <cell r="O6640">
            <v>45797</v>
          </cell>
          <cell r="P6640">
            <v>2.0778810563084136</v>
          </cell>
          <cell r="Q6640">
            <v>27.292408892026955</v>
          </cell>
        </row>
        <row r="6641">
          <cell r="O6641">
            <v>45798</v>
          </cell>
          <cell r="P6641">
            <v>2.0788820947771685</v>
          </cell>
          <cell r="Q6641">
            <v>27.305557263115357</v>
          </cell>
        </row>
        <row r="6642">
          <cell r="O6642">
            <v>45799</v>
          </cell>
          <cell r="P6642">
            <v>2.0798836155683107</v>
          </cell>
          <cell r="Q6642">
            <v>27.318711969378615</v>
          </cell>
        </row>
        <row r="6643">
          <cell r="O6643">
            <v>45800</v>
          </cell>
          <cell r="P6643">
            <v>2.0808856189141514</v>
          </cell>
          <cell r="Q6643">
            <v>27.331873013868066</v>
          </cell>
        </row>
        <row r="6644">
          <cell r="O6644">
            <v>45803</v>
          </cell>
          <cell r="P6644">
            <v>2.0818881050471116</v>
          </cell>
          <cell r="Q6644">
            <v>27.345040399636503</v>
          </cell>
        </row>
        <row r="6645">
          <cell r="O6645">
            <v>45804</v>
          </cell>
          <cell r="P6645">
            <v>2.0828910741997269</v>
          </cell>
          <cell r="Q6645">
            <v>27.358214129738212</v>
          </cell>
        </row>
        <row r="6646">
          <cell r="O6646">
            <v>45805</v>
          </cell>
          <cell r="P6646">
            <v>2.0838945266046456</v>
          </cell>
          <cell r="Q6646">
            <v>27.371394207228974</v>
          </cell>
        </row>
        <row r="6647">
          <cell r="O6647">
            <v>45806</v>
          </cell>
          <cell r="P6647">
            <v>2.084898462494627</v>
          </cell>
          <cell r="Q6647">
            <v>27.384580635166014</v>
          </cell>
        </row>
        <row r="6648">
          <cell r="O6648">
            <v>45807</v>
          </cell>
          <cell r="P6648">
            <v>2.0859028821025398</v>
          </cell>
          <cell r="Q6648">
            <v>27.397773416608004</v>
          </cell>
        </row>
        <row r="6649">
          <cell r="O6649">
            <v>45810</v>
          </cell>
          <cell r="P6649">
            <v>2.0869077856613716</v>
          </cell>
          <cell r="Q6649">
            <v>27.410972554615171</v>
          </cell>
        </row>
        <row r="6650">
          <cell r="O6650">
            <v>45811</v>
          </cell>
          <cell r="P6650">
            <v>2.0879131734042176</v>
          </cell>
          <cell r="Q6650">
            <v>27.424178052249154</v>
          </cell>
        </row>
        <row r="6651">
          <cell r="O6651">
            <v>45812</v>
          </cell>
          <cell r="P6651">
            <v>2.0889190455642854</v>
          </cell>
          <cell r="Q6651">
            <v>27.437389912573082</v>
          </cell>
        </row>
        <row r="6652">
          <cell r="O6652">
            <v>45813</v>
          </cell>
          <cell r="P6652">
            <v>2.0899254023748965</v>
          </cell>
          <cell r="Q6652">
            <v>27.45060813865156</v>
          </cell>
        </row>
        <row r="6653">
          <cell r="O6653">
            <v>45814</v>
          </cell>
          <cell r="P6653">
            <v>2.0909322440694873</v>
          </cell>
          <cell r="Q6653">
            <v>27.463832733550717</v>
          </cell>
        </row>
        <row r="6654">
          <cell r="O6654">
            <v>45817</v>
          </cell>
          <cell r="P6654">
            <v>2.0919395708815989</v>
          </cell>
          <cell r="Q6654">
            <v>27.477063700338054</v>
          </cell>
        </row>
        <row r="6655">
          <cell r="O6655">
            <v>45818</v>
          </cell>
          <cell r="P6655">
            <v>2.0929473830448977</v>
          </cell>
          <cell r="Q6655">
            <v>27.490301042082713</v>
          </cell>
        </row>
        <row r="6656">
          <cell r="O6656">
            <v>45819</v>
          </cell>
          <cell r="P6656">
            <v>2.0939556807931479</v>
          </cell>
          <cell r="Q6656">
            <v>27.503544761855128</v>
          </cell>
        </row>
        <row r="6657">
          <cell r="O6657">
            <v>45820</v>
          </cell>
          <cell r="P6657">
            <v>2.0949644643602392</v>
          </cell>
          <cell r="Q6657">
            <v>27.516794862727373</v>
          </cell>
        </row>
        <row r="6658">
          <cell r="O6658">
            <v>45821</v>
          </cell>
          <cell r="P6658">
            <v>2.0959737339801672</v>
          </cell>
          <cell r="Q6658">
            <v>27.530051347772918</v>
          </cell>
        </row>
        <row r="6659">
          <cell r="O6659">
            <v>45824</v>
          </cell>
          <cell r="P6659">
            <v>2.0969834898870423</v>
          </cell>
          <cell r="Q6659">
            <v>27.543314220066744</v>
          </cell>
        </row>
        <row r="6660">
          <cell r="O6660">
            <v>45825</v>
          </cell>
          <cell r="P6660">
            <v>2.0979937323150883</v>
          </cell>
          <cell r="Q6660">
            <v>27.556583482685312</v>
          </cell>
        </row>
        <row r="6661">
          <cell r="O6661">
            <v>45826</v>
          </cell>
          <cell r="P6661">
            <v>2.0990044614986383</v>
          </cell>
          <cell r="Q6661">
            <v>27.569859138706526</v>
          </cell>
        </row>
        <row r="6662">
          <cell r="O6662">
            <v>45828</v>
          </cell>
          <cell r="P6662">
            <v>2.1000156776721464</v>
          </cell>
          <cell r="Q6662">
            <v>27.583141191209879</v>
          </cell>
        </row>
        <row r="6663">
          <cell r="O6663">
            <v>45831</v>
          </cell>
          <cell r="P6663">
            <v>2.1010273810701703</v>
          </cell>
          <cell r="Q6663">
            <v>27.596429643276227</v>
          </cell>
        </row>
        <row r="6664">
          <cell r="O6664">
            <v>45832</v>
          </cell>
          <cell r="P6664">
            <v>2.1020395719273899</v>
          </cell>
          <cell r="Q6664">
            <v>27.609724497988019</v>
          </cell>
        </row>
        <row r="6665">
          <cell r="O6665">
            <v>45833</v>
          </cell>
          <cell r="P6665">
            <v>2.103052250478592</v>
          </cell>
          <cell r="Q6665">
            <v>27.623025758429122</v>
          </cell>
        </row>
        <row r="6666">
          <cell r="O6666">
            <v>45834</v>
          </cell>
          <cell r="P6666">
            <v>2.1040654169586754</v>
          </cell>
          <cell r="Q6666">
            <v>27.636333427684871</v>
          </cell>
        </row>
        <row r="6667">
          <cell r="O6667">
            <v>45835</v>
          </cell>
          <cell r="P6667">
            <v>2.1050790716026611</v>
          </cell>
          <cell r="Q6667">
            <v>27.649647508842193</v>
          </cell>
        </row>
        <row r="6668">
          <cell r="O6668">
            <v>45838</v>
          </cell>
          <cell r="P6668">
            <v>2.1060932146456715</v>
          </cell>
          <cell r="Q6668">
            <v>27.66296800498937</v>
          </cell>
        </row>
        <row r="6669">
          <cell r="O6669">
            <v>45839</v>
          </cell>
          <cell r="P6669">
            <v>2.1071078463229536</v>
          </cell>
          <cell r="Q6669">
            <v>27.6762949192163</v>
          </cell>
        </row>
        <row r="6670">
          <cell r="O6670">
            <v>45840</v>
          </cell>
          <cell r="P6670">
            <v>2.1081195320242618</v>
          </cell>
          <cell r="Q6670">
            <v>27.689583138841044</v>
          </cell>
        </row>
        <row r="6671">
          <cell r="O6671">
            <v>45841</v>
          </cell>
          <cell r="P6671">
            <v>2.1091317035243247</v>
          </cell>
          <cell r="Q6671">
            <v>27.70287773930179</v>
          </cell>
        </row>
        <row r="6672">
          <cell r="O6672">
            <v>45842</v>
          </cell>
          <cell r="P6672">
            <v>2.1101443610563435</v>
          </cell>
          <cell r="Q6672">
            <v>27.716178723661574</v>
          </cell>
        </row>
        <row r="6673">
          <cell r="O6673">
            <v>45845</v>
          </cell>
          <cell r="P6673">
            <v>2.1111575048536269</v>
          </cell>
          <cell r="Q6673">
            <v>27.729486094984839</v>
          </cell>
        </row>
        <row r="6674">
          <cell r="O6674">
            <v>45846</v>
          </cell>
          <cell r="P6674">
            <v>2.1121711351495991</v>
          </cell>
          <cell r="Q6674">
            <v>27.742799856337555</v>
          </cell>
        </row>
        <row r="6675">
          <cell r="O6675">
            <v>45847</v>
          </cell>
          <cell r="P6675">
            <v>2.1131852521777983</v>
          </cell>
          <cell r="Q6675">
            <v>27.756120010787182</v>
          </cell>
        </row>
        <row r="6676">
          <cell r="O6676">
            <v>45848</v>
          </cell>
          <cell r="P6676">
            <v>2.1141998561718722</v>
          </cell>
          <cell r="Q6676">
            <v>27.769446561402617</v>
          </cell>
        </row>
        <row r="6677">
          <cell r="O6677">
            <v>45849</v>
          </cell>
          <cell r="P6677">
            <v>2.1152149473655788</v>
          </cell>
          <cell r="Q6677">
            <v>27.782779511254212</v>
          </cell>
        </row>
        <row r="6678">
          <cell r="O6678">
            <v>45852</v>
          </cell>
          <cell r="P6678">
            <v>2.1162305259927954</v>
          </cell>
          <cell r="Q6678">
            <v>27.796118863413877</v>
          </cell>
        </row>
        <row r="6679">
          <cell r="O6679">
            <v>45853</v>
          </cell>
          <cell r="P6679">
            <v>2.1172465922875037</v>
          </cell>
          <cell r="Q6679">
            <v>27.809464620954905</v>
          </cell>
        </row>
        <row r="6680">
          <cell r="O6680">
            <v>45854</v>
          </cell>
          <cell r="P6680">
            <v>2.1182631464838022</v>
          </cell>
          <cell r="Q6680">
            <v>27.822816786952114</v>
          </cell>
        </row>
        <row r="6681">
          <cell r="O6681">
            <v>45855</v>
          </cell>
          <cell r="P6681">
            <v>2.1192801888159014</v>
          </cell>
          <cell r="Q6681">
            <v>27.836175364481797</v>
          </cell>
        </row>
        <row r="6682">
          <cell r="O6682">
            <v>45856</v>
          </cell>
          <cell r="P6682">
            <v>2.1202977195181254</v>
          </cell>
          <cell r="Q6682">
            <v>27.849540356621734</v>
          </cell>
        </row>
        <row r="6683">
          <cell r="O6683">
            <v>45859</v>
          </cell>
          <cell r="P6683">
            <v>2.1213157388249102</v>
          </cell>
          <cell r="Q6683">
            <v>27.862911766451184</v>
          </cell>
        </row>
        <row r="6684">
          <cell r="O6684">
            <v>45860</v>
          </cell>
          <cell r="P6684">
            <v>2.1223342469708024</v>
          </cell>
          <cell r="Q6684">
            <v>27.87628959705085</v>
          </cell>
        </row>
        <row r="6685">
          <cell r="O6685">
            <v>45861</v>
          </cell>
          <cell r="P6685">
            <v>2.1233532441904619</v>
          </cell>
          <cell r="Q6685">
            <v>27.889673851502927</v>
          </cell>
        </row>
        <row r="6686">
          <cell r="O6686">
            <v>45862</v>
          </cell>
          <cell r="P6686">
            <v>2.1243727307186662</v>
          </cell>
          <cell r="Q6686">
            <v>27.903064532891158</v>
          </cell>
        </row>
        <row r="6687">
          <cell r="O6687">
            <v>45863</v>
          </cell>
          <cell r="P6687">
            <v>2.1253927067902998</v>
          </cell>
          <cell r="Q6687">
            <v>27.916461644300686</v>
          </cell>
        </row>
        <row r="6688">
          <cell r="O6688">
            <v>45866</v>
          </cell>
          <cell r="P6688">
            <v>2.126413172640361</v>
          </cell>
          <cell r="Q6688">
            <v>27.929865188818145</v>
          </cell>
        </row>
        <row r="6689">
          <cell r="O6689">
            <v>45867</v>
          </cell>
          <cell r="P6689">
            <v>2.1274341285039657</v>
          </cell>
          <cell r="Q6689">
            <v>27.943275169531727</v>
          </cell>
        </row>
        <row r="6690">
          <cell r="O6690">
            <v>45868</v>
          </cell>
          <cell r="P6690">
            <v>2.1284555746163374</v>
          </cell>
          <cell r="Q6690">
            <v>27.956691589531026</v>
          </cell>
        </row>
        <row r="6691">
          <cell r="O6691">
            <v>45869</v>
          </cell>
          <cell r="P6691">
            <v>2.1294775112128139</v>
          </cell>
          <cell r="Q6691">
            <v>27.97011445190714</v>
          </cell>
        </row>
        <row r="6692">
          <cell r="O6692">
            <v>45870</v>
          </cell>
          <cell r="P6692">
            <v>2.1304999385288466</v>
          </cell>
          <cell r="Q6692">
            <v>27.98354375975266</v>
          </cell>
        </row>
        <row r="6693">
          <cell r="O6693">
            <v>45873</v>
          </cell>
          <cell r="P6693">
            <v>2.1315228568000033</v>
          </cell>
          <cell r="Q6693">
            <v>27.996979516161709</v>
          </cell>
        </row>
        <row r="6694">
          <cell r="O6694">
            <v>45874</v>
          </cell>
          <cell r="P6694">
            <v>2.1325462662619601</v>
          </cell>
          <cell r="Q6694">
            <v>28.010421724229825</v>
          </cell>
        </row>
        <row r="6695">
          <cell r="O6695">
            <v>45875</v>
          </cell>
          <cell r="P6695">
            <v>2.133570167150507</v>
          </cell>
          <cell r="Q6695">
            <v>28.023870387054046</v>
          </cell>
        </row>
        <row r="6696">
          <cell r="O6696">
            <v>45876</v>
          </cell>
          <cell r="P6696">
            <v>2.1345945597015539</v>
          </cell>
          <cell r="Q6696">
            <v>28.037325507732991</v>
          </cell>
        </row>
        <row r="6697">
          <cell r="O6697">
            <v>45877</v>
          </cell>
          <cell r="P6697">
            <v>2.1356194441511147</v>
          </cell>
          <cell r="Q6697">
            <v>28.050787089366633</v>
          </cell>
        </row>
        <row r="6698">
          <cell r="O6698">
            <v>45880</v>
          </cell>
          <cell r="P6698">
            <v>2.1366448207353206</v>
          </cell>
          <cell r="Q6698">
            <v>28.064255135056491</v>
          </cell>
        </row>
        <row r="6699">
          <cell r="O6699">
            <v>45881</v>
          </cell>
          <cell r="P6699">
            <v>2.1376706896904203</v>
          </cell>
          <cell r="Q6699">
            <v>28.077729647905635</v>
          </cell>
        </row>
        <row r="6700">
          <cell r="O6700">
            <v>45882</v>
          </cell>
          <cell r="P6700">
            <v>2.1386970512527674</v>
          </cell>
          <cell r="Q6700">
            <v>28.091210631018502</v>
          </cell>
        </row>
        <row r="6701">
          <cell r="O6701">
            <v>45883</v>
          </cell>
          <cell r="P6701">
            <v>2.1397239056588369</v>
          </cell>
          <cell r="Q6701">
            <v>28.104698087501124</v>
          </cell>
        </row>
        <row r="6702">
          <cell r="O6702">
            <v>45884</v>
          </cell>
          <cell r="P6702">
            <v>2.1407512531452166</v>
          </cell>
          <cell r="Q6702">
            <v>28.118192020461024</v>
          </cell>
        </row>
        <row r="6703">
          <cell r="O6703">
            <v>45887</v>
          </cell>
          <cell r="P6703">
            <v>2.1417790939486041</v>
          </cell>
          <cell r="Q6703">
            <v>28.131692433007156</v>
          </cell>
        </row>
        <row r="6704">
          <cell r="O6704">
            <v>45888</v>
          </cell>
          <cell r="P6704">
            <v>2.1428074283058129</v>
          </cell>
          <cell r="Q6704">
            <v>28.145199328250008</v>
          </cell>
        </row>
        <row r="6705">
          <cell r="O6705">
            <v>45889</v>
          </cell>
          <cell r="P6705">
            <v>2.1438362564537705</v>
          </cell>
          <cell r="Q6705">
            <v>28.158712709301557</v>
          </cell>
        </row>
        <row r="6706">
          <cell r="O6706">
            <v>45890</v>
          </cell>
          <cell r="P6706">
            <v>2.1448655786295157</v>
          </cell>
          <cell r="Q6706">
            <v>28.172232579275239</v>
          </cell>
        </row>
        <row r="6707">
          <cell r="O6707">
            <v>45891</v>
          </cell>
          <cell r="P6707">
            <v>2.145895395070208</v>
          </cell>
          <cell r="Q6707">
            <v>28.185758941286085</v>
          </cell>
        </row>
        <row r="6708">
          <cell r="O6708">
            <v>45894</v>
          </cell>
          <cell r="P6708">
            <v>2.1469257060131124</v>
          </cell>
          <cell r="Q6708">
            <v>28.199291798450506</v>
          </cell>
        </row>
        <row r="6709">
          <cell r="O6709">
            <v>45895</v>
          </cell>
          <cell r="P6709">
            <v>2.1479565116956159</v>
          </cell>
          <cell r="Q6709">
            <v>28.212831153886512</v>
          </cell>
        </row>
        <row r="6710">
          <cell r="O6710">
            <v>45896</v>
          </cell>
          <cell r="P6710">
            <v>2.1489878123552093</v>
          </cell>
          <cell r="Q6710">
            <v>28.226377010713492</v>
          </cell>
        </row>
        <row r="6711">
          <cell r="O6711">
            <v>45897</v>
          </cell>
          <cell r="P6711">
            <v>2.1500196082295111</v>
          </cell>
          <cell r="Q6711">
            <v>28.23992937205249</v>
          </cell>
        </row>
        <row r="6712">
          <cell r="O6712">
            <v>45898</v>
          </cell>
          <cell r="P6712">
            <v>2.1510518995562431</v>
          </cell>
          <cell r="Q6712">
            <v>28.25348824102592</v>
          </cell>
        </row>
        <row r="6713">
          <cell r="O6713">
            <v>45901</v>
          </cell>
          <cell r="P6713">
            <v>2.1520846865732484</v>
          </cell>
          <cell r="Q6713">
            <v>28.267053620757792</v>
          </cell>
        </row>
        <row r="6714">
          <cell r="O6714">
            <v>45902</v>
          </cell>
          <cell r="P6714">
            <v>2.1531179695184743</v>
          </cell>
          <cell r="Q6714">
            <v>28.280625514373476</v>
          </cell>
        </row>
        <row r="6715">
          <cell r="O6715">
            <v>45903</v>
          </cell>
          <cell r="P6715">
            <v>2.1541517486299955</v>
          </cell>
          <cell r="Q6715">
            <v>28.294203925000019</v>
          </cell>
        </row>
        <row r="6716">
          <cell r="O6716">
            <v>45904</v>
          </cell>
          <cell r="P6716">
            <v>2.1551860241459919</v>
          </cell>
          <cell r="Q6716">
            <v>28.307788855765853</v>
          </cell>
        </row>
        <row r="6717">
          <cell r="O6717">
            <v>45905</v>
          </cell>
          <cell r="P6717">
            <v>2.1562207963047637</v>
          </cell>
          <cell r="Q6717">
            <v>28.321380309800986</v>
          </cell>
        </row>
        <row r="6718">
          <cell r="O6718">
            <v>45908</v>
          </cell>
          <cell r="P6718">
            <v>2.1572560653447179</v>
          </cell>
          <cell r="Q6718">
            <v>28.334978290236826</v>
          </cell>
        </row>
        <row r="6719">
          <cell r="O6719">
            <v>45909</v>
          </cell>
          <cell r="P6719">
            <v>2.1582918315043882</v>
          </cell>
          <cell r="Q6719">
            <v>28.348582800206451</v>
          </cell>
        </row>
        <row r="6720">
          <cell r="O6720">
            <v>45910</v>
          </cell>
          <cell r="P6720">
            <v>2.1593280950224076</v>
          </cell>
          <cell r="Q6720">
            <v>28.362193842844245</v>
          </cell>
        </row>
        <row r="6721">
          <cell r="O6721">
            <v>45911</v>
          </cell>
          <cell r="P6721">
            <v>2.1603648561375359</v>
          </cell>
          <cell r="Q6721">
            <v>28.375811421286251</v>
          </cell>
        </row>
        <row r="6722">
          <cell r="O6722">
            <v>45912</v>
          </cell>
          <cell r="P6722">
            <v>2.1614021150886464</v>
          </cell>
          <cell r="Q6722">
            <v>28.389435538670003</v>
          </cell>
        </row>
        <row r="6723">
          <cell r="O6723">
            <v>45915</v>
          </cell>
          <cell r="P6723">
            <v>2.1624398721147204</v>
          </cell>
          <cell r="Q6723">
            <v>28.403066198134461</v>
          </cell>
        </row>
        <row r="6724">
          <cell r="O6724">
            <v>45916</v>
          </cell>
          <cell r="P6724">
            <v>2.1634781274548582</v>
          </cell>
          <cell r="Q6724">
            <v>28.41670340282014</v>
          </cell>
        </row>
        <row r="6725">
          <cell r="O6725">
            <v>45917</v>
          </cell>
          <cell r="P6725">
            <v>2.1645168813482782</v>
          </cell>
          <cell r="Q6725">
            <v>28.430347155869107</v>
          </cell>
        </row>
        <row r="6726">
          <cell r="O6726">
            <v>45918</v>
          </cell>
          <cell r="P6726">
            <v>2.1655561340343077</v>
          </cell>
          <cell r="Q6726">
            <v>28.443997460424868</v>
          </cell>
        </row>
        <row r="6727">
          <cell r="O6727">
            <v>45919</v>
          </cell>
          <cell r="P6727">
            <v>2.1665958857523901</v>
          </cell>
          <cell r="Q6727">
            <v>28.457654319632443</v>
          </cell>
        </row>
        <row r="6728">
          <cell r="O6728">
            <v>45922</v>
          </cell>
          <cell r="P6728">
            <v>2.1676361367420913</v>
          </cell>
          <cell r="Q6728">
            <v>28.471317736638468</v>
          </cell>
        </row>
        <row r="6729">
          <cell r="O6729">
            <v>45923</v>
          </cell>
          <cell r="P6729">
            <v>2.1686768872430831</v>
          </cell>
          <cell r="Q6729">
            <v>28.484987714590964</v>
          </cell>
        </row>
        <row r="6730">
          <cell r="O6730">
            <v>45924</v>
          </cell>
          <cell r="P6730">
            <v>2.1697181374951566</v>
          </cell>
          <cell r="Q6730">
            <v>28.498664256639529</v>
          </cell>
        </row>
        <row r="6731">
          <cell r="O6731">
            <v>45925</v>
          </cell>
          <cell r="P6731">
            <v>2.1707598877382184</v>
          </cell>
          <cell r="Q6731">
            <v>28.512347365935266</v>
          </cell>
        </row>
        <row r="6732">
          <cell r="O6732">
            <v>45926</v>
          </cell>
          <cell r="P6732">
            <v>2.1718021382122883</v>
          </cell>
          <cell r="Q6732">
            <v>28.526037045630776</v>
          </cell>
        </row>
        <row r="6733">
          <cell r="O6733">
            <v>45929</v>
          </cell>
          <cell r="P6733">
            <v>2.172844889157501</v>
          </cell>
          <cell r="Q6733">
            <v>28.539733298880158</v>
          </cell>
        </row>
        <row r="6734">
          <cell r="O6734">
            <v>45930</v>
          </cell>
          <cell r="P6734">
            <v>2.1738881408141153</v>
          </cell>
          <cell r="Q6734">
            <v>28.553436128839149</v>
          </cell>
        </row>
        <row r="6735">
          <cell r="O6735">
            <v>45931</v>
          </cell>
          <cell r="P6735">
            <v>2.1749318934224915</v>
          </cell>
          <cell r="Q6735">
            <v>28.567145538664814</v>
          </cell>
        </row>
        <row r="6736">
          <cell r="O6736">
            <v>45932</v>
          </cell>
          <cell r="P6736">
            <v>2.1759761472231123</v>
          </cell>
          <cell r="Q6736">
            <v>28.580861531515836</v>
          </cell>
        </row>
        <row r="6737">
          <cell r="O6737">
            <v>45933</v>
          </cell>
          <cell r="P6737">
            <v>2.1770209024565839</v>
          </cell>
          <cell r="Q6737">
            <v>28.594584110552503</v>
          </cell>
        </row>
        <row r="6738">
          <cell r="O6738">
            <v>45936</v>
          </cell>
          <cell r="P6738">
            <v>2.1780661593636124</v>
          </cell>
          <cell r="Q6738">
            <v>28.608313278936436</v>
          </cell>
        </row>
        <row r="6739">
          <cell r="O6739">
            <v>45937</v>
          </cell>
          <cell r="P6739">
            <v>2.1791119181850278</v>
          </cell>
          <cell r="Q6739">
            <v>28.622049039830863</v>
          </cell>
        </row>
        <row r="6740">
          <cell r="O6740">
            <v>45938</v>
          </cell>
          <cell r="P6740">
            <v>2.1801581791617832</v>
          </cell>
          <cell r="Q6740">
            <v>28.635791396400641</v>
          </cell>
        </row>
        <row r="6741">
          <cell r="O6741">
            <v>45939</v>
          </cell>
          <cell r="P6741">
            <v>2.181204942534932</v>
          </cell>
          <cell r="Q6741">
            <v>28.649540351811947</v>
          </cell>
        </row>
        <row r="6742">
          <cell r="O6742">
            <v>45940</v>
          </cell>
          <cell r="P6742">
            <v>2.1822522085456564</v>
          </cell>
          <cell r="Q6742">
            <v>28.663295909232634</v>
          </cell>
        </row>
        <row r="6743">
          <cell r="O6743">
            <v>45943</v>
          </cell>
          <cell r="P6743">
            <v>2.1832999774352446</v>
          </cell>
          <cell r="Q6743">
            <v>28.677058071831965</v>
          </cell>
        </row>
        <row r="6744">
          <cell r="O6744">
            <v>45944</v>
          </cell>
          <cell r="P6744">
            <v>2.1843482494451099</v>
          </cell>
          <cell r="Q6744">
            <v>28.690826842780837</v>
          </cell>
        </row>
        <row r="6745">
          <cell r="O6745">
            <v>45945</v>
          </cell>
          <cell r="P6745">
            <v>2.1853970248167767</v>
          </cell>
          <cell r="Q6745">
            <v>28.704602225251609</v>
          </cell>
        </row>
        <row r="6746">
          <cell r="O6746">
            <v>45946</v>
          </cell>
          <cell r="P6746">
            <v>2.1864463037918838</v>
          </cell>
          <cell r="Q6746">
            <v>28.718384222418138</v>
          </cell>
        </row>
        <row r="6747">
          <cell r="O6747">
            <v>45947</v>
          </cell>
          <cell r="P6747">
            <v>2.187496086612192</v>
          </cell>
          <cell r="Q6747">
            <v>28.732172837455892</v>
          </cell>
        </row>
        <row r="6748">
          <cell r="O6748">
            <v>45950</v>
          </cell>
          <cell r="P6748">
            <v>2.1885463735195714</v>
          </cell>
          <cell r="Q6748">
            <v>28.745968073541764</v>
          </cell>
        </row>
        <row r="6749">
          <cell r="O6749">
            <v>45951</v>
          </cell>
          <cell r="P6749">
            <v>2.1895971647560124</v>
          </cell>
          <cell r="Q6749">
            <v>28.759769933854241</v>
          </cell>
        </row>
        <row r="6750">
          <cell r="O6750">
            <v>45952</v>
          </cell>
          <cell r="P6750">
            <v>2.1906484605636218</v>
          </cell>
          <cell r="Q6750">
            <v>28.773578421573323</v>
          </cell>
        </row>
        <row r="6751">
          <cell r="O6751">
            <v>45953</v>
          </cell>
          <cell r="P6751">
            <v>2.1917002611846219</v>
          </cell>
          <cell r="Q6751">
            <v>28.78739353988054</v>
          </cell>
        </row>
        <row r="6752">
          <cell r="O6752">
            <v>45954</v>
          </cell>
          <cell r="P6752">
            <v>2.1927525668613517</v>
          </cell>
          <cell r="Q6752">
            <v>28.801215291958943</v>
          </cell>
        </row>
        <row r="6753">
          <cell r="O6753">
            <v>45957</v>
          </cell>
          <cell r="P6753">
            <v>2.1938053778362647</v>
          </cell>
          <cell r="Q6753">
            <v>28.815043680993103</v>
          </cell>
        </row>
        <row r="6754">
          <cell r="O6754">
            <v>45958</v>
          </cell>
          <cell r="P6754">
            <v>2.1948586943519337</v>
          </cell>
          <cell r="Q6754">
            <v>28.828878710169139</v>
          </cell>
        </row>
        <row r="6755">
          <cell r="O6755">
            <v>45959</v>
          </cell>
          <cell r="P6755">
            <v>2.1959125166510503</v>
          </cell>
          <cell r="Q6755">
            <v>28.842720382674749</v>
          </cell>
        </row>
        <row r="6756">
          <cell r="O6756">
            <v>45960</v>
          </cell>
          <cell r="P6756">
            <v>2.196966844976413</v>
          </cell>
          <cell r="Q6756">
            <v>28.856568701699018</v>
          </cell>
        </row>
        <row r="6757">
          <cell r="O6757">
            <v>45961</v>
          </cell>
          <cell r="P6757">
            <v>2.1980216795709473</v>
          </cell>
          <cell r="Q6757">
            <v>28.870423670432711</v>
          </cell>
        </row>
        <row r="6758">
          <cell r="O6758">
            <v>45964</v>
          </cell>
          <cell r="P6758">
            <v>2.1990770206776911</v>
          </cell>
          <cell r="Q6758">
            <v>28.884285292068064</v>
          </cell>
        </row>
        <row r="6759">
          <cell r="O6759">
            <v>45965</v>
          </cell>
          <cell r="P6759">
            <v>2.2001328685397996</v>
          </cell>
          <cell r="Q6759">
            <v>28.898153569798858</v>
          </cell>
        </row>
        <row r="6760">
          <cell r="O6760">
            <v>45966</v>
          </cell>
          <cell r="P6760">
            <v>2.2011892234005446</v>
          </cell>
          <cell r="Q6760">
            <v>28.912028506820398</v>
          </cell>
        </row>
        <row r="6761">
          <cell r="O6761">
            <v>45967</v>
          </cell>
          <cell r="P6761">
            <v>2.2022460855033161</v>
          </cell>
          <cell r="Q6761">
            <v>28.92591010632955</v>
          </cell>
        </row>
        <row r="6762">
          <cell r="O6762">
            <v>45968</v>
          </cell>
          <cell r="P6762">
            <v>2.2033034550916186</v>
          </cell>
          <cell r="Q6762">
            <v>28.939798371524677</v>
          </cell>
        </row>
        <row r="6763">
          <cell r="O6763">
            <v>45971</v>
          </cell>
          <cell r="P6763">
            <v>2.2043613324090736</v>
          </cell>
          <cell r="Q6763">
            <v>28.953693305605686</v>
          </cell>
        </row>
        <row r="6764">
          <cell r="O6764">
            <v>45972</v>
          </cell>
          <cell r="P6764">
            <v>2.2054197176994212</v>
          </cell>
          <cell r="Q6764">
            <v>28.967594911774036</v>
          </cell>
        </row>
        <row r="6765">
          <cell r="O6765">
            <v>45973</v>
          </cell>
          <cell r="P6765">
            <v>2.2064786112065233</v>
          </cell>
          <cell r="Q6765">
            <v>28.981503193232786</v>
          </cell>
        </row>
        <row r="6766">
          <cell r="O6766">
            <v>45974</v>
          </cell>
          <cell r="P6766">
            <v>2.2075380131743518</v>
          </cell>
          <cell r="Q6766">
            <v>28.995418153186446</v>
          </cell>
        </row>
        <row r="6767">
          <cell r="O6767">
            <v>45975</v>
          </cell>
          <cell r="P6767">
            <v>2.2085979238469924</v>
          </cell>
          <cell r="Q6767">
            <v>29.009339794841008</v>
          </cell>
        </row>
        <row r="6768">
          <cell r="O6768">
            <v>45978</v>
          </cell>
          <cell r="P6768">
            <v>2.2096583434686621</v>
          </cell>
          <cell r="Q6768">
            <v>29.0232681214042</v>
          </cell>
        </row>
        <row r="6769">
          <cell r="O6769">
            <v>45979</v>
          </cell>
          <cell r="P6769">
            <v>2.2107192722836846</v>
          </cell>
          <cell r="Q6769">
            <v>29.03720313608515</v>
          </cell>
        </row>
        <row r="6770">
          <cell r="O6770">
            <v>45980</v>
          </cell>
          <cell r="P6770">
            <v>2.2117807105365022</v>
          </cell>
          <cell r="Q6770">
            <v>29.051144842094544</v>
          </cell>
        </row>
        <row r="6771">
          <cell r="O6771">
            <v>45981</v>
          </cell>
          <cell r="P6771">
            <v>2.2128426584716778</v>
          </cell>
          <cell r="Q6771">
            <v>29.065093242644643</v>
          </cell>
        </row>
        <row r="6772">
          <cell r="O6772">
            <v>45982</v>
          </cell>
          <cell r="P6772">
            <v>2.2139051163338865</v>
          </cell>
          <cell r="Q6772">
            <v>29.079048340949196</v>
          </cell>
        </row>
        <row r="6773">
          <cell r="O6773">
            <v>45985</v>
          </cell>
          <cell r="P6773">
            <v>2.214968084367928</v>
          </cell>
          <cell r="Q6773">
            <v>29.093010140223576</v>
          </cell>
        </row>
        <row r="6774">
          <cell r="O6774">
            <v>45986</v>
          </cell>
          <cell r="P6774">
            <v>2.2160315628187126</v>
          </cell>
          <cell r="Q6774">
            <v>29.106978643684617</v>
          </cell>
        </row>
        <row r="6775">
          <cell r="O6775">
            <v>45987</v>
          </cell>
          <cell r="P6775">
            <v>2.2170955519312785</v>
          </cell>
          <cell r="Q6775">
            <v>29.120953854550827</v>
          </cell>
        </row>
        <row r="6776">
          <cell r="O6776">
            <v>45988</v>
          </cell>
          <cell r="P6776">
            <v>2.218160051950766</v>
          </cell>
          <cell r="Q6776">
            <v>29.13493577604206</v>
          </cell>
        </row>
        <row r="6777">
          <cell r="O6777">
            <v>45989</v>
          </cell>
          <cell r="P6777">
            <v>2.2192250631224471</v>
          </cell>
          <cell r="Q6777">
            <v>29.148924411379895</v>
          </cell>
        </row>
        <row r="6778">
          <cell r="O6778">
            <v>45992</v>
          </cell>
          <cell r="P6778">
            <v>2.2202905856917092</v>
          </cell>
          <cell r="Q6778">
            <v>29.162919763787432</v>
          </cell>
        </row>
        <row r="6779">
          <cell r="O6779">
            <v>45993</v>
          </cell>
          <cell r="P6779">
            <v>2.2213566199040535</v>
          </cell>
          <cell r="Q6779">
            <v>29.176921836489264</v>
          </cell>
        </row>
        <row r="6780">
          <cell r="O6780">
            <v>45994</v>
          </cell>
          <cell r="P6780">
            <v>2.2224231660050964</v>
          </cell>
          <cell r="Q6780">
            <v>29.190930632711495</v>
          </cell>
        </row>
        <row r="6781">
          <cell r="O6781">
            <v>45995</v>
          </cell>
          <cell r="P6781">
            <v>2.2234902242405812</v>
          </cell>
          <cell r="Q6781">
            <v>29.204946155681899</v>
          </cell>
        </row>
        <row r="6782">
          <cell r="O6782">
            <v>45996</v>
          </cell>
          <cell r="P6782">
            <v>2.2245577948563611</v>
          </cell>
          <cell r="Q6782">
            <v>29.218968408629689</v>
          </cell>
        </row>
        <row r="6783">
          <cell r="O6783">
            <v>45999</v>
          </cell>
          <cell r="P6783">
            <v>2.2256258780984162</v>
          </cell>
          <cell r="Q6783">
            <v>29.232997394785748</v>
          </cell>
        </row>
        <row r="6784">
          <cell r="O6784">
            <v>46000</v>
          </cell>
          <cell r="P6784">
            <v>2.2266944742128385</v>
          </cell>
          <cell r="Q6784">
            <v>29.247033117382433</v>
          </cell>
        </row>
        <row r="6785">
          <cell r="O6785">
            <v>46001</v>
          </cell>
          <cell r="P6785">
            <v>2.2277635834458351</v>
          </cell>
          <cell r="Q6785">
            <v>29.2610755796536</v>
          </cell>
        </row>
        <row r="6786">
          <cell r="O6786">
            <v>46002</v>
          </cell>
          <cell r="P6786">
            <v>2.2288332060437419</v>
          </cell>
          <cell r="Q6786">
            <v>29.275124784834809</v>
          </cell>
        </row>
        <row r="6787">
          <cell r="O6787">
            <v>46003</v>
          </cell>
          <cell r="P6787">
            <v>2.2299033422530044</v>
          </cell>
          <cell r="Q6787">
            <v>29.289180736163054</v>
          </cell>
        </row>
        <row r="6788">
          <cell r="O6788">
            <v>46006</v>
          </cell>
          <cell r="P6788">
            <v>2.2309739923201874</v>
          </cell>
          <cell r="Q6788">
            <v>29.303243436876901</v>
          </cell>
        </row>
        <row r="6789">
          <cell r="O6789">
            <v>46007</v>
          </cell>
          <cell r="P6789">
            <v>2.2320451564919792</v>
          </cell>
          <cell r="Q6789">
            <v>29.317312890216527</v>
          </cell>
        </row>
        <row r="6790">
          <cell r="O6790">
            <v>46008</v>
          </cell>
          <cell r="P6790">
            <v>2.2331168350151822</v>
          </cell>
          <cell r="Q6790">
            <v>29.331389099423625</v>
          </cell>
        </row>
        <row r="6791">
          <cell r="O6791">
            <v>46009</v>
          </cell>
          <cell r="P6791">
            <v>2.2341890281367167</v>
          </cell>
          <cell r="Q6791">
            <v>29.345472067741422</v>
          </cell>
        </row>
        <row r="6792">
          <cell r="O6792">
            <v>46010</v>
          </cell>
          <cell r="P6792">
            <v>2.2352617361036282</v>
          </cell>
          <cell r="Q6792">
            <v>29.359561798414791</v>
          </cell>
        </row>
        <row r="6793">
          <cell r="O6793">
            <v>46013</v>
          </cell>
          <cell r="P6793">
            <v>2.2363349591630728</v>
          </cell>
          <cell r="Q6793">
            <v>29.373658294690063</v>
          </cell>
        </row>
        <row r="6794">
          <cell r="O6794">
            <v>46014</v>
          </cell>
          <cell r="P6794">
            <v>2.2374086975623277</v>
          </cell>
          <cell r="Q6794">
            <v>29.387761559815164</v>
          </cell>
        </row>
        <row r="6795">
          <cell r="O6795">
            <v>46015</v>
          </cell>
          <cell r="P6795">
            <v>2.2384829515487934</v>
          </cell>
          <cell r="Q6795">
            <v>29.401871597039623</v>
          </cell>
        </row>
        <row r="6796">
          <cell r="O6796">
            <v>46017</v>
          </cell>
          <cell r="P6796">
            <v>2.2395577213699873</v>
          </cell>
          <cell r="Q6796">
            <v>29.415988409614521</v>
          </cell>
        </row>
        <row r="6797">
          <cell r="O6797">
            <v>46020</v>
          </cell>
          <cell r="P6797">
            <v>2.240633007273539</v>
          </cell>
          <cell r="Q6797">
            <v>29.430112000792402</v>
          </cell>
        </row>
        <row r="6798">
          <cell r="O6798">
            <v>46021</v>
          </cell>
          <cell r="P6798">
            <v>2.241708809507208</v>
          </cell>
          <cell r="Q6798">
            <v>29.444242373827521</v>
          </cell>
        </row>
        <row r="6799">
          <cell r="O6799">
            <v>46022</v>
          </cell>
          <cell r="P6799">
            <v>2.2427851283188636</v>
          </cell>
          <cell r="Q6799">
            <v>29.458379531975581</v>
          </cell>
        </row>
        <row r="6800">
          <cell r="O6800">
            <v>46024</v>
          </cell>
          <cell r="P6800">
            <v>2.243861963956499</v>
          </cell>
          <cell r="Q6800">
            <v>29.472523478493898</v>
          </cell>
        </row>
        <row r="6801">
          <cell r="O6801">
            <v>46027</v>
          </cell>
          <cell r="P6801">
            <v>2.2449458414958663</v>
          </cell>
          <cell r="Q6801">
            <v>29.486759918497761</v>
          </cell>
        </row>
        <row r="6802">
          <cell r="O6802">
            <v>46028</v>
          </cell>
          <cell r="P6802">
            <v>2.2460302426460204</v>
          </cell>
          <cell r="Q6802">
            <v>29.501003235988499</v>
          </cell>
        </row>
        <row r="6803">
          <cell r="O6803">
            <v>46029</v>
          </cell>
          <cell r="P6803">
            <v>2.247115167659854</v>
          </cell>
          <cell r="Q6803">
            <v>29.515253434287789</v>
          </cell>
        </row>
        <row r="6804">
          <cell r="O6804">
            <v>46030</v>
          </cell>
          <cell r="P6804">
            <v>2.2482006167903785</v>
          </cell>
          <cell r="Q6804">
            <v>29.529510516718869</v>
          </cell>
        </row>
        <row r="6805">
          <cell r="O6805">
            <v>46031</v>
          </cell>
          <cell r="P6805">
            <v>2.2492865902907266</v>
          </cell>
          <cell r="Q6805">
            <v>29.543774486606569</v>
          </cell>
        </row>
        <row r="6806">
          <cell r="O6806">
            <v>46034</v>
          </cell>
          <cell r="P6806">
            <v>2.2503730884141522</v>
          </cell>
          <cell r="Q6806">
            <v>29.558045347277311</v>
          </cell>
        </row>
        <row r="6807">
          <cell r="O6807">
            <v>46035</v>
          </cell>
          <cell r="P6807">
            <v>2.25146011141404</v>
          </cell>
          <cell r="Q6807">
            <v>29.572323102059237</v>
          </cell>
        </row>
        <row r="6808">
          <cell r="O6808">
            <v>46036</v>
          </cell>
          <cell r="P6808">
            <v>2.2525476595438878</v>
          </cell>
          <cell r="Q6808">
            <v>29.586607754281967</v>
          </cell>
        </row>
        <row r="6809">
          <cell r="O6809">
            <v>46037</v>
          </cell>
          <cell r="P6809">
            <v>2.2536357330573189</v>
          </cell>
          <cell r="Q6809">
            <v>29.600899307276777</v>
          </cell>
        </row>
        <row r="6810">
          <cell r="O6810">
            <v>46038</v>
          </cell>
          <cell r="P6810">
            <v>2.2547243322080801</v>
          </cell>
          <cell r="Q6810">
            <v>29.615197764376564</v>
          </cell>
        </row>
        <row r="6811">
          <cell r="O6811">
            <v>46041</v>
          </cell>
          <cell r="P6811">
            <v>2.2558134572500395</v>
          </cell>
          <cell r="Q6811">
            <v>29.629503128915818</v>
          </cell>
        </row>
        <row r="6812">
          <cell r="O6812">
            <v>46042</v>
          </cell>
          <cell r="P6812">
            <v>2.2569031084371947</v>
          </cell>
          <cell r="Q6812">
            <v>29.643815404230729</v>
          </cell>
        </row>
        <row r="6813">
          <cell r="O6813">
            <v>46043</v>
          </cell>
          <cell r="P6813">
            <v>2.2579932860236531</v>
          </cell>
          <cell r="Q6813">
            <v>29.658134593658929</v>
          </cell>
        </row>
        <row r="6814">
          <cell r="O6814">
            <v>46044</v>
          </cell>
          <cell r="P6814">
            <v>2.2590839902636564</v>
          </cell>
          <cell r="Q6814">
            <v>29.672460700539812</v>
          </cell>
        </row>
        <row r="6815">
          <cell r="O6815">
            <v>46045</v>
          </cell>
          <cell r="P6815">
            <v>2.2601752214115631</v>
          </cell>
          <cell r="Q6815">
            <v>29.686793728214312</v>
          </cell>
        </row>
        <row r="6816">
          <cell r="O6816">
            <v>46048</v>
          </cell>
          <cell r="P6816">
            <v>2.2612669797218561</v>
          </cell>
          <cell r="Q6816">
            <v>29.701133680024988</v>
          </cell>
        </row>
        <row r="6817">
          <cell r="O6817">
            <v>46049</v>
          </cell>
          <cell r="P6817">
            <v>2.2623592654491462</v>
          </cell>
          <cell r="Q6817">
            <v>29.715480559316092</v>
          </cell>
        </row>
        <row r="6818">
          <cell r="O6818">
            <v>46050</v>
          </cell>
          <cell r="P6818">
            <v>2.2634520788481542</v>
          </cell>
          <cell r="Q6818">
            <v>29.729834369433309</v>
          </cell>
        </row>
        <row r="6819">
          <cell r="O6819">
            <v>46051</v>
          </cell>
          <cell r="P6819">
            <v>2.2645454201737425</v>
          </cell>
          <cell r="Q6819">
            <v>29.744195113724189</v>
          </cell>
        </row>
        <row r="6820">
          <cell r="O6820">
            <v>46052</v>
          </cell>
          <cell r="P6820">
            <v>2.2656392896808808</v>
          </cell>
          <cell r="Q6820">
            <v>29.758562795537689</v>
          </cell>
        </row>
        <row r="6821">
          <cell r="O6821">
            <v>46055</v>
          </cell>
          <cell r="P6821">
            <v>2.2667336876246682</v>
          </cell>
          <cell r="Q6821">
            <v>29.772937418224465</v>
          </cell>
        </row>
        <row r="6822">
          <cell r="O6822">
            <v>46056</v>
          </cell>
          <cell r="P6822">
            <v>2.2678286142603299</v>
          </cell>
          <cell r="Q6822">
            <v>29.787318985136839</v>
          </cell>
        </row>
        <row r="6823">
          <cell r="O6823">
            <v>46057</v>
          </cell>
          <cell r="P6823">
            <v>2.2689240698432118</v>
          </cell>
          <cell r="Q6823">
            <v>29.801707499628705</v>
          </cell>
        </row>
        <row r="6824">
          <cell r="O6824">
            <v>46058</v>
          </cell>
          <cell r="P6824">
            <v>2.2700200546287825</v>
          </cell>
          <cell r="Q6824">
            <v>29.816102965055574</v>
          </cell>
        </row>
        <row r="6825">
          <cell r="O6825">
            <v>46059</v>
          </cell>
          <cell r="P6825">
            <v>2.2711165688726305</v>
          </cell>
          <cell r="Q6825">
            <v>29.830505384774536</v>
          </cell>
        </row>
        <row r="6826">
          <cell r="O6826">
            <v>46062</v>
          </cell>
          <cell r="P6826">
            <v>2.2722136128304777</v>
          </cell>
          <cell r="Q6826">
            <v>29.844914762144427</v>
          </cell>
        </row>
        <row r="6827">
          <cell r="O6827">
            <v>46063</v>
          </cell>
          <cell r="P6827">
            <v>2.273311186758161</v>
          </cell>
          <cell r="Q6827">
            <v>29.859331100525594</v>
          </cell>
        </row>
        <row r="6828">
          <cell r="O6828">
            <v>46064</v>
          </cell>
          <cell r="P6828">
            <v>2.2744092909116418</v>
          </cell>
          <cell r="Q6828">
            <v>29.873754403280024</v>
          </cell>
        </row>
        <row r="6829">
          <cell r="O6829">
            <v>46065</v>
          </cell>
          <cell r="P6829">
            <v>2.2755079255470152</v>
          </cell>
          <cell r="Q6829">
            <v>29.888184673771455</v>
          </cell>
        </row>
        <row r="6830">
          <cell r="O6830">
            <v>46066</v>
          </cell>
          <cell r="P6830">
            <v>2.276607090920483</v>
          </cell>
          <cell r="Q6830">
            <v>29.902621915365032</v>
          </cell>
        </row>
        <row r="6831">
          <cell r="O6831">
            <v>46071</v>
          </cell>
          <cell r="P6831">
            <v>2.2777067872883876</v>
          </cell>
          <cell r="Q6831">
            <v>29.917066131427742</v>
          </cell>
        </row>
        <row r="6832">
          <cell r="O6832">
            <v>46072</v>
          </cell>
          <cell r="P6832">
            <v>2.2788070149071871</v>
          </cell>
          <cell r="Q6832">
            <v>29.931517325328091</v>
          </cell>
        </row>
        <row r="6833">
          <cell r="O6833">
            <v>46073</v>
          </cell>
          <cell r="P6833">
            <v>2.2799077740334566</v>
          </cell>
          <cell r="Q6833">
            <v>29.945975500436127</v>
          </cell>
        </row>
        <row r="6834">
          <cell r="O6834">
            <v>46076</v>
          </cell>
          <cell r="P6834">
            <v>2.2810090649239121</v>
          </cell>
          <cell r="Q6834">
            <v>29.960440660123744</v>
          </cell>
        </row>
        <row r="6835">
          <cell r="O6835">
            <v>46077</v>
          </cell>
          <cell r="P6835">
            <v>2.282110887835378</v>
          </cell>
          <cell r="Q6835">
            <v>29.974912807764262</v>
          </cell>
        </row>
        <row r="6836">
          <cell r="O6836">
            <v>46078</v>
          </cell>
          <cell r="P6836">
            <v>2.2832132430248149</v>
          </cell>
          <cell r="Q6836">
            <v>29.989391946732788</v>
          </cell>
        </row>
        <row r="6837">
          <cell r="O6837">
            <v>46079</v>
          </cell>
          <cell r="P6837">
            <v>2.2843161307492967</v>
          </cell>
          <cell r="Q6837">
            <v>30.003878080405922</v>
          </cell>
        </row>
        <row r="6838">
          <cell r="O6838">
            <v>46080</v>
          </cell>
          <cell r="P6838">
            <v>2.2854195512660334</v>
          </cell>
          <cell r="Q6838">
            <v>30.018371212162045</v>
          </cell>
        </row>
        <row r="6839">
          <cell r="O6839">
            <v>46083</v>
          </cell>
          <cell r="P6839">
            <v>2.286523504832346</v>
          </cell>
          <cell r="Q6839">
            <v>30.032871345381</v>
          </cell>
        </row>
        <row r="6840">
          <cell r="O6840">
            <v>46084</v>
          </cell>
          <cell r="P6840">
            <v>2.2876279917056936</v>
          </cell>
          <cell r="Q6840">
            <v>30.047378483444444</v>
          </cell>
        </row>
        <row r="6841">
          <cell r="O6841">
            <v>46085</v>
          </cell>
          <cell r="P6841">
            <v>2.2887330121436453</v>
          </cell>
          <cell r="Q6841">
            <v>30.061892629735475</v>
          </cell>
        </row>
        <row r="6842">
          <cell r="O6842">
            <v>46086</v>
          </cell>
          <cell r="P6842">
            <v>2.2898385664039114</v>
          </cell>
          <cell r="Q6842">
            <v>30.076413787639051</v>
          </cell>
        </row>
        <row r="6843">
          <cell r="O6843">
            <v>46087</v>
          </cell>
          <cell r="P6843">
            <v>2.2909446547443117</v>
          </cell>
          <cell r="Q6843">
            <v>30.090941960541567</v>
          </cell>
        </row>
        <row r="6844">
          <cell r="O6844">
            <v>46090</v>
          </cell>
          <cell r="P6844">
            <v>2.2920512774227975</v>
          </cell>
          <cell r="Q6844">
            <v>30.105477151831142</v>
          </cell>
        </row>
        <row r="6845">
          <cell r="O6845">
            <v>46091</v>
          </cell>
          <cell r="P6845">
            <v>2.2931584346974443</v>
          </cell>
          <cell r="Q6845">
            <v>30.120019364897527</v>
          </cell>
        </row>
        <row r="6846">
          <cell r="O6846">
            <v>46092</v>
          </cell>
          <cell r="P6846">
            <v>2.2942661268264533</v>
          </cell>
          <cell r="Q6846">
            <v>30.134568603132127</v>
          </cell>
        </row>
        <row r="6847">
          <cell r="O6847">
            <v>46093</v>
          </cell>
          <cell r="P6847">
            <v>2.2953743540681448</v>
          </cell>
          <cell r="Q6847">
            <v>30.14912486992791</v>
          </cell>
        </row>
        <row r="6848">
          <cell r="O6848">
            <v>46094</v>
          </cell>
          <cell r="P6848">
            <v>2.2964831166809767</v>
          </cell>
          <cell r="Q6848">
            <v>30.163688168679649</v>
          </cell>
        </row>
        <row r="6849">
          <cell r="O6849">
            <v>46097</v>
          </cell>
          <cell r="P6849">
            <v>2.2975924149235163</v>
          </cell>
          <cell r="Q6849">
            <v>30.178258502783557</v>
          </cell>
        </row>
        <row r="6850">
          <cell r="O6850">
            <v>46098</v>
          </cell>
          <cell r="P6850">
            <v>2.2987022490544682</v>
          </cell>
          <cell r="Q6850">
            <v>30.192835875637652</v>
          </cell>
        </row>
        <row r="6851">
          <cell r="O6851">
            <v>46099</v>
          </cell>
          <cell r="P6851">
            <v>2.299812619332652</v>
          </cell>
          <cell r="Q6851">
            <v>30.207420290641458</v>
          </cell>
        </row>
        <row r="6852">
          <cell r="O6852">
            <v>46100</v>
          </cell>
          <cell r="P6852">
            <v>2.3009235260170207</v>
          </cell>
          <cell r="Q6852">
            <v>30.222011751196248</v>
          </cell>
        </row>
        <row r="6853">
          <cell r="O6853">
            <v>46101</v>
          </cell>
          <cell r="P6853">
            <v>2.3020349693666482</v>
          </cell>
          <cell r="Q6853">
            <v>30.236610260704897</v>
          </cell>
        </row>
        <row r="6854">
          <cell r="O6854">
            <v>46104</v>
          </cell>
          <cell r="P6854">
            <v>2.3031469496407362</v>
          </cell>
          <cell r="Q6854">
            <v>30.251215822571943</v>
          </cell>
        </row>
        <row r="6855">
          <cell r="O6855">
            <v>46105</v>
          </cell>
          <cell r="P6855">
            <v>2.3042594670986101</v>
          </cell>
          <cell r="Q6855">
            <v>30.26582844020356</v>
          </cell>
        </row>
        <row r="6856">
          <cell r="O6856">
            <v>46106</v>
          </cell>
          <cell r="P6856">
            <v>2.3053725219997165</v>
          </cell>
          <cell r="Q6856">
            <v>30.280448117007506</v>
          </cell>
        </row>
        <row r="6857">
          <cell r="O6857">
            <v>46107</v>
          </cell>
          <cell r="P6857">
            <v>2.3064861146036368</v>
          </cell>
          <cell r="Q6857">
            <v>30.295074856393313</v>
          </cell>
        </row>
        <row r="6858">
          <cell r="O6858">
            <v>46108</v>
          </cell>
          <cell r="P6858">
            <v>2.3076002451700677</v>
          </cell>
          <cell r="Q6858">
            <v>30.309708661772031</v>
          </cell>
        </row>
        <row r="6859">
          <cell r="O6859">
            <v>46111</v>
          </cell>
          <cell r="P6859">
            <v>2.3087149139588434</v>
          </cell>
          <cell r="Q6859">
            <v>30.324349536556507</v>
          </cell>
        </row>
        <row r="6860">
          <cell r="O6860">
            <v>46112</v>
          </cell>
          <cell r="P6860">
            <v>2.3098301212299091</v>
          </cell>
          <cell r="Q6860">
            <v>30.338997484161052</v>
          </cell>
        </row>
        <row r="6861">
          <cell r="O6861">
            <v>46113</v>
          </cell>
          <cell r="P6861">
            <v>2.3109458672433476</v>
          </cell>
          <cell r="Q6861">
            <v>30.35365250800179</v>
          </cell>
        </row>
        <row r="6862">
          <cell r="O6862">
            <v>46114</v>
          </cell>
          <cell r="P6862">
            <v>2.3120621522593634</v>
          </cell>
          <cell r="Q6862">
            <v>30.36831461149643</v>
          </cell>
        </row>
        <row r="6863">
          <cell r="O6863">
            <v>46118</v>
          </cell>
          <cell r="P6863">
            <v>2.3131789765382855</v>
          </cell>
          <cell r="Q6863">
            <v>30.382983798064327</v>
          </cell>
        </row>
        <row r="6864">
          <cell r="O6864">
            <v>46119</v>
          </cell>
          <cell r="P6864">
            <v>2.3142963403405696</v>
          </cell>
          <cell r="Q6864">
            <v>30.397660071126495</v>
          </cell>
        </row>
        <row r="6865">
          <cell r="O6865">
            <v>46120</v>
          </cell>
          <cell r="P6865">
            <v>2.3154142439267962</v>
          </cell>
          <cell r="Q6865">
            <v>30.412343434105587</v>
          </cell>
        </row>
        <row r="6866">
          <cell r="O6866">
            <v>46121</v>
          </cell>
          <cell r="P6866">
            <v>2.3165326875576766</v>
          </cell>
          <cell r="Q6866">
            <v>30.427033890425982</v>
          </cell>
        </row>
        <row r="6867">
          <cell r="O6867">
            <v>46122</v>
          </cell>
          <cell r="P6867">
            <v>2.3176516714940378</v>
          </cell>
          <cell r="Q6867">
            <v>30.441731443513564</v>
          </cell>
        </row>
        <row r="6868">
          <cell r="O6868">
            <v>46125</v>
          </cell>
          <cell r="P6868">
            <v>2.318771195996848</v>
          </cell>
          <cell r="Q6868">
            <v>30.456436096796089</v>
          </cell>
        </row>
        <row r="6869">
          <cell r="O6869">
            <v>46126</v>
          </cell>
          <cell r="P6869">
            <v>2.3198912613271849</v>
          </cell>
          <cell r="Q6869">
            <v>30.471147853702735</v>
          </cell>
        </row>
        <row r="6870">
          <cell r="O6870">
            <v>46127</v>
          </cell>
          <cell r="P6870">
            <v>2.3210118677462694</v>
          </cell>
          <cell r="Q6870">
            <v>30.485866717664575</v>
          </cell>
        </row>
        <row r="6871">
          <cell r="O6871">
            <v>46128</v>
          </cell>
          <cell r="P6871">
            <v>2.3221330155154325</v>
          </cell>
          <cell r="Q6871">
            <v>30.500592692114115</v>
          </cell>
        </row>
        <row r="6872">
          <cell r="O6872">
            <v>46129</v>
          </cell>
          <cell r="P6872">
            <v>2.3232547048961405</v>
          </cell>
          <cell r="Q6872">
            <v>30.51532578048565</v>
          </cell>
        </row>
        <row r="6873">
          <cell r="O6873">
            <v>46132</v>
          </cell>
          <cell r="P6873">
            <v>2.3243769361499864</v>
          </cell>
          <cell r="Q6873">
            <v>30.530065986215128</v>
          </cell>
        </row>
        <row r="6874">
          <cell r="O6874">
            <v>46134</v>
          </cell>
          <cell r="P6874">
            <v>2.325499709538688</v>
          </cell>
          <cell r="Q6874">
            <v>30.544813312740146</v>
          </cell>
        </row>
        <row r="6875">
          <cell r="O6875">
            <v>46135</v>
          </cell>
          <cell r="P6875">
            <v>2.3266230253240874</v>
          </cell>
          <cell r="Q6875">
            <v>30.559567763499931</v>
          </cell>
        </row>
        <row r="6876">
          <cell r="O6876">
            <v>46136</v>
          </cell>
          <cell r="P6876">
            <v>2.3277468837681563</v>
          </cell>
          <cell r="Q6876">
            <v>30.574329341935407</v>
          </cell>
        </row>
        <row r="6877">
          <cell r="O6877">
            <v>46139</v>
          </cell>
          <cell r="P6877">
            <v>2.3288712851329905</v>
          </cell>
          <cell r="Q6877">
            <v>30.589098051489131</v>
          </cell>
        </row>
        <row r="6878">
          <cell r="O6878">
            <v>46140</v>
          </cell>
          <cell r="P6878">
            <v>2.3299962296808165</v>
          </cell>
          <cell r="Q6878">
            <v>30.603873895605382</v>
          </cell>
        </row>
        <row r="6879">
          <cell r="O6879">
            <v>46141</v>
          </cell>
          <cell r="P6879">
            <v>2.3311217176739834</v>
          </cell>
          <cell r="Q6879">
            <v>30.618656877730043</v>
          </cell>
        </row>
        <row r="6880">
          <cell r="O6880">
            <v>46142</v>
          </cell>
          <cell r="P6880">
            <v>2.3322477493749703</v>
          </cell>
          <cell r="Q6880">
            <v>30.633447001310707</v>
          </cell>
        </row>
        <row r="6881">
          <cell r="O6881">
            <v>46146</v>
          </cell>
          <cell r="P6881">
            <v>2.3333743250463761</v>
          </cell>
          <cell r="Q6881">
            <v>30.648244269796535</v>
          </cell>
        </row>
        <row r="6882">
          <cell r="O6882">
            <v>46147</v>
          </cell>
          <cell r="P6882">
            <v>2.3345014449509409</v>
          </cell>
          <cell r="Q6882">
            <v>30.663048686638557</v>
          </cell>
        </row>
        <row r="6883">
          <cell r="O6883">
            <v>46148</v>
          </cell>
          <cell r="P6883">
            <v>2.3356291093515145</v>
          </cell>
          <cell r="Q6883">
            <v>30.677860255289225</v>
          </cell>
        </row>
        <row r="6884">
          <cell r="O6884">
            <v>46149</v>
          </cell>
          <cell r="P6884">
            <v>2.3367573185110886</v>
          </cell>
          <cell r="Q6884">
            <v>30.692678979202871</v>
          </cell>
        </row>
        <row r="6885">
          <cell r="O6885">
            <v>46150</v>
          </cell>
          <cell r="P6885">
            <v>2.3378860726927697</v>
          </cell>
          <cell r="Q6885">
            <v>30.707504861835321</v>
          </cell>
        </row>
        <row r="6886">
          <cell r="O6886">
            <v>46153</v>
          </cell>
          <cell r="P6886">
            <v>2.3390153721598037</v>
          </cell>
          <cell r="Q6886">
            <v>30.722337906644249</v>
          </cell>
        </row>
        <row r="6887">
          <cell r="O6887">
            <v>46154</v>
          </cell>
          <cell r="P6887">
            <v>2.3401452171755555</v>
          </cell>
          <cell r="Q6887">
            <v>30.737178117088874</v>
          </cell>
        </row>
        <row r="6888">
          <cell r="O6888">
            <v>46155</v>
          </cell>
          <cell r="P6888">
            <v>2.3412756080035155</v>
          </cell>
          <cell r="Q6888">
            <v>30.752025496630072</v>
          </cell>
        </row>
        <row r="6889">
          <cell r="O6889">
            <v>46156</v>
          </cell>
          <cell r="P6889">
            <v>2.3424065449073086</v>
          </cell>
          <cell r="Q6889">
            <v>30.766880048730492</v>
          </cell>
        </row>
        <row r="6890">
          <cell r="O6890">
            <v>46157</v>
          </cell>
          <cell r="P6890">
            <v>2.3435380281506837</v>
          </cell>
          <cell r="Q6890">
            <v>30.781741776854396</v>
          </cell>
        </row>
        <row r="6891">
          <cell r="O6891">
            <v>46160</v>
          </cell>
          <cell r="P6891">
            <v>2.3446700579975186</v>
          </cell>
          <cell r="Q6891">
            <v>30.796610684467755</v>
          </cell>
        </row>
        <row r="6892">
          <cell r="O6892">
            <v>46161</v>
          </cell>
          <cell r="P6892">
            <v>2.3458026347118124</v>
          </cell>
          <cell r="Q6892">
            <v>30.811486775038123</v>
          </cell>
        </row>
        <row r="6893">
          <cell r="O6893">
            <v>46162</v>
          </cell>
          <cell r="P6893">
            <v>2.3469357585577004</v>
          </cell>
          <cell r="Q6893">
            <v>30.826370052034846</v>
          </cell>
        </row>
        <row r="6894">
          <cell r="O6894">
            <v>46163</v>
          </cell>
          <cell r="P6894">
            <v>2.3480694297994438</v>
          </cell>
          <cell r="Q6894">
            <v>30.841260518928923</v>
          </cell>
        </row>
        <row r="6895">
          <cell r="O6895">
            <v>46164</v>
          </cell>
          <cell r="P6895">
            <v>2.3492036487014234</v>
          </cell>
          <cell r="Q6895">
            <v>30.856158179192928</v>
          </cell>
        </row>
        <row r="6896">
          <cell r="O6896">
            <v>46167</v>
          </cell>
          <cell r="P6896">
            <v>2.3503384155281615</v>
          </cell>
          <cell r="Q6896">
            <v>30.871063036301287</v>
          </cell>
        </row>
        <row r="6897">
          <cell r="O6897">
            <v>46168</v>
          </cell>
          <cell r="P6897">
            <v>2.3514737305442939</v>
          </cell>
          <cell r="Q6897">
            <v>30.885975093729922</v>
          </cell>
        </row>
        <row r="6898">
          <cell r="O6898">
            <v>46169</v>
          </cell>
          <cell r="P6898">
            <v>2.3526095940145968</v>
          </cell>
          <cell r="Q6898">
            <v>30.900894354956598</v>
          </cell>
        </row>
        <row r="6899">
          <cell r="O6899">
            <v>46170</v>
          </cell>
          <cell r="P6899">
            <v>2.3537460062039641</v>
          </cell>
          <cell r="Q6899">
            <v>30.915820823460621</v>
          </cell>
        </row>
        <row r="6900">
          <cell r="O6900">
            <v>46171</v>
          </cell>
          <cell r="P6900">
            <v>2.3548829673774252</v>
          </cell>
          <cell r="Q6900">
            <v>30.930754502723083</v>
          </cell>
        </row>
        <row r="6901">
          <cell r="O6901">
            <v>46174</v>
          </cell>
          <cell r="P6901">
            <v>2.3560204778001315</v>
          </cell>
          <cell r="Q6901">
            <v>30.945695396226679</v>
          </cell>
        </row>
        <row r="6902">
          <cell r="O6902">
            <v>46175</v>
          </cell>
          <cell r="P6902">
            <v>2.3571585377373734</v>
          </cell>
          <cell r="Q6902">
            <v>30.960643507455927</v>
          </cell>
        </row>
        <row r="6903">
          <cell r="O6903">
            <v>46176</v>
          </cell>
          <cell r="P6903">
            <v>2.3582971474545511</v>
          </cell>
          <cell r="Q6903">
            <v>30.975598839896783</v>
          </cell>
        </row>
        <row r="6904">
          <cell r="O6904">
            <v>46178</v>
          </cell>
          <cell r="P6904">
            <v>2.3594363072172162</v>
          </cell>
          <cell r="Q6904">
            <v>30.990561397037197</v>
          </cell>
        </row>
        <row r="6905">
          <cell r="O6905">
            <v>46181</v>
          </cell>
          <cell r="P6905">
            <v>2.3605760172910242</v>
          </cell>
          <cell r="Q6905">
            <v>31.005531182366482</v>
          </cell>
        </row>
        <row r="6906">
          <cell r="O6906">
            <v>46182</v>
          </cell>
          <cell r="P6906">
            <v>2.3617162779417797</v>
          </cell>
          <cell r="Q6906">
            <v>31.020508199375918</v>
          </cell>
        </row>
        <row r="6907">
          <cell r="O6907">
            <v>46183</v>
          </cell>
          <cell r="P6907">
            <v>2.3628570894354026</v>
          </cell>
          <cell r="Q6907">
            <v>31.03549245155828</v>
          </cell>
        </row>
        <row r="6908">
          <cell r="O6908">
            <v>46184</v>
          </cell>
          <cell r="P6908">
            <v>2.3639984520379507</v>
          </cell>
          <cell r="Q6908">
            <v>31.050483942408171</v>
          </cell>
        </row>
        <row r="6909">
          <cell r="O6909">
            <v>46185</v>
          </cell>
          <cell r="P6909">
            <v>2.3651403660156016</v>
          </cell>
          <cell r="Q6909">
            <v>31.065482675421762</v>
          </cell>
        </row>
        <row r="6910">
          <cell r="O6910">
            <v>46188</v>
          </cell>
          <cell r="P6910">
            <v>2.3662828316346691</v>
          </cell>
          <cell r="Q6910">
            <v>31.080488654097014</v>
          </cell>
        </row>
        <row r="6911">
          <cell r="O6911">
            <v>46189</v>
          </cell>
          <cell r="P6911">
            <v>2.3674258491615867</v>
          </cell>
          <cell r="Q6911">
            <v>31.095501881933458</v>
          </cell>
        </row>
        <row r="6912">
          <cell r="O6912">
            <v>46190</v>
          </cell>
          <cell r="P6912">
            <v>2.3685694188629265</v>
          </cell>
          <cell r="Q6912">
            <v>31.110522362432445</v>
          </cell>
        </row>
        <row r="6913">
          <cell r="O6913">
            <v>46191</v>
          </cell>
          <cell r="P6913">
            <v>2.3697135410053867</v>
          </cell>
          <cell r="Q6913">
            <v>31.125550099096991</v>
          </cell>
        </row>
        <row r="6914">
          <cell r="O6914">
            <v>46192</v>
          </cell>
          <cell r="P6914">
            <v>2.3708582158557885</v>
          </cell>
          <cell r="Q6914">
            <v>31.14058509543171</v>
          </cell>
        </row>
        <row r="6915">
          <cell r="O6915">
            <v>46195</v>
          </cell>
          <cell r="P6915">
            <v>2.3720034436810877</v>
          </cell>
          <cell r="Q6915">
            <v>31.155627354943007</v>
          </cell>
        </row>
        <row r="6916">
          <cell r="O6916">
            <v>46196</v>
          </cell>
          <cell r="P6916">
            <v>2.3731492247483708</v>
          </cell>
          <cell r="Q6916">
            <v>31.170676881138981</v>
          </cell>
        </row>
        <row r="6917">
          <cell r="O6917">
            <v>46197</v>
          </cell>
          <cell r="P6917">
            <v>2.3742955593248487</v>
          </cell>
          <cell r="Q6917">
            <v>31.185733677529381</v>
          </cell>
        </row>
        <row r="6918">
          <cell r="O6918">
            <v>46198</v>
          </cell>
          <cell r="P6918">
            <v>2.3754424476778602</v>
          </cell>
          <cell r="Q6918">
            <v>31.200797747625625</v>
          </cell>
        </row>
        <row r="6919">
          <cell r="O6919">
            <v>46199</v>
          </cell>
          <cell r="P6919">
            <v>2.3765898900748823</v>
          </cell>
          <cell r="Q6919">
            <v>31.21586909494096</v>
          </cell>
        </row>
        <row r="6920">
          <cell r="O6920">
            <v>46202</v>
          </cell>
          <cell r="P6920">
            <v>2.3777378867835095</v>
          </cell>
          <cell r="Q6920">
            <v>31.230947722990159</v>
          </cell>
        </row>
        <row r="6921">
          <cell r="O6921">
            <v>46203</v>
          </cell>
          <cell r="P6921">
            <v>2.3788864380714769</v>
          </cell>
          <cell r="Q6921">
            <v>31.246033635289859</v>
          </cell>
        </row>
        <row r="6922">
          <cell r="O6922">
            <v>46204</v>
          </cell>
          <cell r="P6922">
            <v>2.3800355442066401</v>
          </cell>
          <cell r="Q6922">
            <v>31.261126835358262</v>
          </cell>
        </row>
        <row r="6923">
          <cell r="O6923">
            <v>46205</v>
          </cell>
          <cell r="P6923">
            <v>2.381178878492519</v>
          </cell>
          <cell r="Q6923">
            <v>31.276144223738481</v>
          </cell>
        </row>
        <row r="6924">
          <cell r="O6924">
            <v>46206</v>
          </cell>
          <cell r="P6924">
            <v>2.3823227620627767</v>
          </cell>
          <cell r="Q6924">
            <v>31.291168826821298</v>
          </cell>
        </row>
        <row r="6925">
          <cell r="O6925">
            <v>46209</v>
          </cell>
          <cell r="P6925">
            <v>2.3834671951812614</v>
          </cell>
          <cell r="Q6925">
            <v>31.306200648072295</v>
          </cell>
        </row>
        <row r="6926">
          <cell r="O6926">
            <v>46210</v>
          </cell>
          <cell r="P6926">
            <v>2.3846121781119423</v>
          </cell>
          <cell r="Q6926">
            <v>31.321239690958635</v>
          </cell>
        </row>
        <row r="6927">
          <cell r="O6927">
            <v>46211</v>
          </cell>
          <cell r="P6927">
            <v>2.3857577111189094</v>
          </cell>
          <cell r="Q6927">
            <v>31.33628595894907</v>
          </cell>
        </row>
        <row r="6928">
          <cell r="O6928">
            <v>46212</v>
          </cell>
          <cell r="P6928">
            <v>2.3869037944663978</v>
          </cell>
          <cell r="Q6928">
            <v>31.35133945551425</v>
          </cell>
        </row>
        <row r="6929">
          <cell r="O6929">
            <v>46213</v>
          </cell>
          <cell r="P6929">
            <v>2.3880504284187465</v>
          </cell>
          <cell r="Q6929">
            <v>31.366400184126206</v>
          </cell>
        </row>
        <row r="6930">
          <cell r="O6930">
            <v>46216</v>
          </cell>
          <cell r="P6930">
            <v>2.38919761324044</v>
          </cell>
          <cell r="Q6930">
            <v>31.381468148258865</v>
          </cell>
        </row>
        <row r="6931">
          <cell r="O6931">
            <v>46217</v>
          </cell>
          <cell r="P6931">
            <v>2.3903453491960844</v>
          </cell>
          <cell r="Q6931">
            <v>31.396543351387759</v>
          </cell>
        </row>
        <row r="6932">
          <cell r="O6932">
            <v>46218</v>
          </cell>
          <cell r="P6932">
            <v>2.3914936365504103</v>
          </cell>
          <cell r="Q6932">
            <v>31.411625796990048</v>
          </cell>
        </row>
        <row r="6933">
          <cell r="O6933">
            <v>46219</v>
          </cell>
          <cell r="P6933">
            <v>2.3926424755682714</v>
          </cell>
          <cell r="Q6933">
            <v>31.426715488544524</v>
          </cell>
        </row>
        <row r="6934">
          <cell r="O6934">
            <v>46220</v>
          </cell>
          <cell r="P6934">
            <v>2.3937918665146616</v>
          </cell>
          <cell r="Q6934">
            <v>31.441812429531804</v>
          </cell>
        </row>
        <row r="6935">
          <cell r="O6935">
            <v>46223</v>
          </cell>
          <cell r="P6935">
            <v>2.3949418096546924</v>
          </cell>
          <cell r="Q6935">
            <v>31.456916623434058</v>
          </cell>
        </row>
        <row r="6936">
          <cell r="O6936">
            <v>46224</v>
          </cell>
          <cell r="P6936">
            <v>2.3960923052536067</v>
          </cell>
          <cell r="Q6936">
            <v>31.472028073735181</v>
          </cell>
        </row>
        <row r="6937">
          <cell r="O6937">
            <v>46225</v>
          </cell>
          <cell r="P6937">
            <v>2.3972433535767701</v>
          </cell>
          <cell r="Q6937">
            <v>31.487146783920675</v>
          </cell>
        </row>
        <row r="6938">
          <cell r="O6938">
            <v>46226</v>
          </cell>
          <cell r="P6938">
            <v>2.3983949548896808</v>
          </cell>
          <cell r="Q6938">
            <v>31.50227275747779</v>
          </cell>
        </row>
        <row r="6939">
          <cell r="O6939">
            <v>46227</v>
          </cell>
          <cell r="P6939">
            <v>2.3995471094579646</v>
          </cell>
          <cell r="Q6939">
            <v>31.517405997895452</v>
          </cell>
        </row>
        <row r="6940">
          <cell r="O6940">
            <v>46230</v>
          </cell>
          <cell r="P6940">
            <v>2.4006998175473737</v>
          </cell>
          <cell r="Q6940">
            <v>31.53254650866424</v>
          </cell>
        </row>
        <row r="6941">
          <cell r="O6941">
            <v>46231</v>
          </cell>
          <cell r="P6941">
            <v>2.4018530794237818</v>
          </cell>
          <cell r="Q6941">
            <v>31.547694293276336</v>
          </cell>
        </row>
        <row r="6942">
          <cell r="O6942">
            <v>46232</v>
          </cell>
          <cell r="P6942">
            <v>2.4030068953532009</v>
          </cell>
          <cell r="Q6942">
            <v>31.562849355225737</v>
          </cell>
        </row>
        <row r="6943">
          <cell r="O6943">
            <v>46233</v>
          </cell>
          <cell r="P6943">
            <v>2.4041612656017635</v>
          </cell>
          <cell r="Q6943">
            <v>31.578011698008023</v>
          </cell>
        </row>
        <row r="6944">
          <cell r="O6944">
            <v>46234</v>
          </cell>
          <cell r="P6944">
            <v>2.405316190435737</v>
          </cell>
          <cell r="Q6944">
            <v>31.59318132512054</v>
          </cell>
        </row>
        <row r="6945">
          <cell r="O6945">
            <v>46237</v>
          </cell>
          <cell r="P6945">
            <v>2.4064716701215101</v>
          </cell>
          <cell r="Q6945">
            <v>31.608358240062234</v>
          </cell>
        </row>
        <row r="6946">
          <cell r="O6946">
            <v>46238</v>
          </cell>
          <cell r="P6946">
            <v>2.4076277049255985</v>
          </cell>
          <cell r="Q6946">
            <v>31.623542446333715</v>
          </cell>
        </row>
        <row r="6947">
          <cell r="O6947">
            <v>46239</v>
          </cell>
          <cell r="P6947">
            <v>2.4087842951146565</v>
          </cell>
          <cell r="Q6947">
            <v>31.638733947437423</v>
          </cell>
        </row>
        <row r="6948">
          <cell r="O6948">
            <v>46240</v>
          </cell>
          <cell r="P6948">
            <v>2.4099414409554534</v>
          </cell>
          <cell r="Q6948">
            <v>31.653932746877292</v>
          </cell>
        </row>
        <row r="6949">
          <cell r="O6949">
            <v>46241</v>
          </cell>
          <cell r="P6949">
            <v>2.4110991427148951</v>
          </cell>
          <cell r="Q6949">
            <v>31.669138848159065</v>
          </cell>
        </row>
        <row r="6950">
          <cell r="O6950">
            <v>46244</v>
          </cell>
          <cell r="P6950">
            <v>2.4122574006600095</v>
          </cell>
          <cell r="Q6950">
            <v>31.684352254790078</v>
          </cell>
        </row>
        <row r="6951">
          <cell r="O6951">
            <v>46245</v>
          </cell>
          <cell r="P6951">
            <v>2.4134162150579646</v>
          </cell>
          <cell r="Q6951">
            <v>31.699572970279515</v>
          </cell>
        </row>
        <row r="6952">
          <cell r="O6952">
            <v>46246</v>
          </cell>
          <cell r="P6952">
            <v>2.4145755861760434</v>
          </cell>
          <cell r="Q6952">
            <v>31.714800998138063</v>
          </cell>
        </row>
        <row r="6953">
          <cell r="O6953">
            <v>46247</v>
          </cell>
          <cell r="P6953">
            <v>2.4157355142816654</v>
          </cell>
          <cell r="Q6953">
            <v>31.730036341878204</v>
          </cell>
        </row>
        <row r="6954">
          <cell r="O6954">
            <v>46248</v>
          </cell>
          <cell r="P6954">
            <v>2.4168959996423713</v>
          </cell>
          <cell r="Q6954">
            <v>31.745279005014019</v>
          </cell>
        </row>
        <row r="6955">
          <cell r="O6955">
            <v>46251</v>
          </cell>
          <cell r="P6955">
            <v>2.4180570425258452</v>
          </cell>
          <cell r="Q6955">
            <v>31.760528991061459</v>
          </cell>
        </row>
        <row r="6956">
          <cell r="O6956">
            <v>46252</v>
          </cell>
          <cell r="P6956">
            <v>2.4192186431998781</v>
          </cell>
          <cell r="Q6956">
            <v>31.775786303537895</v>
          </cell>
        </row>
        <row r="6957">
          <cell r="O6957">
            <v>46253</v>
          </cell>
          <cell r="P6957">
            <v>2.4203808019324091</v>
          </cell>
          <cell r="Q6957">
            <v>31.791050945962628</v>
          </cell>
        </row>
        <row r="6958">
          <cell r="O6958">
            <v>46254</v>
          </cell>
          <cell r="P6958">
            <v>2.421543518991498</v>
          </cell>
          <cell r="Q6958">
            <v>31.806322921856555</v>
          </cell>
        </row>
        <row r="6959">
          <cell r="O6959">
            <v>46255</v>
          </cell>
          <cell r="P6959">
            <v>2.4227067946453307</v>
          </cell>
          <cell r="Q6959">
            <v>31.821602234742222</v>
          </cell>
        </row>
        <row r="6960">
          <cell r="O6960">
            <v>46258</v>
          </cell>
          <cell r="P6960">
            <v>2.4238706291622263</v>
          </cell>
          <cell r="Q6960">
            <v>31.836888888143935</v>
          </cell>
        </row>
        <row r="6961">
          <cell r="O6961">
            <v>46259</v>
          </cell>
          <cell r="P6961">
            <v>2.425035022810635</v>
          </cell>
          <cell r="Q6961">
            <v>31.852182885587712</v>
          </cell>
        </row>
        <row r="6962">
          <cell r="O6962">
            <v>46260</v>
          </cell>
          <cell r="P6962">
            <v>2.4261999758591282</v>
          </cell>
          <cell r="Q6962">
            <v>31.867484230601161</v>
          </cell>
        </row>
        <row r="6963">
          <cell r="O6963">
            <v>46261</v>
          </cell>
          <cell r="P6963">
            <v>2.4273654885764149</v>
          </cell>
          <cell r="Q6963">
            <v>31.882792926713709</v>
          </cell>
        </row>
        <row r="6964">
          <cell r="O6964">
            <v>46262</v>
          </cell>
          <cell r="P6964">
            <v>2.4285315612313245</v>
          </cell>
          <cell r="Q6964">
            <v>31.898108977456356</v>
          </cell>
        </row>
        <row r="6965">
          <cell r="O6965">
            <v>46265</v>
          </cell>
          <cell r="P6965">
            <v>2.4296981940928259</v>
          </cell>
          <cell r="Q6965">
            <v>31.913432386361936</v>
          </cell>
        </row>
        <row r="6966">
          <cell r="O6966">
            <v>46266</v>
          </cell>
          <cell r="P6966">
            <v>2.4308653874300119</v>
          </cell>
          <cell r="Q6966">
            <v>31.928763156964912</v>
          </cell>
        </row>
        <row r="6967">
          <cell r="O6967">
            <v>46267</v>
          </cell>
          <cell r="P6967">
            <v>2.4320331415121013</v>
          </cell>
          <cell r="Q6967">
            <v>31.944101292801395</v>
          </cell>
        </row>
        <row r="6968">
          <cell r="O6968">
            <v>46268</v>
          </cell>
          <cell r="P6968">
            <v>2.4332014566084439</v>
          </cell>
          <cell r="Q6968">
            <v>31.959446797409228</v>
          </cell>
        </row>
        <row r="6969">
          <cell r="O6969">
            <v>46269</v>
          </cell>
          <cell r="P6969">
            <v>2.4343703329885265</v>
          </cell>
          <cell r="Q6969">
            <v>31.974799674328047</v>
          </cell>
        </row>
        <row r="6970">
          <cell r="O6970">
            <v>46273</v>
          </cell>
          <cell r="P6970">
            <v>2.4355397709219524</v>
          </cell>
          <cell r="Q6970">
            <v>31.990159927099018</v>
          </cell>
        </row>
        <row r="6971">
          <cell r="O6971">
            <v>46274</v>
          </cell>
          <cell r="P6971">
            <v>2.4367097706784708</v>
          </cell>
          <cell r="Q6971">
            <v>32.005527559265225</v>
          </cell>
        </row>
        <row r="6972">
          <cell r="O6972">
            <v>46275</v>
          </cell>
          <cell r="P6972">
            <v>2.437880332527941</v>
          </cell>
          <cell r="Q6972">
            <v>32.020902574371192</v>
          </cell>
        </row>
        <row r="6973">
          <cell r="O6973">
            <v>46276</v>
          </cell>
          <cell r="P6973">
            <v>2.4390514567403709</v>
          </cell>
          <cell r="Q6973">
            <v>32.036284975963405</v>
          </cell>
        </row>
        <row r="6974">
          <cell r="O6974">
            <v>46279</v>
          </cell>
          <cell r="P6974">
            <v>2.4402231435858863</v>
          </cell>
          <cell r="Q6974">
            <v>32.051674767589894</v>
          </cell>
        </row>
        <row r="6975">
          <cell r="O6975">
            <v>46280</v>
          </cell>
          <cell r="P6975">
            <v>2.4413953933347439</v>
          </cell>
          <cell r="Q6975">
            <v>32.067071952800404</v>
          </cell>
        </row>
        <row r="6976">
          <cell r="O6976">
            <v>46281</v>
          </cell>
          <cell r="P6976">
            <v>2.4425682062573357</v>
          </cell>
          <cell r="Q6976">
            <v>32.082476535146469</v>
          </cell>
        </row>
        <row r="6977">
          <cell r="O6977">
            <v>46282</v>
          </cell>
          <cell r="P6977">
            <v>2.4437415826241815</v>
          </cell>
          <cell r="Q6977">
            <v>32.097888518181286</v>
          </cell>
        </row>
        <row r="6978">
          <cell r="O6978">
            <v>46283</v>
          </cell>
          <cell r="P6978">
            <v>2.4449155227059238</v>
          </cell>
          <cell r="Q6978">
            <v>32.113307905459678</v>
          </cell>
        </row>
        <row r="6979">
          <cell r="O6979">
            <v>46286</v>
          </cell>
          <cell r="P6979">
            <v>2.4460900267733496</v>
          </cell>
          <cell r="Q6979">
            <v>32.128734700538359</v>
          </cell>
        </row>
        <row r="6980">
          <cell r="O6980">
            <v>46287</v>
          </cell>
          <cell r="P6980">
            <v>2.4472650950973649</v>
          </cell>
          <cell r="Q6980">
            <v>32.144168906975594</v>
          </cell>
        </row>
        <row r="6981">
          <cell r="O6981">
            <v>46288</v>
          </cell>
          <cell r="P6981">
            <v>2.448440727949007</v>
          </cell>
          <cell r="Q6981">
            <v>32.159610528331399</v>
          </cell>
        </row>
        <row r="6982">
          <cell r="O6982">
            <v>46289</v>
          </cell>
          <cell r="P6982">
            <v>2.4496169255994493</v>
          </cell>
          <cell r="Q6982">
            <v>32.175059568167562</v>
          </cell>
        </row>
        <row r="6983">
          <cell r="O6983">
            <v>46290</v>
          </cell>
          <cell r="P6983">
            <v>2.4507936883199855</v>
          </cell>
          <cell r="Q6983">
            <v>32.190516030047448</v>
          </cell>
        </row>
        <row r="6984">
          <cell r="O6984">
            <v>46293</v>
          </cell>
          <cell r="P6984">
            <v>2.4519710163820521</v>
          </cell>
          <cell r="Q6984">
            <v>32.205979917536304</v>
          </cell>
        </row>
        <row r="6985">
          <cell r="O6985">
            <v>46294</v>
          </cell>
          <cell r="P6985">
            <v>2.4531489100572079</v>
          </cell>
          <cell r="Q6985">
            <v>32.221451234200984</v>
          </cell>
        </row>
        <row r="6986">
          <cell r="O6986">
            <v>46295</v>
          </cell>
          <cell r="P6986">
            <v>2.4543273696171419</v>
          </cell>
          <cell r="Q6986">
            <v>32.236929983610047</v>
          </cell>
        </row>
        <row r="6987">
          <cell r="O6987">
            <v>46296</v>
          </cell>
          <cell r="P6987">
            <v>2.4555063953336758</v>
          </cell>
          <cell r="Q6987">
            <v>32.252416169333799</v>
          </cell>
        </row>
        <row r="6988">
          <cell r="O6988">
            <v>46297</v>
          </cell>
          <cell r="P6988">
            <v>2.4566859874787657</v>
          </cell>
          <cell r="Q6988">
            <v>32.267909794944309</v>
          </cell>
        </row>
        <row r="6989">
          <cell r="O6989">
            <v>46300</v>
          </cell>
          <cell r="P6989">
            <v>2.457866146324494</v>
          </cell>
          <cell r="Q6989">
            <v>32.283410864015309</v>
          </cell>
        </row>
        <row r="6990">
          <cell r="O6990">
            <v>46301</v>
          </cell>
          <cell r="P6990">
            <v>2.4590468721430723</v>
          </cell>
          <cell r="Q6990">
            <v>32.298919380122221</v>
          </cell>
        </row>
        <row r="6991">
          <cell r="O6991">
            <v>46302</v>
          </cell>
          <cell r="P6991">
            <v>2.4602281652068458</v>
          </cell>
          <cell r="Q6991">
            <v>32.314435346842238</v>
          </cell>
        </row>
        <row r="6992">
          <cell r="O6992">
            <v>46303</v>
          </cell>
          <cell r="P6992">
            <v>2.4614100257882887</v>
          </cell>
          <cell r="Q6992">
            <v>32.329958767754214</v>
          </cell>
        </row>
        <row r="6993">
          <cell r="O6993">
            <v>46304</v>
          </cell>
          <cell r="P6993">
            <v>2.4625924541600139</v>
          </cell>
          <cell r="Q6993">
            <v>32.345489646438864</v>
          </cell>
        </row>
        <row r="6994">
          <cell r="O6994">
            <v>46308</v>
          </cell>
          <cell r="P6994">
            <v>2.4637754505947536</v>
          </cell>
          <cell r="Q6994">
            <v>32.361027986478447</v>
          </cell>
        </row>
        <row r="6995">
          <cell r="O6995">
            <v>46309</v>
          </cell>
          <cell r="P6995">
            <v>2.4649590153653733</v>
          </cell>
          <cell r="Q6995">
            <v>32.376573791456977</v>
          </cell>
        </row>
        <row r="6996">
          <cell r="O6996">
            <v>46310</v>
          </cell>
          <cell r="P6996">
            <v>2.4661431487448819</v>
          </cell>
          <cell r="Q6996">
            <v>32.392127064960356</v>
          </cell>
        </row>
        <row r="6997">
          <cell r="O6997">
            <v>46311</v>
          </cell>
          <cell r="P6997">
            <v>2.4673278510064032</v>
          </cell>
          <cell r="Q6997">
            <v>32.407687810575979</v>
          </cell>
        </row>
        <row r="6998">
          <cell r="O6998">
            <v>46314</v>
          </cell>
          <cell r="P6998">
            <v>2.4685131224232046</v>
          </cell>
          <cell r="Q6998">
            <v>32.42325603189316</v>
          </cell>
        </row>
        <row r="6999">
          <cell r="O6999">
            <v>46315</v>
          </cell>
          <cell r="P6999">
            <v>2.4696989632686734</v>
          </cell>
          <cell r="Q6999">
            <v>32.438831732502749</v>
          </cell>
        </row>
        <row r="7000">
          <cell r="O7000">
            <v>46316</v>
          </cell>
          <cell r="P7000">
            <v>2.4708853738163414</v>
          </cell>
          <cell r="Q7000">
            <v>32.454414915997525</v>
          </cell>
        </row>
        <row r="7001">
          <cell r="O7001">
            <v>46317</v>
          </cell>
          <cell r="P7001">
            <v>2.4720723543398595</v>
          </cell>
          <cell r="Q7001">
            <v>32.470005585971812</v>
          </cell>
        </row>
        <row r="7002">
          <cell r="O7002">
            <v>46318</v>
          </cell>
          <cell r="P7002">
            <v>2.4732599051130197</v>
          </cell>
          <cell r="Q7002">
            <v>32.485603746021795</v>
          </cell>
        </row>
        <row r="7003">
          <cell r="O7003">
            <v>46321</v>
          </cell>
          <cell r="P7003">
            <v>2.4744480264097386</v>
          </cell>
          <cell r="Q7003">
            <v>32.501209399745299</v>
          </cell>
        </row>
        <row r="7004">
          <cell r="O7004">
            <v>46322</v>
          </cell>
          <cell r="P7004">
            <v>2.4756367185040697</v>
          </cell>
          <cell r="Q7004">
            <v>32.516822550741942</v>
          </cell>
        </row>
        <row r="7005">
          <cell r="O7005">
            <v>46323</v>
          </cell>
          <cell r="P7005">
            <v>2.4768259816701974</v>
          </cell>
          <cell r="Q7005">
            <v>32.532443202613059</v>
          </cell>
        </row>
        <row r="7006">
          <cell r="O7006">
            <v>46324</v>
          </cell>
          <cell r="P7006">
            <v>2.4780158161824297</v>
          </cell>
          <cell r="Q7006">
            <v>32.548071358961614</v>
          </cell>
        </row>
        <row r="7007">
          <cell r="O7007">
            <v>46325</v>
          </cell>
          <cell r="P7007">
            <v>2.4792062223152223</v>
          </cell>
          <cell r="Q7007">
            <v>32.56370702339251</v>
          </cell>
        </row>
        <row r="7008">
          <cell r="O7008">
            <v>46329</v>
          </cell>
          <cell r="P7008">
            <v>2.4803972003431429</v>
          </cell>
          <cell r="Q7008">
            <v>32.579350199512113</v>
          </cell>
        </row>
        <row r="7009">
          <cell r="O7009">
            <v>46330</v>
          </cell>
          <cell r="P7009">
            <v>2.481588750540912</v>
          </cell>
          <cell r="Q7009">
            <v>32.595000890928816</v>
          </cell>
        </row>
        <row r="7010">
          <cell r="O7010">
            <v>46331</v>
          </cell>
          <cell r="P7010">
            <v>2.4827808731833683</v>
          </cell>
          <cell r="Q7010">
            <v>32.610659101252537</v>
          </cell>
        </row>
        <row r="7011">
          <cell r="O7011">
            <v>46332</v>
          </cell>
          <cell r="P7011">
            <v>2.4839735685454811</v>
          </cell>
          <cell r="Q7011">
            <v>32.626324834094937</v>
          </cell>
        </row>
        <row r="7012">
          <cell r="O7012">
            <v>46335</v>
          </cell>
          <cell r="P7012">
            <v>2.4851668369023674</v>
          </cell>
          <cell r="Q7012">
            <v>32.641998093069596</v>
          </cell>
        </row>
        <row r="7013">
          <cell r="O7013">
            <v>46336</v>
          </cell>
          <cell r="P7013">
            <v>2.4863606785292558</v>
          </cell>
          <cell r="Q7013">
            <v>32.657678881791568</v>
          </cell>
        </row>
        <row r="7014">
          <cell r="O7014">
            <v>46337</v>
          </cell>
          <cell r="P7014">
            <v>2.4875550937015256</v>
          </cell>
          <cell r="Q7014">
            <v>32.673367203877888</v>
          </cell>
        </row>
        <row r="7015">
          <cell r="O7015">
            <v>46338</v>
          </cell>
          <cell r="P7015">
            <v>2.4887500826946765</v>
          </cell>
          <cell r="Q7015">
            <v>32.68906306294717</v>
          </cell>
        </row>
        <row r="7016">
          <cell r="O7016">
            <v>46339</v>
          </cell>
          <cell r="P7016">
            <v>2.4899456457843439</v>
          </cell>
          <cell r="Q7016">
            <v>32.704766462619808</v>
          </cell>
        </row>
        <row r="7017">
          <cell r="O7017">
            <v>46342</v>
          </cell>
          <cell r="P7017">
            <v>2.4911417832462996</v>
          </cell>
          <cell r="Q7017">
            <v>32.720477406517993</v>
          </cell>
        </row>
        <row r="7018">
          <cell r="O7018">
            <v>46343</v>
          </cell>
          <cell r="P7018">
            <v>2.4923384953564378</v>
          </cell>
          <cell r="Q7018">
            <v>32.736195898265528</v>
          </cell>
        </row>
        <row r="7019">
          <cell r="O7019">
            <v>46344</v>
          </cell>
          <cell r="P7019">
            <v>2.4935357823908002</v>
          </cell>
          <cell r="Q7019">
            <v>32.751921941488135</v>
          </cell>
        </row>
        <row r="7020">
          <cell r="O7020">
            <v>46345</v>
          </cell>
          <cell r="P7020">
            <v>2.4947336446255464</v>
          </cell>
          <cell r="Q7020">
            <v>32.767655539813099</v>
          </cell>
        </row>
        <row r="7021">
          <cell r="O7021">
            <v>46346</v>
          </cell>
          <cell r="P7021">
            <v>2.4959320823369775</v>
          </cell>
          <cell r="Q7021">
            <v>32.783396696869559</v>
          </cell>
        </row>
        <row r="7022">
          <cell r="O7022">
            <v>46349</v>
          </cell>
          <cell r="P7022">
            <v>2.4971310958015285</v>
          </cell>
          <cell r="Q7022">
            <v>32.799145416288425</v>
          </cell>
        </row>
        <row r="7023">
          <cell r="O7023">
            <v>46350</v>
          </cell>
          <cell r="P7023">
            <v>2.4983306852957576</v>
          </cell>
          <cell r="Q7023">
            <v>32.814901701702205</v>
          </cell>
        </row>
        <row r="7024">
          <cell r="O7024">
            <v>46351</v>
          </cell>
          <cell r="P7024">
            <v>2.4995308510963699</v>
          </cell>
          <cell r="Q7024">
            <v>32.830665556745345</v>
          </cell>
        </row>
        <row r="7025">
          <cell r="O7025">
            <v>46352</v>
          </cell>
          <cell r="P7025">
            <v>2.5007315934801873</v>
          </cell>
          <cell r="Q7025">
            <v>32.846436985053835</v>
          </cell>
        </row>
        <row r="7026">
          <cell r="O7026">
            <v>46353</v>
          </cell>
          <cell r="P7026">
            <v>2.5019329127241816</v>
          </cell>
          <cell r="Q7026">
            <v>32.862215990265618</v>
          </cell>
        </row>
        <row r="7027">
          <cell r="O7027">
            <v>46356</v>
          </cell>
          <cell r="P7027">
            <v>2.5031348091054415</v>
          </cell>
          <cell r="Q7027">
            <v>32.87800257602018</v>
          </cell>
        </row>
        <row r="7028">
          <cell r="O7028">
            <v>46357</v>
          </cell>
          <cell r="P7028">
            <v>2.5043372829012029</v>
          </cell>
          <cell r="Q7028">
            <v>32.893796745958937</v>
          </cell>
        </row>
        <row r="7029">
          <cell r="O7029">
            <v>46358</v>
          </cell>
          <cell r="P7029">
            <v>2.5055403343888245</v>
          </cell>
          <cell r="Q7029">
            <v>32.909598503724929</v>
          </cell>
        </row>
        <row r="7030">
          <cell r="O7030">
            <v>46359</v>
          </cell>
          <cell r="P7030">
            <v>2.5067439638458082</v>
          </cell>
          <cell r="Q7030">
            <v>32.925407852963069</v>
          </cell>
        </row>
        <row r="7031">
          <cell r="O7031">
            <v>46360</v>
          </cell>
          <cell r="P7031">
            <v>2.5079481715497742</v>
          </cell>
          <cell r="Q7031">
            <v>32.941224797319812</v>
          </cell>
        </row>
        <row r="7032">
          <cell r="O7032">
            <v>46363</v>
          </cell>
          <cell r="P7032">
            <v>2.509152957778499</v>
          </cell>
          <cell r="Q7032">
            <v>32.957049340443689</v>
          </cell>
        </row>
        <row r="7033">
          <cell r="O7033">
            <v>46364</v>
          </cell>
          <cell r="P7033">
            <v>2.5103583228098634</v>
          </cell>
          <cell r="Q7033">
            <v>32.972881485984587</v>
          </cell>
        </row>
        <row r="7034">
          <cell r="O7034">
            <v>46365</v>
          </cell>
          <cell r="P7034">
            <v>2.5115642669219107</v>
          </cell>
          <cell r="Q7034">
            <v>32.988721237594532</v>
          </cell>
        </row>
        <row r="7035">
          <cell r="O7035">
            <v>46366</v>
          </cell>
          <cell r="P7035">
            <v>2.5127707903928003</v>
          </cell>
          <cell r="Q7035">
            <v>33.004568598927065</v>
          </cell>
        </row>
        <row r="7036">
          <cell r="O7036">
            <v>46367</v>
          </cell>
          <cell r="P7036">
            <v>2.5139778935008255</v>
          </cell>
          <cell r="Q7036">
            <v>33.020423573637494</v>
          </cell>
        </row>
        <row r="7037">
          <cell r="O7037">
            <v>46370</v>
          </cell>
          <cell r="P7037">
            <v>2.5151855765244218</v>
          </cell>
          <cell r="Q7037">
            <v>33.036286165383011</v>
          </cell>
        </row>
        <row r="7038">
          <cell r="O7038">
            <v>46371</v>
          </cell>
          <cell r="P7038">
            <v>2.5163938397421544</v>
          </cell>
          <cell r="Q7038">
            <v>33.05215637782247</v>
          </cell>
        </row>
        <row r="7039">
          <cell r="O7039">
            <v>46372</v>
          </cell>
          <cell r="P7039">
            <v>2.5176026834327181</v>
          </cell>
          <cell r="Q7039">
            <v>33.068034214616475</v>
          </cell>
        </row>
        <row r="7040">
          <cell r="O7040">
            <v>46373</v>
          </cell>
          <cell r="P7040">
            <v>2.5188121078749517</v>
          </cell>
          <cell r="Q7040">
            <v>33.083919679427481</v>
          </cell>
        </row>
        <row r="7041">
          <cell r="O7041">
            <v>46374</v>
          </cell>
          <cell r="P7041">
            <v>2.5200221133478191</v>
          </cell>
          <cell r="Q7041">
            <v>33.099812775919617</v>
          </cell>
        </row>
        <row r="7042">
          <cell r="O7042">
            <v>46377</v>
          </cell>
          <cell r="P7042">
            <v>2.5212327001304184</v>
          </cell>
          <cell r="Q7042">
            <v>33.115713507758755</v>
          </cell>
        </row>
        <row r="7043">
          <cell r="O7043">
            <v>46378</v>
          </cell>
          <cell r="P7043">
            <v>2.5224438685019894</v>
          </cell>
          <cell r="Q7043">
            <v>33.131621878612634</v>
          </cell>
        </row>
        <row r="7044">
          <cell r="O7044">
            <v>46379</v>
          </cell>
          <cell r="P7044">
            <v>2.5236556187418966</v>
          </cell>
          <cell r="Q7044">
            <v>33.147537892150638</v>
          </cell>
        </row>
        <row r="7045">
          <cell r="O7045">
            <v>46380</v>
          </cell>
          <cell r="P7045">
            <v>2.5248679511296444</v>
          </cell>
          <cell r="Q7045">
            <v>33.16346155204397</v>
          </cell>
        </row>
        <row r="7046">
          <cell r="O7046">
            <v>46384</v>
          </cell>
          <cell r="P7046">
            <v>2.5260808659448744</v>
          </cell>
          <cell r="Q7046">
            <v>33.17939286196566</v>
          </cell>
        </row>
        <row r="7047">
          <cell r="O7047">
            <v>46385</v>
          </cell>
          <cell r="P7047">
            <v>2.5272943634673544</v>
          </cell>
          <cell r="Q7047">
            <v>33.195331825590372</v>
          </cell>
        </row>
        <row r="7048">
          <cell r="O7048">
            <v>46386</v>
          </cell>
          <cell r="P7048">
            <v>2.528508443976996</v>
          </cell>
          <cell r="Q7048">
            <v>33.211278446594683</v>
          </cell>
        </row>
        <row r="7049">
          <cell r="O7049">
            <v>46387</v>
          </cell>
          <cell r="P7049">
            <v>2.5297231077538331</v>
          </cell>
          <cell r="Q7049">
            <v>33.227232728656752</v>
          </cell>
        </row>
        <row r="7050">
          <cell r="O7050">
            <v>46391</v>
          </cell>
          <cell r="P7050">
            <v>2.5309383550780473</v>
          </cell>
          <cell r="Q7050">
            <v>33.243194675456692</v>
          </cell>
        </row>
        <row r="7051">
          <cell r="O7051">
            <v>46392</v>
          </cell>
          <cell r="P7051">
            <v>2.53214708978363</v>
          </cell>
          <cell r="Q7051">
            <v>33.259071080762276</v>
          </cell>
        </row>
        <row r="7052">
          <cell r="O7052">
            <v>46393</v>
          </cell>
          <cell r="P7052">
            <v>2.533356401795857</v>
          </cell>
          <cell r="Q7052">
            <v>33.274955068835382</v>
          </cell>
        </row>
        <row r="7053">
          <cell r="O7053">
            <v>46394</v>
          </cell>
          <cell r="P7053">
            <v>2.5345662913904228</v>
          </cell>
          <cell r="Q7053">
            <v>33.290846643297186</v>
          </cell>
        </row>
        <row r="7054">
          <cell r="O7054">
            <v>46395</v>
          </cell>
          <cell r="P7054">
            <v>2.5357767588431503</v>
          </cell>
          <cell r="Q7054">
            <v>33.306745807770547</v>
          </cell>
        </row>
        <row r="7055">
          <cell r="O7055">
            <v>46398</v>
          </cell>
          <cell r="P7055">
            <v>2.5369878044300003</v>
          </cell>
          <cell r="Q7055">
            <v>33.322652565880134</v>
          </cell>
        </row>
        <row r="7056">
          <cell r="O7056">
            <v>46399</v>
          </cell>
          <cell r="P7056">
            <v>2.5381994284270615</v>
          </cell>
          <cell r="Q7056">
            <v>33.338566921252301</v>
          </cell>
        </row>
        <row r="7057">
          <cell r="O7057">
            <v>46400</v>
          </cell>
          <cell r="P7057">
            <v>2.5394116311105592</v>
          </cell>
          <cell r="Q7057">
            <v>33.354488877515195</v>
          </cell>
        </row>
        <row r="7058">
          <cell r="O7058">
            <v>46401</v>
          </cell>
          <cell r="P7058">
            <v>2.5406244127568458</v>
          </cell>
          <cell r="Q7058">
            <v>33.370418438298621</v>
          </cell>
        </row>
        <row r="7059">
          <cell r="O7059">
            <v>46402</v>
          </cell>
          <cell r="P7059">
            <v>2.5418377736424107</v>
          </cell>
          <cell r="Q7059">
            <v>33.386355607234201</v>
          </cell>
        </row>
        <row r="7060">
          <cell r="O7060">
            <v>46405</v>
          </cell>
          <cell r="P7060">
            <v>2.5430517140438722</v>
          </cell>
          <cell r="Q7060">
            <v>33.402300387955243</v>
          </cell>
        </row>
        <row r="7061">
          <cell r="O7061">
            <v>46406</v>
          </cell>
          <cell r="P7061">
            <v>2.544266234237972</v>
          </cell>
          <cell r="Q7061">
            <v>33.418252784096666</v>
          </cell>
        </row>
        <row r="7062">
          <cell r="O7062">
            <v>46407</v>
          </cell>
          <cell r="P7062">
            <v>2.5454813345016065</v>
          </cell>
          <cell r="Q7062">
            <v>33.434212799295437</v>
          </cell>
        </row>
        <row r="7063">
          <cell r="O7063">
            <v>46408</v>
          </cell>
          <cell r="P7063">
            <v>2.5466970151117825</v>
          </cell>
          <cell r="Q7063">
            <v>33.450180437189964</v>
          </cell>
        </row>
        <row r="7064">
          <cell r="O7064">
            <v>46409</v>
          </cell>
          <cell r="P7064">
            <v>2.5479132763456489</v>
          </cell>
          <cell r="Q7064">
            <v>33.466155701420526</v>
          </cell>
        </row>
        <row r="7065">
          <cell r="O7065">
            <v>46412</v>
          </cell>
          <cell r="P7065">
            <v>2.5491301184804849</v>
          </cell>
          <cell r="Q7065">
            <v>33.48213859562911</v>
          </cell>
        </row>
        <row r="7066">
          <cell r="O7066">
            <v>46413</v>
          </cell>
          <cell r="P7066">
            <v>2.5503475417937054</v>
          </cell>
          <cell r="Q7066">
            <v>33.498129123459478</v>
          </cell>
        </row>
        <row r="7067">
          <cell r="O7067">
            <v>46414</v>
          </cell>
          <cell r="P7067">
            <v>2.5515655465628537</v>
          </cell>
          <cell r="Q7067">
            <v>33.514127288557098</v>
          </cell>
        </row>
        <row r="7068">
          <cell r="O7068">
            <v>46415</v>
          </cell>
          <cell r="P7068">
            <v>2.5527841330656087</v>
          </cell>
          <cell r="Q7068">
            <v>33.530133094569202</v>
          </cell>
        </row>
        <row r="7069">
          <cell r="O7069">
            <v>46416</v>
          </cell>
          <cell r="P7069">
            <v>2.5540033015797778</v>
          </cell>
          <cell r="Q7069">
            <v>33.546146545144708</v>
          </cell>
        </row>
        <row r="7070">
          <cell r="O7070">
            <v>46419</v>
          </cell>
          <cell r="P7070">
            <v>2.5552230523833068</v>
          </cell>
          <cell r="Q7070">
            <v>33.562167643934373</v>
          </cell>
        </row>
        <row r="7071">
          <cell r="O7071">
            <v>46420</v>
          </cell>
          <cell r="P7071">
            <v>2.5564433857542723</v>
          </cell>
          <cell r="Q7071">
            <v>33.578196394590655</v>
          </cell>
        </row>
        <row r="7072">
          <cell r="O7072">
            <v>46421</v>
          </cell>
          <cell r="P7072">
            <v>2.557664301970878</v>
          </cell>
          <cell r="Q7072">
            <v>33.594232800767685</v>
          </cell>
        </row>
        <row r="7073">
          <cell r="O7073">
            <v>46422</v>
          </cell>
          <cell r="P7073">
            <v>2.5588858013114684</v>
          </cell>
          <cell r="Q7073">
            <v>33.610276866121431</v>
          </cell>
        </row>
        <row r="7074">
          <cell r="O7074">
            <v>46423</v>
          </cell>
          <cell r="P7074">
            <v>2.5601078840545193</v>
          </cell>
          <cell r="Q7074">
            <v>33.626328594309612</v>
          </cell>
        </row>
        <row r="7075">
          <cell r="O7075">
            <v>46428</v>
          </cell>
          <cell r="P7075">
            <v>2.5613305504786337</v>
          </cell>
          <cell r="Q7075">
            <v>33.642387988991601</v>
          </cell>
        </row>
        <row r="7076">
          <cell r="O7076">
            <v>46429</v>
          </cell>
          <cell r="P7076">
            <v>2.5625538008625579</v>
          </cell>
          <cell r="Q7076">
            <v>33.658455053828654</v>
          </cell>
        </row>
        <row r="7077">
          <cell r="O7077">
            <v>46430</v>
          </cell>
          <cell r="P7077">
            <v>2.5637776354851609</v>
          </cell>
          <cell r="Q7077">
            <v>33.674529792483639</v>
          </cell>
        </row>
        <row r="7078">
          <cell r="O7078">
            <v>46433</v>
          </cell>
          <cell r="P7078">
            <v>2.5650020546254528</v>
          </cell>
          <cell r="Q7078">
            <v>33.690612208621282</v>
          </cell>
        </row>
        <row r="7079">
          <cell r="O7079">
            <v>46434</v>
          </cell>
          <cell r="P7079">
            <v>2.5662270585625713</v>
          </cell>
          <cell r="Q7079">
            <v>33.706702305907974</v>
          </cell>
        </row>
        <row r="7080">
          <cell r="O7080">
            <v>46435</v>
          </cell>
          <cell r="P7080">
            <v>2.5674526475757942</v>
          </cell>
          <cell r="Q7080">
            <v>33.722800088011958</v>
          </cell>
        </row>
        <row r="7081">
          <cell r="O7081">
            <v>46436</v>
          </cell>
          <cell r="P7081">
            <v>2.5686788219445207</v>
          </cell>
          <cell r="Q7081">
            <v>33.738905558603072</v>
          </cell>
        </row>
        <row r="7082">
          <cell r="O7082">
            <v>46437</v>
          </cell>
          <cell r="P7082">
            <v>2.5699055819483032</v>
          </cell>
          <cell r="Q7082">
            <v>33.75501872135316</v>
          </cell>
        </row>
        <row r="7083">
          <cell r="O7083">
            <v>46440</v>
          </cell>
          <cell r="P7083">
            <v>2.5711329278668056</v>
          </cell>
          <cell r="Q7083">
            <v>33.771139579935529</v>
          </cell>
        </row>
        <row r="7084">
          <cell r="O7084">
            <v>46441</v>
          </cell>
          <cell r="P7084">
            <v>2.5723608599798364</v>
          </cell>
          <cell r="Q7084">
            <v>33.787268138025382</v>
          </cell>
        </row>
        <row r="7085">
          <cell r="O7085">
            <v>46442</v>
          </cell>
          <cell r="P7085">
            <v>2.5735893785673447</v>
          </cell>
          <cell r="Q7085">
            <v>33.803404399299794</v>
          </cell>
        </row>
        <row r="7086">
          <cell r="O7086">
            <v>46443</v>
          </cell>
          <cell r="P7086">
            <v>2.5748184839093966</v>
          </cell>
          <cell r="Q7086">
            <v>33.819548367437335</v>
          </cell>
        </row>
        <row r="7087">
          <cell r="O7087">
            <v>46444</v>
          </cell>
          <cell r="P7087">
            <v>2.576048176286208</v>
          </cell>
          <cell r="Q7087">
            <v>33.835700046118589</v>
          </cell>
        </row>
        <row r="7088">
          <cell r="O7088">
            <v>46447</v>
          </cell>
          <cell r="P7088">
            <v>2.5772784559781177</v>
          </cell>
          <cell r="Q7088">
            <v>33.851859439025709</v>
          </cell>
        </row>
        <row r="7089">
          <cell r="O7089">
            <v>46448</v>
          </cell>
          <cell r="P7089">
            <v>2.5785093232655991</v>
          </cell>
          <cell r="Q7089">
            <v>33.868026549842654</v>
          </cell>
        </row>
        <row r="7090">
          <cell r="O7090">
            <v>46449</v>
          </cell>
          <cell r="P7090">
            <v>2.5797407784292719</v>
          </cell>
          <cell r="Q7090">
            <v>33.884201382255277</v>
          </cell>
        </row>
        <row r="7091">
          <cell r="O7091">
            <v>46450</v>
          </cell>
          <cell r="P7091">
            <v>2.5809728217498762</v>
          </cell>
          <cell r="Q7091">
            <v>33.900383939951027</v>
          </cell>
        </row>
        <row r="7092">
          <cell r="O7092">
            <v>46451</v>
          </cell>
          <cell r="P7092">
            <v>2.582205453508291</v>
          </cell>
          <cell r="Q7092">
            <v>33.916574226619183</v>
          </cell>
        </row>
        <row r="7093">
          <cell r="O7093">
            <v>46454</v>
          </cell>
          <cell r="P7093">
            <v>2.5834386739855293</v>
          </cell>
          <cell r="Q7093">
            <v>33.932772245950758</v>
          </cell>
        </row>
        <row r="7094">
          <cell r="O7094">
            <v>46455</v>
          </cell>
          <cell r="P7094">
            <v>2.5846724834627355</v>
          </cell>
          <cell r="Q7094">
            <v>33.94897800163853</v>
          </cell>
        </row>
        <row r="7095">
          <cell r="O7095">
            <v>46456</v>
          </cell>
          <cell r="P7095">
            <v>2.585906882221201</v>
          </cell>
          <cell r="Q7095">
            <v>33.965191497377162</v>
          </cell>
        </row>
        <row r="7096">
          <cell r="O7096">
            <v>46457</v>
          </cell>
          <cell r="P7096">
            <v>2.5871418705423284</v>
          </cell>
          <cell r="Q7096">
            <v>33.981412736862822</v>
          </cell>
        </row>
        <row r="7097">
          <cell r="O7097">
            <v>46458</v>
          </cell>
          <cell r="P7097">
            <v>2.5883774487076807</v>
          </cell>
          <cell r="Q7097">
            <v>33.997641723793748</v>
          </cell>
        </row>
        <row r="7098">
          <cell r="O7098">
            <v>46461</v>
          </cell>
          <cell r="P7098">
            <v>2.5896136169989319</v>
          </cell>
          <cell r="Q7098">
            <v>34.013878461869666</v>
          </cell>
        </row>
        <row r="7099">
          <cell r="O7099">
            <v>46462</v>
          </cell>
          <cell r="P7099">
            <v>2.5908503756979102</v>
          </cell>
          <cell r="Q7099">
            <v>34.030122954792304</v>
          </cell>
        </row>
        <row r="7100">
          <cell r="O7100">
            <v>46463</v>
          </cell>
          <cell r="P7100">
            <v>2.592087725086563</v>
          </cell>
          <cell r="Q7100">
            <v>34.046375206264969</v>
          </cell>
        </row>
        <row r="7101">
          <cell r="O7101">
            <v>46464</v>
          </cell>
          <cell r="P7101">
            <v>2.5933256654469874</v>
          </cell>
          <cell r="Q7101">
            <v>34.062635219992927</v>
          </cell>
        </row>
        <row r="7102">
          <cell r="O7102">
            <v>46465</v>
          </cell>
          <cell r="P7102">
            <v>2.5945641970613984</v>
          </cell>
          <cell r="Q7102">
            <v>34.078902999683002</v>
          </cell>
        </row>
        <row r="7103">
          <cell r="O7103">
            <v>46468</v>
          </cell>
          <cell r="P7103">
            <v>2.59580332021216</v>
          </cell>
          <cell r="Q7103">
            <v>34.095178549043972</v>
          </cell>
        </row>
        <row r="7104">
          <cell r="O7104">
            <v>46469</v>
          </cell>
          <cell r="P7104">
            <v>2.5970430351817666</v>
          </cell>
          <cell r="Q7104">
            <v>34.111461871786311</v>
          </cell>
        </row>
        <row r="7105">
          <cell r="O7105">
            <v>46470</v>
          </cell>
          <cell r="P7105">
            <v>2.5982833422528389</v>
          </cell>
          <cell r="Q7105">
            <v>34.127752971622179</v>
          </cell>
        </row>
        <row r="7106">
          <cell r="O7106">
            <v>46471</v>
          </cell>
          <cell r="P7106">
            <v>2.5995242417081492</v>
          </cell>
          <cell r="Q7106">
            <v>34.144051852265711</v>
          </cell>
        </row>
        <row r="7107">
          <cell r="O7107">
            <v>46475</v>
          </cell>
          <cell r="P7107">
            <v>2.6007657338305905</v>
          </cell>
          <cell r="Q7107">
            <v>34.160358517432627</v>
          </cell>
        </row>
        <row r="7108">
          <cell r="O7108">
            <v>46476</v>
          </cell>
          <cell r="P7108">
            <v>2.602007818903199</v>
          </cell>
          <cell r="Q7108">
            <v>34.176672970840535</v>
          </cell>
        </row>
        <row r="7109">
          <cell r="O7109">
            <v>46477</v>
          </cell>
          <cell r="P7109">
            <v>2.6032504972091437</v>
          </cell>
          <cell r="Q7109">
            <v>34.192995216208779</v>
          </cell>
        </row>
        <row r="7110">
          <cell r="O7110">
            <v>46478</v>
          </cell>
          <cell r="P7110">
            <v>2.6044937690317265</v>
          </cell>
          <cell r="Q7110">
            <v>34.209325257258456</v>
          </cell>
        </row>
        <row r="7111">
          <cell r="O7111">
            <v>46479</v>
          </cell>
          <cell r="P7111">
            <v>2.6057376346543859</v>
          </cell>
          <cell r="Q7111">
            <v>34.225663097712456</v>
          </cell>
        </row>
        <row r="7112">
          <cell r="O7112">
            <v>46482</v>
          </cell>
          <cell r="P7112">
            <v>2.6069820943607018</v>
          </cell>
          <cell r="Q7112">
            <v>34.242008741295521</v>
          </cell>
        </row>
        <row r="7113">
          <cell r="O7113">
            <v>46483</v>
          </cell>
          <cell r="P7113">
            <v>2.608227148434382</v>
          </cell>
          <cell r="Q7113">
            <v>34.258362191734086</v>
          </cell>
        </row>
        <row r="7114">
          <cell r="O7114">
            <v>46484</v>
          </cell>
          <cell r="P7114">
            <v>2.6094727971592686</v>
          </cell>
          <cell r="Q7114">
            <v>34.274723452756326</v>
          </cell>
        </row>
        <row r="7115">
          <cell r="O7115">
            <v>46485</v>
          </cell>
          <cell r="P7115">
            <v>2.6107190408193488</v>
          </cell>
          <cell r="Q7115">
            <v>34.291092528092349</v>
          </cell>
        </row>
        <row r="7116">
          <cell r="O7116">
            <v>46486</v>
          </cell>
          <cell r="P7116">
            <v>2.6119658796987371</v>
          </cell>
          <cell r="Q7116">
            <v>34.307469421473918</v>
          </cell>
        </row>
        <row r="7117">
          <cell r="O7117">
            <v>46489</v>
          </cell>
          <cell r="P7117">
            <v>2.6132133140816904</v>
          </cell>
          <cell r="Q7117">
            <v>34.323854136634672</v>
          </cell>
        </row>
        <row r="7118">
          <cell r="O7118">
            <v>46490</v>
          </cell>
          <cell r="P7118">
            <v>2.6144613442525868</v>
          </cell>
          <cell r="Q7118">
            <v>34.340246677309835</v>
          </cell>
        </row>
        <row r="7119">
          <cell r="O7119">
            <v>46491</v>
          </cell>
          <cell r="P7119">
            <v>2.6157099704959612</v>
          </cell>
          <cell r="Q7119">
            <v>34.356647047236706</v>
          </cell>
        </row>
        <row r="7120">
          <cell r="O7120">
            <v>46492</v>
          </cell>
          <cell r="P7120">
            <v>2.6169591930964726</v>
          </cell>
          <cell r="Q7120">
            <v>34.373055250154195</v>
          </cell>
        </row>
        <row r="7121">
          <cell r="O7121">
            <v>46493</v>
          </cell>
          <cell r="P7121">
            <v>2.6182090123389128</v>
          </cell>
          <cell r="Q7121">
            <v>34.38947128980297</v>
          </cell>
        </row>
        <row r="7122">
          <cell r="O7122">
            <v>46496</v>
          </cell>
          <cell r="P7122">
            <v>2.6194594285082182</v>
          </cell>
          <cell r="Q7122">
            <v>34.405895169925593</v>
          </cell>
        </row>
        <row r="7123">
          <cell r="O7123">
            <v>46497</v>
          </cell>
          <cell r="P7123">
            <v>2.6207104418894533</v>
          </cell>
          <cell r="Q7123">
            <v>34.42232689426632</v>
          </cell>
        </row>
        <row r="7124">
          <cell r="O7124">
            <v>46499</v>
          </cell>
          <cell r="P7124">
            <v>2.6219620527678291</v>
          </cell>
          <cell r="Q7124">
            <v>34.438766466571302</v>
          </cell>
        </row>
        <row r="7125">
          <cell r="O7125">
            <v>46500</v>
          </cell>
          <cell r="P7125">
            <v>2.6232142614286831</v>
          </cell>
          <cell r="Q7125">
            <v>34.455213890588382</v>
          </cell>
        </row>
        <row r="7126">
          <cell r="O7126">
            <v>46503</v>
          </cell>
          <cell r="P7126">
            <v>2.6244670681574935</v>
          </cell>
          <cell r="Q7126">
            <v>34.471669170067237</v>
          </cell>
        </row>
        <row r="7127">
          <cell r="O7127">
            <v>46504</v>
          </cell>
          <cell r="P7127">
            <v>2.6257204732398742</v>
          </cell>
          <cell r="Q7127">
            <v>34.488132308759333</v>
          </cell>
        </row>
        <row r="7128">
          <cell r="O7128">
            <v>46505</v>
          </cell>
          <cell r="P7128">
            <v>2.6269744769615744</v>
          </cell>
          <cell r="Q7128">
            <v>34.504603310417899</v>
          </cell>
        </row>
        <row r="7129">
          <cell r="O7129">
            <v>46506</v>
          </cell>
          <cell r="P7129">
            <v>2.6282290796084786</v>
          </cell>
          <cell r="Q7129">
            <v>34.521082178797961</v>
          </cell>
        </row>
        <row r="7130">
          <cell r="O7130">
            <v>46507</v>
          </cell>
          <cell r="P7130">
            <v>2.6294842814666137</v>
          </cell>
          <cell r="Q7130">
            <v>34.537568917656401</v>
          </cell>
        </row>
        <row r="7131">
          <cell r="O7131">
            <v>46510</v>
          </cell>
          <cell r="P7131">
            <v>2.6307400828221379</v>
          </cell>
          <cell r="Q7131">
            <v>34.554063530751833</v>
          </cell>
        </row>
        <row r="7132">
          <cell r="O7132">
            <v>46511</v>
          </cell>
          <cell r="P7132">
            <v>2.6319964839613545</v>
          </cell>
          <cell r="Q7132">
            <v>34.570566021844769</v>
          </cell>
        </row>
        <row r="7133">
          <cell r="O7133">
            <v>46512</v>
          </cell>
          <cell r="P7133">
            <v>2.6332534851706848</v>
          </cell>
          <cell r="Q7133">
            <v>34.587076394697277</v>
          </cell>
        </row>
        <row r="7134">
          <cell r="O7134">
            <v>46513</v>
          </cell>
          <cell r="P7134">
            <v>2.6345110867367088</v>
          </cell>
          <cell r="Q7134">
            <v>34.603594653073507</v>
          </cell>
        </row>
        <row r="7135">
          <cell r="O7135">
            <v>46514</v>
          </cell>
          <cell r="P7135">
            <v>2.6357692889461264</v>
          </cell>
          <cell r="Q7135">
            <v>34.620120800739187</v>
          </cell>
        </row>
        <row r="7136">
          <cell r="O7136">
            <v>46517</v>
          </cell>
          <cell r="P7136">
            <v>2.6370280920857874</v>
          </cell>
          <cell r="Q7136">
            <v>34.636654841462018</v>
          </cell>
        </row>
        <row r="7137">
          <cell r="O7137">
            <v>46518</v>
          </cell>
          <cell r="P7137">
            <v>2.6382874964426741</v>
          </cell>
          <cell r="Q7137">
            <v>34.653196779011424</v>
          </cell>
        </row>
        <row r="7138">
          <cell r="O7138">
            <v>46519</v>
          </cell>
          <cell r="P7138">
            <v>2.639547502303901</v>
          </cell>
          <cell r="Q7138">
            <v>34.669746617158587</v>
          </cell>
        </row>
        <row r="7139">
          <cell r="O7139">
            <v>46520</v>
          </cell>
          <cell r="P7139">
            <v>2.6408081099567213</v>
          </cell>
          <cell r="Q7139">
            <v>34.686304359676491</v>
          </cell>
        </row>
        <row r="7140">
          <cell r="O7140">
            <v>46521</v>
          </cell>
          <cell r="P7140">
            <v>2.6420693196885314</v>
          </cell>
          <cell r="Q7140">
            <v>34.702870010340021</v>
          </cell>
        </row>
        <row r="7141">
          <cell r="O7141">
            <v>46524</v>
          </cell>
          <cell r="P7141">
            <v>2.64333113178686</v>
          </cell>
          <cell r="Q7141">
            <v>34.719443572925776</v>
          </cell>
        </row>
        <row r="7142">
          <cell r="O7142">
            <v>46525</v>
          </cell>
          <cell r="P7142">
            <v>2.6445935465393804</v>
          </cell>
          <cell r="Q7142">
            <v>34.73602505121228</v>
          </cell>
        </row>
        <row r="7143">
          <cell r="O7143">
            <v>46526</v>
          </cell>
          <cell r="P7143">
            <v>2.6458565642338834</v>
          </cell>
          <cell r="Q7143">
            <v>34.752614448979578</v>
          </cell>
        </row>
        <row r="7144">
          <cell r="O7144">
            <v>46527</v>
          </cell>
          <cell r="P7144">
            <v>2.6471201851583253</v>
          </cell>
          <cell r="Q7144">
            <v>34.76921177000991</v>
          </cell>
        </row>
        <row r="7145">
          <cell r="O7145">
            <v>46528</v>
          </cell>
          <cell r="P7145">
            <v>2.6483844096007827</v>
          </cell>
          <cell r="Q7145">
            <v>34.785817018087073</v>
          </cell>
        </row>
        <row r="7146">
          <cell r="O7146">
            <v>46531</v>
          </cell>
          <cell r="P7146">
            <v>2.6496492378494647</v>
          </cell>
          <cell r="Q7146">
            <v>34.802430196996625</v>
          </cell>
        </row>
        <row r="7147">
          <cell r="O7147">
            <v>46532</v>
          </cell>
          <cell r="P7147">
            <v>2.6509146701927335</v>
          </cell>
          <cell r="Q7147">
            <v>34.81905131052612</v>
          </cell>
        </row>
        <row r="7148">
          <cell r="O7148">
            <v>46533</v>
          </cell>
          <cell r="P7148">
            <v>2.6521807069190828</v>
          </cell>
          <cell r="Q7148">
            <v>34.835680362464842</v>
          </cell>
        </row>
        <row r="7149">
          <cell r="O7149">
            <v>46535</v>
          </cell>
          <cell r="P7149">
            <v>2.6534473483171439</v>
          </cell>
          <cell r="Q7149">
            <v>34.852317356603898</v>
          </cell>
        </row>
        <row r="7150">
          <cell r="O7150">
            <v>46538</v>
          </cell>
          <cell r="P7150">
            <v>2.6547145946756801</v>
          </cell>
          <cell r="Q7150">
            <v>34.868962296736107</v>
          </cell>
        </row>
        <row r="7151">
          <cell r="O7151">
            <v>46539</v>
          </cell>
          <cell r="P7151">
            <v>2.6559824462835961</v>
          </cell>
          <cell r="Q7151">
            <v>34.885615186656153</v>
          </cell>
        </row>
        <row r="7152">
          <cell r="O7152">
            <v>46540</v>
          </cell>
          <cell r="P7152">
            <v>2.6572509034299463</v>
          </cell>
          <cell r="Q7152">
            <v>34.902276030160692</v>
          </cell>
        </row>
        <row r="7153">
          <cell r="O7153">
            <v>46541</v>
          </cell>
          <cell r="P7153">
            <v>2.6585199664039059</v>
          </cell>
          <cell r="Q7153">
            <v>34.918944831047966</v>
          </cell>
        </row>
        <row r="7154">
          <cell r="O7154">
            <v>46542</v>
          </cell>
          <cell r="P7154">
            <v>2.6597896354948012</v>
          </cell>
          <cell r="Q7154">
            <v>34.935621593118192</v>
          </cell>
        </row>
        <row r="7155">
          <cell r="O7155">
            <v>46545</v>
          </cell>
          <cell r="P7155">
            <v>2.6610599109920829</v>
          </cell>
          <cell r="Q7155">
            <v>34.952306320173228</v>
          </cell>
        </row>
        <row r="7156">
          <cell r="O7156">
            <v>46546</v>
          </cell>
          <cell r="P7156">
            <v>2.6623307931853555</v>
          </cell>
          <cell r="Q7156">
            <v>34.968999016016951</v>
          </cell>
        </row>
        <row r="7157">
          <cell r="O7157">
            <v>46547</v>
          </cell>
          <cell r="P7157">
            <v>2.6636022823643479</v>
          </cell>
          <cell r="Q7157">
            <v>34.985699684454872</v>
          </cell>
        </row>
        <row r="7158">
          <cell r="O7158">
            <v>46548</v>
          </cell>
          <cell r="P7158">
            <v>2.6648743788189431</v>
          </cell>
          <cell r="Q7158">
            <v>35.002408329294532</v>
          </cell>
        </row>
        <row r="7159">
          <cell r="O7159">
            <v>46549</v>
          </cell>
          <cell r="P7159">
            <v>2.6661470828391463</v>
          </cell>
          <cell r="Q7159">
            <v>35.01912495434506</v>
          </cell>
        </row>
        <row r="7160">
          <cell r="O7160">
            <v>46552</v>
          </cell>
          <cell r="P7160">
            <v>2.6674203947151116</v>
          </cell>
          <cell r="Q7160">
            <v>35.035849563417564</v>
          </cell>
        </row>
        <row r="7161">
          <cell r="O7161">
            <v>46553</v>
          </cell>
          <cell r="P7161">
            <v>2.6686943147371314</v>
          </cell>
          <cell r="Q7161">
            <v>35.052582160324953</v>
          </cell>
        </row>
        <row r="7162">
          <cell r="O7162">
            <v>46554</v>
          </cell>
          <cell r="P7162">
            <v>2.6699688431956274</v>
          </cell>
          <cell r="Q7162">
            <v>35.069322748881838</v>
          </cell>
        </row>
        <row r="7163">
          <cell r="O7163">
            <v>46555</v>
          </cell>
          <cell r="P7163">
            <v>2.6712439803811674</v>
          </cell>
          <cell r="Q7163">
            <v>35.086071332904744</v>
          </cell>
        </row>
        <row r="7164">
          <cell r="O7164">
            <v>46556</v>
          </cell>
          <cell r="P7164">
            <v>2.6725197265844627</v>
          </cell>
          <cell r="Q7164">
            <v>35.102827916212085</v>
          </cell>
        </row>
        <row r="7165">
          <cell r="O7165">
            <v>46559</v>
          </cell>
          <cell r="P7165">
            <v>2.6737960820963562</v>
          </cell>
          <cell r="Q7165">
            <v>35.119592502624016</v>
          </cell>
        </row>
        <row r="7166">
          <cell r="O7166">
            <v>46560</v>
          </cell>
          <cell r="P7166">
            <v>2.6750730472078317</v>
          </cell>
          <cell r="Q7166">
            <v>35.136365095962518</v>
          </cell>
        </row>
        <row r="7167">
          <cell r="O7167">
            <v>46561</v>
          </cell>
          <cell r="P7167">
            <v>2.6763506222100046</v>
          </cell>
          <cell r="Q7167">
            <v>35.153145700051319</v>
          </cell>
        </row>
        <row r="7168">
          <cell r="O7168">
            <v>46562</v>
          </cell>
          <cell r="P7168">
            <v>2.6776288073941492</v>
          </cell>
          <cell r="Q7168">
            <v>35.16993431871623</v>
          </cell>
        </row>
        <row r="7169">
          <cell r="O7169">
            <v>46563</v>
          </cell>
          <cell r="P7169">
            <v>2.6789076030516545</v>
          </cell>
          <cell r="Q7169">
            <v>35.186730955784569</v>
          </cell>
        </row>
        <row r="7170">
          <cell r="O7170">
            <v>46566</v>
          </cell>
          <cell r="P7170">
            <v>2.6801870094740705</v>
          </cell>
          <cell r="Q7170">
            <v>35.203535615085762</v>
          </cell>
        </row>
        <row r="7171">
          <cell r="O7171">
            <v>46567</v>
          </cell>
          <cell r="P7171">
            <v>2.6814670269530687</v>
          </cell>
          <cell r="Q7171">
            <v>35.22034830045083</v>
          </cell>
        </row>
        <row r="7172">
          <cell r="O7172">
            <v>46568</v>
          </cell>
          <cell r="P7172">
            <v>2.6827476557804757</v>
          </cell>
          <cell r="Q7172">
            <v>35.237169015712851</v>
          </cell>
        </row>
        <row r="7173">
          <cell r="O7173">
            <v>46569</v>
          </cell>
          <cell r="P7173">
            <v>2.6840288962482428</v>
          </cell>
          <cell r="Q7173">
            <v>35.253997764706519</v>
          </cell>
        </row>
        <row r="7174">
          <cell r="O7174">
            <v>46570</v>
          </cell>
          <cell r="P7174">
            <v>2.6853107486484715</v>
          </cell>
          <cell r="Q7174">
            <v>35.270834551268514</v>
          </cell>
        </row>
        <row r="7175">
          <cell r="O7175">
            <v>46573</v>
          </cell>
          <cell r="P7175">
            <v>2.6865932132733934</v>
          </cell>
          <cell r="Q7175">
            <v>35.287679379237211</v>
          </cell>
        </row>
        <row r="7176">
          <cell r="O7176">
            <v>46574</v>
          </cell>
          <cell r="P7176">
            <v>2.6878762904153959</v>
          </cell>
          <cell r="Q7176">
            <v>35.304532252453043</v>
          </cell>
        </row>
        <row r="7177">
          <cell r="O7177">
            <v>46575</v>
          </cell>
          <cell r="P7177">
            <v>2.6891599803669841</v>
          </cell>
          <cell r="Q7177">
            <v>35.321393174757986</v>
          </cell>
        </row>
        <row r="7178">
          <cell r="O7178">
            <v>46576</v>
          </cell>
          <cell r="P7178">
            <v>2.6904442834208195</v>
          </cell>
          <cell r="Q7178">
            <v>35.338262149996069</v>
          </cell>
        </row>
        <row r="7179">
          <cell r="O7179">
            <v>46577</v>
          </cell>
          <cell r="P7179">
            <v>2.6917291998696959</v>
          </cell>
          <cell r="Q7179">
            <v>35.355139182013069</v>
          </cell>
        </row>
        <row r="7180">
          <cell r="O7180">
            <v>46580</v>
          </cell>
          <cell r="P7180">
            <v>2.6930147300065559</v>
          </cell>
          <cell r="Q7180">
            <v>35.372024274656695</v>
          </cell>
        </row>
        <row r="7181">
          <cell r="O7181">
            <v>46581</v>
          </cell>
          <cell r="P7181">
            <v>2.6943008741244645</v>
          </cell>
          <cell r="Q7181">
            <v>35.388917431776285</v>
          </cell>
        </row>
        <row r="7182">
          <cell r="O7182">
            <v>46582</v>
          </cell>
          <cell r="P7182">
            <v>2.6955876325166472</v>
          </cell>
          <cell r="Q7182">
            <v>35.405818657223271</v>
          </cell>
        </row>
        <row r="7183">
          <cell r="O7183">
            <v>46583</v>
          </cell>
          <cell r="P7183">
            <v>2.6968750054764579</v>
          </cell>
          <cell r="Q7183">
            <v>35.422727954850785</v>
          </cell>
        </row>
        <row r="7184">
          <cell r="O7184">
            <v>46584</v>
          </cell>
          <cell r="P7184">
            <v>2.6981629932973861</v>
          </cell>
          <cell r="Q7184">
            <v>35.439645328513734</v>
          </cell>
        </row>
        <row r="7185">
          <cell r="O7185">
            <v>46587</v>
          </cell>
          <cell r="P7185">
            <v>2.6994515962730721</v>
          </cell>
          <cell r="Q7185">
            <v>35.456570782068994</v>
          </cell>
        </row>
        <row r="7186">
          <cell r="O7186">
            <v>46588</v>
          </cell>
          <cell r="P7186">
            <v>2.700740814697296</v>
          </cell>
          <cell r="Q7186">
            <v>35.473504319375294</v>
          </cell>
        </row>
        <row r="7187">
          <cell r="O7187">
            <v>46589</v>
          </cell>
          <cell r="P7187">
            <v>2.7020306488639716</v>
          </cell>
          <cell r="Q7187">
            <v>35.490445944293114</v>
          </cell>
        </row>
        <row r="7188">
          <cell r="O7188">
            <v>46590</v>
          </cell>
          <cell r="P7188">
            <v>2.7033210990671512</v>
          </cell>
          <cell r="Q7188">
            <v>35.507395660684743</v>
          </cell>
        </row>
        <row r="7189">
          <cell r="O7189">
            <v>46591</v>
          </cell>
          <cell r="P7189">
            <v>2.70461216560104</v>
          </cell>
          <cell r="Q7189">
            <v>35.524353472414504</v>
          </cell>
        </row>
        <row r="7190">
          <cell r="O7190">
            <v>46594</v>
          </cell>
          <cell r="P7190">
            <v>2.7059038487599758</v>
          </cell>
          <cell r="Q7190">
            <v>35.54131938334843</v>
          </cell>
        </row>
        <row r="7191">
          <cell r="O7191">
            <v>46595</v>
          </cell>
          <cell r="P7191">
            <v>2.7071961488384289</v>
          </cell>
          <cell r="Q7191">
            <v>35.558293397354312</v>
          </cell>
        </row>
        <row r="7192">
          <cell r="O7192">
            <v>46596</v>
          </cell>
          <cell r="P7192">
            <v>2.7084890661310315</v>
          </cell>
          <cell r="Q7192">
            <v>35.575275518302071</v>
          </cell>
        </row>
        <row r="7193">
          <cell r="O7193">
            <v>46597</v>
          </cell>
          <cell r="P7193">
            <v>2.7097826009325363</v>
          </cell>
          <cell r="Q7193">
            <v>35.592265750063198</v>
          </cell>
        </row>
        <row r="7194">
          <cell r="O7194">
            <v>46598</v>
          </cell>
          <cell r="P7194">
            <v>2.7110767535378399</v>
          </cell>
          <cell r="Q7194">
            <v>35.609264096511083</v>
          </cell>
        </row>
        <row r="7195">
          <cell r="O7195">
            <v>46601</v>
          </cell>
          <cell r="P7195">
            <v>2.7123715242419983</v>
          </cell>
          <cell r="Q7195">
            <v>35.62627056152121</v>
          </cell>
        </row>
        <row r="7196">
          <cell r="O7196">
            <v>46602</v>
          </cell>
          <cell r="P7196">
            <v>2.7136669133401785</v>
          </cell>
          <cell r="Q7196">
            <v>35.643285148970506</v>
          </cell>
        </row>
        <row r="7197">
          <cell r="O7197">
            <v>46603</v>
          </cell>
          <cell r="P7197">
            <v>2.7149629211277166</v>
          </cell>
          <cell r="Q7197">
            <v>35.660307862738151</v>
          </cell>
        </row>
        <row r="7198">
          <cell r="O7198">
            <v>46604</v>
          </cell>
          <cell r="P7198">
            <v>2.7162595479000671</v>
          </cell>
          <cell r="Q7198">
            <v>35.677338706704845</v>
          </cell>
        </row>
        <row r="7199">
          <cell r="O7199">
            <v>46605</v>
          </cell>
          <cell r="P7199">
            <v>2.7175567939528498</v>
          </cell>
          <cell r="Q7199">
            <v>35.694377684753476</v>
          </cell>
        </row>
        <row r="7200">
          <cell r="O7200">
            <v>46608</v>
          </cell>
          <cell r="P7200">
            <v>2.718854659581798</v>
          </cell>
          <cell r="Q7200">
            <v>35.711424800768427</v>
          </cell>
        </row>
        <row r="7201">
          <cell r="O7201">
            <v>46609</v>
          </cell>
          <cell r="P7201">
            <v>2.7201531450828078</v>
          </cell>
          <cell r="Q7201">
            <v>35.728480058636215</v>
          </cell>
        </row>
        <row r="7202">
          <cell r="O7202">
            <v>46610</v>
          </cell>
          <cell r="P7202">
            <v>2.7214522507519066</v>
          </cell>
          <cell r="Q7202">
            <v>35.745543462245074</v>
          </cell>
        </row>
        <row r="7203">
          <cell r="O7203">
            <v>46611</v>
          </cell>
          <cell r="P7203">
            <v>2.7227519768852702</v>
          </cell>
          <cell r="Q7203">
            <v>35.762615015485203</v>
          </cell>
        </row>
        <row r="7204">
          <cell r="O7204">
            <v>46612</v>
          </cell>
          <cell r="P7204">
            <v>2.7240523237792038</v>
          </cell>
          <cell r="Q7204">
            <v>35.779694722248479</v>
          </cell>
        </row>
        <row r="7205">
          <cell r="O7205">
            <v>46615</v>
          </cell>
          <cell r="P7205">
            <v>2.7253532917301704</v>
          </cell>
          <cell r="Q7205">
            <v>35.796782586428868</v>
          </cell>
        </row>
        <row r="7206">
          <cell r="O7206">
            <v>46616</v>
          </cell>
          <cell r="P7206">
            <v>2.7266548810347633</v>
          </cell>
          <cell r="Q7206">
            <v>35.813878611922043</v>
          </cell>
        </row>
        <row r="7207">
          <cell r="O7207">
            <v>46617</v>
          </cell>
          <cell r="P7207">
            <v>2.7279570919897163</v>
          </cell>
          <cell r="Q7207">
            <v>35.830982802625527</v>
          </cell>
        </row>
        <row r="7208">
          <cell r="O7208">
            <v>46618</v>
          </cell>
          <cell r="P7208">
            <v>2.7292599248919092</v>
          </cell>
          <cell r="Q7208">
            <v>35.848095162438753</v>
          </cell>
        </row>
        <row r="7209">
          <cell r="O7209">
            <v>46619</v>
          </cell>
          <cell r="P7209">
            <v>2.7305633800383662</v>
          </cell>
          <cell r="Q7209">
            <v>35.865215695263053</v>
          </cell>
        </row>
        <row r="7210">
          <cell r="O7210">
            <v>46622</v>
          </cell>
          <cell r="P7210">
            <v>2.7318674577262509</v>
          </cell>
          <cell r="Q7210">
            <v>35.882344405001596</v>
          </cell>
        </row>
        <row r="7211">
          <cell r="O7211">
            <v>46623</v>
          </cell>
          <cell r="P7211">
            <v>2.7331721582528714</v>
          </cell>
          <cell r="Q7211">
            <v>35.899481295559433</v>
          </cell>
        </row>
        <row r="7212">
          <cell r="O7212">
            <v>46624</v>
          </cell>
          <cell r="P7212">
            <v>2.7344774819156616</v>
          </cell>
          <cell r="Q7212">
            <v>35.916626370843289</v>
          </cell>
        </row>
        <row r="7213">
          <cell r="O7213">
            <v>46625</v>
          </cell>
          <cell r="P7213">
            <v>2.7357834290122307</v>
          </cell>
          <cell r="Q7213">
            <v>35.933779634762182</v>
          </cell>
        </row>
        <row r="7214">
          <cell r="O7214">
            <v>46626</v>
          </cell>
          <cell r="P7214">
            <v>2.7370899998402898</v>
          </cell>
          <cell r="Q7214">
            <v>35.950941091226461</v>
          </cell>
        </row>
        <row r="7215">
          <cell r="O7215">
            <v>46629</v>
          </cell>
          <cell r="P7215">
            <v>2.7383971946977268</v>
          </cell>
          <cell r="Q7215">
            <v>35.968110744148802</v>
          </cell>
        </row>
        <row r="7216">
          <cell r="O7216">
            <v>46630</v>
          </cell>
          <cell r="P7216">
            <v>2.7397050138825509</v>
          </cell>
          <cell r="Q7216">
            <v>35.985288597443478</v>
          </cell>
        </row>
        <row r="7217">
          <cell r="O7217">
            <v>46631</v>
          </cell>
          <cell r="P7217">
            <v>2.7410134576929273</v>
          </cell>
          <cell r="Q7217">
            <v>36.002474655026809</v>
          </cell>
        </row>
        <row r="7218">
          <cell r="O7218">
            <v>46632</v>
          </cell>
          <cell r="P7218">
            <v>2.7423225264271442</v>
          </cell>
          <cell r="Q7218">
            <v>36.019668920816734</v>
          </cell>
        </row>
        <row r="7219">
          <cell r="O7219">
            <v>46633</v>
          </cell>
          <cell r="P7219">
            <v>2.7436322203836609</v>
          </cell>
          <cell r="Q7219">
            <v>36.036871398733432</v>
          </cell>
        </row>
        <row r="7220">
          <cell r="O7220">
            <v>46636</v>
          </cell>
          <cell r="P7220">
            <v>2.7449425398610519</v>
          </cell>
          <cell r="Q7220">
            <v>36.0540820926986</v>
          </cell>
        </row>
        <row r="7221">
          <cell r="O7221">
            <v>46638</v>
          </cell>
          <cell r="P7221">
            <v>2.7462534851580465</v>
          </cell>
          <cell r="Q7221">
            <v>36.071301006635963</v>
          </cell>
        </row>
        <row r="7222">
          <cell r="O7222">
            <v>46639</v>
          </cell>
          <cell r="P7222">
            <v>2.7475650565735164</v>
          </cell>
          <cell r="Q7222">
            <v>36.088528144471127</v>
          </cell>
        </row>
        <row r="7223">
          <cell r="O7223">
            <v>46640</v>
          </cell>
          <cell r="P7223">
            <v>2.7488772544064806</v>
          </cell>
          <cell r="Q7223">
            <v>36.105763510131624</v>
          </cell>
        </row>
        <row r="7224">
          <cell r="O7224">
            <v>46643</v>
          </cell>
          <cell r="P7224">
            <v>2.75019007895609</v>
          </cell>
          <cell r="Q7224">
            <v>36.123007107546719</v>
          </cell>
        </row>
        <row r="7225">
          <cell r="O7225">
            <v>46644</v>
          </cell>
          <cell r="P7225">
            <v>2.7515035305216493</v>
          </cell>
          <cell r="Q7225">
            <v>36.140258940647698</v>
          </cell>
        </row>
        <row r="7226">
          <cell r="O7226">
            <v>46645</v>
          </cell>
          <cell r="P7226">
            <v>2.7528176094025958</v>
          </cell>
          <cell r="Q7226">
            <v>36.15751901336759</v>
          </cell>
        </row>
        <row r="7227">
          <cell r="O7227">
            <v>46646</v>
          </cell>
          <cell r="P7227">
            <v>2.7541323158985178</v>
          </cell>
          <cell r="Q7227">
            <v>36.174787329641404</v>
          </cell>
        </row>
        <row r="7228">
          <cell r="O7228">
            <v>46647</v>
          </cell>
          <cell r="P7228">
            <v>2.7554476503091463</v>
          </cell>
          <cell r="Q7228">
            <v>36.192063893406036</v>
          </cell>
        </row>
        <row r="7229">
          <cell r="O7229">
            <v>46650</v>
          </cell>
          <cell r="P7229">
            <v>2.7567636129343498</v>
          </cell>
          <cell r="Q7229">
            <v>36.209348708600167</v>
          </cell>
        </row>
        <row r="7230">
          <cell r="O7230">
            <v>46651</v>
          </cell>
          <cell r="P7230">
            <v>2.7580802040741417</v>
          </cell>
          <cell r="Q7230">
            <v>36.226641779164396</v>
          </cell>
        </row>
        <row r="7231">
          <cell r="O7231">
            <v>46652</v>
          </cell>
          <cell r="P7231">
            <v>2.759397424028684</v>
          </cell>
          <cell r="Q7231">
            <v>36.243943109041275</v>
          </cell>
        </row>
        <row r="7232">
          <cell r="O7232">
            <v>46653</v>
          </cell>
          <cell r="P7232">
            <v>2.7607152730982816</v>
          </cell>
          <cell r="Q7232">
            <v>36.26125270217522</v>
          </cell>
        </row>
        <row r="7233">
          <cell r="O7233">
            <v>46654</v>
          </cell>
          <cell r="P7233">
            <v>2.7620337515833766</v>
          </cell>
          <cell r="Q7233">
            <v>36.278570562512463</v>
          </cell>
        </row>
        <row r="7234">
          <cell r="O7234">
            <v>46657</v>
          </cell>
          <cell r="P7234">
            <v>2.7633528597845523</v>
          </cell>
          <cell r="Q7234">
            <v>36.295896694001087</v>
          </cell>
        </row>
        <row r="7235">
          <cell r="O7235">
            <v>46658</v>
          </cell>
          <cell r="P7235">
            <v>2.7646725980025528</v>
          </cell>
          <cell r="Q7235">
            <v>36.313231100591274</v>
          </cell>
        </row>
        <row r="7236">
          <cell r="O7236">
            <v>46659</v>
          </cell>
          <cell r="P7236">
            <v>2.7659929665382457</v>
          </cell>
          <cell r="Q7236">
            <v>36.330573786234851</v>
          </cell>
        </row>
        <row r="7237">
          <cell r="O7237">
            <v>46660</v>
          </cell>
          <cell r="P7237">
            <v>2.7673139656926522</v>
          </cell>
          <cell r="Q7237">
            <v>36.347924754885646</v>
          </cell>
        </row>
        <row r="7238">
          <cell r="O7238">
            <v>46661</v>
          </cell>
          <cell r="P7238">
            <v>2.768635595766936</v>
          </cell>
          <cell r="Q7238">
            <v>36.365284010499359</v>
          </cell>
        </row>
        <row r="7239">
          <cell r="O7239">
            <v>46664</v>
          </cell>
          <cell r="P7239">
            <v>2.7699578570624057</v>
          </cell>
          <cell r="Q7239">
            <v>36.382651557033604</v>
          </cell>
        </row>
        <row r="7240">
          <cell r="O7240">
            <v>46665</v>
          </cell>
          <cell r="P7240">
            <v>2.7712807498805136</v>
          </cell>
          <cell r="Q7240">
            <v>36.400027398447875</v>
          </cell>
        </row>
        <row r="7241">
          <cell r="O7241">
            <v>46666</v>
          </cell>
          <cell r="P7241">
            <v>2.772604274522855</v>
          </cell>
          <cell r="Q7241">
            <v>36.417411538703533</v>
          </cell>
        </row>
        <row r="7242">
          <cell r="O7242">
            <v>46667</v>
          </cell>
          <cell r="P7242">
            <v>2.7739284312911656</v>
          </cell>
          <cell r="Q7242">
            <v>36.434803981763814</v>
          </cell>
        </row>
        <row r="7243">
          <cell r="O7243">
            <v>46668</v>
          </cell>
          <cell r="P7243">
            <v>2.7752532204873348</v>
          </cell>
          <cell r="Q7243">
            <v>36.452204731593945</v>
          </cell>
        </row>
        <row r="7244">
          <cell r="O7244">
            <v>46671</v>
          </cell>
          <cell r="P7244">
            <v>2.7765786424133867</v>
          </cell>
          <cell r="Q7244">
            <v>36.469613792160935</v>
          </cell>
        </row>
        <row r="7245">
          <cell r="O7245">
            <v>46673</v>
          </cell>
          <cell r="P7245">
            <v>2.7779046973714934</v>
          </cell>
          <cell r="Q7245">
            <v>36.487031167433727</v>
          </cell>
        </row>
        <row r="7246">
          <cell r="O7246">
            <v>46674</v>
          </cell>
          <cell r="P7246">
            <v>2.7792313856639748</v>
          </cell>
          <cell r="Q7246">
            <v>36.504456861383211</v>
          </cell>
        </row>
        <row r="7247">
          <cell r="O7247">
            <v>46675</v>
          </cell>
          <cell r="P7247">
            <v>2.7805587075932889</v>
          </cell>
          <cell r="Q7247">
            <v>36.521890877982102</v>
          </cell>
        </row>
        <row r="7248">
          <cell r="O7248">
            <v>46678</v>
          </cell>
          <cell r="P7248">
            <v>2.7818866634620427</v>
          </cell>
          <cell r="Q7248">
            <v>36.539333221205048</v>
          </cell>
        </row>
        <row r="7249">
          <cell r="O7249">
            <v>46679</v>
          </cell>
          <cell r="P7249">
            <v>2.7832152535729837</v>
          </cell>
          <cell r="Q7249">
            <v>36.556783895028566</v>
          </cell>
        </row>
        <row r="7250">
          <cell r="O7250">
            <v>46680</v>
          </cell>
          <cell r="P7250">
            <v>2.7845444782290079</v>
          </cell>
          <cell r="Q7250">
            <v>36.574242903431113</v>
          </cell>
        </row>
        <row r="7251">
          <cell r="O7251">
            <v>46681</v>
          </cell>
          <cell r="P7251">
            <v>2.785874337733155</v>
          </cell>
          <cell r="Q7251">
            <v>36.591710250393028</v>
          </cell>
        </row>
        <row r="7252">
          <cell r="O7252">
            <v>46682</v>
          </cell>
          <cell r="P7252">
            <v>2.7872048323886065</v>
          </cell>
          <cell r="Q7252">
            <v>36.60918593989652</v>
          </cell>
        </row>
        <row r="7253">
          <cell r="O7253">
            <v>46685</v>
          </cell>
          <cell r="P7253">
            <v>2.7885359624986914</v>
          </cell>
          <cell r="Q7253">
            <v>36.626669975925736</v>
          </cell>
        </row>
        <row r="7254">
          <cell r="O7254">
            <v>46686</v>
          </cell>
          <cell r="P7254">
            <v>2.7898677283668936</v>
          </cell>
          <cell r="Q7254">
            <v>36.644162362466858</v>
          </cell>
        </row>
        <row r="7255">
          <cell r="O7255">
            <v>46687</v>
          </cell>
          <cell r="P7255">
            <v>2.7912001302968195</v>
          </cell>
          <cell r="Q7255">
            <v>36.661663103507671</v>
          </cell>
        </row>
        <row r="7256">
          <cell r="O7256">
            <v>46688</v>
          </cell>
          <cell r="P7256">
            <v>2.7925331685922345</v>
          </cell>
          <cell r="Q7256">
            <v>36.679172203038057</v>
          </cell>
        </row>
        <row r="7257">
          <cell r="O7257">
            <v>46689</v>
          </cell>
          <cell r="P7257">
            <v>2.7938668435570526</v>
          </cell>
          <cell r="Q7257">
            <v>36.696689665049831</v>
          </cell>
        </row>
        <row r="7258">
          <cell r="O7258">
            <v>46692</v>
          </cell>
          <cell r="P7258">
            <v>2.7952011554953238</v>
          </cell>
          <cell r="Q7258">
            <v>36.714215493536621</v>
          </cell>
        </row>
        <row r="7259">
          <cell r="O7259">
            <v>46694</v>
          </cell>
          <cell r="P7259">
            <v>2.7965361047112482</v>
          </cell>
          <cell r="Q7259">
            <v>36.731749692494006</v>
          </cell>
        </row>
        <row r="7260">
          <cell r="O7260">
            <v>46695</v>
          </cell>
          <cell r="P7260">
            <v>2.7978716915091768</v>
          </cell>
          <cell r="Q7260">
            <v>36.749292265919564</v>
          </cell>
        </row>
        <row r="7261">
          <cell r="O7261">
            <v>46696</v>
          </cell>
          <cell r="P7261">
            <v>2.7992079161935868</v>
          </cell>
          <cell r="Q7261">
            <v>36.766843217812514</v>
          </cell>
        </row>
        <row r="7262">
          <cell r="O7262">
            <v>46699</v>
          </cell>
          <cell r="P7262">
            <v>2.8005447790691247</v>
          </cell>
          <cell r="Q7262">
            <v>36.784402552174299</v>
          </cell>
        </row>
        <row r="7263">
          <cell r="O7263">
            <v>46700</v>
          </cell>
          <cell r="P7263">
            <v>2.801882280440561</v>
          </cell>
          <cell r="Q7263">
            <v>36.801970273008017</v>
          </cell>
        </row>
        <row r="7264">
          <cell r="O7264">
            <v>46701</v>
          </cell>
          <cell r="P7264">
            <v>2.8032204206128344</v>
          </cell>
          <cell r="Q7264">
            <v>36.81954638431894</v>
          </cell>
        </row>
        <row r="7265">
          <cell r="O7265">
            <v>46702</v>
          </cell>
          <cell r="P7265">
            <v>2.804559199891008</v>
          </cell>
          <cell r="Q7265">
            <v>36.83713089011399</v>
          </cell>
        </row>
        <row r="7266">
          <cell r="O7266">
            <v>46703</v>
          </cell>
          <cell r="P7266">
            <v>2.8058986185803074</v>
          </cell>
          <cell r="Q7266">
            <v>36.854723794402233</v>
          </cell>
        </row>
        <row r="7267">
          <cell r="O7267">
            <v>46707</v>
          </cell>
          <cell r="P7267">
            <v>2.8072386769860871</v>
          </cell>
          <cell r="Q7267">
            <v>36.872325101194406</v>
          </cell>
        </row>
        <row r="7268">
          <cell r="O7268">
            <v>46708</v>
          </cell>
          <cell r="P7268">
            <v>2.8085793754138684</v>
          </cell>
          <cell r="Q7268">
            <v>36.889934814503462</v>
          </cell>
        </row>
        <row r="7269">
          <cell r="O7269">
            <v>46709</v>
          </cell>
          <cell r="P7269">
            <v>2.8099207141692912</v>
          </cell>
          <cell r="Q7269">
            <v>36.907552938343891</v>
          </cell>
        </row>
        <row r="7270">
          <cell r="O7270">
            <v>46710</v>
          </cell>
          <cell r="P7270">
            <v>2.8112626935581706</v>
          </cell>
          <cell r="Q7270">
            <v>36.925179476732495</v>
          </cell>
        </row>
        <row r="7271">
          <cell r="O7271">
            <v>46713</v>
          </cell>
          <cell r="P7271">
            <v>2.8126053138864484</v>
          </cell>
          <cell r="Q7271">
            <v>36.94281443368773</v>
          </cell>
        </row>
        <row r="7272">
          <cell r="O7272">
            <v>46714</v>
          </cell>
          <cell r="P7272">
            <v>2.8139485754602216</v>
          </cell>
          <cell r="Q7272">
            <v>36.960457813230107</v>
          </cell>
        </row>
        <row r="7273">
          <cell r="O7273">
            <v>46715</v>
          </cell>
          <cell r="P7273">
            <v>2.8152924785857252</v>
          </cell>
          <cell r="Q7273">
            <v>36.978109619381939</v>
          </cell>
        </row>
        <row r="7274">
          <cell r="O7274">
            <v>46716</v>
          </cell>
          <cell r="P7274">
            <v>2.8166370235693505</v>
          </cell>
          <cell r="Q7274">
            <v>36.995769856167591</v>
          </cell>
        </row>
        <row r="7275">
          <cell r="O7275">
            <v>46717</v>
          </cell>
          <cell r="P7275">
            <v>2.8179822107176231</v>
          </cell>
          <cell r="Q7275">
            <v>37.013438527613197</v>
          </cell>
        </row>
        <row r="7276">
          <cell r="O7276">
            <v>46720</v>
          </cell>
          <cell r="P7276">
            <v>2.8193280403372323</v>
          </cell>
          <cell r="Q7276">
            <v>37.031115637747028</v>
          </cell>
        </row>
        <row r="7277">
          <cell r="O7277">
            <v>46721</v>
          </cell>
          <cell r="P7277">
            <v>2.8206745127349957</v>
          </cell>
          <cell r="Q7277">
            <v>37.048801190599065</v>
          </cell>
        </row>
        <row r="7278">
          <cell r="O7278">
            <v>46722</v>
          </cell>
          <cell r="P7278">
            <v>2.8220216282178865</v>
          </cell>
          <cell r="Q7278">
            <v>37.066495190201309</v>
          </cell>
        </row>
        <row r="7279">
          <cell r="O7279">
            <v>46723</v>
          </cell>
          <cell r="P7279">
            <v>2.8233693870930288</v>
          </cell>
          <cell r="Q7279">
            <v>37.08419764058776</v>
          </cell>
        </row>
        <row r="7280">
          <cell r="O7280">
            <v>46724</v>
          </cell>
          <cell r="P7280">
            <v>2.8247177896676821</v>
          </cell>
          <cell r="Q7280">
            <v>37.101908545794181</v>
          </cell>
        </row>
        <row r="7281">
          <cell r="O7281">
            <v>46727</v>
          </cell>
          <cell r="P7281">
            <v>2.8260668362492578</v>
          </cell>
          <cell r="Q7281">
            <v>37.119627909858345</v>
          </cell>
        </row>
        <row r="7282">
          <cell r="O7282">
            <v>46728</v>
          </cell>
          <cell r="P7282">
            <v>2.8274165271453207</v>
          </cell>
          <cell r="Q7282">
            <v>37.137355736820027</v>
          </cell>
        </row>
        <row r="7283">
          <cell r="O7283">
            <v>46729</v>
          </cell>
          <cell r="P7283">
            <v>2.8287668626635751</v>
          </cell>
          <cell r="Q7283">
            <v>37.155092030720844</v>
          </cell>
        </row>
        <row r="7284">
          <cell r="O7284">
            <v>46730</v>
          </cell>
          <cell r="P7284">
            <v>2.8301178431118683</v>
          </cell>
          <cell r="Q7284">
            <v>37.17283679560429</v>
          </cell>
        </row>
        <row r="7285">
          <cell r="O7285">
            <v>46731</v>
          </cell>
          <cell r="P7285">
            <v>2.8314694687982094</v>
          </cell>
          <cell r="Q7285">
            <v>37.190590035515974</v>
          </cell>
        </row>
        <row r="7286">
          <cell r="O7286">
            <v>46734</v>
          </cell>
          <cell r="P7286">
            <v>2.8328217400307407</v>
          </cell>
          <cell r="Q7286">
            <v>37.208351754503269</v>
          </cell>
        </row>
        <row r="7287">
          <cell r="O7287">
            <v>46735</v>
          </cell>
          <cell r="P7287">
            <v>2.8341746571177531</v>
          </cell>
          <cell r="Q7287">
            <v>37.226121956615486</v>
          </cell>
        </row>
        <row r="7288">
          <cell r="O7288">
            <v>46736</v>
          </cell>
          <cell r="P7288">
            <v>2.8355282203676957</v>
          </cell>
          <cell r="Q7288">
            <v>37.243900645904027</v>
          </cell>
        </row>
        <row r="7289">
          <cell r="O7289">
            <v>46737</v>
          </cell>
          <cell r="P7289">
            <v>2.8368824300891546</v>
          </cell>
          <cell r="Q7289">
            <v>37.26168782642209</v>
          </cell>
        </row>
        <row r="7290">
          <cell r="O7290">
            <v>46738</v>
          </cell>
          <cell r="P7290">
            <v>2.8382372865908647</v>
          </cell>
          <cell r="Q7290">
            <v>37.279483502224814</v>
          </cell>
        </row>
        <row r="7291">
          <cell r="O7291">
            <v>46741</v>
          </cell>
          <cell r="P7291">
            <v>2.8395927901817068</v>
          </cell>
          <cell r="Q7291">
            <v>37.297287677369276</v>
          </cell>
        </row>
        <row r="7292">
          <cell r="O7292">
            <v>46742</v>
          </cell>
          <cell r="P7292">
            <v>2.8409489411707196</v>
          </cell>
          <cell r="Q7292">
            <v>37.315100355914609</v>
          </cell>
        </row>
        <row r="7293">
          <cell r="O7293">
            <v>46743</v>
          </cell>
          <cell r="P7293">
            <v>2.8423057398670779</v>
          </cell>
          <cell r="Q7293">
            <v>37.332921541921749</v>
          </cell>
        </row>
        <row r="7294">
          <cell r="O7294">
            <v>46744</v>
          </cell>
          <cell r="P7294">
            <v>2.8436631865801094</v>
          </cell>
          <cell r="Q7294">
            <v>37.350751239453622</v>
          </cell>
        </row>
        <row r="7295">
          <cell r="O7295">
            <v>46745</v>
          </cell>
          <cell r="P7295">
            <v>2.8450212816192848</v>
          </cell>
          <cell r="Q7295">
            <v>37.368589452575051</v>
          </cell>
        </row>
        <row r="7296">
          <cell r="O7296">
            <v>46748</v>
          </cell>
          <cell r="P7296">
            <v>2.8463800252942368</v>
          </cell>
          <cell r="Q7296">
            <v>37.386436185352977</v>
          </cell>
        </row>
        <row r="7297">
          <cell r="O7297">
            <v>46749</v>
          </cell>
          <cell r="P7297">
            <v>2.8477394179147226</v>
          </cell>
          <cell r="Q7297">
            <v>37.404291441855975</v>
          </cell>
        </row>
        <row r="7298">
          <cell r="O7298">
            <v>46750</v>
          </cell>
          <cell r="P7298">
            <v>2.8490994597906694</v>
          </cell>
          <cell r="Q7298">
            <v>37.42215522615485</v>
          </cell>
        </row>
        <row r="7299">
          <cell r="O7299">
            <v>46751</v>
          </cell>
          <cell r="P7299">
            <v>2.8504601512321384</v>
          </cell>
          <cell r="Q7299">
            <v>37.440027542322184</v>
          </cell>
        </row>
        <row r="7300">
          <cell r="O7300">
            <v>46752</v>
          </cell>
          <cell r="P7300">
            <v>2.8518214925493459</v>
          </cell>
          <cell r="Q7300">
            <v>37.457908394432579</v>
          </cell>
        </row>
        <row r="7301">
          <cell r="O7301">
            <v>46755</v>
          </cell>
          <cell r="P7301">
            <v>2.853183484052658</v>
          </cell>
          <cell r="Q7301">
            <v>37.475797786562602</v>
          </cell>
        </row>
        <row r="7302">
          <cell r="O7302">
            <v>46756</v>
          </cell>
          <cell r="P7302">
            <v>2.8545544865725834</v>
          </cell>
          <cell r="Q7302">
            <v>37.493805535972612</v>
          </cell>
        </row>
        <row r="7303">
          <cell r="O7303">
            <v>46757</v>
          </cell>
          <cell r="P7303">
            <v>2.8559261479131122</v>
          </cell>
          <cell r="Q7303">
            <v>37.511821938814073</v>
          </cell>
        </row>
        <row r="7304">
          <cell r="O7304">
            <v>46758</v>
          </cell>
          <cell r="P7304">
            <v>2.8572984683908169</v>
          </cell>
          <cell r="Q7304">
            <v>37.529846999245088</v>
          </cell>
        </row>
        <row r="7305">
          <cell r="O7305">
            <v>46759</v>
          </cell>
          <cell r="P7305">
            <v>2.8586714483223985</v>
          </cell>
          <cell r="Q7305">
            <v>37.547880721425436</v>
          </cell>
        </row>
        <row r="7306">
          <cell r="O7306">
            <v>46762</v>
          </cell>
          <cell r="P7306">
            <v>2.8600450880247394</v>
          </cell>
          <cell r="Q7306">
            <v>37.565923109517286</v>
          </cell>
        </row>
        <row r="7307">
          <cell r="O7307">
            <v>46763</v>
          </cell>
          <cell r="P7307">
            <v>2.8614193878148555</v>
          </cell>
          <cell r="Q7307">
            <v>37.583974167684545</v>
          </cell>
        </row>
        <row r="7308">
          <cell r="O7308">
            <v>46764</v>
          </cell>
          <cell r="P7308">
            <v>2.8627943480099183</v>
          </cell>
          <cell r="Q7308">
            <v>37.602033900093183</v>
          </cell>
        </row>
        <row r="7309">
          <cell r="O7309">
            <v>46765</v>
          </cell>
          <cell r="P7309">
            <v>2.8641699689272571</v>
          </cell>
          <cell r="Q7309">
            <v>37.620102310911243</v>
          </cell>
        </row>
        <row r="7310">
          <cell r="O7310">
            <v>46766</v>
          </cell>
          <cell r="P7310">
            <v>2.8655462508843463</v>
          </cell>
          <cell r="Q7310">
            <v>37.638179404308651</v>
          </cell>
        </row>
        <row r="7311">
          <cell r="O7311">
            <v>46769</v>
          </cell>
          <cell r="P7311">
            <v>2.8669231941988196</v>
          </cell>
          <cell r="Q7311">
            <v>37.656265184457453</v>
          </cell>
        </row>
        <row r="7312">
          <cell r="O7312">
            <v>46770</v>
          </cell>
          <cell r="P7312">
            <v>2.8683007991884559</v>
          </cell>
          <cell r="Q7312">
            <v>37.674359655531582</v>
          </cell>
        </row>
        <row r="7313">
          <cell r="O7313">
            <v>46771</v>
          </cell>
          <cell r="P7313">
            <v>2.8696790661711979</v>
          </cell>
          <cell r="Q7313">
            <v>37.692462821707124</v>
          </cell>
        </row>
        <row r="7314">
          <cell r="O7314">
            <v>46772</v>
          </cell>
          <cell r="P7314">
            <v>2.8710579954651312</v>
          </cell>
          <cell r="Q7314">
            <v>37.710574687162065</v>
          </cell>
        </row>
        <row r="7315">
          <cell r="O7315">
            <v>46773</v>
          </cell>
          <cell r="P7315">
            <v>2.8724375873884966</v>
          </cell>
          <cell r="Q7315">
            <v>37.728695256076399</v>
          </cell>
        </row>
        <row r="7316">
          <cell r="O7316">
            <v>46776</v>
          </cell>
          <cell r="P7316">
            <v>2.8738178422596907</v>
          </cell>
          <cell r="Q7316">
            <v>37.746824532632182</v>
          </cell>
        </row>
        <row r="7317">
          <cell r="O7317">
            <v>46777</v>
          </cell>
          <cell r="P7317">
            <v>2.8751987603972662</v>
          </cell>
          <cell r="Q7317">
            <v>37.764962521013523</v>
          </cell>
        </row>
        <row r="7318">
          <cell r="O7318">
            <v>46778</v>
          </cell>
          <cell r="P7318">
            <v>2.876580342119913</v>
          </cell>
          <cell r="Q7318">
            <v>37.783109225406321</v>
          </cell>
        </row>
        <row r="7319">
          <cell r="O7319">
            <v>46779</v>
          </cell>
          <cell r="P7319">
            <v>2.8779625877464912</v>
          </cell>
          <cell r="Q7319">
            <v>37.801264649998721</v>
          </cell>
        </row>
        <row r="7320">
          <cell r="O7320">
            <v>46780</v>
          </cell>
          <cell r="P7320">
            <v>2.8793454975960096</v>
          </cell>
          <cell r="Q7320">
            <v>37.819428798980823</v>
          </cell>
        </row>
        <row r="7321">
          <cell r="O7321">
            <v>46783</v>
          </cell>
          <cell r="P7321">
            <v>2.8807290719876271</v>
          </cell>
          <cell r="Q7321">
            <v>37.837601676544686</v>
          </cell>
        </row>
        <row r="7322">
          <cell r="O7322">
            <v>46784</v>
          </cell>
          <cell r="P7322">
            <v>2.8821133112406554</v>
          </cell>
          <cell r="Q7322">
            <v>37.855783286884389</v>
          </cell>
        </row>
        <row r="7323">
          <cell r="O7323">
            <v>46785</v>
          </cell>
          <cell r="P7323">
            <v>2.8834982156745643</v>
          </cell>
          <cell r="Q7323">
            <v>37.873973634196069</v>
          </cell>
        </row>
        <row r="7324">
          <cell r="O7324">
            <v>46786</v>
          </cell>
          <cell r="P7324">
            <v>2.8848837856089764</v>
          </cell>
          <cell r="Q7324">
            <v>37.892172722677898</v>
          </cell>
        </row>
        <row r="7325">
          <cell r="O7325">
            <v>46787</v>
          </cell>
          <cell r="P7325">
            <v>2.8862700213636638</v>
          </cell>
          <cell r="Q7325">
            <v>37.910380556529994</v>
          </cell>
        </row>
        <row r="7326">
          <cell r="O7326">
            <v>46790</v>
          </cell>
          <cell r="P7326">
            <v>2.88765692325856</v>
          </cell>
          <cell r="Q7326">
            <v>37.92859713995459</v>
          </cell>
        </row>
        <row r="7327">
          <cell r="O7327">
            <v>46791</v>
          </cell>
          <cell r="P7327">
            <v>2.8890444916137401</v>
          </cell>
          <cell r="Q7327">
            <v>37.946822477155798</v>
          </cell>
        </row>
        <row r="7328">
          <cell r="O7328">
            <v>46792</v>
          </cell>
          <cell r="P7328">
            <v>2.8904327267494438</v>
          </cell>
          <cell r="Q7328">
            <v>37.965056572339869</v>
          </cell>
        </row>
        <row r="7329">
          <cell r="O7329">
            <v>46793</v>
          </cell>
          <cell r="P7329">
            <v>2.8918216289860603</v>
          </cell>
          <cell r="Q7329">
            <v>37.983299429715032</v>
          </cell>
        </row>
        <row r="7330">
          <cell r="O7330">
            <v>46794</v>
          </cell>
          <cell r="P7330">
            <v>2.8932111986441318</v>
          </cell>
          <cell r="Q7330">
            <v>38.001551053491518</v>
          </cell>
        </row>
        <row r="7331">
          <cell r="O7331">
            <v>46797</v>
          </cell>
          <cell r="P7331">
            <v>2.8946014360443573</v>
          </cell>
          <cell r="Q7331">
            <v>38.019811447881636</v>
          </cell>
        </row>
        <row r="7332">
          <cell r="O7332">
            <v>46798</v>
          </cell>
          <cell r="P7332">
            <v>2.8959923415075917</v>
          </cell>
          <cell r="Q7332">
            <v>38.038080617099723</v>
          </cell>
        </row>
        <row r="7333">
          <cell r="O7333">
            <v>46799</v>
          </cell>
          <cell r="P7333">
            <v>2.8973839153548404</v>
          </cell>
          <cell r="Q7333">
            <v>38.056358565362089</v>
          </cell>
        </row>
        <row r="7334">
          <cell r="O7334">
            <v>46800</v>
          </cell>
          <cell r="P7334">
            <v>2.8987761579072595</v>
          </cell>
          <cell r="Q7334">
            <v>38.074645296887041</v>
          </cell>
        </row>
        <row r="7335">
          <cell r="O7335">
            <v>46801</v>
          </cell>
          <cell r="P7335">
            <v>2.9001690694861679</v>
          </cell>
          <cell r="Q7335">
            <v>38.09294081589502</v>
          </cell>
        </row>
        <row r="7336">
          <cell r="O7336">
            <v>46804</v>
          </cell>
          <cell r="P7336">
            <v>2.9015626504130325</v>
          </cell>
          <cell r="Q7336">
            <v>38.111245126608402</v>
          </cell>
        </row>
        <row r="7337">
          <cell r="O7337">
            <v>46805</v>
          </cell>
          <cell r="P7337">
            <v>2.9029569010094813</v>
          </cell>
          <cell r="Q7337">
            <v>38.129558233251686</v>
          </cell>
        </row>
        <row r="7338">
          <cell r="O7338">
            <v>46806</v>
          </cell>
          <cell r="P7338">
            <v>2.9043518215972863</v>
          </cell>
          <cell r="Q7338">
            <v>38.147880140051257</v>
          </cell>
        </row>
        <row r="7339">
          <cell r="O7339">
            <v>46807</v>
          </cell>
          <cell r="P7339">
            <v>2.9057474124983864</v>
          </cell>
          <cell r="Q7339">
            <v>38.166210851235704</v>
          </cell>
        </row>
        <row r="7340">
          <cell r="O7340">
            <v>46808</v>
          </cell>
          <cell r="P7340">
            <v>2.9071436740348675</v>
          </cell>
          <cell r="Q7340">
            <v>38.184550371035527</v>
          </cell>
        </row>
        <row r="7341">
          <cell r="O7341">
            <v>46813</v>
          </cell>
          <cell r="P7341">
            <v>2.908540606528967</v>
          </cell>
          <cell r="Q7341">
            <v>38.202898703683239</v>
          </cell>
        </row>
        <row r="7342">
          <cell r="O7342">
            <v>46814</v>
          </cell>
          <cell r="P7342">
            <v>2.909938210303094</v>
          </cell>
          <cell r="Q7342">
            <v>38.221255853413588</v>
          </cell>
        </row>
        <row r="7343">
          <cell r="O7343">
            <v>46815</v>
          </cell>
          <cell r="P7343">
            <v>2.9113364856797879</v>
          </cell>
          <cell r="Q7343">
            <v>38.23962182446305</v>
          </cell>
        </row>
        <row r="7344">
          <cell r="O7344">
            <v>46818</v>
          </cell>
          <cell r="P7344">
            <v>2.9127354329817678</v>
          </cell>
          <cell r="Q7344">
            <v>38.257996621070454</v>
          </cell>
        </row>
        <row r="7345">
          <cell r="O7345">
            <v>46819</v>
          </cell>
          <cell r="P7345">
            <v>2.9141350525318885</v>
          </cell>
          <cell r="Q7345">
            <v>38.276380247476396</v>
          </cell>
        </row>
        <row r="7346">
          <cell r="O7346">
            <v>46820</v>
          </cell>
          <cell r="P7346">
            <v>2.9155353446531698</v>
          </cell>
          <cell r="Q7346">
            <v>38.29477270792367</v>
          </cell>
        </row>
        <row r="7347">
          <cell r="O7347">
            <v>46821</v>
          </cell>
          <cell r="P7347">
            <v>2.9169363096687846</v>
          </cell>
          <cell r="Q7347">
            <v>38.313174006657064</v>
          </cell>
        </row>
        <row r="7348">
          <cell r="O7348">
            <v>46822</v>
          </cell>
          <cell r="P7348">
            <v>2.918337947902061</v>
          </cell>
          <cell r="Q7348">
            <v>38.331584147923394</v>
          </cell>
        </row>
        <row r="7349">
          <cell r="O7349">
            <v>46825</v>
          </cell>
          <cell r="P7349">
            <v>2.9197402596764852</v>
          </cell>
          <cell r="Q7349">
            <v>38.350003135971576</v>
          </cell>
        </row>
        <row r="7350">
          <cell r="O7350">
            <v>46826</v>
          </cell>
          <cell r="P7350">
            <v>2.921143245315688</v>
          </cell>
          <cell r="Q7350">
            <v>38.368430975052412</v>
          </cell>
        </row>
        <row r="7351">
          <cell r="O7351">
            <v>46827</v>
          </cell>
          <cell r="P7351">
            <v>2.9225469051434749</v>
          </cell>
          <cell r="Q7351">
            <v>38.386867669418997</v>
          </cell>
        </row>
        <row r="7352">
          <cell r="O7352">
            <v>46828</v>
          </cell>
          <cell r="P7352">
            <v>2.9239512394837885</v>
          </cell>
          <cell r="Q7352">
            <v>38.405313223326232</v>
          </cell>
        </row>
        <row r="7353">
          <cell r="O7353">
            <v>46829</v>
          </cell>
          <cell r="P7353">
            <v>2.9253562486607394</v>
          </cell>
          <cell r="Q7353">
            <v>38.423767641031212</v>
          </cell>
        </row>
        <row r="7354">
          <cell r="O7354">
            <v>46832</v>
          </cell>
          <cell r="P7354">
            <v>2.9267619329985846</v>
          </cell>
          <cell r="Q7354">
            <v>38.44223092679298</v>
          </cell>
        </row>
        <row r="7355">
          <cell r="O7355">
            <v>46833</v>
          </cell>
          <cell r="P7355">
            <v>2.928168292821749</v>
          </cell>
          <cell r="Q7355">
            <v>38.460703084872769</v>
          </cell>
        </row>
        <row r="7356">
          <cell r="O7356">
            <v>46834</v>
          </cell>
          <cell r="P7356">
            <v>2.9295753284548001</v>
          </cell>
          <cell r="Q7356">
            <v>38.479184119533677</v>
          </cell>
        </row>
        <row r="7357">
          <cell r="O7357">
            <v>46835</v>
          </cell>
          <cell r="P7357">
            <v>2.9309830402224706</v>
          </cell>
          <cell r="Q7357">
            <v>38.497674035040987</v>
          </cell>
        </row>
        <row r="7358">
          <cell r="O7358">
            <v>46836</v>
          </cell>
          <cell r="P7358">
            <v>2.9323914284496375</v>
          </cell>
          <cell r="Q7358">
            <v>38.51617283566187</v>
          </cell>
        </row>
        <row r="7359">
          <cell r="O7359">
            <v>46839</v>
          </cell>
          <cell r="P7359">
            <v>2.9338004934613577</v>
          </cell>
          <cell r="Q7359">
            <v>38.534680525665863</v>
          </cell>
        </row>
        <row r="7360">
          <cell r="O7360">
            <v>46840</v>
          </cell>
          <cell r="P7360">
            <v>2.9352102355828129</v>
          </cell>
          <cell r="Q7360">
            <v>38.553197109324131</v>
          </cell>
        </row>
        <row r="7361">
          <cell r="O7361">
            <v>46841</v>
          </cell>
          <cell r="P7361">
            <v>2.9366206551393739</v>
          </cell>
          <cell r="Q7361">
            <v>38.571722590910341</v>
          </cell>
        </row>
        <row r="7362">
          <cell r="O7362">
            <v>46842</v>
          </cell>
          <cell r="P7362">
            <v>2.938031752456534</v>
          </cell>
          <cell r="Q7362">
            <v>38.590256974699756</v>
          </cell>
        </row>
        <row r="7363">
          <cell r="O7363">
            <v>46843</v>
          </cell>
          <cell r="P7363">
            <v>2.9394435278599769</v>
          </cell>
          <cell r="Q7363">
            <v>38.608800264970142</v>
          </cell>
        </row>
        <row r="7364">
          <cell r="O7364">
            <v>46846</v>
          </cell>
          <cell r="P7364">
            <v>2.9408559816755111</v>
          </cell>
          <cell r="Q7364">
            <v>38.627352466000914</v>
          </cell>
        </row>
        <row r="7365">
          <cell r="O7365">
            <v>46847</v>
          </cell>
          <cell r="P7365">
            <v>2.942269114229128</v>
          </cell>
          <cell r="Q7365">
            <v>38.645913582073874</v>
          </cell>
        </row>
        <row r="7366">
          <cell r="O7366">
            <v>46848</v>
          </cell>
          <cell r="P7366">
            <v>2.9436829258469608</v>
          </cell>
          <cell r="Q7366">
            <v>38.664483617472698</v>
          </cell>
        </row>
        <row r="7367">
          <cell r="O7367">
            <v>46849</v>
          </cell>
          <cell r="P7367">
            <v>2.9450974168552975</v>
          </cell>
          <cell r="Q7367">
            <v>38.683062576483088</v>
          </cell>
        </row>
        <row r="7368">
          <cell r="O7368">
            <v>46850</v>
          </cell>
          <cell r="P7368">
            <v>2.9465125875805991</v>
          </cell>
          <cell r="Q7368">
            <v>38.701650463393023</v>
          </cell>
        </row>
        <row r="7369">
          <cell r="O7369">
            <v>46853</v>
          </cell>
          <cell r="P7369">
            <v>2.9479284383494608</v>
          </cell>
          <cell r="Q7369">
            <v>38.720247282492245</v>
          </cell>
        </row>
        <row r="7370">
          <cell r="O7370">
            <v>46854</v>
          </cell>
          <cell r="P7370">
            <v>2.9493449694886591</v>
          </cell>
          <cell r="Q7370">
            <v>38.738853038072868</v>
          </cell>
        </row>
        <row r="7371">
          <cell r="O7371">
            <v>46855</v>
          </cell>
          <cell r="P7371">
            <v>2.9507621813251013</v>
          </cell>
          <cell r="Q7371">
            <v>38.757467734428744</v>
          </cell>
        </row>
        <row r="7372">
          <cell r="O7372">
            <v>46856</v>
          </cell>
          <cell r="P7372">
            <v>2.9521800741858808</v>
          </cell>
          <cell r="Q7372">
            <v>38.776091375856147</v>
          </cell>
        </row>
        <row r="7373">
          <cell r="O7373">
            <v>46860</v>
          </cell>
          <cell r="P7373">
            <v>2.9535986483982239</v>
          </cell>
          <cell r="Q7373">
            <v>38.794723966653109</v>
          </cell>
        </row>
        <row r="7374">
          <cell r="O7374">
            <v>46861</v>
          </cell>
          <cell r="P7374">
            <v>2.9550179042895257</v>
          </cell>
          <cell r="Q7374">
            <v>38.813365511119876</v>
          </cell>
        </row>
        <row r="7375">
          <cell r="O7375">
            <v>46862</v>
          </cell>
          <cell r="P7375">
            <v>2.9564378421873347</v>
          </cell>
          <cell r="Q7375">
            <v>38.832016013558707</v>
          </cell>
        </row>
        <row r="7376">
          <cell r="O7376">
            <v>46863</v>
          </cell>
          <cell r="P7376">
            <v>2.9578584624193618</v>
          </cell>
          <cell r="Q7376">
            <v>38.850675478274006</v>
          </cell>
        </row>
        <row r="7377">
          <cell r="O7377">
            <v>46867</v>
          </cell>
          <cell r="P7377">
            <v>2.9592797653134699</v>
          </cell>
          <cell r="Q7377">
            <v>38.869343909572152</v>
          </cell>
        </row>
        <row r="7378">
          <cell r="O7378">
            <v>46868</v>
          </cell>
          <cell r="P7378">
            <v>2.960701751197687</v>
          </cell>
          <cell r="Q7378">
            <v>38.888021311761712</v>
          </cell>
        </row>
        <row r="7379">
          <cell r="O7379">
            <v>46869</v>
          </cell>
          <cell r="P7379">
            <v>2.9621244204001846</v>
          </cell>
          <cell r="Q7379">
            <v>38.906707689153137</v>
          </cell>
        </row>
        <row r="7380">
          <cell r="O7380">
            <v>46870</v>
          </cell>
          <cell r="P7380">
            <v>2.9635477732493043</v>
          </cell>
          <cell r="Q7380">
            <v>38.925403046059088</v>
          </cell>
        </row>
        <row r="7381">
          <cell r="O7381">
            <v>46871</v>
          </cell>
          <cell r="P7381">
            <v>2.9649718100735396</v>
          </cell>
          <cell r="Q7381">
            <v>38.944107386794251</v>
          </cell>
        </row>
        <row r="7382">
          <cell r="O7382">
            <v>46875</v>
          </cell>
          <cell r="P7382">
            <v>2.9663965312015534</v>
          </cell>
          <cell r="Q7382">
            <v>38.96282071567552</v>
          </cell>
        </row>
        <row r="7383">
          <cell r="O7383">
            <v>46876</v>
          </cell>
          <cell r="P7383">
            <v>2.9678219369621464</v>
          </cell>
          <cell r="Q7383">
            <v>38.981543037021609</v>
          </cell>
        </row>
        <row r="7384">
          <cell r="O7384">
            <v>46877</v>
          </cell>
          <cell r="P7384">
            <v>2.9692480276842979</v>
          </cell>
          <cell r="Q7384">
            <v>39.000274355153572</v>
          </cell>
        </row>
        <row r="7385">
          <cell r="O7385">
            <v>46878</v>
          </cell>
          <cell r="P7385">
            <v>2.9706748036971238</v>
          </cell>
          <cell r="Q7385">
            <v>39.019014674394249</v>
          </cell>
        </row>
        <row r="7386">
          <cell r="O7386">
            <v>46881</v>
          </cell>
          <cell r="P7386">
            <v>2.9721022653299238</v>
          </cell>
          <cell r="Q7386">
            <v>39.037763999068915</v>
          </cell>
        </row>
        <row r="7387">
          <cell r="O7387">
            <v>46882</v>
          </cell>
          <cell r="P7387">
            <v>2.9735304129121349</v>
          </cell>
          <cell r="Q7387">
            <v>39.056522333504624</v>
          </cell>
        </row>
        <row r="7388">
          <cell r="O7388">
            <v>46883</v>
          </cell>
          <cell r="P7388">
            <v>2.9749592467733557</v>
          </cell>
          <cell r="Q7388">
            <v>39.075289682030572</v>
          </cell>
        </row>
        <row r="7389">
          <cell r="O7389">
            <v>46884</v>
          </cell>
          <cell r="P7389">
            <v>2.9763887672433578</v>
          </cell>
          <cell r="Q7389">
            <v>39.094066048978227</v>
          </cell>
        </row>
        <row r="7390">
          <cell r="O7390">
            <v>46885</v>
          </cell>
          <cell r="P7390">
            <v>2.9778189746520489</v>
          </cell>
          <cell r="Q7390">
            <v>39.112851438680828</v>
          </cell>
        </row>
        <row r="7391">
          <cell r="O7391">
            <v>46888</v>
          </cell>
          <cell r="P7391">
            <v>2.979249869329514</v>
          </cell>
          <cell r="Q7391">
            <v>39.131645855473955</v>
          </cell>
        </row>
        <row r="7392">
          <cell r="O7392">
            <v>46889</v>
          </cell>
          <cell r="P7392">
            <v>2.9806814516059945</v>
          </cell>
          <cell r="Q7392">
            <v>39.15044930369524</v>
          </cell>
        </row>
        <row r="7393">
          <cell r="O7393">
            <v>46890</v>
          </cell>
          <cell r="P7393">
            <v>2.9821137218118725</v>
          </cell>
          <cell r="Q7393">
            <v>39.169261787684164</v>
          </cell>
        </row>
        <row r="7394">
          <cell r="O7394">
            <v>46891</v>
          </cell>
          <cell r="P7394">
            <v>2.9835466802777177</v>
          </cell>
          <cell r="Q7394">
            <v>39.18808331178267</v>
          </cell>
        </row>
        <row r="7395">
          <cell r="O7395">
            <v>46892</v>
          </cell>
          <cell r="P7395">
            <v>2.9849803273342292</v>
          </cell>
          <cell r="Q7395">
            <v>39.206913880334405</v>
          </cell>
        </row>
        <row r="7396">
          <cell r="O7396">
            <v>46895</v>
          </cell>
          <cell r="P7396">
            <v>2.9864146633122877</v>
          </cell>
          <cell r="Q7396">
            <v>39.225753497685389</v>
          </cell>
        </row>
        <row r="7397">
          <cell r="O7397">
            <v>46896</v>
          </cell>
          <cell r="P7397">
            <v>2.9878496885429198</v>
          </cell>
          <cell r="Q7397">
            <v>39.244602168183576</v>
          </cell>
        </row>
        <row r="7398">
          <cell r="O7398">
            <v>46897</v>
          </cell>
          <cell r="P7398">
            <v>2.9892854033573162</v>
          </cell>
          <cell r="Q7398">
            <v>39.263459896179072</v>
          </cell>
        </row>
        <row r="7399">
          <cell r="O7399">
            <v>46898</v>
          </cell>
          <cell r="P7399">
            <v>2.990721808086831</v>
          </cell>
          <cell r="Q7399">
            <v>39.282326686024106</v>
          </cell>
        </row>
        <row r="7400">
          <cell r="O7400">
            <v>46899</v>
          </cell>
          <cell r="P7400">
            <v>2.9921589030629638</v>
          </cell>
          <cell r="Q7400">
            <v>39.301202542072858</v>
          </cell>
        </row>
        <row r="7401">
          <cell r="O7401">
            <v>46902</v>
          </cell>
          <cell r="P7401">
            <v>2.9935966886173877</v>
          </cell>
          <cell r="Q7401">
            <v>39.320087468681749</v>
          </cell>
        </row>
        <row r="7402">
          <cell r="O7402">
            <v>46903</v>
          </cell>
          <cell r="P7402">
            <v>2.9950351650819353</v>
          </cell>
          <cell r="Q7402">
            <v>39.338981470209312</v>
          </cell>
        </row>
        <row r="7403">
          <cell r="O7403">
            <v>46904</v>
          </cell>
          <cell r="P7403">
            <v>2.9964743327885817</v>
          </cell>
          <cell r="Q7403">
            <v>39.357884551015957</v>
          </cell>
        </row>
        <row r="7404">
          <cell r="O7404">
            <v>46905</v>
          </cell>
          <cell r="P7404">
            <v>2.9979141920694836</v>
          </cell>
          <cell r="Q7404">
            <v>39.376796715464472</v>
          </cell>
        </row>
        <row r="7405">
          <cell r="O7405">
            <v>46906</v>
          </cell>
          <cell r="P7405">
            <v>2.9993547432569456</v>
          </cell>
          <cell r="Q7405">
            <v>39.39571796791958</v>
          </cell>
        </row>
        <row r="7406">
          <cell r="O7406">
            <v>46909</v>
          </cell>
          <cell r="P7406">
            <v>3.0007959866834253</v>
          </cell>
          <cell r="Q7406">
            <v>39.414648312748035</v>
          </cell>
        </row>
        <row r="7407">
          <cell r="O7407">
            <v>46910</v>
          </cell>
          <cell r="P7407">
            <v>3.0022379226815521</v>
          </cell>
          <cell r="Q7407">
            <v>39.433587754318829</v>
          </cell>
        </row>
        <row r="7408">
          <cell r="O7408">
            <v>46911</v>
          </cell>
          <cell r="P7408">
            <v>3.0036805515841123</v>
          </cell>
          <cell r="Q7408">
            <v>39.452536297003014</v>
          </cell>
        </row>
        <row r="7409">
          <cell r="O7409">
            <v>46912</v>
          </cell>
          <cell r="P7409">
            <v>3.0051238737240498</v>
          </cell>
          <cell r="Q7409">
            <v>39.471493945173734</v>
          </cell>
        </row>
        <row r="7410">
          <cell r="O7410">
            <v>46913</v>
          </cell>
          <cell r="P7410">
            <v>3.0065678894344749</v>
          </cell>
          <cell r="Q7410">
            <v>39.490460703206288</v>
          </cell>
        </row>
        <row r="7411">
          <cell r="O7411">
            <v>46916</v>
          </cell>
          <cell r="P7411">
            <v>3.0080125990486484</v>
          </cell>
          <cell r="Q7411">
            <v>39.509436575477977</v>
          </cell>
        </row>
        <row r="7412">
          <cell r="O7412">
            <v>46917</v>
          </cell>
          <cell r="P7412">
            <v>3.0094580029000002</v>
          </cell>
          <cell r="Q7412">
            <v>39.528421566368301</v>
          </cell>
        </row>
        <row r="7413">
          <cell r="O7413">
            <v>46918</v>
          </cell>
          <cell r="P7413">
            <v>3.0109041013221063</v>
          </cell>
          <cell r="Q7413">
            <v>39.547415680258709</v>
          </cell>
        </row>
        <row r="7414">
          <cell r="O7414">
            <v>46920</v>
          </cell>
          <cell r="P7414">
            <v>3.0123508946487183</v>
          </cell>
          <cell r="Q7414">
            <v>39.566418921532922</v>
          </cell>
        </row>
        <row r="7415">
          <cell r="O7415">
            <v>46923</v>
          </cell>
          <cell r="P7415">
            <v>3.0137983832137434</v>
          </cell>
          <cell r="Q7415">
            <v>39.585431294576729</v>
          </cell>
        </row>
        <row r="7416">
          <cell r="O7416">
            <v>46924</v>
          </cell>
          <cell r="P7416">
            <v>3.0152465673512525</v>
          </cell>
          <cell r="Q7416">
            <v>39.604452803778067</v>
          </cell>
        </row>
        <row r="7417">
          <cell r="O7417">
            <v>46925</v>
          </cell>
          <cell r="P7417">
            <v>3.0166954473954606</v>
          </cell>
          <cell r="Q7417">
            <v>39.623483453526745</v>
          </cell>
        </row>
        <row r="7418">
          <cell r="O7418">
            <v>46926</v>
          </cell>
          <cell r="P7418">
            <v>3.0181450236807685</v>
          </cell>
          <cell r="Q7418">
            <v>39.642523248215042</v>
          </cell>
        </row>
        <row r="7419">
          <cell r="O7419">
            <v>46927</v>
          </cell>
          <cell r="P7419">
            <v>3.0195952965417168</v>
          </cell>
          <cell r="Q7419">
            <v>39.661572192237053</v>
          </cell>
        </row>
        <row r="7420">
          <cell r="O7420">
            <v>46930</v>
          </cell>
          <cell r="P7420">
            <v>3.0210462663130246</v>
          </cell>
          <cell r="Q7420">
            <v>39.680630289989217</v>
          </cell>
        </row>
        <row r="7421">
          <cell r="O7421">
            <v>46931</v>
          </cell>
          <cell r="P7421">
            <v>3.0224979333295483</v>
          </cell>
          <cell r="Q7421">
            <v>39.699697545869796</v>
          </cell>
        </row>
        <row r="7422">
          <cell r="O7422">
            <v>46932</v>
          </cell>
          <cell r="P7422">
            <v>3.0239502979263313</v>
          </cell>
          <cell r="Q7422">
            <v>39.718773964279485</v>
          </cell>
        </row>
        <row r="7423">
          <cell r="O7423">
            <v>46933</v>
          </cell>
          <cell r="P7423">
            <v>3.0254033604385642</v>
          </cell>
          <cell r="Q7423">
            <v>39.737859549620921</v>
          </cell>
        </row>
        <row r="7424">
          <cell r="O7424">
            <v>46934</v>
          </cell>
          <cell r="P7424">
            <v>3.0268571212015942</v>
          </cell>
          <cell r="Q7424">
            <v>39.756954306298809</v>
          </cell>
        </row>
        <row r="7425">
          <cell r="O7425">
            <v>46937</v>
          </cell>
          <cell r="P7425">
            <v>3.0283115805509411</v>
          </cell>
          <cell r="Q7425">
            <v>39.776058238720104</v>
          </cell>
        </row>
        <row r="7426">
          <cell r="O7426">
            <v>46938</v>
          </cell>
          <cell r="P7426">
            <v>3.0297667388222784</v>
          </cell>
          <cell r="Q7426">
            <v>39.795171351293789</v>
          </cell>
        </row>
        <row r="7427">
          <cell r="O7427">
            <v>46939</v>
          </cell>
          <cell r="P7427">
            <v>3.0312225963514408</v>
          </cell>
          <cell r="Q7427">
            <v>39.814293648430969</v>
          </cell>
        </row>
        <row r="7428">
          <cell r="O7428">
            <v>46940</v>
          </cell>
          <cell r="P7428">
            <v>3.0326791534744353</v>
          </cell>
          <cell r="Q7428">
            <v>39.833425134544989</v>
          </cell>
        </row>
        <row r="7429">
          <cell r="O7429">
            <v>46941</v>
          </cell>
          <cell r="P7429">
            <v>3.0341364105274149</v>
          </cell>
          <cell r="Q7429">
            <v>39.852565814051147</v>
          </cell>
        </row>
        <row r="7430">
          <cell r="O7430">
            <v>46944</v>
          </cell>
          <cell r="P7430">
            <v>3.0355943678467083</v>
          </cell>
          <cell r="Q7430">
            <v>39.871715691367015</v>
          </cell>
        </row>
        <row r="7431">
          <cell r="O7431">
            <v>46945</v>
          </cell>
          <cell r="P7431">
            <v>3.0370530257687887</v>
          </cell>
          <cell r="Q7431">
            <v>39.890874770912092</v>
          </cell>
        </row>
        <row r="7432">
          <cell r="O7432">
            <v>46946</v>
          </cell>
          <cell r="P7432">
            <v>3.0385123846303062</v>
          </cell>
          <cell r="Q7432">
            <v>39.910043057108169</v>
          </cell>
        </row>
        <row r="7433">
          <cell r="O7433">
            <v>46947</v>
          </cell>
          <cell r="P7433">
            <v>3.0399724447680669</v>
          </cell>
          <cell r="Q7433">
            <v>39.929220554379121</v>
          </cell>
        </row>
        <row r="7434">
          <cell r="O7434">
            <v>46948</v>
          </cell>
          <cell r="P7434">
            <v>3.0414332065190393</v>
          </cell>
          <cell r="Q7434">
            <v>39.948407267150934</v>
          </cell>
        </row>
        <row r="7435">
          <cell r="O7435">
            <v>46951</v>
          </cell>
          <cell r="P7435">
            <v>3.0428946702203588</v>
          </cell>
          <cell r="Q7435">
            <v>39.96760319985178</v>
          </cell>
        </row>
        <row r="7436">
          <cell r="O7436">
            <v>46952</v>
          </cell>
          <cell r="P7436">
            <v>3.0443568362093156</v>
          </cell>
          <cell r="Q7436">
            <v>39.986808356911887</v>
          </cell>
        </row>
        <row r="7437">
          <cell r="O7437">
            <v>46953</v>
          </cell>
          <cell r="P7437">
            <v>3.0458197048233582</v>
          </cell>
          <cell r="Q7437">
            <v>40.006022742763548</v>
          </cell>
        </row>
        <row r="7438">
          <cell r="O7438">
            <v>46954</v>
          </cell>
          <cell r="P7438">
            <v>3.0472832764001105</v>
          </cell>
          <cell r="Q7438">
            <v>40.025246361841361</v>
          </cell>
        </row>
        <row r="7439">
          <cell r="O7439">
            <v>46955</v>
          </cell>
          <cell r="P7439">
            <v>3.0487475512773479</v>
          </cell>
          <cell r="Q7439">
            <v>40.044479218581913</v>
          </cell>
        </row>
        <row r="7440">
          <cell r="O7440">
            <v>46958</v>
          </cell>
          <cell r="P7440">
            <v>3.0502125297930123</v>
          </cell>
          <cell r="Q7440">
            <v>40.063721317423976</v>
          </cell>
        </row>
        <row r="7441">
          <cell r="O7441">
            <v>46959</v>
          </cell>
          <cell r="P7441">
            <v>3.0516782122852111</v>
          </cell>
          <cell r="Q7441">
            <v>40.082972662808515</v>
          </cell>
        </row>
        <row r="7442">
          <cell r="O7442">
            <v>46960</v>
          </cell>
          <cell r="P7442">
            <v>3.0531445990922066</v>
          </cell>
          <cell r="Q7442">
            <v>40.102233259178497</v>
          </cell>
        </row>
        <row r="7443">
          <cell r="O7443">
            <v>46961</v>
          </cell>
          <cell r="P7443">
            <v>3.0546116905524281</v>
          </cell>
          <cell r="Q7443">
            <v>40.121503110979113</v>
          </cell>
        </row>
        <row r="7444">
          <cell r="O7444">
            <v>46962</v>
          </cell>
          <cell r="P7444">
            <v>3.0560794870044701</v>
          </cell>
          <cell r="Q7444">
            <v>40.140782222657705</v>
          </cell>
        </row>
        <row r="7445">
          <cell r="O7445">
            <v>46965</v>
          </cell>
          <cell r="P7445">
            <v>3.0575479887870856</v>
          </cell>
          <cell r="Q7445">
            <v>40.160070598663701</v>
          </cell>
        </row>
        <row r="7446">
          <cell r="O7446">
            <v>46966</v>
          </cell>
          <cell r="P7446">
            <v>3.0590171962391897</v>
          </cell>
          <cell r="Q7446">
            <v>40.179368243448657</v>
          </cell>
        </row>
        <row r="7447">
          <cell r="O7447">
            <v>46967</v>
          </cell>
          <cell r="P7447">
            <v>3.0604871096998671</v>
          </cell>
          <cell r="Q7447">
            <v>40.198675161466369</v>
          </cell>
        </row>
        <row r="7448">
          <cell r="O7448">
            <v>46968</v>
          </cell>
          <cell r="P7448">
            <v>3.061957729508356</v>
          </cell>
          <cell r="Q7448">
            <v>40.217991357172636</v>
          </cell>
        </row>
        <row r="7449">
          <cell r="O7449">
            <v>46969</v>
          </cell>
          <cell r="P7449">
            <v>3.0634290560040669</v>
          </cell>
          <cell r="Q7449">
            <v>40.237316835025517</v>
          </cell>
        </row>
        <row r="7450">
          <cell r="O7450">
            <v>46972</v>
          </cell>
          <cell r="P7450">
            <v>3.0649010895265603</v>
          </cell>
          <cell r="Q7450">
            <v>40.25665159948506</v>
          </cell>
        </row>
        <row r="7451">
          <cell r="O7451">
            <v>46973</v>
          </cell>
          <cell r="P7451">
            <v>3.0663738304155768</v>
          </cell>
          <cell r="Q7451">
            <v>40.275995655013652</v>
          </cell>
        </row>
        <row r="7452">
          <cell r="O7452">
            <v>46974</v>
          </cell>
          <cell r="P7452">
            <v>3.0678472790110121</v>
          </cell>
          <cell r="Q7452">
            <v>40.295349006075739</v>
          </cell>
        </row>
        <row r="7453">
          <cell r="O7453">
            <v>46975</v>
          </cell>
          <cell r="P7453">
            <v>3.0693214356529173</v>
          </cell>
          <cell r="Q7453">
            <v>40.314711657137806</v>
          </cell>
        </row>
        <row r="7454">
          <cell r="O7454">
            <v>46976</v>
          </cell>
          <cell r="P7454">
            <v>3.0707963006815224</v>
          </cell>
          <cell r="Q7454">
            <v>40.334083612668678</v>
          </cell>
        </row>
        <row r="7455">
          <cell r="O7455">
            <v>46979</v>
          </cell>
          <cell r="P7455">
            <v>3.0722718744372122</v>
          </cell>
          <cell r="Q7455">
            <v>40.35346487713921</v>
          </cell>
        </row>
        <row r="7456">
          <cell r="O7456">
            <v>46980</v>
          </cell>
          <cell r="P7456">
            <v>3.0737481572605323</v>
          </cell>
          <cell r="Q7456">
            <v>40.372855455022389</v>
          </cell>
        </row>
        <row r="7457">
          <cell r="O7457">
            <v>46981</v>
          </cell>
          <cell r="P7457">
            <v>3.0752251494922014</v>
          </cell>
          <cell r="Q7457">
            <v>40.392255350793455</v>
          </cell>
        </row>
        <row r="7458">
          <cell r="O7458">
            <v>46982</v>
          </cell>
          <cell r="P7458">
            <v>3.0767028514730965</v>
          </cell>
          <cell r="Q7458">
            <v>40.411664568929744</v>
          </cell>
        </row>
        <row r="7459">
          <cell r="O7459">
            <v>46983</v>
          </cell>
          <cell r="P7459">
            <v>3.0781812635442516</v>
          </cell>
          <cell r="Q7459">
            <v>40.431083113910638</v>
          </cell>
        </row>
        <row r="7460">
          <cell r="O7460">
            <v>46986</v>
          </cell>
          <cell r="P7460">
            <v>3.0796603860468696</v>
          </cell>
          <cell r="Q7460">
            <v>40.450510990217751</v>
          </cell>
        </row>
        <row r="7461">
          <cell r="O7461">
            <v>46987</v>
          </cell>
          <cell r="P7461">
            <v>3.0811402193223345</v>
          </cell>
          <cell r="Q7461">
            <v>40.469948202335061</v>
          </cell>
        </row>
        <row r="7462">
          <cell r="O7462">
            <v>46988</v>
          </cell>
          <cell r="P7462">
            <v>3.0826207637121619</v>
          </cell>
          <cell r="Q7462">
            <v>40.489394754748297</v>
          </cell>
        </row>
        <row r="7463">
          <cell r="O7463">
            <v>46989</v>
          </cell>
          <cell r="P7463">
            <v>3.0841020195580553</v>
          </cell>
          <cell r="Q7463">
            <v>40.508850651945636</v>
          </cell>
        </row>
        <row r="7464">
          <cell r="O7464">
            <v>46990</v>
          </cell>
          <cell r="P7464">
            <v>3.0855839872018791</v>
          </cell>
          <cell r="Q7464">
            <v>40.528315898417368</v>
          </cell>
        </row>
        <row r="7465">
          <cell r="O7465">
            <v>46993</v>
          </cell>
          <cell r="P7465">
            <v>3.0870666669856526</v>
          </cell>
          <cell r="Q7465">
            <v>40.547790498655836</v>
          </cell>
        </row>
        <row r="7466">
          <cell r="O7466">
            <v>46994</v>
          </cell>
          <cell r="P7466">
            <v>3.0885500592515673</v>
          </cell>
          <cell r="Q7466">
            <v>40.567274457155627</v>
          </cell>
        </row>
        <row r="7467">
          <cell r="O7467">
            <v>46995</v>
          </cell>
          <cell r="P7467">
            <v>3.0900341643419775</v>
          </cell>
          <cell r="Q7467">
            <v>40.586767778413474</v>
          </cell>
        </row>
        <row r="7468">
          <cell r="O7468">
            <v>46996</v>
          </cell>
          <cell r="P7468">
            <v>3.0915189825994083</v>
          </cell>
          <cell r="Q7468">
            <v>40.606270466928351</v>
          </cell>
        </row>
        <row r="7469">
          <cell r="O7469">
            <v>46997</v>
          </cell>
          <cell r="P7469">
            <v>3.0930045143665312</v>
          </cell>
          <cell r="Q7469">
            <v>40.62578252720116</v>
          </cell>
        </row>
        <row r="7470">
          <cell r="O7470">
            <v>47000</v>
          </cell>
          <cell r="P7470">
            <v>3.0944907599862055</v>
          </cell>
          <cell r="Q7470">
            <v>40.645303963735259</v>
          </cell>
        </row>
        <row r="7471">
          <cell r="O7471">
            <v>47001</v>
          </cell>
          <cell r="P7471">
            <v>3.0959777198014322</v>
          </cell>
          <cell r="Q7471">
            <v>40.664834781035879</v>
          </cell>
        </row>
        <row r="7472">
          <cell r="O7472">
            <v>47002</v>
          </cell>
          <cell r="P7472">
            <v>3.0974653941554031</v>
          </cell>
          <cell r="Q7472">
            <v>40.684374983610752</v>
          </cell>
        </row>
        <row r="7473">
          <cell r="O7473">
            <v>47004</v>
          </cell>
          <cell r="P7473">
            <v>3.0989537833914462</v>
          </cell>
          <cell r="Q7473">
            <v>40.703924575969396</v>
          </cell>
        </row>
        <row r="7474">
          <cell r="O7474">
            <v>47007</v>
          </cell>
          <cell r="P7474">
            <v>3.1004428878530756</v>
          </cell>
          <cell r="Q7474">
            <v>40.723483562623777</v>
          </cell>
        </row>
        <row r="7475">
          <cell r="O7475">
            <v>47008</v>
          </cell>
          <cell r="P7475">
            <v>3.1019327078839636</v>
          </cell>
          <cell r="Q7475">
            <v>40.743051948087945</v>
          </cell>
        </row>
        <row r="7476">
          <cell r="O7476">
            <v>47009</v>
          </cell>
          <cell r="P7476">
            <v>3.1034232438279501</v>
          </cell>
          <cell r="Q7476">
            <v>40.762629736878132</v>
          </cell>
        </row>
        <row r="7477">
          <cell r="O7477">
            <v>47010</v>
          </cell>
          <cell r="P7477">
            <v>3.1049144960290391</v>
          </cell>
          <cell r="Q7477">
            <v>40.78221693351275</v>
          </cell>
        </row>
        <row r="7478">
          <cell r="O7478">
            <v>47011</v>
          </cell>
          <cell r="P7478">
            <v>3.1064064648313905</v>
          </cell>
          <cell r="Q7478">
            <v>40.801813542512235</v>
          </cell>
        </row>
        <row r="7479">
          <cell r="O7479">
            <v>47014</v>
          </cell>
          <cell r="P7479">
            <v>3.1078991505793456</v>
          </cell>
          <cell r="Q7479">
            <v>40.821419568399435</v>
          </cell>
        </row>
        <row r="7480">
          <cell r="O7480">
            <v>47015</v>
          </cell>
          <cell r="P7480">
            <v>3.1093925536174027</v>
          </cell>
          <cell r="Q7480">
            <v>40.841035015699219</v>
          </cell>
        </row>
        <row r="7481">
          <cell r="O7481">
            <v>47016</v>
          </cell>
          <cell r="P7481">
            <v>3.1108866742902248</v>
          </cell>
          <cell r="Q7481">
            <v>40.860659888938663</v>
          </cell>
        </row>
        <row r="7482">
          <cell r="O7482">
            <v>47017</v>
          </cell>
          <cell r="P7482">
            <v>3.1123815129426413</v>
          </cell>
          <cell r="Q7482">
            <v>40.880294192647</v>
          </cell>
        </row>
        <row r="7483">
          <cell r="O7483">
            <v>47018</v>
          </cell>
          <cell r="P7483">
            <v>3.1138770699196523</v>
          </cell>
          <cell r="Q7483">
            <v>40.899937931355716</v>
          </cell>
        </row>
        <row r="7484">
          <cell r="O7484">
            <v>47021</v>
          </cell>
          <cell r="P7484">
            <v>3.1153733455664163</v>
          </cell>
          <cell r="Q7484">
            <v>40.919591109598365</v>
          </cell>
        </row>
        <row r="7485">
          <cell r="O7485">
            <v>47022</v>
          </cell>
          <cell r="P7485">
            <v>3.1168703402282567</v>
          </cell>
          <cell r="Q7485">
            <v>40.939253731910696</v>
          </cell>
        </row>
        <row r="7486">
          <cell r="O7486">
            <v>47023</v>
          </cell>
          <cell r="P7486">
            <v>3.1183680542506789</v>
          </cell>
          <cell r="Q7486">
            <v>40.958925802830812</v>
          </cell>
        </row>
        <row r="7487">
          <cell r="O7487">
            <v>47024</v>
          </cell>
          <cell r="P7487">
            <v>3.1198664879793339</v>
          </cell>
          <cell r="Q7487">
            <v>40.978607326898754</v>
          </cell>
        </row>
        <row r="7488">
          <cell r="O7488">
            <v>47025</v>
          </cell>
          <cell r="P7488">
            <v>3.1213656417600499</v>
          </cell>
          <cell r="Q7488">
            <v>40.998298308656885</v>
          </cell>
        </row>
        <row r="7489">
          <cell r="O7489">
            <v>47028</v>
          </cell>
          <cell r="P7489">
            <v>3.1228655159388241</v>
          </cell>
          <cell r="Q7489">
            <v>41.017998752649774</v>
          </cell>
        </row>
        <row r="7490">
          <cell r="O7490">
            <v>47029</v>
          </cell>
          <cell r="P7490">
            <v>3.1243661108618062</v>
          </cell>
          <cell r="Q7490">
            <v>41.03770866342402</v>
          </cell>
        </row>
        <row r="7491">
          <cell r="O7491">
            <v>47030</v>
          </cell>
          <cell r="P7491">
            <v>3.1258674268753199</v>
          </cell>
          <cell r="Q7491">
            <v>41.057428045528482</v>
          </cell>
        </row>
        <row r="7492">
          <cell r="O7492">
            <v>47031</v>
          </cell>
          <cell r="P7492">
            <v>3.1273694643258665</v>
          </cell>
          <cell r="Q7492">
            <v>41.077156903514357</v>
          </cell>
        </row>
        <row r="7493">
          <cell r="O7493">
            <v>47032</v>
          </cell>
          <cell r="P7493">
            <v>3.128872223560097</v>
          </cell>
          <cell r="Q7493">
            <v>41.096895241934824</v>
          </cell>
        </row>
        <row r="7494">
          <cell r="O7494">
            <v>47035</v>
          </cell>
          <cell r="P7494">
            <v>3.1303757049248429</v>
          </cell>
          <cell r="Q7494">
            <v>41.116643065345414</v>
          </cell>
        </row>
        <row r="7495">
          <cell r="O7495">
            <v>47036</v>
          </cell>
          <cell r="P7495">
            <v>3.1318799087670826</v>
          </cell>
          <cell r="Q7495">
            <v>41.136400378303591</v>
          </cell>
        </row>
        <row r="7496">
          <cell r="O7496">
            <v>47037</v>
          </cell>
          <cell r="P7496">
            <v>3.1333848354339793</v>
          </cell>
          <cell r="Q7496">
            <v>41.156167185369263</v>
          </cell>
        </row>
        <row r="7497">
          <cell r="O7497">
            <v>47039</v>
          </cell>
          <cell r="P7497">
            <v>3.1348904852728658</v>
          </cell>
          <cell r="Q7497">
            <v>41.175943491104547</v>
          </cell>
        </row>
        <row r="7498">
          <cell r="O7498">
            <v>47042</v>
          </cell>
          <cell r="P7498">
            <v>3.1363968586312203</v>
          </cell>
          <cell r="Q7498">
            <v>41.195729300073474</v>
          </cell>
        </row>
        <row r="7499">
          <cell r="O7499">
            <v>47043</v>
          </cell>
          <cell r="P7499">
            <v>3.1379039558567086</v>
          </cell>
          <cell r="Q7499">
            <v>41.215524616842536</v>
          </cell>
        </row>
        <row r="7500">
          <cell r="O7500">
            <v>47044</v>
          </cell>
          <cell r="P7500">
            <v>3.1394117772971586</v>
          </cell>
          <cell r="Q7500">
            <v>41.235329445980369</v>
          </cell>
        </row>
        <row r="7501">
          <cell r="O7501">
            <v>47045</v>
          </cell>
          <cell r="P7501">
            <v>3.1409203233005627</v>
          </cell>
          <cell r="Q7501">
            <v>41.255143792057751</v>
          </cell>
        </row>
        <row r="7502">
          <cell r="O7502">
            <v>47046</v>
          </cell>
          <cell r="P7502">
            <v>3.14242959421507</v>
          </cell>
          <cell r="Q7502">
            <v>41.274967659647537</v>
          </cell>
        </row>
        <row r="7503">
          <cell r="O7503">
            <v>47049</v>
          </cell>
          <cell r="P7503">
            <v>3.1439395903890195</v>
          </cell>
          <cell r="Q7503">
            <v>41.29480105332506</v>
          </cell>
        </row>
        <row r="7504">
          <cell r="O7504">
            <v>47050</v>
          </cell>
          <cell r="P7504">
            <v>3.1454503121709041</v>
          </cell>
          <cell r="Q7504">
            <v>41.314643977667671</v>
          </cell>
        </row>
        <row r="7505">
          <cell r="O7505">
            <v>47051</v>
          </cell>
          <cell r="P7505">
            <v>3.146961759909384</v>
          </cell>
          <cell r="Q7505">
            <v>41.334496437254948</v>
          </cell>
        </row>
        <row r="7506">
          <cell r="O7506">
            <v>47052</v>
          </cell>
          <cell r="P7506">
            <v>3.1484739339532917</v>
          </cell>
          <cell r="Q7506">
            <v>41.354358436668697</v>
          </cell>
        </row>
        <row r="7507">
          <cell r="O7507">
            <v>47053</v>
          </cell>
          <cell r="P7507">
            <v>3.1499868346516164</v>
          </cell>
          <cell r="Q7507">
            <v>41.374229980492807</v>
          </cell>
        </row>
        <row r="7508">
          <cell r="O7508">
            <v>47056</v>
          </cell>
          <cell r="P7508">
            <v>3.1515004623535305</v>
          </cell>
          <cell r="Q7508">
            <v>41.394111073313553</v>
          </cell>
        </row>
        <row r="7509">
          <cell r="O7509">
            <v>47057</v>
          </cell>
          <cell r="P7509">
            <v>3.1530148174083639</v>
          </cell>
          <cell r="Q7509">
            <v>41.414001719719295</v>
          </cell>
        </row>
        <row r="7510">
          <cell r="O7510">
            <v>47058</v>
          </cell>
          <cell r="P7510">
            <v>3.1545299001656253</v>
          </cell>
          <cell r="Q7510">
            <v>41.433901924300734</v>
          </cell>
        </row>
        <row r="7511">
          <cell r="O7511">
            <v>47060</v>
          </cell>
          <cell r="P7511">
            <v>3.1560457109749667</v>
          </cell>
          <cell r="Q7511">
            <v>41.453811691650458</v>
          </cell>
        </row>
        <row r="7512">
          <cell r="O7512">
            <v>47063</v>
          </cell>
          <cell r="P7512">
            <v>3.1575622501862428</v>
          </cell>
          <cell r="Q7512">
            <v>41.473731026363716</v>
          </cell>
        </row>
        <row r="7513">
          <cell r="O7513">
            <v>47064</v>
          </cell>
          <cell r="P7513">
            <v>3.1590795181494484</v>
          </cell>
          <cell r="Q7513">
            <v>41.493659933037584</v>
          </cell>
        </row>
        <row r="7514">
          <cell r="O7514">
            <v>47065</v>
          </cell>
          <cell r="P7514">
            <v>3.1605975152147585</v>
          </cell>
          <cell r="Q7514">
            <v>41.513598416271535</v>
          </cell>
        </row>
        <row r="7515">
          <cell r="O7515">
            <v>47066</v>
          </cell>
          <cell r="P7515">
            <v>3.1621162417325182</v>
          </cell>
          <cell r="Q7515">
            <v>41.533546480667241</v>
          </cell>
        </row>
        <row r="7516">
          <cell r="O7516">
            <v>47067</v>
          </cell>
          <cell r="P7516">
            <v>3.1636356980532336</v>
          </cell>
          <cell r="Q7516">
            <v>41.553504130828514</v>
          </cell>
        </row>
        <row r="7517">
          <cell r="O7517">
            <v>47070</v>
          </cell>
          <cell r="P7517">
            <v>3.1651558845275787</v>
          </cell>
          <cell r="Q7517">
            <v>41.573471371361357</v>
          </cell>
        </row>
        <row r="7518">
          <cell r="O7518">
            <v>47071</v>
          </cell>
          <cell r="P7518">
            <v>3.1666768015064113</v>
          </cell>
          <cell r="Q7518">
            <v>41.5934482068742</v>
          </cell>
        </row>
        <row r="7519">
          <cell r="O7519">
            <v>47073</v>
          </cell>
          <cell r="P7519">
            <v>3.1681984493407356</v>
          </cell>
          <cell r="Q7519">
            <v>41.613434641977385</v>
          </cell>
        </row>
        <row r="7520">
          <cell r="O7520">
            <v>47074</v>
          </cell>
          <cell r="P7520">
            <v>3.1697208283817426</v>
          </cell>
          <cell r="Q7520">
            <v>41.633430681283713</v>
          </cell>
        </row>
        <row r="7521">
          <cell r="O7521">
            <v>47077</v>
          </cell>
          <cell r="P7521">
            <v>3.1712439389807825</v>
          </cell>
          <cell r="Q7521">
            <v>41.653436329408073</v>
          </cell>
        </row>
        <row r="7522">
          <cell r="O7522">
            <v>47078</v>
          </cell>
          <cell r="P7522">
            <v>3.1727677814893811</v>
          </cell>
          <cell r="Q7522">
            <v>41.673451590967659</v>
          </cell>
        </row>
        <row r="7523">
          <cell r="O7523">
            <v>47079</v>
          </cell>
          <cell r="P7523">
            <v>3.1742923562592269</v>
          </cell>
          <cell r="Q7523">
            <v>41.693476470581814</v>
          </cell>
        </row>
        <row r="7524">
          <cell r="O7524">
            <v>47080</v>
          </cell>
          <cell r="P7524">
            <v>3.1758176636421758</v>
          </cell>
          <cell r="Q7524">
            <v>41.713510972872058</v>
          </cell>
        </row>
        <row r="7525">
          <cell r="O7525">
            <v>47081</v>
          </cell>
          <cell r="P7525">
            <v>3.1773437039902528</v>
          </cell>
          <cell r="Q7525">
            <v>41.733555102462148</v>
          </cell>
        </row>
        <row r="7526">
          <cell r="O7526">
            <v>47084</v>
          </cell>
          <cell r="P7526">
            <v>3.1788704776556722</v>
          </cell>
          <cell r="Q7526">
            <v>41.753608863978336</v>
          </cell>
        </row>
        <row r="7527">
          <cell r="O7527">
            <v>47085</v>
          </cell>
          <cell r="P7527">
            <v>3.180397984990786</v>
          </cell>
          <cell r="Q7527">
            <v>41.773672262048656</v>
          </cell>
        </row>
        <row r="7528">
          <cell r="O7528">
            <v>47086</v>
          </cell>
          <cell r="P7528">
            <v>3.1819262263481352</v>
          </cell>
          <cell r="Q7528">
            <v>41.793745301303645</v>
          </cell>
        </row>
        <row r="7529">
          <cell r="O7529">
            <v>47087</v>
          </cell>
          <cell r="P7529">
            <v>3.1834552020804319</v>
          </cell>
          <cell r="Q7529">
            <v>41.813827986376083</v>
          </cell>
        </row>
        <row r="7530">
          <cell r="O7530">
            <v>47088</v>
          </cell>
          <cell r="P7530">
            <v>3.1849849125405365</v>
          </cell>
          <cell r="Q7530">
            <v>41.833920321900699</v>
          </cell>
        </row>
        <row r="7531">
          <cell r="O7531">
            <v>47091</v>
          </cell>
          <cell r="P7531">
            <v>3.1865153580815129</v>
          </cell>
          <cell r="Q7531">
            <v>41.854022312514886</v>
          </cell>
        </row>
        <row r="7532">
          <cell r="O7532">
            <v>47092</v>
          </cell>
          <cell r="P7532">
            <v>3.188046539056562</v>
          </cell>
          <cell r="Q7532">
            <v>41.874133962857847</v>
          </cell>
        </row>
        <row r="7533">
          <cell r="O7533">
            <v>47093</v>
          </cell>
          <cell r="P7533">
            <v>3.1895784558190701</v>
          </cell>
          <cell r="Q7533">
            <v>41.894255277571212</v>
          </cell>
        </row>
        <row r="7534">
          <cell r="O7534">
            <v>47094</v>
          </cell>
          <cell r="P7534">
            <v>3.1911111087226036</v>
          </cell>
          <cell r="Q7534">
            <v>41.914386261298979</v>
          </cell>
        </row>
        <row r="7535">
          <cell r="O7535">
            <v>47095</v>
          </cell>
          <cell r="P7535">
            <v>3.1926444981208677</v>
          </cell>
          <cell r="Q7535">
            <v>41.934526918686977</v>
          </cell>
        </row>
        <row r="7536">
          <cell r="O7536">
            <v>47098</v>
          </cell>
          <cell r="P7536">
            <v>3.1941786243677712</v>
          </cell>
          <cell r="Q7536">
            <v>41.954677254383704</v>
          </cell>
        </row>
        <row r="7537">
          <cell r="O7537">
            <v>47099</v>
          </cell>
          <cell r="P7537">
            <v>3.1957134878173696</v>
          </cell>
          <cell r="Q7537">
            <v>41.974837273039583</v>
          </cell>
        </row>
        <row r="7538">
          <cell r="O7538">
            <v>47100</v>
          </cell>
          <cell r="P7538">
            <v>3.197249088823904</v>
          </cell>
          <cell r="Q7538">
            <v>41.995006979307469</v>
          </cell>
        </row>
        <row r="7539">
          <cell r="O7539">
            <v>47101</v>
          </cell>
          <cell r="P7539">
            <v>3.1987854277417789</v>
          </cell>
          <cell r="Q7539">
            <v>42.015186377842369</v>
          </cell>
        </row>
        <row r="7540">
          <cell r="O7540">
            <v>47102</v>
          </cell>
          <cell r="P7540">
            <v>3.2003225049255635</v>
          </cell>
          <cell r="Q7540">
            <v>42.035375473301464</v>
          </cell>
        </row>
        <row r="7541">
          <cell r="O7541">
            <v>47105</v>
          </cell>
          <cell r="P7541">
            <v>3.2018603207300047</v>
          </cell>
          <cell r="Q7541">
            <v>42.055574270344252</v>
          </cell>
        </row>
        <row r="7542">
          <cell r="O7542">
            <v>47106</v>
          </cell>
          <cell r="P7542">
            <v>3.2033988755100209</v>
          </cell>
          <cell r="Q7542">
            <v>42.075782773632497</v>
          </cell>
        </row>
        <row r="7543">
          <cell r="O7543">
            <v>47107</v>
          </cell>
          <cell r="P7543">
            <v>3.2049381696207004</v>
          </cell>
          <cell r="Q7543">
            <v>42.09600098783018</v>
          </cell>
        </row>
        <row r="7544">
          <cell r="O7544">
            <v>47108</v>
          </cell>
          <cell r="P7544">
            <v>3.2064782034172912</v>
          </cell>
          <cell r="Q7544">
            <v>42.116228917603394</v>
          </cell>
        </row>
        <row r="7545">
          <cell r="O7545">
            <v>47109</v>
          </cell>
          <cell r="P7545">
            <v>3.2080189772552292</v>
          </cell>
          <cell r="Q7545">
            <v>42.136466567620694</v>
          </cell>
        </row>
        <row r="7546">
          <cell r="O7546">
            <v>47113</v>
          </cell>
          <cell r="P7546">
            <v>3.2095604914901146</v>
          </cell>
          <cell r="Q7546">
            <v>42.156713942552784</v>
          </cell>
        </row>
        <row r="7547">
          <cell r="O7547">
            <v>47114</v>
          </cell>
          <cell r="P7547">
            <v>3.2111027464777129</v>
          </cell>
          <cell r="Q7547">
            <v>42.176971047072563</v>
          </cell>
        </row>
        <row r="7548">
          <cell r="O7548">
            <v>47115</v>
          </cell>
          <cell r="P7548">
            <v>3.2126457425739621</v>
          </cell>
          <cell r="Q7548">
            <v>42.197237885855166</v>
          </cell>
        </row>
        <row r="7549">
          <cell r="O7549">
            <v>47116</v>
          </cell>
          <cell r="P7549">
            <v>3.2141894801349822</v>
          </cell>
          <cell r="Q7549">
            <v>42.217514463578148</v>
          </cell>
        </row>
        <row r="7550">
          <cell r="O7550">
            <v>47120</v>
          </cell>
          <cell r="P7550">
            <v>3.215733959517046</v>
          </cell>
          <cell r="Q7550">
            <v>42.237800784921042</v>
          </cell>
        </row>
        <row r="7551">
          <cell r="O7551">
            <v>47121</v>
          </cell>
          <cell r="P7551">
            <v>3.2171941261900696</v>
          </cell>
          <cell r="Q7551">
            <v>42.256979681504021</v>
          </cell>
        </row>
        <row r="7552">
          <cell r="O7552">
            <v>47122</v>
          </cell>
          <cell r="P7552">
            <v>3.2186549558802269</v>
          </cell>
          <cell r="Q7552">
            <v>42.276167286638753</v>
          </cell>
        </row>
        <row r="7553">
          <cell r="O7553">
            <v>47123</v>
          </cell>
          <cell r="P7553">
            <v>3.2201164488885734</v>
          </cell>
          <cell r="Q7553">
            <v>42.295363604279522</v>
          </cell>
        </row>
        <row r="7554">
          <cell r="O7554">
            <v>47126</v>
          </cell>
          <cell r="P7554">
            <v>3.2215786055163034</v>
          </cell>
          <cell r="Q7554">
            <v>42.314568638382433</v>
          </cell>
        </row>
        <row r="7555">
          <cell r="O7555">
            <v>47127</v>
          </cell>
          <cell r="P7555">
            <v>3.2230414260647442</v>
          </cell>
          <cell r="Q7555">
            <v>42.333782392905341</v>
          </cell>
        </row>
        <row r="7556">
          <cell r="O7556">
            <v>47128</v>
          </cell>
          <cell r="P7556">
            <v>3.2245049108353627</v>
          </cell>
          <cell r="Q7556">
            <v>42.353004871807926</v>
          </cell>
        </row>
        <row r="7557">
          <cell r="O7557">
            <v>47129</v>
          </cell>
          <cell r="P7557">
            <v>3.2259690601297617</v>
          </cell>
          <cell r="Q7557">
            <v>42.372236079051667</v>
          </cell>
        </row>
        <row r="7558">
          <cell r="O7558">
            <v>47130</v>
          </cell>
          <cell r="P7558">
            <v>3.2274338742496824</v>
          </cell>
          <cell r="Q7558">
            <v>42.391476018599853</v>
          </cell>
        </row>
        <row r="7559">
          <cell r="O7559">
            <v>47133</v>
          </cell>
          <cell r="P7559">
            <v>3.2288993534969999</v>
          </cell>
          <cell r="Q7559">
            <v>42.410724694417524</v>
          </cell>
        </row>
        <row r="7560">
          <cell r="O7560">
            <v>47134</v>
          </cell>
          <cell r="P7560">
            <v>3.2303654981737289</v>
          </cell>
          <cell r="Q7560">
            <v>42.42998211047157</v>
          </cell>
        </row>
        <row r="7561">
          <cell r="O7561">
            <v>47135</v>
          </cell>
          <cell r="P7561">
            <v>3.2318323085820215</v>
          </cell>
          <cell r="Q7561">
            <v>42.449248270730685</v>
          </cell>
        </row>
        <row r="7562">
          <cell r="O7562">
            <v>47136</v>
          </cell>
          <cell r="P7562">
            <v>3.2332997850241654</v>
          </cell>
          <cell r="Q7562">
            <v>42.468523179165317</v>
          </cell>
        </row>
        <row r="7563">
          <cell r="O7563">
            <v>47137</v>
          </cell>
          <cell r="P7563">
            <v>3.234767927802586</v>
          </cell>
          <cell r="Q7563">
            <v>42.487806839747755</v>
          </cell>
        </row>
        <row r="7564">
          <cell r="O7564">
            <v>47140</v>
          </cell>
          <cell r="P7564">
            <v>3.2362367372198459</v>
          </cell>
          <cell r="Q7564">
            <v>42.507099256452079</v>
          </cell>
        </row>
        <row r="7565">
          <cell r="O7565">
            <v>47141</v>
          </cell>
          <cell r="P7565">
            <v>3.237706213578647</v>
          </cell>
          <cell r="Q7565">
            <v>42.526400433254189</v>
          </cell>
        </row>
        <row r="7566">
          <cell r="O7566">
            <v>47142</v>
          </cell>
          <cell r="P7566">
            <v>3.2391763571818259</v>
          </cell>
          <cell r="Q7566">
            <v>42.545710374131765</v>
          </cell>
        </row>
        <row r="7567">
          <cell r="O7567">
            <v>47143</v>
          </cell>
          <cell r="P7567">
            <v>3.2406471683323588</v>
          </cell>
          <cell r="Q7567">
            <v>42.565029083064324</v>
          </cell>
        </row>
        <row r="7568">
          <cell r="O7568">
            <v>47144</v>
          </cell>
          <cell r="P7568">
            <v>3.2421186473333563</v>
          </cell>
          <cell r="Q7568">
            <v>42.584356564033136</v>
          </cell>
        </row>
        <row r="7569">
          <cell r="O7569">
            <v>47147</v>
          </cell>
          <cell r="P7569">
            <v>3.243590794488072</v>
          </cell>
          <cell r="Q7569">
            <v>42.603692821021355</v>
          </cell>
        </row>
        <row r="7570">
          <cell r="O7570">
            <v>47148</v>
          </cell>
          <cell r="P7570">
            <v>3.2450636100998924</v>
          </cell>
          <cell r="Q7570">
            <v>42.623037858013888</v>
          </cell>
        </row>
        <row r="7571">
          <cell r="O7571">
            <v>47149</v>
          </cell>
          <cell r="P7571">
            <v>3.2465370944723442</v>
          </cell>
          <cell r="Q7571">
            <v>42.64239167899747</v>
          </cell>
        </row>
        <row r="7572">
          <cell r="O7572">
            <v>47150</v>
          </cell>
          <cell r="P7572">
            <v>3.2480112479090892</v>
          </cell>
          <cell r="Q7572">
            <v>42.661754287960612</v>
          </cell>
        </row>
        <row r="7573">
          <cell r="O7573">
            <v>47151</v>
          </cell>
          <cell r="P7573">
            <v>3.2494860707139326</v>
          </cell>
          <cell r="Q7573">
            <v>42.681125688893729</v>
          </cell>
        </row>
        <row r="7574">
          <cell r="O7574">
            <v>47154</v>
          </cell>
          <cell r="P7574">
            <v>3.2509615631908111</v>
          </cell>
          <cell r="Q7574">
            <v>42.700505885788935</v>
          </cell>
        </row>
        <row r="7575">
          <cell r="O7575">
            <v>47155</v>
          </cell>
          <cell r="P7575">
            <v>3.2524377256438042</v>
          </cell>
          <cell r="Q7575">
            <v>42.71989488264024</v>
          </cell>
        </row>
        <row r="7576">
          <cell r="O7576">
            <v>47156</v>
          </cell>
          <cell r="P7576">
            <v>3.2539145583771254</v>
          </cell>
          <cell r="Q7576">
            <v>42.739292683443402</v>
          </cell>
        </row>
        <row r="7577">
          <cell r="O7577">
            <v>47157</v>
          </cell>
          <cell r="P7577">
            <v>3.2553920616951308</v>
          </cell>
          <cell r="Q7577">
            <v>42.758699292196056</v>
          </cell>
        </row>
        <row r="7578">
          <cell r="O7578">
            <v>47158</v>
          </cell>
          <cell r="P7578">
            <v>3.2568702359023116</v>
          </cell>
          <cell r="Q7578">
            <v>42.778114712897612</v>
          </cell>
        </row>
        <row r="7579">
          <cell r="O7579">
            <v>47163</v>
          </cell>
          <cell r="P7579">
            <v>3.2583490813032983</v>
          </cell>
          <cell r="Q7579">
            <v>42.797538949549313</v>
          </cell>
        </row>
        <row r="7580">
          <cell r="O7580">
            <v>47164</v>
          </cell>
          <cell r="P7580">
            <v>3.2598285982028585</v>
          </cell>
          <cell r="Q7580">
            <v>42.816972006154202</v>
          </cell>
        </row>
        <row r="7581">
          <cell r="O7581">
            <v>47165</v>
          </cell>
          <cell r="P7581">
            <v>3.2613087869059001</v>
          </cell>
          <cell r="Q7581">
            <v>42.836413886717153</v>
          </cell>
        </row>
        <row r="7582">
          <cell r="O7582">
            <v>47168</v>
          </cell>
          <cell r="P7582">
            <v>3.2627896477174687</v>
          </cell>
          <cell r="Q7582">
            <v>42.855864595244867</v>
          </cell>
        </row>
        <row r="7583">
          <cell r="O7583">
            <v>47169</v>
          </cell>
          <cell r="P7583">
            <v>3.2642711809427483</v>
          </cell>
          <cell r="Q7583">
            <v>42.875324135745842</v>
          </cell>
        </row>
        <row r="7584">
          <cell r="O7584">
            <v>47170</v>
          </cell>
          <cell r="P7584">
            <v>3.2657533868870607</v>
          </cell>
          <cell r="Q7584">
            <v>42.894792512230417</v>
          </cell>
        </row>
        <row r="7585">
          <cell r="O7585">
            <v>47171</v>
          </cell>
          <cell r="P7585">
            <v>3.2672362658558676</v>
          </cell>
          <cell r="Q7585">
            <v>42.914269728710728</v>
          </cell>
        </row>
        <row r="7586">
          <cell r="O7586">
            <v>47172</v>
          </cell>
          <cell r="P7586">
            <v>3.2687198181547688</v>
          </cell>
          <cell r="Q7586">
            <v>42.93375578920076</v>
          </cell>
        </row>
        <row r="7587">
          <cell r="O7587">
            <v>47175</v>
          </cell>
          <cell r="P7587">
            <v>3.2702040440895037</v>
          </cell>
          <cell r="Q7587">
            <v>42.953250697716314</v>
          </cell>
        </row>
        <row r="7588">
          <cell r="O7588">
            <v>47176</v>
          </cell>
          <cell r="P7588">
            <v>3.2716889439659487</v>
          </cell>
          <cell r="Q7588">
            <v>42.972754458274999</v>
          </cell>
        </row>
        <row r="7589">
          <cell r="O7589">
            <v>47177</v>
          </cell>
          <cell r="P7589">
            <v>3.2731745180901202</v>
          </cell>
          <cell r="Q7589">
            <v>42.992267074896247</v>
          </cell>
        </row>
        <row r="7590">
          <cell r="O7590">
            <v>47178</v>
          </cell>
          <cell r="P7590">
            <v>3.2746607667681737</v>
          </cell>
          <cell r="Q7590">
            <v>43.011788551601335</v>
          </cell>
        </row>
        <row r="7591">
          <cell r="O7591">
            <v>47179</v>
          </cell>
          <cell r="P7591">
            <v>3.2761476903064048</v>
          </cell>
          <cell r="Q7591">
            <v>43.031318892413374</v>
          </cell>
        </row>
        <row r="7592">
          <cell r="O7592">
            <v>47182</v>
          </cell>
          <cell r="P7592">
            <v>3.2776352890112452</v>
          </cell>
          <cell r="Q7592">
            <v>43.050858101357264</v>
          </cell>
        </row>
        <row r="7593">
          <cell r="O7593">
            <v>47183</v>
          </cell>
          <cell r="P7593">
            <v>3.2791235631892675</v>
          </cell>
          <cell r="Q7593">
            <v>43.070406182459742</v>
          </cell>
        </row>
        <row r="7594">
          <cell r="O7594">
            <v>47184</v>
          </cell>
          <cell r="P7594">
            <v>3.2806125131471844</v>
          </cell>
          <cell r="Q7594">
            <v>43.089963139749415</v>
          </cell>
        </row>
        <row r="7595">
          <cell r="O7595">
            <v>47185</v>
          </cell>
          <cell r="P7595">
            <v>3.2821021391918475</v>
          </cell>
          <cell r="Q7595">
            <v>43.10952897725668</v>
          </cell>
        </row>
        <row r="7596">
          <cell r="O7596">
            <v>47186</v>
          </cell>
          <cell r="P7596">
            <v>3.2835924416302453</v>
          </cell>
          <cell r="Q7596">
            <v>43.129103699013754</v>
          </cell>
        </row>
        <row r="7597">
          <cell r="O7597">
            <v>47189</v>
          </cell>
          <cell r="P7597">
            <v>3.2850834207695083</v>
          </cell>
          <cell r="Q7597">
            <v>43.148687309054715</v>
          </cell>
        </row>
        <row r="7598">
          <cell r="O7598">
            <v>47190</v>
          </cell>
          <cell r="P7598">
            <v>3.2865750769169062</v>
          </cell>
          <cell r="Q7598">
            <v>43.168279811415474</v>
          </cell>
        </row>
        <row r="7599">
          <cell r="O7599">
            <v>47191</v>
          </cell>
          <cell r="P7599">
            <v>3.2880674103798482</v>
          </cell>
          <cell r="Q7599">
            <v>43.187881210133753</v>
          </cell>
        </row>
        <row r="7600">
          <cell r="O7600">
            <v>47192</v>
          </cell>
          <cell r="P7600">
            <v>3.2895604214658807</v>
          </cell>
          <cell r="Q7600">
            <v>43.207491509249103</v>
          </cell>
        </row>
        <row r="7601">
          <cell r="O7601">
            <v>47193</v>
          </cell>
          <cell r="P7601">
            <v>3.2910541104826931</v>
          </cell>
          <cell r="Q7601">
            <v>43.22711071280294</v>
          </cell>
        </row>
        <row r="7602">
          <cell r="O7602">
            <v>47196</v>
          </cell>
          <cell r="P7602">
            <v>3.2925484777381131</v>
          </cell>
          <cell r="Q7602">
            <v>43.246738824838495</v>
          </cell>
        </row>
        <row r="7603">
          <cell r="O7603">
            <v>47197</v>
          </cell>
          <cell r="P7603">
            <v>3.2940435235401084</v>
          </cell>
          <cell r="Q7603">
            <v>43.266375849400845</v>
          </cell>
        </row>
        <row r="7604">
          <cell r="O7604">
            <v>47198</v>
          </cell>
          <cell r="P7604">
            <v>3.2955392481967847</v>
          </cell>
          <cell r="Q7604">
            <v>43.286021790536864</v>
          </cell>
        </row>
        <row r="7605">
          <cell r="O7605">
            <v>47199</v>
          </cell>
          <cell r="P7605">
            <v>3.2970356520163908</v>
          </cell>
          <cell r="Q7605">
            <v>43.305676652295332</v>
          </cell>
        </row>
        <row r="7606">
          <cell r="O7606">
            <v>47200</v>
          </cell>
          <cell r="P7606">
            <v>3.2985327353073131</v>
          </cell>
          <cell r="Q7606">
            <v>43.325340438726819</v>
          </cell>
        </row>
        <row r="7607">
          <cell r="O7607">
            <v>47203</v>
          </cell>
          <cell r="P7607">
            <v>3.3000304983780797</v>
          </cell>
          <cell r="Q7607">
            <v>43.345013153883748</v>
          </cell>
        </row>
        <row r="7608">
          <cell r="O7608">
            <v>47204</v>
          </cell>
          <cell r="P7608">
            <v>3.3015289415373568</v>
          </cell>
          <cell r="Q7608">
            <v>43.364694801820377</v>
          </cell>
        </row>
        <row r="7609">
          <cell r="O7609">
            <v>47205</v>
          </cell>
          <cell r="P7609">
            <v>3.3030280650939519</v>
          </cell>
          <cell r="Q7609">
            <v>43.384385386592804</v>
          </cell>
        </row>
        <row r="7610">
          <cell r="O7610">
            <v>47206</v>
          </cell>
          <cell r="P7610">
            <v>3.304527869356813</v>
          </cell>
          <cell r="Q7610">
            <v>43.40408491225898</v>
          </cell>
        </row>
        <row r="7611">
          <cell r="O7611">
            <v>47210</v>
          </cell>
          <cell r="P7611">
            <v>3.3060283546350289</v>
          </cell>
          <cell r="Q7611">
            <v>43.423793382878706</v>
          </cell>
        </row>
        <row r="7612">
          <cell r="O7612">
            <v>47211</v>
          </cell>
          <cell r="P7612">
            <v>3.3075295212378264</v>
          </cell>
          <cell r="Q7612">
            <v>43.443510802513586</v>
          </cell>
        </row>
        <row r="7613">
          <cell r="O7613">
            <v>47212</v>
          </cell>
          <cell r="P7613">
            <v>3.3090313694745754</v>
          </cell>
          <cell r="Q7613">
            <v>43.463237175227121</v>
          </cell>
        </row>
        <row r="7614">
          <cell r="O7614">
            <v>47213</v>
          </cell>
          <cell r="P7614">
            <v>3.3105338996547831</v>
          </cell>
          <cell r="Q7614">
            <v>43.482972505084589</v>
          </cell>
        </row>
        <row r="7615">
          <cell r="O7615">
            <v>47214</v>
          </cell>
          <cell r="P7615">
            <v>3.3120371120881025</v>
          </cell>
          <cell r="Q7615">
            <v>43.502716796153216</v>
          </cell>
        </row>
        <row r="7616">
          <cell r="O7616">
            <v>47217</v>
          </cell>
          <cell r="P7616">
            <v>3.313541007084321</v>
          </cell>
          <cell r="Q7616">
            <v>43.522470052501966</v>
          </cell>
        </row>
        <row r="7617">
          <cell r="O7617">
            <v>47218</v>
          </cell>
          <cell r="P7617">
            <v>3.3150455849533715</v>
          </cell>
          <cell r="Q7617">
            <v>43.542232278201723</v>
          </cell>
        </row>
        <row r="7618">
          <cell r="O7618">
            <v>47219</v>
          </cell>
          <cell r="P7618">
            <v>3.316550846005323</v>
          </cell>
          <cell r="Q7618">
            <v>43.562003477325163</v>
          </cell>
        </row>
        <row r="7619">
          <cell r="O7619">
            <v>47220</v>
          </cell>
          <cell r="P7619">
            <v>3.3180567905503922</v>
          </cell>
          <cell r="Q7619">
            <v>43.581783653946907</v>
          </cell>
        </row>
        <row r="7620">
          <cell r="O7620">
            <v>47221</v>
          </cell>
          <cell r="P7620">
            <v>3.3195634188989289</v>
          </cell>
          <cell r="Q7620">
            <v>43.601572812143303</v>
          </cell>
        </row>
        <row r="7621">
          <cell r="O7621">
            <v>47224</v>
          </cell>
          <cell r="P7621">
            <v>3.3210707313614294</v>
          </cell>
          <cell r="Q7621">
            <v>43.621370955992639</v>
          </cell>
        </row>
        <row r="7622">
          <cell r="O7622">
            <v>47225</v>
          </cell>
          <cell r="P7622">
            <v>3.3225787282485268</v>
          </cell>
          <cell r="Q7622">
            <v>43.641178089575007</v>
          </cell>
        </row>
        <row r="7623">
          <cell r="O7623">
            <v>47226</v>
          </cell>
          <cell r="P7623">
            <v>3.3240874098710003</v>
          </cell>
          <cell r="Q7623">
            <v>43.660994216972398</v>
          </cell>
        </row>
        <row r="7624">
          <cell r="O7624">
            <v>47227</v>
          </cell>
          <cell r="P7624">
            <v>3.3255967765397658</v>
          </cell>
          <cell r="Q7624">
            <v>43.680819342268613</v>
          </cell>
        </row>
        <row r="7625">
          <cell r="O7625">
            <v>47228</v>
          </cell>
          <cell r="P7625">
            <v>3.3271068285658814</v>
          </cell>
          <cell r="Q7625">
            <v>43.700653469549316</v>
          </cell>
        </row>
        <row r="7626">
          <cell r="O7626">
            <v>47231</v>
          </cell>
          <cell r="P7626">
            <v>3.3286175662605477</v>
          </cell>
          <cell r="Q7626">
            <v>43.720496602902038</v>
          </cell>
        </row>
        <row r="7627">
          <cell r="O7627">
            <v>47232</v>
          </cell>
          <cell r="P7627">
            <v>3.3301289899351056</v>
          </cell>
          <cell r="Q7627">
            <v>43.740348746416167</v>
          </cell>
        </row>
        <row r="7628">
          <cell r="O7628">
            <v>47233</v>
          </cell>
          <cell r="P7628">
            <v>3.3316410999010384</v>
          </cell>
          <cell r="Q7628">
            <v>43.76020990418295</v>
          </cell>
        </row>
        <row r="7629">
          <cell r="O7629">
            <v>47234</v>
          </cell>
          <cell r="P7629">
            <v>3.3331538964699692</v>
          </cell>
          <cell r="Q7629">
            <v>43.78008008029547</v>
          </cell>
        </row>
        <row r="7630">
          <cell r="O7630">
            <v>47235</v>
          </cell>
          <cell r="P7630">
            <v>3.3346673799536632</v>
          </cell>
          <cell r="Q7630">
            <v>43.799959278848675</v>
          </cell>
        </row>
        <row r="7631">
          <cell r="O7631">
            <v>47238</v>
          </cell>
          <cell r="P7631">
            <v>3.336181550664028</v>
          </cell>
          <cell r="Q7631">
            <v>43.8198475039394</v>
          </cell>
        </row>
        <row r="7632">
          <cell r="O7632">
            <v>47240</v>
          </cell>
          <cell r="P7632">
            <v>3.3376964089131134</v>
          </cell>
          <cell r="Q7632">
            <v>43.839744759666317</v>
          </cell>
        </row>
        <row r="7633">
          <cell r="O7633">
            <v>47241</v>
          </cell>
          <cell r="P7633">
            <v>3.3392119550131074</v>
          </cell>
          <cell r="Q7633">
            <v>43.859651050129955</v>
          </cell>
        </row>
        <row r="7634">
          <cell r="O7634">
            <v>47242</v>
          </cell>
          <cell r="P7634">
            <v>3.3407281892763434</v>
          </cell>
          <cell r="Q7634">
            <v>43.87956637943271</v>
          </cell>
        </row>
        <row r="7635">
          <cell r="O7635">
            <v>47245</v>
          </cell>
          <cell r="P7635">
            <v>3.3422451120152954</v>
          </cell>
          <cell r="Q7635">
            <v>43.899490751678847</v>
          </cell>
        </row>
        <row r="7636">
          <cell r="O7636">
            <v>47246</v>
          </cell>
          <cell r="P7636">
            <v>3.3437627235425795</v>
          </cell>
          <cell r="Q7636">
            <v>43.919424170974501</v>
          </cell>
        </row>
        <row r="7637">
          <cell r="O7637">
            <v>47247</v>
          </cell>
          <cell r="P7637">
            <v>3.3452810241709527</v>
          </cell>
          <cell r="Q7637">
            <v>43.939366641427647</v>
          </cell>
        </row>
        <row r="7638">
          <cell r="O7638">
            <v>47248</v>
          </cell>
          <cell r="P7638">
            <v>3.346800014213315</v>
          </cell>
          <cell r="Q7638">
            <v>43.95931816714814</v>
          </cell>
        </row>
        <row r="7639">
          <cell r="O7639">
            <v>47249</v>
          </cell>
          <cell r="P7639">
            <v>3.3483196939827078</v>
          </cell>
          <cell r="Q7639">
            <v>43.979278752247701</v>
          </cell>
        </row>
        <row r="7640">
          <cell r="O7640">
            <v>47252</v>
          </cell>
          <cell r="P7640">
            <v>3.3498400637923167</v>
          </cell>
          <cell r="Q7640">
            <v>43.999248400839939</v>
          </cell>
        </row>
        <row r="7641">
          <cell r="O7641">
            <v>47253</v>
          </cell>
          <cell r="P7641">
            <v>3.3513611239554661</v>
          </cell>
          <cell r="Q7641">
            <v>44.01922711704028</v>
          </cell>
        </row>
        <row r="7642">
          <cell r="O7642">
            <v>47254</v>
          </cell>
          <cell r="P7642">
            <v>3.3528828747856263</v>
          </cell>
          <cell r="Q7642">
            <v>44.039214904966073</v>
          </cell>
        </row>
        <row r="7643">
          <cell r="O7643">
            <v>47255</v>
          </cell>
          <cell r="P7643">
            <v>3.3544053165964054</v>
          </cell>
          <cell r="Q7643">
            <v>44.059211768736475</v>
          </cell>
        </row>
        <row r="7644">
          <cell r="O7644">
            <v>47256</v>
          </cell>
          <cell r="P7644">
            <v>3.3559284497015596</v>
          </cell>
          <cell r="Q7644">
            <v>44.079217712472591</v>
          </cell>
        </row>
        <row r="7645">
          <cell r="O7645">
            <v>47259</v>
          </cell>
          <cell r="P7645">
            <v>3.3574522744149822</v>
          </cell>
          <cell r="Q7645">
            <v>44.099232740297325</v>
          </cell>
        </row>
        <row r="7646">
          <cell r="O7646">
            <v>47260</v>
          </cell>
          <cell r="P7646">
            <v>3.3589767910507136</v>
          </cell>
          <cell r="Q7646">
            <v>44.119256856335518</v>
          </cell>
        </row>
        <row r="7647">
          <cell r="O7647">
            <v>47261</v>
          </cell>
          <cell r="P7647">
            <v>3.3605019999229317</v>
          </cell>
          <cell r="Q7647">
            <v>44.139290064713805</v>
          </cell>
        </row>
        <row r="7648">
          <cell r="O7648">
            <v>47262</v>
          </cell>
          <cell r="P7648">
            <v>3.3620279013459635</v>
          </cell>
          <cell r="Q7648">
            <v>44.159332369560794</v>
          </cell>
        </row>
        <row r="7649">
          <cell r="O7649">
            <v>47263</v>
          </cell>
          <cell r="P7649">
            <v>3.3635544956342729</v>
          </cell>
          <cell r="Q7649">
            <v>44.179383775006876</v>
          </cell>
        </row>
        <row r="7650">
          <cell r="O7650">
            <v>47266</v>
          </cell>
          <cell r="P7650">
            <v>3.3650817831024695</v>
          </cell>
          <cell r="Q7650">
            <v>44.199444285184363</v>
          </cell>
        </row>
        <row r="7651">
          <cell r="O7651">
            <v>47267</v>
          </cell>
          <cell r="P7651">
            <v>3.3666097640653039</v>
          </cell>
          <cell r="Q7651">
            <v>44.219513904227426</v>
          </cell>
        </row>
        <row r="7652">
          <cell r="O7652">
            <v>47268</v>
          </cell>
          <cell r="P7652">
            <v>3.3681384388376734</v>
          </cell>
          <cell r="Q7652">
            <v>44.239592636272157</v>
          </cell>
        </row>
        <row r="7653">
          <cell r="O7653">
            <v>47270</v>
          </cell>
          <cell r="P7653">
            <v>3.3696678077346136</v>
          </cell>
          <cell r="Q7653">
            <v>44.259680485456457</v>
          </cell>
        </row>
        <row r="7654">
          <cell r="O7654">
            <v>47273</v>
          </cell>
          <cell r="P7654">
            <v>3.3711978710713071</v>
          </cell>
          <cell r="Q7654">
            <v>44.279777455920168</v>
          </cell>
        </row>
        <row r="7655">
          <cell r="O7655">
            <v>47274</v>
          </cell>
          <cell r="P7655">
            <v>3.3727286291630749</v>
          </cell>
          <cell r="Q7655">
            <v>44.299883551804953</v>
          </cell>
        </row>
        <row r="7656">
          <cell r="O7656">
            <v>47275</v>
          </cell>
          <cell r="P7656">
            <v>3.3742600823253874</v>
          </cell>
          <cell r="Q7656">
            <v>44.319998777254419</v>
          </cell>
        </row>
        <row r="7657">
          <cell r="O7657">
            <v>47276</v>
          </cell>
          <cell r="P7657">
            <v>3.3757922308738531</v>
          </cell>
          <cell r="Q7657">
            <v>44.340123136414007</v>
          </cell>
        </row>
        <row r="7658">
          <cell r="O7658">
            <v>47277</v>
          </cell>
          <cell r="P7658">
            <v>3.3773250751242263</v>
          </cell>
          <cell r="Q7658">
            <v>44.360256633431057</v>
          </cell>
        </row>
        <row r="7659">
          <cell r="O7659">
            <v>47280</v>
          </cell>
          <cell r="P7659">
            <v>3.3788586153924021</v>
          </cell>
          <cell r="Q7659">
            <v>44.380399272454774</v>
          </cell>
        </row>
        <row r="7660">
          <cell r="O7660">
            <v>47281</v>
          </cell>
          <cell r="P7660">
            <v>3.380392851994424</v>
          </cell>
          <cell r="Q7660">
            <v>44.400551057636306</v>
          </cell>
        </row>
        <row r="7661">
          <cell r="O7661">
            <v>47282</v>
          </cell>
          <cell r="P7661">
            <v>3.3819277852464742</v>
          </cell>
          <cell r="Q7661">
            <v>44.420711993128613</v>
          </cell>
        </row>
        <row r="7662">
          <cell r="O7662">
            <v>47283</v>
          </cell>
          <cell r="P7662">
            <v>3.3834634154648811</v>
          </cell>
          <cell r="Q7662">
            <v>44.440882083086592</v>
          </cell>
        </row>
        <row r="7663">
          <cell r="O7663">
            <v>47284</v>
          </cell>
          <cell r="P7663">
            <v>3.3849997429661141</v>
          </cell>
          <cell r="Q7663">
            <v>44.461061331666976</v>
          </cell>
        </row>
        <row r="7664">
          <cell r="O7664">
            <v>47287</v>
          </cell>
          <cell r="P7664">
            <v>3.3865367680667897</v>
          </cell>
          <cell r="Q7664">
            <v>44.481249743028435</v>
          </cell>
        </row>
        <row r="7665">
          <cell r="O7665">
            <v>47288</v>
          </cell>
          <cell r="P7665">
            <v>3.3880744910836658</v>
          </cell>
          <cell r="Q7665">
            <v>44.501447321331511</v>
          </cell>
        </row>
        <row r="7666">
          <cell r="O7666">
            <v>47289</v>
          </cell>
          <cell r="P7666">
            <v>3.3896129123336456</v>
          </cell>
          <cell r="Q7666">
            <v>44.521654070738634</v>
          </cell>
        </row>
        <row r="7667">
          <cell r="O7667">
            <v>47290</v>
          </cell>
          <cell r="P7667">
            <v>3.3911520321337747</v>
          </cell>
          <cell r="Q7667">
            <v>44.541869995414118</v>
          </cell>
        </row>
        <row r="7668">
          <cell r="O7668">
            <v>47291</v>
          </cell>
          <cell r="P7668">
            <v>3.3926918508012434</v>
          </cell>
          <cell r="Q7668">
            <v>44.562095099524164</v>
          </cell>
        </row>
        <row r="7669">
          <cell r="O7669">
            <v>47294</v>
          </cell>
          <cell r="P7669">
            <v>3.3942323686533862</v>
          </cell>
          <cell r="Q7669">
            <v>44.582329387236875</v>
          </cell>
        </row>
        <row r="7670">
          <cell r="O7670">
            <v>47295</v>
          </cell>
          <cell r="P7670">
            <v>3.3957735860076825</v>
          </cell>
          <cell r="Q7670">
            <v>44.602572862722269</v>
          </cell>
        </row>
        <row r="7671">
          <cell r="O7671">
            <v>47296</v>
          </cell>
          <cell r="P7671">
            <v>3.397315503181753</v>
          </cell>
          <cell r="Q7671">
            <v>44.622825530152205</v>
          </cell>
        </row>
        <row r="7672">
          <cell r="O7672">
            <v>47297</v>
          </cell>
          <cell r="P7672">
            <v>3.3988581204933657</v>
          </cell>
          <cell r="Q7672">
            <v>44.643087393700469</v>
          </cell>
        </row>
        <row r="7673">
          <cell r="O7673">
            <v>47298</v>
          </cell>
          <cell r="P7673">
            <v>3.4004014382604315</v>
          </cell>
          <cell r="Q7673">
            <v>44.663358457542749</v>
          </cell>
        </row>
        <row r="7674">
          <cell r="O7674">
            <v>47301</v>
          </cell>
          <cell r="P7674">
            <v>3.4019454568010068</v>
          </cell>
          <cell r="Q7674">
            <v>44.683638725856625</v>
          </cell>
        </row>
        <row r="7675">
          <cell r="O7675">
            <v>47302</v>
          </cell>
          <cell r="P7675">
            <v>3.4034901764332894</v>
          </cell>
          <cell r="Q7675">
            <v>44.703928202821537</v>
          </cell>
        </row>
        <row r="7676">
          <cell r="O7676">
            <v>47303</v>
          </cell>
          <cell r="P7676">
            <v>3.4050355974756248</v>
          </cell>
          <cell r="Q7676">
            <v>44.724226892618873</v>
          </cell>
        </row>
        <row r="7677">
          <cell r="O7677">
            <v>47304</v>
          </cell>
          <cell r="P7677">
            <v>3.4065817202465021</v>
          </cell>
          <cell r="Q7677">
            <v>44.744534799431896</v>
          </cell>
        </row>
        <row r="7678">
          <cell r="O7678">
            <v>47305</v>
          </cell>
          <cell r="P7678">
            <v>3.4081285450645553</v>
          </cell>
          <cell r="Q7678">
            <v>44.764851927445783</v>
          </cell>
        </row>
        <row r="7679">
          <cell r="O7679">
            <v>47308</v>
          </cell>
          <cell r="P7679">
            <v>3.4096760722485611</v>
          </cell>
          <cell r="Q7679">
            <v>44.785178280847568</v>
          </cell>
        </row>
        <row r="7680">
          <cell r="O7680">
            <v>47309</v>
          </cell>
          <cell r="P7680">
            <v>3.4112243021174429</v>
          </cell>
          <cell r="Q7680">
            <v>44.805513863826242</v>
          </cell>
        </row>
        <row r="7681">
          <cell r="O7681">
            <v>47310</v>
          </cell>
          <cell r="P7681">
            <v>3.4127732349902691</v>
          </cell>
          <cell r="Q7681">
            <v>44.825858680572672</v>
          </cell>
        </row>
        <row r="7682">
          <cell r="O7682">
            <v>47311</v>
          </cell>
          <cell r="P7682">
            <v>3.4143228711862528</v>
          </cell>
          <cell r="Q7682">
            <v>44.846212735279643</v>
          </cell>
        </row>
        <row r="7683">
          <cell r="O7683">
            <v>47312</v>
          </cell>
          <cell r="P7683">
            <v>3.4158732110247501</v>
          </cell>
          <cell r="Q7683">
            <v>44.866576032141801</v>
          </cell>
        </row>
        <row r="7684">
          <cell r="O7684">
            <v>47315</v>
          </cell>
          <cell r="P7684">
            <v>3.4174242548252645</v>
          </cell>
          <cell r="Q7684">
            <v>44.886948575355746</v>
          </cell>
        </row>
        <row r="7685">
          <cell r="O7685">
            <v>47316</v>
          </cell>
          <cell r="P7685">
            <v>3.418976002907443</v>
          </cell>
          <cell r="Q7685">
            <v>44.907330369119954</v>
          </cell>
        </row>
        <row r="7686">
          <cell r="O7686">
            <v>47317</v>
          </cell>
          <cell r="P7686">
            <v>3.42052845559108</v>
          </cell>
          <cell r="Q7686">
            <v>44.927721417634842</v>
          </cell>
        </row>
        <row r="7687">
          <cell r="O7687">
            <v>47318</v>
          </cell>
          <cell r="P7687">
            <v>3.4220816131961125</v>
          </cell>
          <cell r="Q7687">
            <v>44.948121725102688</v>
          </cell>
        </row>
        <row r="7688">
          <cell r="O7688">
            <v>47319</v>
          </cell>
          <cell r="P7688">
            <v>3.4236354760426222</v>
          </cell>
          <cell r="Q7688">
            <v>44.968531295727686</v>
          </cell>
        </row>
        <row r="7689">
          <cell r="O7689">
            <v>47322</v>
          </cell>
          <cell r="P7689">
            <v>3.4251900444508405</v>
          </cell>
          <cell r="Q7689">
            <v>44.988950133715988</v>
          </cell>
        </row>
        <row r="7690">
          <cell r="O7690">
            <v>47323</v>
          </cell>
          <cell r="P7690">
            <v>3.4267453187411396</v>
          </cell>
          <cell r="Q7690">
            <v>45.009378243275599</v>
          </cell>
        </row>
        <row r="7691">
          <cell r="O7691">
            <v>47324</v>
          </cell>
          <cell r="P7691">
            <v>3.4283012992340405</v>
          </cell>
          <cell r="Q7691">
            <v>45.029815628616468</v>
          </cell>
        </row>
        <row r="7692">
          <cell r="O7692">
            <v>47325</v>
          </cell>
          <cell r="P7692">
            <v>3.4298579862502057</v>
          </cell>
          <cell r="Q7692">
            <v>45.050262293950411</v>
          </cell>
        </row>
        <row r="7693">
          <cell r="O7693">
            <v>47326</v>
          </cell>
          <cell r="P7693">
            <v>3.4314153801104492</v>
          </cell>
          <cell r="Q7693">
            <v>45.07071824349125</v>
          </cell>
        </row>
        <row r="7694">
          <cell r="O7694">
            <v>47329</v>
          </cell>
          <cell r="P7694">
            <v>3.4329734811357251</v>
          </cell>
          <cell r="Q7694">
            <v>45.091183481454607</v>
          </cell>
        </row>
        <row r="7695">
          <cell r="O7695">
            <v>47330</v>
          </cell>
          <cell r="P7695">
            <v>3.4345322896471364</v>
          </cell>
          <cell r="Q7695">
            <v>45.111658012058108</v>
          </cell>
        </row>
        <row r="7696">
          <cell r="O7696">
            <v>47331</v>
          </cell>
          <cell r="P7696">
            <v>3.4360918059659302</v>
          </cell>
          <cell r="Q7696">
            <v>45.132141839521225</v>
          </cell>
        </row>
        <row r="7697">
          <cell r="O7697">
            <v>47332</v>
          </cell>
          <cell r="P7697">
            <v>3.4376520304135001</v>
          </cell>
          <cell r="Q7697">
            <v>45.152634968065392</v>
          </cell>
        </row>
        <row r="7698">
          <cell r="O7698">
            <v>47333</v>
          </cell>
          <cell r="P7698">
            <v>3.4392129633113866</v>
          </cell>
          <cell r="Q7698">
            <v>45.173137401913948</v>
          </cell>
        </row>
        <row r="7699">
          <cell r="O7699">
            <v>47336</v>
          </cell>
          <cell r="P7699">
            <v>3.440774604981276</v>
          </cell>
          <cell r="Q7699">
            <v>45.193649145292163</v>
          </cell>
        </row>
        <row r="7700">
          <cell r="O7700">
            <v>47337</v>
          </cell>
          <cell r="P7700">
            <v>3.4423369557449983</v>
          </cell>
          <cell r="Q7700">
            <v>45.214170202427184</v>
          </cell>
        </row>
        <row r="7701">
          <cell r="O7701">
            <v>47338</v>
          </cell>
          <cell r="P7701">
            <v>3.4439000159245321</v>
          </cell>
          <cell r="Q7701">
            <v>45.234700577548111</v>
          </cell>
        </row>
        <row r="7702">
          <cell r="O7702">
            <v>47339</v>
          </cell>
          <cell r="P7702">
            <v>3.4454637858420014</v>
          </cell>
          <cell r="Q7702">
            <v>45.255240274885956</v>
          </cell>
        </row>
        <row r="7703">
          <cell r="O7703">
            <v>47340</v>
          </cell>
          <cell r="P7703">
            <v>3.4470282658196778</v>
          </cell>
          <cell r="Q7703">
            <v>45.275789298673679</v>
          </cell>
        </row>
        <row r="7704">
          <cell r="O7704">
            <v>47343</v>
          </cell>
          <cell r="P7704">
            <v>3.4485934561799763</v>
          </cell>
          <cell r="Q7704">
            <v>45.2963476531461</v>
          </cell>
        </row>
        <row r="7705">
          <cell r="O7705">
            <v>47344</v>
          </cell>
          <cell r="P7705">
            <v>3.4501593572454601</v>
          </cell>
          <cell r="Q7705">
            <v>45.316915342540014</v>
          </cell>
        </row>
        <row r="7706">
          <cell r="O7706">
            <v>47345</v>
          </cell>
          <cell r="P7706">
            <v>3.4517259693388391</v>
          </cell>
          <cell r="Q7706">
            <v>45.337492371094122</v>
          </cell>
        </row>
        <row r="7707">
          <cell r="O7707">
            <v>47346</v>
          </cell>
          <cell r="P7707">
            <v>3.4532932927829707</v>
          </cell>
          <cell r="Q7707">
            <v>45.35807874304907</v>
          </cell>
        </row>
        <row r="7708">
          <cell r="O7708">
            <v>47347</v>
          </cell>
          <cell r="P7708">
            <v>3.4548613279008555</v>
          </cell>
          <cell r="Q7708">
            <v>45.378674462647375</v>
          </cell>
        </row>
        <row r="7709">
          <cell r="O7709">
            <v>47350</v>
          </cell>
          <cell r="P7709">
            <v>3.4564300750156436</v>
          </cell>
          <cell r="Q7709">
            <v>45.399279534133541</v>
          </cell>
        </row>
        <row r="7710">
          <cell r="O7710">
            <v>47351</v>
          </cell>
          <cell r="P7710">
            <v>3.4579995344506309</v>
          </cell>
          <cell r="Q7710">
            <v>45.419893961753971</v>
          </cell>
        </row>
        <row r="7711">
          <cell r="O7711">
            <v>47352</v>
          </cell>
          <cell r="P7711">
            <v>3.4595697065292614</v>
          </cell>
          <cell r="Q7711">
            <v>45.440517749757007</v>
          </cell>
        </row>
        <row r="7712">
          <cell r="O7712">
            <v>47353</v>
          </cell>
          <cell r="P7712">
            <v>3.4611405915751234</v>
          </cell>
          <cell r="Q7712">
            <v>45.461150902392895</v>
          </cell>
        </row>
        <row r="7713">
          <cell r="O7713">
            <v>47354</v>
          </cell>
          <cell r="P7713">
            <v>3.462712189911954</v>
          </cell>
          <cell r="Q7713">
            <v>45.481793423913835</v>
          </cell>
        </row>
        <row r="7714">
          <cell r="O7714">
            <v>47357</v>
          </cell>
          <cell r="P7714">
            <v>3.464284501863637</v>
          </cell>
          <cell r="Q7714">
            <v>45.502445318573962</v>
          </cell>
        </row>
        <row r="7715">
          <cell r="O7715">
            <v>47358</v>
          </cell>
          <cell r="P7715">
            <v>3.4658575277542036</v>
          </cell>
          <cell r="Q7715">
            <v>45.523106590629332</v>
          </cell>
        </row>
        <row r="7716">
          <cell r="O7716">
            <v>47359</v>
          </cell>
          <cell r="P7716">
            <v>3.4674312679078305</v>
          </cell>
          <cell r="Q7716">
            <v>45.543777244337925</v>
          </cell>
        </row>
        <row r="7717">
          <cell r="O7717">
            <v>47360</v>
          </cell>
          <cell r="P7717">
            <v>3.4690057226488435</v>
          </cell>
          <cell r="Q7717">
            <v>45.564457283959662</v>
          </cell>
        </row>
        <row r="7718">
          <cell r="O7718">
            <v>47361</v>
          </cell>
          <cell r="P7718">
            <v>3.4705808923017152</v>
          </cell>
          <cell r="Q7718">
            <v>45.585146713756409</v>
          </cell>
        </row>
        <row r="7719">
          <cell r="O7719">
            <v>47364</v>
          </cell>
          <cell r="P7719">
            <v>3.4721567771910653</v>
          </cell>
          <cell r="Q7719">
            <v>45.605845537991961</v>
          </cell>
        </row>
        <row r="7720">
          <cell r="O7720">
            <v>47365</v>
          </cell>
          <cell r="P7720">
            <v>3.4737333776416599</v>
          </cell>
          <cell r="Q7720">
            <v>45.626553760932033</v>
          </cell>
        </row>
        <row r="7721">
          <cell r="O7721">
            <v>47366</v>
          </cell>
          <cell r="P7721">
            <v>3.4753106939784142</v>
          </cell>
          <cell r="Q7721">
            <v>45.647271386844295</v>
          </cell>
        </row>
        <row r="7722">
          <cell r="O7722">
            <v>47367</v>
          </cell>
          <cell r="P7722">
            <v>3.4768887265263899</v>
          </cell>
          <cell r="Q7722">
            <v>45.667998419998341</v>
          </cell>
        </row>
        <row r="7723">
          <cell r="O7723">
            <v>47371</v>
          </cell>
          <cell r="P7723">
            <v>3.4784674756107981</v>
          </cell>
          <cell r="Q7723">
            <v>45.688734864665747</v>
          </cell>
        </row>
        <row r="7724">
          <cell r="O7724">
            <v>47372</v>
          </cell>
          <cell r="P7724">
            <v>3.4800469415569939</v>
          </cell>
          <cell r="Q7724">
            <v>45.709480725119953</v>
          </cell>
        </row>
        <row r="7725">
          <cell r="O7725">
            <v>47373</v>
          </cell>
          <cell r="P7725">
            <v>3.4816271246904842</v>
          </cell>
          <cell r="Q7725">
            <v>45.730236005636399</v>
          </cell>
        </row>
        <row r="7726">
          <cell r="O7726">
            <v>47374</v>
          </cell>
          <cell r="P7726">
            <v>3.4832080253369195</v>
          </cell>
          <cell r="Q7726">
            <v>45.751000710492434</v>
          </cell>
        </row>
        <row r="7727">
          <cell r="O7727">
            <v>47375</v>
          </cell>
          <cell r="P7727">
            <v>3.4847896438221042</v>
          </cell>
          <cell r="Q7727">
            <v>45.771774843967393</v>
          </cell>
        </row>
        <row r="7728">
          <cell r="O7728">
            <v>47378</v>
          </cell>
          <cell r="P7728">
            <v>3.4863719804719837</v>
          </cell>
          <cell r="Q7728">
            <v>45.792558410342494</v>
          </cell>
        </row>
        <row r="7729">
          <cell r="O7729">
            <v>47379</v>
          </cell>
          <cell r="P7729">
            <v>3.4879550356126567</v>
          </cell>
          <cell r="Q7729">
            <v>45.813351413900953</v>
          </cell>
        </row>
        <row r="7730">
          <cell r="O7730">
            <v>47380</v>
          </cell>
          <cell r="P7730">
            <v>3.4895388095703654</v>
          </cell>
          <cell r="Q7730">
            <v>45.83415385892787</v>
          </cell>
        </row>
        <row r="7731">
          <cell r="O7731">
            <v>47381</v>
          </cell>
          <cell r="P7731">
            <v>3.4911233026715065</v>
          </cell>
          <cell r="Q7731">
            <v>45.854965749710381</v>
          </cell>
        </row>
        <row r="7732">
          <cell r="O7732">
            <v>47382</v>
          </cell>
          <cell r="P7732">
            <v>3.4927085152426178</v>
          </cell>
          <cell r="Q7732">
            <v>45.875787090537472</v>
          </cell>
        </row>
        <row r="7733">
          <cell r="O7733">
            <v>47385</v>
          </cell>
          <cell r="P7733">
            <v>3.494294447610391</v>
          </cell>
          <cell r="Q7733">
            <v>45.896617885700152</v>
          </cell>
        </row>
        <row r="7734">
          <cell r="O7734">
            <v>47386</v>
          </cell>
          <cell r="P7734">
            <v>3.495881100101661</v>
          </cell>
          <cell r="Q7734">
            <v>45.917458139491302</v>
          </cell>
        </row>
        <row r="7735">
          <cell r="O7735">
            <v>47387</v>
          </cell>
          <cell r="P7735">
            <v>3.4974684730434169</v>
          </cell>
          <cell r="Q7735">
            <v>45.938307856205846</v>
          </cell>
        </row>
        <row r="7736">
          <cell r="O7736">
            <v>47388</v>
          </cell>
          <cell r="P7736">
            <v>3.4990565667627913</v>
          </cell>
          <cell r="Q7736">
            <v>45.959167040140571</v>
          </cell>
        </row>
        <row r="7737">
          <cell r="O7737">
            <v>47389</v>
          </cell>
          <cell r="P7737">
            <v>3.5006453815870686</v>
          </cell>
          <cell r="Q7737">
            <v>45.980035695594282</v>
          </cell>
        </row>
        <row r="7738">
          <cell r="O7738">
            <v>47392</v>
          </cell>
          <cell r="P7738">
            <v>3.5022349178436789</v>
          </cell>
          <cell r="Q7738">
            <v>46.000913826867674</v>
          </cell>
        </row>
        <row r="7739">
          <cell r="O7739">
            <v>47393</v>
          </cell>
          <cell r="P7739">
            <v>3.5038251758602046</v>
          </cell>
          <cell r="Q7739">
            <v>46.021801438263466</v>
          </cell>
        </row>
        <row r="7740">
          <cell r="O7740">
            <v>47394</v>
          </cell>
          <cell r="P7740">
            <v>3.5054161559643737</v>
          </cell>
          <cell r="Q7740">
            <v>46.04269853408627</v>
          </cell>
        </row>
        <row r="7741">
          <cell r="O7741">
            <v>47395</v>
          </cell>
          <cell r="P7741">
            <v>3.5070078584840645</v>
          </cell>
          <cell r="Q7741">
            <v>46.063605118642677</v>
          </cell>
        </row>
        <row r="7742">
          <cell r="O7742">
            <v>47396</v>
          </cell>
          <cell r="P7742">
            <v>3.5086002837473025</v>
          </cell>
          <cell r="Q7742">
            <v>46.084521196241219</v>
          </cell>
        </row>
        <row r="7743">
          <cell r="O7743">
            <v>47399</v>
          </cell>
          <cell r="P7743">
            <v>3.5101934320822661</v>
          </cell>
          <cell r="Q7743">
            <v>46.105446771192426</v>
          </cell>
        </row>
        <row r="7744">
          <cell r="O7744">
            <v>47400</v>
          </cell>
          <cell r="P7744">
            <v>3.5117873038172784</v>
          </cell>
          <cell r="Q7744">
            <v>46.126381847808737</v>
          </cell>
        </row>
        <row r="7745">
          <cell r="O7745">
            <v>47401</v>
          </cell>
          <cell r="P7745">
            <v>3.5133818992808137</v>
          </cell>
          <cell r="Q7745">
            <v>46.147326430404576</v>
          </cell>
        </row>
        <row r="7746">
          <cell r="O7746">
            <v>47402</v>
          </cell>
          <cell r="P7746">
            <v>3.5149772188014947</v>
          </cell>
          <cell r="Q7746">
            <v>46.16828052329631</v>
          </cell>
        </row>
        <row r="7747">
          <cell r="O7747">
            <v>47406</v>
          </cell>
          <cell r="P7747">
            <v>3.5165732627080937</v>
          </cell>
          <cell r="Q7747">
            <v>46.189244130802273</v>
          </cell>
        </row>
        <row r="7748">
          <cell r="O7748">
            <v>47407</v>
          </cell>
          <cell r="P7748">
            <v>3.5181700313295323</v>
          </cell>
          <cell r="Q7748">
            <v>46.210217257242768</v>
          </cell>
        </row>
        <row r="7749">
          <cell r="O7749">
            <v>47408</v>
          </cell>
          <cell r="P7749">
            <v>3.5197675249948821</v>
          </cell>
          <cell r="Q7749">
            <v>46.231199906940056</v>
          </cell>
        </row>
        <row r="7750">
          <cell r="O7750">
            <v>47409</v>
          </cell>
          <cell r="P7750">
            <v>3.5213657440333628</v>
          </cell>
          <cell r="Q7750">
            <v>46.25219208421835</v>
          </cell>
        </row>
        <row r="7751">
          <cell r="O7751">
            <v>47410</v>
          </cell>
          <cell r="P7751">
            <v>3.5229646887743438</v>
          </cell>
          <cell r="Q7751">
            <v>46.273193793403827</v>
          </cell>
        </row>
        <row r="7752">
          <cell r="O7752">
            <v>47413</v>
          </cell>
          <cell r="P7752">
            <v>3.5245643595473455</v>
          </cell>
          <cell r="Q7752">
            <v>46.294205038824657</v>
          </cell>
        </row>
        <row r="7753">
          <cell r="O7753">
            <v>47414</v>
          </cell>
          <cell r="P7753">
            <v>3.5261647566820358</v>
          </cell>
          <cell r="Q7753">
            <v>46.315225824810938</v>
          </cell>
        </row>
        <row r="7754">
          <cell r="O7754">
            <v>47415</v>
          </cell>
          <cell r="P7754">
            <v>3.5277658805082344</v>
          </cell>
          <cell r="Q7754">
            <v>46.336256155694748</v>
          </cell>
        </row>
        <row r="7755">
          <cell r="O7755">
            <v>47416</v>
          </cell>
          <cell r="P7755">
            <v>3.529367731355908</v>
          </cell>
          <cell r="Q7755">
            <v>46.35729603581013</v>
          </cell>
        </row>
        <row r="7756">
          <cell r="O7756">
            <v>47417</v>
          </cell>
          <cell r="P7756">
            <v>3.5309703095551774</v>
          </cell>
          <cell r="Q7756">
            <v>46.378345469493119</v>
          </cell>
        </row>
        <row r="7757">
          <cell r="O7757">
            <v>47420</v>
          </cell>
          <cell r="P7757">
            <v>3.5325736154363092</v>
          </cell>
          <cell r="Q7757">
            <v>46.399404461081687</v>
          </cell>
        </row>
        <row r="7758">
          <cell r="O7758">
            <v>47421</v>
          </cell>
          <cell r="P7758">
            <v>3.5341776493297221</v>
          </cell>
          <cell r="Q7758">
            <v>46.420473014915792</v>
          </cell>
        </row>
        <row r="7759">
          <cell r="O7759">
            <v>47422</v>
          </cell>
          <cell r="P7759">
            <v>3.5357824115659824</v>
          </cell>
          <cell r="Q7759">
            <v>46.441551135337328</v>
          </cell>
        </row>
        <row r="7760">
          <cell r="O7760">
            <v>47423</v>
          </cell>
          <cell r="P7760">
            <v>3.5373879024758117</v>
          </cell>
          <cell r="Q7760">
            <v>46.462638826690238</v>
          </cell>
        </row>
        <row r="7761">
          <cell r="O7761">
            <v>47427</v>
          </cell>
          <cell r="P7761">
            <v>3.5389941223900756</v>
          </cell>
          <cell r="Q7761">
            <v>46.483736093320353</v>
          </cell>
        </row>
        <row r="7762">
          <cell r="O7762">
            <v>47428</v>
          </cell>
          <cell r="P7762">
            <v>3.5406010716397947</v>
          </cell>
          <cell r="Q7762">
            <v>46.504842939575546</v>
          </cell>
        </row>
        <row r="7763">
          <cell r="O7763">
            <v>47429</v>
          </cell>
          <cell r="P7763">
            <v>3.5422087505561355</v>
          </cell>
          <cell r="Q7763">
            <v>46.525959369805584</v>
          </cell>
        </row>
        <row r="7764">
          <cell r="O7764">
            <v>47430</v>
          </cell>
          <cell r="P7764">
            <v>3.5438171594704206</v>
          </cell>
          <cell r="Q7764">
            <v>46.547085388362319</v>
          </cell>
        </row>
        <row r="7765">
          <cell r="O7765">
            <v>47431</v>
          </cell>
          <cell r="P7765">
            <v>3.5454262987141174</v>
          </cell>
          <cell r="Q7765">
            <v>46.568220999599468</v>
          </cell>
        </row>
        <row r="7766">
          <cell r="O7766">
            <v>47434</v>
          </cell>
          <cell r="P7766">
            <v>3.5470361686188476</v>
          </cell>
          <cell r="Q7766">
            <v>46.589366207872807</v>
          </cell>
        </row>
        <row r="7767">
          <cell r="O7767">
            <v>47435</v>
          </cell>
          <cell r="P7767">
            <v>3.5486467695163801</v>
          </cell>
          <cell r="Q7767">
            <v>46.61052101754003</v>
          </cell>
        </row>
        <row r="7768">
          <cell r="O7768">
            <v>47436</v>
          </cell>
          <cell r="P7768">
            <v>3.5502581017386392</v>
          </cell>
          <cell r="Q7768">
            <v>46.631685432960865</v>
          </cell>
        </row>
        <row r="7769">
          <cell r="O7769">
            <v>47438</v>
          </cell>
          <cell r="P7769">
            <v>3.5518701656176948</v>
          </cell>
          <cell r="Q7769">
            <v>46.652859458496962</v>
          </cell>
        </row>
        <row r="7770">
          <cell r="O7770">
            <v>47441</v>
          </cell>
          <cell r="P7770">
            <v>3.5534829614857717</v>
          </cell>
          <cell r="Q7770">
            <v>46.674043098512008</v>
          </cell>
        </row>
        <row r="7771">
          <cell r="O7771">
            <v>47442</v>
          </cell>
          <cell r="P7771">
            <v>3.5550964896752415</v>
          </cell>
          <cell r="Q7771">
            <v>46.69523635737162</v>
          </cell>
        </row>
        <row r="7772">
          <cell r="O7772">
            <v>47443</v>
          </cell>
          <cell r="P7772">
            <v>3.5567107505186315</v>
          </cell>
          <cell r="Q7772">
            <v>46.716439239443446</v>
          </cell>
        </row>
        <row r="7773">
          <cell r="O7773">
            <v>47444</v>
          </cell>
          <cell r="P7773">
            <v>3.558325744348616</v>
          </cell>
          <cell r="Q7773">
            <v>46.737651749097076</v>
          </cell>
        </row>
        <row r="7774">
          <cell r="O7774">
            <v>47445</v>
          </cell>
          <cell r="P7774">
            <v>3.5599414714980231</v>
          </cell>
          <cell r="Q7774">
            <v>46.758873890704116</v>
          </cell>
        </row>
        <row r="7775">
          <cell r="O7775">
            <v>47448</v>
          </cell>
          <cell r="P7775">
            <v>3.5615579322998281</v>
          </cell>
          <cell r="Q7775">
            <v>46.780105668638114</v>
          </cell>
        </row>
        <row r="7776">
          <cell r="O7776">
            <v>47449</v>
          </cell>
          <cell r="P7776">
            <v>3.5631751270871637</v>
          </cell>
          <cell r="Q7776">
            <v>46.801347087274671</v>
          </cell>
        </row>
        <row r="7777">
          <cell r="O7777">
            <v>47450</v>
          </cell>
          <cell r="P7777">
            <v>3.5647930561933081</v>
          </cell>
          <cell r="Q7777">
            <v>46.822598150991304</v>
          </cell>
        </row>
        <row r="7778">
          <cell r="O7778">
            <v>47451</v>
          </cell>
          <cell r="P7778">
            <v>3.5664117199516938</v>
          </cell>
          <cell r="Q7778">
            <v>46.843858864167572</v>
          </cell>
        </row>
        <row r="7779">
          <cell r="O7779">
            <v>47452</v>
          </cell>
          <cell r="P7779">
            <v>3.5680311186959033</v>
          </cell>
          <cell r="Q7779">
            <v>46.86512923118498</v>
          </cell>
        </row>
        <row r="7780">
          <cell r="O7780">
            <v>47455</v>
          </cell>
          <cell r="P7780">
            <v>3.5696512527596718</v>
          </cell>
          <cell r="Q7780">
            <v>46.886409256427051</v>
          </cell>
        </row>
        <row r="7781">
          <cell r="O7781">
            <v>47456</v>
          </cell>
          <cell r="P7781">
            <v>3.5712721224768851</v>
          </cell>
          <cell r="Q7781">
            <v>46.907698944279296</v>
          </cell>
        </row>
        <row r="7782">
          <cell r="O7782">
            <v>47457</v>
          </cell>
          <cell r="P7782">
            <v>3.5728937281815822</v>
          </cell>
          <cell r="Q7782">
            <v>46.928998299129212</v>
          </cell>
        </row>
        <row r="7783">
          <cell r="O7783">
            <v>47458</v>
          </cell>
          <cell r="P7783">
            <v>3.5745160702079506</v>
          </cell>
          <cell r="Q7783">
            <v>46.950307325366275</v>
          </cell>
        </row>
        <row r="7784">
          <cell r="O7784">
            <v>47459</v>
          </cell>
          <cell r="P7784">
            <v>3.5761391488903329</v>
          </cell>
          <cell r="Q7784">
            <v>46.971626027381973</v>
          </cell>
        </row>
        <row r="7785">
          <cell r="O7785">
            <v>47462</v>
          </cell>
          <cell r="P7785">
            <v>3.5777629645632216</v>
          </cell>
          <cell r="Q7785">
            <v>46.992954409569791</v>
          </cell>
        </row>
        <row r="7786">
          <cell r="O7786">
            <v>47463</v>
          </cell>
          <cell r="P7786">
            <v>3.5793875175612624</v>
          </cell>
          <cell r="Q7786">
            <v>47.014292476325188</v>
          </cell>
        </row>
        <row r="7787">
          <cell r="O7787">
            <v>47464</v>
          </cell>
          <cell r="P7787">
            <v>3.5810128082192509</v>
          </cell>
          <cell r="Q7787">
            <v>47.035640232045637</v>
          </cell>
        </row>
        <row r="7788">
          <cell r="O7788">
            <v>47465</v>
          </cell>
          <cell r="P7788">
            <v>3.5826388368721362</v>
          </cell>
          <cell r="Q7788">
            <v>47.056997681130589</v>
          </cell>
        </row>
        <row r="7789">
          <cell r="O7789">
            <v>47466</v>
          </cell>
          <cell r="P7789">
            <v>3.58426560385502</v>
          </cell>
          <cell r="Q7789">
            <v>47.078364827981524</v>
          </cell>
        </row>
        <row r="7790">
          <cell r="O7790">
            <v>47469</v>
          </cell>
          <cell r="P7790">
            <v>3.5858931095031559</v>
          </cell>
          <cell r="Q7790">
            <v>47.099741677001902</v>
          </cell>
        </row>
        <row r="7791">
          <cell r="O7791">
            <v>47470</v>
          </cell>
          <cell r="P7791">
            <v>3.5875213541519471</v>
          </cell>
          <cell r="Q7791">
            <v>47.121128232597151</v>
          </cell>
        </row>
        <row r="7792">
          <cell r="O7792">
            <v>47471</v>
          </cell>
          <cell r="P7792">
            <v>3.5891503381369532</v>
          </cell>
          <cell r="Q7792">
            <v>47.142524499174769</v>
          </cell>
        </row>
        <row r="7793">
          <cell r="O7793">
            <v>47472</v>
          </cell>
          <cell r="P7793">
            <v>3.590780061793883</v>
          </cell>
          <cell r="Q7793">
            <v>47.163930481144192</v>
          </cell>
        </row>
        <row r="7794">
          <cell r="O7794">
            <v>47473</v>
          </cell>
          <cell r="P7794">
            <v>3.5924105254586007</v>
          </cell>
          <cell r="Q7794">
            <v>47.185346182916902</v>
          </cell>
        </row>
        <row r="7795">
          <cell r="O7795">
            <v>47476</v>
          </cell>
          <cell r="P7795">
            <v>3.594041729467119</v>
          </cell>
          <cell r="Q7795">
            <v>47.206771608906344</v>
          </cell>
        </row>
        <row r="7796">
          <cell r="O7796">
            <v>47478</v>
          </cell>
          <cell r="P7796">
            <v>3.595673674155607</v>
          </cell>
          <cell r="Q7796">
            <v>47.228206763528</v>
          </cell>
        </row>
        <row r="7797">
          <cell r="O7797">
            <v>47479</v>
          </cell>
          <cell r="P7797">
            <v>3.5973063598603838</v>
          </cell>
          <cell r="Q7797">
            <v>47.249651651199336</v>
          </cell>
        </row>
        <row r="7798">
          <cell r="O7798">
            <v>47480</v>
          </cell>
          <cell r="P7798">
            <v>3.5989397869179243</v>
          </cell>
          <cell r="Q7798">
            <v>47.271106276339864</v>
          </cell>
        </row>
        <row r="7799">
          <cell r="O7799">
            <v>47483</v>
          </cell>
          <cell r="P7799">
            <v>3.6005739556648515</v>
          </cell>
          <cell r="Q7799">
            <v>47.292570643371029</v>
          </cell>
        </row>
        <row r="7800">
          <cell r="O7800">
            <v>47485</v>
          </cell>
          <cell r="P7800">
            <v>3.602208866437945</v>
          </cell>
          <cell r="Q7800">
            <v>47.314044756716342</v>
          </cell>
        </row>
        <row r="7801">
          <cell r="O7801">
            <v>47486</v>
          </cell>
          <cell r="P7801">
            <v>3.6038445195741367</v>
          </cell>
          <cell r="Q7801">
            <v>47.335528620801313</v>
          </cell>
        </row>
        <row r="7802">
          <cell r="O7802">
            <v>47487</v>
          </cell>
          <cell r="P7802">
            <v>3.6054809154105119</v>
          </cell>
          <cell r="Q7802">
            <v>47.357022240053475</v>
          </cell>
        </row>
        <row r="7803">
          <cell r="O7803">
            <v>47490</v>
          </cell>
          <cell r="P7803">
            <v>3.6071180542843058</v>
          </cell>
          <cell r="Q7803">
            <v>47.378525618902309</v>
          </cell>
        </row>
        <row r="7804">
          <cell r="O7804">
            <v>47491</v>
          </cell>
          <cell r="P7804">
            <v>3.6087559365329098</v>
          </cell>
          <cell r="Q7804">
            <v>47.400038761779363</v>
          </cell>
        </row>
        <row r="7805">
          <cell r="O7805">
            <v>47492</v>
          </cell>
          <cell r="P7805">
            <v>3.6103945624938683</v>
          </cell>
          <cell r="Q7805">
            <v>47.421561673118198</v>
          </cell>
        </row>
        <row r="7806">
          <cell r="O7806">
            <v>47493</v>
          </cell>
          <cell r="P7806">
            <v>3.6120339325048794</v>
          </cell>
          <cell r="Q7806">
            <v>47.443094357354383</v>
          </cell>
        </row>
        <row r="7807">
          <cell r="O7807">
            <v>47494</v>
          </cell>
          <cell r="P7807">
            <v>3.6136740469037911</v>
          </cell>
          <cell r="Q7807">
            <v>47.464636818925463</v>
          </cell>
        </row>
        <row r="7808">
          <cell r="O7808">
            <v>47497</v>
          </cell>
          <cell r="P7808">
            <v>3.6153149060286092</v>
          </cell>
          <cell r="Q7808">
            <v>47.486189062271052</v>
          </cell>
        </row>
        <row r="7809">
          <cell r="O7809">
            <v>47498</v>
          </cell>
          <cell r="P7809">
            <v>3.6169565102174888</v>
          </cell>
          <cell r="Q7809">
            <v>47.507751091832731</v>
          </cell>
        </row>
        <row r="7810">
          <cell r="O7810">
            <v>47499</v>
          </cell>
          <cell r="P7810">
            <v>3.6185988598087433</v>
          </cell>
          <cell r="Q7810">
            <v>47.529322912054141</v>
          </cell>
        </row>
        <row r="7811">
          <cell r="O7811">
            <v>47500</v>
          </cell>
          <cell r="P7811">
            <v>3.6202419551408358</v>
          </cell>
          <cell r="Q7811">
            <v>47.550904527380922</v>
          </cell>
        </row>
        <row r="7812">
          <cell r="O7812">
            <v>47501</v>
          </cell>
          <cell r="P7812">
            <v>3.6218857965523852</v>
          </cell>
          <cell r="Q7812">
            <v>47.57249594226073</v>
          </cell>
        </row>
        <row r="7813">
          <cell r="O7813">
            <v>47504</v>
          </cell>
          <cell r="P7813">
            <v>3.6235303843821627</v>
          </cell>
          <cell r="Q7813">
            <v>47.594097161143246</v>
          </cell>
        </row>
        <row r="7814">
          <cell r="O7814">
            <v>47505</v>
          </cell>
          <cell r="P7814">
            <v>3.6251757189690936</v>
          </cell>
          <cell r="Q7814">
            <v>47.615708188480149</v>
          </cell>
        </row>
        <row r="7815">
          <cell r="O7815">
            <v>47506</v>
          </cell>
          <cell r="P7815">
            <v>3.6268218006522592</v>
          </cell>
          <cell r="Q7815">
            <v>47.637329028725183</v>
          </cell>
        </row>
        <row r="7816">
          <cell r="O7816">
            <v>47507</v>
          </cell>
          <cell r="P7816">
            <v>3.6284686297708917</v>
          </cell>
          <cell r="Q7816">
            <v>47.658959686334079</v>
          </cell>
        </row>
        <row r="7817">
          <cell r="O7817">
            <v>47508</v>
          </cell>
          <cell r="P7817">
            <v>3.6301162066643791</v>
          </cell>
          <cell r="Q7817">
            <v>47.680600165764595</v>
          </cell>
        </row>
        <row r="7818">
          <cell r="O7818">
            <v>47511</v>
          </cell>
          <cell r="P7818">
            <v>3.6317645316722627</v>
          </cell>
          <cell r="Q7818">
            <v>47.702250471476532</v>
          </cell>
        </row>
        <row r="7819">
          <cell r="O7819">
            <v>47512</v>
          </cell>
          <cell r="P7819">
            <v>3.6334136051342401</v>
          </cell>
          <cell r="Q7819">
            <v>47.723910607931714</v>
          </cell>
        </row>
        <row r="7820">
          <cell r="O7820">
            <v>47513</v>
          </cell>
          <cell r="P7820">
            <v>3.6350634273901594</v>
          </cell>
          <cell r="Q7820">
            <v>47.745580579593955</v>
          </cell>
        </row>
        <row r="7821">
          <cell r="O7821">
            <v>47514</v>
          </cell>
          <cell r="P7821">
            <v>3.6367139987800261</v>
          </cell>
          <cell r="Q7821">
            <v>47.767260390929145</v>
          </cell>
        </row>
        <row r="7822">
          <cell r="O7822">
            <v>47515</v>
          </cell>
          <cell r="P7822">
            <v>3.6383653196439991</v>
          </cell>
          <cell r="Q7822">
            <v>47.788950046405169</v>
          </cell>
        </row>
        <row r="7823">
          <cell r="O7823">
            <v>47518</v>
          </cell>
          <cell r="P7823">
            <v>3.640017390322392</v>
          </cell>
          <cell r="Q7823">
            <v>47.810649550491959</v>
          </cell>
        </row>
        <row r="7824">
          <cell r="O7824">
            <v>47519</v>
          </cell>
          <cell r="P7824">
            <v>3.6416702111556636</v>
          </cell>
          <cell r="Q7824">
            <v>47.832358907661344</v>
          </cell>
        </row>
        <row r="7825">
          <cell r="O7825">
            <v>47520</v>
          </cell>
          <cell r="P7825">
            <v>3.6433237824844538</v>
          </cell>
          <cell r="Q7825">
            <v>47.854078122387548</v>
          </cell>
        </row>
        <row r="7826">
          <cell r="O7826">
            <v>47521</v>
          </cell>
          <cell r="P7826">
            <v>3.6449781046495291</v>
          </cell>
          <cell r="Q7826">
            <v>47.875807199146443</v>
          </cell>
        </row>
        <row r="7827">
          <cell r="O7827">
            <v>47522</v>
          </cell>
          <cell r="P7827">
            <v>3.6466331779918248</v>
          </cell>
          <cell r="Q7827">
            <v>47.897546142416125</v>
          </cell>
        </row>
        <row r="7828">
          <cell r="O7828">
            <v>47525</v>
          </cell>
          <cell r="P7828">
            <v>3.6482890028524251</v>
          </cell>
          <cell r="Q7828">
            <v>47.919294956676637</v>
          </cell>
        </row>
        <row r="7829">
          <cell r="O7829">
            <v>47526</v>
          </cell>
          <cell r="P7829">
            <v>3.6499455795725733</v>
          </cell>
          <cell r="Q7829">
            <v>47.941053646410118</v>
          </cell>
        </row>
        <row r="7830">
          <cell r="O7830">
            <v>47527</v>
          </cell>
          <cell r="P7830">
            <v>3.6516029084936634</v>
          </cell>
          <cell r="Q7830">
            <v>47.96282221610069</v>
          </cell>
        </row>
        <row r="7831">
          <cell r="O7831">
            <v>47528</v>
          </cell>
          <cell r="P7831">
            <v>3.6532609899572495</v>
          </cell>
          <cell r="Q7831">
            <v>47.984600670234578</v>
          </cell>
        </row>
        <row r="7832">
          <cell r="O7832">
            <v>47529</v>
          </cell>
          <cell r="P7832">
            <v>3.6549198243050367</v>
          </cell>
          <cell r="Q7832">
            <v>48.00638901329998</v>
          </cell>
        </row>
        <row r="7833">
          <cell r="O7833">
            <v>47532</v>
          </cell>
          <cell r="P7833">
            <v>3.6565794118788877</v>
          </cell>
          <cell r="Q7833">
            <v>48.028187249787173</v>
          </cell>
        </row>
        <row r="7834">
          <cell r="O7834">
            <v>47533</v>
          </cell>
          <cell r="P7834">
            <v>3.6582397530208173</v>
          </cell>
          <cell r="Q7834">
            <v>48.049995384188428</v>
          </cell>
        </row>
        <row r="7835">
          <cell r="O7835">
            <v>47534</v>
          </cell>
          <cell r="P7835">
            <v>3.6599008480730011</v>
          </cell>
          <cell r="Q7835">
            <v>48.071813420998133</v>
          </cell>
        </row>
        <row r="7836">
          <cell r="O7836">
            <v>47535</v>
          </cell>
          <cell r="P7836">
            <v>3.6615626973777644</v>
          </cell>
          <cell r="Q7836">
            <v>48.093641364712632</v>
          </cell>
        </row>
        <row r="7837">
          <cell r="O7837">
            <v>47536</v>
          </cell>
          <cell r="P7837">
            <v>3.6632253012775915</v>
          </cell>
          <cell r="Q7837">
            <v>48.115479219830377</v>
          </cell>
        </row>
        <row r="7838">
          <cell r="O7838">
            <v>47539</v>
          </cell>
          <cell r="P7838">
            <v>3.6648886601151185</v>
          </cell>
          <cell r="Q7838">
            <v>48.137326990851783</v>
          </cell>
        </row>
        <row r="7839">
          <cell r="O7839">
            <v>47540</v>
          </cell>
          <cell r="P7839">
            <v>3.6665527742331432</v>
          </cell>
          <cell r="Q7839">
            <v>48.159184682279424</v>
          </cell>
        </row>
        <row r="7840">
          <cell r="O7840">
            <v>47541</v>
          </cell>
          <cell r="P7840">
            <v>3.668217643974613</v>
          </cell>
          <cell r="Q7840">
            <v>48.181052298617814</v>
          </cell>
        </row>
        <row r="7841">
          <cell r="O7841">
            <v>47542</v>
          </cell>
          <cell r="P7841">
            <v>3.6698832696826353</v>
          </cell>
          <cell r="Q7841">
            <v>48.202929844373571</v>
          </cell>
        </row>
        <row r="7842">
          <cell r="O7842">
            <v>47543</v>
          </cell>
          <cell r="P7842">
            <v>3.671549651700468</v>
          </cell>
          <cell r="Q7842">
            <v>48.224817324055309</v>
          </cell>
        </row>
        <row r="7843">
          <cell r="O7843">
            <v>47548</v>
          </cell>
          <cell r="P7843">
            <v>3.6732167903715327</v>
          </cell>
          <cell r="Q7843">
            <v>48.246714742173765</v>
          </cell>
        </row>
        <row r="7844">
          <cell r="O7844">
            <v>47549</v>
          </cell>
          <cell r="P7844">
            <v>3.6748846860393996</v>
          </cell>
          <cell r="Q7844">
            <v>48.268622103241647</v>
          </cell>
        </row>
        <row r="7845">
          <cell r="O7845">
            <v>47550</v>
          </cell>
          <cell r="P7845">
            <v>3.6765533390477994</v>
          </cell>
          <cell r="Q7845">
            <v>48.290539411773764</v>
          </cell>
        </row>
        <row r="7846">
          <cell r="O7846">
            <v>47553</v>
          </cell>
          <cell r="P7846">
            <v>3.6782227497406148</v>
          </cell>
          <cell r="Q7846">
            <v>48.312466672286931</v>
          </cell>
        </row>
        <row r="7847">
          <cell r="O7847">
            <v>47554</v>
          </cell>
          <cell r="P7847">
            <v>3.6798929184618907</v>
          </cell>
          <cell r="Q7847">
            <v>48.334403889300077</v>
          </cell>
        </row>
        <row r="7848">
          <cell r="O7848">
            <v>47555</v>
          </cell>
          <cell r="P7848">
            <v>3.6815638455558224</v>
          </cell>
          <cell r="Q7848">
            <v>48.35635106733411</v>
          </cell>
        </row>
        <row r="7849">
          <cell r="O7849">
            <v>47556</v>
          </cell>
          <cell r="P7849">
            <v>3.6832355313667651</v>
          </cell>
          <cell r="Q7849">
            <v>48.378308210912053</v>
          </cell>
        </row>
        <row r="7850">
          <cell r="O7850">
            <v>47557</v>
          </cell>
          <cell r="P7850">
            <v>3.6849079762392267</v>
          </cell>
          <cell r="Q7850">
            <v>48.400275324558919</v>
          </cell>
        </row>
        <row r="7851">
          <cell r="O7851">
            <v>47560</v>
          </cell>
          <cell r="P7851">
            <v>3.686581180517877</v>
          </cell>
          <cell r="Q7851">
            <v>48.422252412801853</v>
          </cell>
        </row>
        <row r="7852">
          <cell r="O7852">
            <v>47561</v>
          </cell>
          <cell r="P7852">
            <v>3.6882551445475373</v>
          </cell>
          <cell r="Q7852">
            <v>48.44423948016999</v>
          </cell>
        </row>
        <row r="7853">
          <cell r="O7853">
            <v>47562</v>
          </cell>
          <cell r="P7853">
            <v>3.6899298686731878</v>
          </cell>
          <cell r="Q7853">
            <v>48.466236531194554</v>
          </cell>
        </row>
        <row r="7854">
          <cell r="O7854">
            <v>47563</v>
          </cell>
          <cell r="P7854">
            <v>3.691605353239964</v>
          </cell>
          <cell r="Q7854">
            <v>48.488243570408812</v>
          </cell>
        </row>
        <row r="7855">
          <cell r="O7855">
            <v>47564</v>
          </cell>
          <cell r="P7855">
            <v>3.6932815985931611</v>
          </cell>
          <cell r="Q7855">
            <v>48.510260602348112</v>
          </cell>
        </row>
        <row r="7856">
          <cell r="O7856">
            <v>47567</v>
          </cell>
          <cell r="P7856">
            <v>3.6949586050782268</v>
          </cell>
          <cell r="Q7856">
            <v>48.532287631549828</v>
          </cell>
        </row>
        <row r="7857">
          <cell r="O7857">
            <v>47568</v>
          </cell>
          <cell r="P7857">
            <v>3.6966363730407696</v>
          </cell>
          <cell r="Q7857">
            <v>48.554324662553427</v>
          </cell>
        </row>
        <row r="7858">
          <cell r="O7858">
            <v>47569</v>
          </cell>
          <cell r="P7858">
            <v>3.6983149028265516</v>
          </cell>
          <cell r="Q7858">
            <v>48.576371699900406</v>
          </cell>
        </row>
        <row r="7859">
          <cell r="O7859">
            <v>47570</v>
          </cell>
          <cell r="P7859">
            <v>3.6999941947814943</v>
          </cell>
          <cell r="Q7859">
            <v>48.598428748134346</v>
          </cell>
        </row>
        <row r="7860">
          <cell r="O7860">
            <v>47571</v>
          </cell>
          <cell r="P7860">
            <v>3.7016742492516759</v>
          </cell>
          <cell r="Q7860">
            <v>48.620495811800893</v>
          </cell>
        </row>
        <row r="7861">
          <cell r="O7861">
            <v>47574</v>
          </cell>
          <cell r="P7861">
            <v>3.703355066583331</v>
          </cell>
          <cell r="Q7861">
            <v>48.642572895447749</v>
          </cell>
        </row>
        <row r="7862">
          <cell r="O7862">
            <v>47575</v>
          </cell>
          <cell r="P7862">
            <v>3.7050366471228511</v>
          </cell>
          <cell r="Q7862">
            <v>48.664660003624668</v>
          </cell>
        </row>
        <row r="7863">
          <cell r="O7863">
            <v>47576</v>
          </cell>
          <cell r="P7863">
            <v>3.7067189912167859</v>
          </cell>
          <cell r="Q7863">
            <v>48.686757140883493</v>
          </cell>
        </row>
        <row r="7864">
          <cell r="O7864">
            <v>47577</v>
          </cell>
          <cell r="P7864">
            <v>3.7084020992118423</v>
          </cell>
          <cell r="Q7864">
            <v>48.708864311778122</v>
          </cell>
        </row>
        <row r="7865">
          <cell r="O7865">
            <v>47578</v>
          </cell>
          <cell r="P7865">
            <v>3.7100859714548853</v>
          </cell>
          <cell r="Q7865">
            <v>48.730981520864532</v>
          </cell>
        </row>
        <row r="7866">
          <cell r="O7866">
            <v>47581</v>
          </cell>
          <cell r="P7866">
            <v>3.7117706082929351</v>
          </cell>
          <cell r="Q7866">
            <v>48.753108772700742</v>
          </cell>
        </row>
        <row r="7867">
          <cell r="O7867">
            <v>47582</v>
          </cell>
          <cell r="P7867">
            <v>3.7134560100731719</v>
          </cell>
          <cell r="Q7867">
            <v>48.775246071846873</v>
          </cell>
        </row>
        <row r="7868">
          <cell r="O7868">
            <v>47583</v>
          </cell>
          <cell r="P7868">
            <v>3.715142177142932</v>
          </cell>
          <cell r="Q7868">
            <v>48.797393422865085</v>
          </cell>
        </row>
        <row r="7869">
          <cell r="O7869">
            <v>47584</v>
          </cell>
          <cell r="P7869">
            <v>3.7168291098497113</v>
          </cell>
          <cell r="Q7869">
            <v>48.819550830319656</v>
          </cell>
        </row>
        <row r="7870">
          <cell r="O7870">
            <v>47585</v>
          </cell>
          <cell r="P7870">
            <v>3.7185168085411608</v>
          </cell>
          <cell r="Q7870">
            <v>48.841718298776883</v>
          </cell>
        </row>
        <row r="7871">
          <cell r="O7871">
            <v>47588</v>
          </cell>
          <cell r="P7871">
            <v>3.720205273565091</v>
          </cell>
          <cell r="Q7871">
            <v>48.863895832805156</v>
          </cell>
        </row>
        <row r="7872">
          <cell r="O7872">
            <v>47589</v>
          </cell>
          <cell r="P7872">
            <v>3.7218945052694705</v>
          </cell>
          <cell r="Q7872">
            <v>48.886083436974957</v>
          </cell>
        </row>
        <row r="7873">
          <cell r="O7873">
            <v>47590</v>
          </cell>
          <cell r="P7873">
            <v>3.7235845040024258</v>
          </cell>
          <cell r="Q7873">
            <v>48.908281115858834</v>
          </cell>
        </row>
        <row r="7874">
          <cell r="O7874">
            <v>47591</v>
          </cell>
          <cell r="P7874">
            <v>3.7252752701122311</v>
          </cell>
          <cell r="Q7874">
            <v>48.930488874031269</v>
          </cell>
        </row>
        <row r="7875">
          <cell r="O7875">
            <v>47595</v>
          </cell>
          <cell r="P7875">
            <v>3.7269668039473487</v>
          </cell>
          <cell r="Q7875">
            <v>48.95270671606923</v>
          </cell>
        </row>
        <row r="7876">
          <cell r="O7876">
            <v>47596</v>
          </cell>
          <cell r="P7876">
            <v>3.7286591058563676</v>
          </cell>
          <cell r="Q7876">
            <v>48.974934646551333</v>
          </cell>
        </row>
        <row r="7877">
          <cell r="O7877">
            <v>47597</v>
          </cell>
          <cell r="P7877">
            <v>3.7303521761880485</v>
          </cell>
          <cell r="Q7877">
            <v>48.997172670058454</v>
          </cell>
        </row>
        <row r="7878">
          <cell r="O7878">
            <v>47598</v>
          </cell>
          <cell r="P7878">
            <v>3.7320460152913091</v>
          </cell>
          <cell r="Q7878">
            <v>49.019420791173545</v>
          </cell>
        </row>
        <row r="7879">
          <cell r="O7879">
            <v>47599</v>
          </cell>
          <cell r="P7879">
            <v>3.7337406235152235</v>
          </cell>
          <cell r="Q7879">
            <v>49.041679014481588</v>
          </cell>
        </row>
        <row r="7880">
          <cell r="O7880">
            <v>47602</v>
          </cell>
          <cell r="P7880">
            <v>3.7354360012090266</v>
          </cell>
          <cell r="Q7880">
            <v>49.063947344569691</v>
          </cell>
        </row>
        <row r="7881">
          <cell r="O7881">
            <v>47603</v>
          </cell>
          <cell r="P7881">
            <v>3.7371321487221114</v>
          </cell>
          <cell r="Q7881">
            <v>49.086225786027043</v>
          </cell>
        </row>
        <row r="7882">
          <cell r="O7882">
            <v>47605</v>
          </cell>
          <cell r="P7882">
            <v>3.7388290664040302</v>
          </cell>
          <cell r="Q7882">
            <v>49.108514343444917</v>
          </cell>
        </row>
        <row r="7883">
          <cell r="O7883">
            <v>47606</v>
          </cell>
          <cell r="P7883">
            <v>3.7405267546044914</v>
          </cell>
          <cell r="Q7883">
            <v>49.130813021416628</v>
          </cell>
        </row>
        <row r="7884">
          <cell r="O7884">
            <v>47609</v>
          </cell>
          <cell r="P7884">
            <v>3.7422252136733651</v>
          </cell>
          <cell r="Q7884">
            <v>49.153121824537649</v>
          </cell>
        </row>
        <row r="7885">
          <cell r="O7885">
            <v>47610</v>
          </cell>
          <cell r="P7885">
            <v>3.7439244439606782</v>
          </cell>
          <cell r="Q7885">
            <v>49.175440757405468</v>
          </cell>
        </row>
        <row r="7886">
          <cell r="O7886">
            <v>47611</v>
          </cell>
          <cell r="P7886">
            <v>3.7456244458166195</v>
          </cell>
          <cell r="Q7886">
            <v>49.197769824619733</v>
          </cell>
        </row>
        <row r="7887">
          <cell r="O7887">
            <v>47612</v>
          </cell>
          <cell r="P7887">
            <v>3.7473252195915325</v>
          </cell>
          <cell r="Q7887">
            <v>49.220109030782105</v>
          </cell>
        </row>
        <row r="7888">
          <cell r="O7888">
            <v>47613</v>
          </cell>
          <cell r="P7888">
            <v>3.7490267656359224</v>
          </cell>
          <cell r="Q7888">
            <v>49.24245838049638</v>
          </cell>
        </row>
        <row r="7889">
          <cell r="O7889">
            <v>47616</v>
          </cell>
          <cell r="P7889">
            <v>3.7507290843004544</v>
          </cell>
          <cell r="Q7889">
            <v>49.264817878368447</v>
          </cell>
        </row>
        <row r="7890">
          <cell r="O7890">
            <v>47617</v>
          </cell>
          <cell r="P7890">
            <v>3.7524321759359514</v>
          </cell>
          <cell r="Q7890">
            <v>49.287187529006268</v>
          </cell>
        </row>
        <row r="7891">
          <cell r="O7891">
            <v>47618</v>
          </cell>
          <cell r="P7891">
            <v>3.7541360408933953</v>
          </cell>
          <cell r="Q7891">
            <v>49.309567337019907</v>
          </cell>
        </row>
        <row r="7892">
          <cell r="O7892">
            <v>47619</v>
          </cell>
          <cell r="P7892">
            <v>3.7558406795239279</v>
          </cell>
          <cell r="Q7892">
            <v>49.331957307021504</v>
          </cell>
        </row>
        <row r="7893">
          <cell r="O7893">
            <v>47620</v>
          </cell>
          <cell r="P7893">
            <v>3.7575460921788508</v>
          </cell>
          <cell r="Q7893">
            <v>49.354357443625325</v>
          </cell>
        </row>
        <row r="7894">
          <cell r="O7894">
            <v>47623</v>
          </cell>
          <cell r="P7894">
            <v>3.7592522792096261</v>
          </cell>
          <cell r="Q7894">
            <v>49.376767751447723</v>
          </cell>
        </row>
        <row r="7895">
          <cell r="O7895">
            <v>47624</v>
          </cell>
          <cell r="P7895">
            <v>3.7609592409678725</v>
          </cell>
          <cell r="Q7895">
            <v>49.399188235107104</v>
          </cell>
        </row>
        <row r="7896">
          <cell r="O7896">
            <v>47625</v>
          </cell>
          <cell r="P7896">
            <v>3.7626669778053707</v>
          </cell>
          <cell r="Q7896">
            <v>49.421618899224036</v>
          </cell>
        </row>
        <row r="7897">
          <cell r="O7897">
            <v>47626</v>
          </cell>
          <cell r="P7897">
            <v>3.7643754900740602</v>
          </cell>
          <cell r="Q7897">
            <v>49.444059748421132</v>
          </cell>
        </row>
        <row r="7898">
          <cell r="O7898">
            <v>47627</v>
          </cell>
          <cell r="P7898">
            <v>3.7660847781260425</v>
          </cell>
          <cell r="Q7898">
            <v>49.466510787323152</v>
          </cell>
        </row>
        <row r="7899">
          <cell r="O7899">
            <v>47630</v>
          </cell>
          <cell r="P7899">
            <v>3.7677948423135743</v>
          </cell>
          <cell r="Q7899">
            <v>49.488972020556901</v>
          </cell>
        </row>
        <row r="7900">
          <cell r="O7900">
            <v>47631</v>
          </cell>
          <cell r="P7900">
            <v>3.7695056829890765</v>
          </cell>
          <cell r="Q7900">
            <v>49.51144345275133</v>
          </cell>
        </row>
        <row r="7901">
          <cell r="O7901">
            <v>47632</v>
          </cell>
          <cell r="P7901">
            <v>3.7712173005051288</v>
          </cell>
          <cell r="Q7901">
            <v>49.533925088537472</v>
          </cell>
        </row>
        <row r="7902">
          <cell r="O7902">
            <v>47633</v>
          </cell>
          <cell r="P7902">
            <v>3.7729296952144709</v>
          </cell>
          <cell r="Q7902">
            <v>49.556416932548473</v>
          </cell>
        </row>
        <row r="7903">
          <cell r="O7903">
            <v>47634</v>
          </cell>
          <cell r="P7903">
            <v>3.7746428674700017</v>
          </cell>
          <cell r="Q7903">
            <v>49.57891898941957</v>
          </cell>
        </row>
        <row r="7904">
          <cell r="O7904">
            <v>47637</v>
          </cell>
          <cell r="P7904">
            <v>3.7763568176247815</v>
          </cell>
          <cell r="Q7904">
            <v>49.601431263788108</v>
          </cell>
        </row>
        <row r="7905">
          <cell r="O7905">
            <v>47638</v>
          </cell>
          <cell r="P7905">
            <v>3.7780715460320309</v>
          </cell>
          <cell r="Q7905">
            <v>49.623953760293546</v>
          </cell>
        </row>
        <row r="7906">
          <cell r="O7906">
            <v>47639</v>
          </cell>
          <cell r="P7906">
            <v>3.7797870530451316</v>
          </cell>
          <cell r="Q7906">
            <v>49.646486483577462</v>
          </cell>
        </row>
        <row r="7907">
          <cell r="O7907">
            <v>47640</v>
          </cell>
          <cell r="P7907">
            <v>3.7815033390176227</v>
          </cell>
          <cell r="Q7907">
            <v>49.669029438283488</v>
          </cell>
        </row>
        <row r="7908">
          <cell r="O7908">
            <v>47641</v>
          </cell>
          <cell r="P7908">
            <v>3.7832204043032065</v>
          </cell>
          <cell r="Q7908">
            <v>49.691582629057422</v>
          </cell>
        </row>
        <row r="7909">
          <cell r="O7909">
            <v>47644</v>
          </cell>
          <cell r="P7909">
            <v>3.7849382492557457</v>
          </cell>
          <cell r="Q7909">
            <v>49.714146060547144</v>
          </cell>
        </row>
        <row r="7910">
          <cell r="O7910">
            <v>47645</v>
          </cell>
          <cell r="P7910">
            <v>3.7866568742292643</v>
          </cell>
          <cell r="Q7910">
            <v>49.736719737402666</v>
          </cell>
        </row>
        <row r="7911">
          <cell r="O7911">
            <v>47646</v>
          </cell>
          <cell r="P7911">
            <v>3.7883762795779439</v>
          </cell>
          <cell r="Q7911">
            <v>49.759303664276068</v>
          </cell>
        </row>
        <row r="7912">
          <cell r="O7912">
            <v>47647</v>
          </cell>
          <cell r="P7912">
            <v>3.7900964656561302</v>
          </cell>
          <cell r="Q7912">
            <v>49.781897845821589</v>
          </cell>
        </row>
        <row r="7913">
          <cell r="O7913">
            <v>47648</v>
          </cell>
          <cell r="P7913">
            <v>3.7918174328183287</v>
          </cell>
          <cell r="Q7913">
            <v>49.804502286695566</v>
          </cell>
        </row>
        <row r="7914">
          <cell r="O7914">
            <v>47651</v>
          </cell>
          <cell r="P7914">
            <v>3.7935391814192063</v>
          </cell>
          <cell r="Q7914">
            <v>49.827116991556444</v>
          </cell>
        </row>
        <row r="7915">
          <cell r="O7915">
            <v>47652</v>
          </cell>
          <cell r="P7915">
            <v>3.795261711813589</v>
          </cell>
          <cell r="Q7915">
            <v>49.849741965064773</v>
          </cell>
        </row>
        <row r="7916">
          <cell r="O7916">
            <v>47653</v>
          </cell>
          <cell r="P7916">
            <v>3.7969850243564665</v>
          </cell>
          <cell r="Q7916">
            <v>49.872377211883247</v>
          </cell>
        </row>
        <row r="7917">
          <cell r="O7917">
            <v>47655</v>
          </cell>
          <cell r="P7917">
            <v>3.7987091194029881</v>
          </cell>
          <cell r="Q7917">
            <v>49.895022736676651</v>
          </cell>
        </row>
        <row r="7918">
          <cell r="O7918">
            <v>47658</v>
          </cell>
          <cell r="P7918">
            <v>3.8004339973084655</v>
          </cell>
          <cell r="Q7918">
            <v>49.917678544111922</v>
          </cell>
        </row>
        <row r="7919">
          <cell r="O7919">
            <v>47659</v>
          </cell>
          <cell r="P7919">
            <v>3.8021596584283701</v>
          </cell>
          <cell r="Q7919">
            <v>49.940344638858065</v>
          </cell>
        </row>
        <row r="7920">
          <cell r="O7920">
            <v>47660</v>
          </cell>
          <cell r="P7920">
            <v>3.803886103118336</v>
          </cell>
          <cell r="Q7920">
            <v>49.963021025586251</v>
          </cell>
        </row>
        <row r="7921">
          <cell r="O7921">
            <v>47661</v>
          </cell>
          <cell r="P7921">
            <v>3.8056133317341501</v>
          </cell>
          <cell r="Q7921">
            <v>49.985707708969642</v>
          </cell>
        </row>
        <row r="7922">
          <cell r="O7922">
            <v>47662</v>
          </cell>
          <cell r="P7922">
            <v>3.8073413446317872</v>
          </cell>
          <cell r="Q7922">
            <v>50.008404693683865</v>
          </cell>
        </row>
        <row r="7923">
          <cell r="O7923">
            <v>47665</v>
          </cell>
          <cell r="P7923">
            <v>3.8090701421673541</v>
          </cell>
          <cell r="Q7923">
            <v>50.031111984406294</v>
          </cell>
        </row>
        <row r="7924">
          <cell r="O7924">
            <v>47666</v>
          </cell>
          <cell r="P7924">
            <v>3.8107997246971435</v>
          </cell>
          <cell r="Q7924">
            <v>50.053829585816729</v>
          </cell>
        </row>
        <row r="7925">
          <cell r="O7925">
            <v>47667</v>
          </cell>
          <cell r="P7925">
            <v>3.8125300925775694</v>
          </cell>
          <cell r="Q7925">
            <v>50.076557502596586</v>
          </cell>
        </row>
        <row r="7926">
          <cell r="O7926">
            <v>47668</v>
          </cell>
          <cell r="P7926">
            <v>3.8142612461652621</v>
          </cell>
          <cell r="Q7926">
            <v>50.099295739430097</v>
          </cell>
        </row>
        <row r="7927">
          <cell r="O7927">
            <v>47669</v>
          </cell>
          <cell r="P7927">
            <v>3.8159931858169767</v>
          </cell>
          <cell r="Q7927">
            <v>50.12204430100315</v>
          </cell>
        </row>
        <row r="7928">
          <cell r="O7928">
            <v>47672</v>
          </cell>
          <cell r="P7928">
            <v>3.8177259118896441</v>
          </cell>
          <cell r="Q7928">
            <v>50.144803192003934</v>
          </cell>
        </row>
        <row r="7929">
          <cell r="O7929">
            <v>47673</v>
          </cell>
          <cell r="P7929">
            <v>3.8194594247403515</v>
          </cell>
          <cell r="Q7929">
            <v>50.167572417122692</v>
          </cell>
        </row>
        <row r="7930">
          <cell r="O7930">
            <v>47674</v>
          </cell>
          <cell r="P7930">
            <v>3.8211937247263528</v>
          </cell>
          <cell r="Q7930">
            <v>50.190351981051862</v>
          </cell>
        </row>
        <row r="7931">
          <cell r="O7931">
            <v>47675</v>
          </cell>
          <cell r="P7931">
            <v>3.8229288122050589</v>
          </cell>
          <cell r="Q7931">
            <v>50.213141888485929</v>
          </cell>
        </row>
        <row r="7932">
          <cell r="O7932">
            <v>47676</v>
          </cell>
          <cell r="P7932">
            <v>3.8246646875340504</v>
          </cell>
          <cell r="Q7932">
            <v>50.235942144121637</v>
          </cell>
        </row>
        <row r="7933">
          <cell r="O7933">
            <v>47679</v>
          </cell>
          <cell r="P7933">
            <v>3.8264013510710631</v>
          </cell>
          <cell r="Q7933">
            <v>50.258752752657735</v>
          </cell>
        </row>
        <row r="7934">
          <cell r="O7934">
            <v>47680</v>
          </cell>
          <cell r="P7934">
            <v>3.8281388031740002</v>
          </cell>
          <cell r="Q7934">
            <v>50.281573718795187</v>
          </cell>
        </row>
        <row r="7935">
          <cell r="O7935">
            <v>47681</v>
          </cell>
          <cell r="P7935">
            <v>3.8298770442009222</v>
          </cell>
          <cell r="Q7935">
            <v>50.304405047237026</v>
          </cell>
        </row>
        <row r="7936">
          <cell r="O7936">
            <v>47682</v>
          </cell>
          <cell r="P7936">
            <v>3.8316160745100598</v>
          </cell>
          <cell r="Q7936">
            <v>50.327246742688516</v>
          </cell>
        </row>
        <row r="7937">
          <cell r="O7937">
            <v>47683</v>
          </cell>
          <cell r="P7937">
            <v>3.8333558944597987</v>
          </cell>
          <cell r="Q7937">
            <v>50.350098809856952</v>
          </cell>
        </row>
        <row r="7938">
          <cell r="O7938">
            <v>47686</v>
          </cell>
          <cell r="P7938">
            <v>3.8350965044086922</v>
          </cell>
          <cell r="Q7938">
            <v>50.372961253451834</v>
          </cell>
        </row>
        <row r="7939">
          <cell r="O7939">
            <v>47687</v>
          </cell>
          <cell r="P7939">
            <v>3.8368379047154537</v>
          </cell>
          <cell r="Q7939">
            <v>50.39583407818477</v>
          </cell>
        </row>
        <row r="7940">
          <cell r="O7940">
            <v>47688</v>
          </cell>
          <cell r="P7940">
            <v>3.8385800957389611</v>
          </cell>
          <cell r="Q7940">
            <v>50.418717288769528</v>
          </cell>
        </row>
        <row r="7941">
          <cell r="O7941">
            <v>47689</v>
          </cell>
          <cell r="P7941">
            <v>3.8403230778382555</v>
          </cell>
          <cell r="Q7941">
            <v>50.441610889922011</v>
          </cell>
        </row>
        <row r="7942">
          <cell r="O7942">
            <v>47690</v>
          </cell>
          <cell r="P7942">
            <v>3.8420668513725391</v>
          </cell>
          <cell r="Q7942">
            <v>50.464514886360249</v>
          </cell>
        </row>
        <row r="7943">
          <cell r="O7943">
            <v>47693</v>
          </cell>
          <cell r="P7943">
            <v>3.8438114167011785</v>
          </cell>
          <cell r="Q7943">
            <v>50.48742928280442</v>
          </cell>
        </row>
        <row r="7944">
          <cell r="O7944">
            <v>47694</v>
          </cell>
          <cell r="P7944">
            <v>3.845556774183704</v>
          </cell>
          <cell r="Q7944">
            <v>50.510354083976857</v>
          </cell>
        </row>
        <row r="7945">
          <cell r="O7945">
            <v>47695</v>
          </cell>
          <cell r="P7945">
            <v>3.8473029241798091</v>
          </cell>
          <cell r="Q7945">
            <v>50.533289294602035</v>
          </cell>
        </row>
        <row r="7946">
          <cell r="O7946">
            <v>47696</v>
          </cell>
          <cell r="P7946">
            <v>3.8490498670493478</v>
          </cell>
          <cell r="Q7946">
            <v>50.556234919406549</v>
          </cell>
        </row>
        <row r="7947">
          <cell r="O7947">
            <v>47697</v>
          </cell>
          <cell r="P7947">
            <v>3.8507976031523419</v>
          </cell>
          <cell r="Q7947">
            <v>50.579190963119188</v>
          </cell>
        </row>
        <row r="7948">
          <cell r="O7948">
            <v>47700</v>
          </cell>
          <cell r="P7948">
            <v>3.852546132848973</v>
          </cell>
          <cell r="Q7948">
            <v>50.602157430470832</v>
          </cell>
        </row>
        <row r="7949">
          <cell r="O7949">
            <v>47701</v>
          </cell>
          <cell r="P7949">
            <v>3.8542954564995897</v>
          </cell>
          <cell r="Q7949">
            <v>50.625134326194569</v>
          </cell>
        </row>
        <row r="7950">
          <cell r="O7950">
            <v>47702</v>
          </cell>
          <cell r="P7950">
            <v>3.8560455744647002</v>
          </cell>
          <cell r="Q7950">
            <v>50.64812165502557</v>
          </cell>
        </row>
        <row r="7951">
          <cell r="O7951">
            <v>47703</v>
          </cell>
          <cell r="P7951">
            <v>3.857796487104979</v>
          </cell>
          <cell r="Q7951">
            <v>50.671119421701214</v>
          </cell>
        </row>
        <row r="7952">
          <cell r="O7952">
            <v>47704</v>
          </cell>
          <cell r="P7952">
            <v>3.8595481947812642</v>
          </cell>
          <cell r="Q7952">
            <v>50.694127630960992</v>
          </cell>
        </row>
        <row r="7953">
          <cell r="O7953">
            <v>47707</v>
          </cell>
          <cell r="P7953">
            <v>3.8613006978545585</v>
          </cell>
          <cell r="Q7953">
            <v>50.717146287546591</v>
          </cell>
        </row>
        <row r="7954">
          <cell r="O7954">
            <v>47708</v>
          </cell>
          <cell r="P7954">
            <v>3.8630539966860256</v>
          </cell>
          <cell r="Q7954">
            <v>50.740175396201792</v>
          </cell>
        </row>
        <row r="7955">
          <cell r="O7955">
            <v>47709</v>
          </cell>
          <cell r="P7955">
            <v>3.8648080916369949</v>
          </cell>
          <cell r="Q7955">
            <v>50.76321496167256</v>
          </cell>
        </row>
        <row r="7956">
          <cell r="O7956">
            <v>47710</v>
          </cell>
          <cell r="P7956">
            <v>3.8665629830689614</v>
          </cell>
          <cell r="Q7956">
            <v>50.786264988707046</v>
          </cell>
        </row>
        <row r="7957">
          <cell r="O7957">
            <v>47711</v>
          </cell>
          <cell r="P7957">
            <v>3.8683186713435829</v>
          </cell>
          <cell r="Q7957">
            <v>50.809325482055513</v>
          </cell>
        </row>
        <row r="7958">
          <cell r="O7958">
            <v>47714</v>
          </cell>
          <cell r="P7958">
            <v>3.8700751568226797</v>
          </cell>
          <cell r="Q7958">
            <v>50.832396446470376</v>
          </cell>
        </row>
        <row r="7959">
          <cell r="O7959">
            <v>47715</v>
          </cell>
          <cell r="P7959">
            <v>3.8718324398682391</v>
          </cell>
          <cell r="Q7959">
            <v>50.855477886706254</v>
          </cell>
        </row>
        <row r="7960">
          <cell r="O7960">
            <v>47716</v>
          </cell>
          <cell r="P7960">
            <v>3.8735905208424111</v>
          </cell>
          <cell r="Q7960">
            <v>50.878569807519867</v>
          </cell>
        </row>
        <row r="7961">
          <cell r="O7961">
            <v>47717</v>
          </cell>
          <cell r="P7961">
            <v>3.8753494001075124</v>
          </cell>
          <cell r="Q7961">
            <v>50.901672213670167</v>
          </cell>
        </row>
        <row r="7962">
          <cell r="O7962">
            <v>47718</v>
          </cell>
          <cell r="P7962">
            <v>3.8771090780260202</v>
          </cell>
          <cell r="Q7962">
            <v>50.92478510991819</v>
          </cell>
        </row>
        <row r="7963">
          <cell r="O7963">
            <v>47721</v>
          </cell>
          <cell r="P7963">
            <v>3.8788695549605801</v>
          </cell>
          <cell r="Q7963">
            <v>50.947908501027186</v>
          </cell>
        </row>
        <row r="7964">
          <cell r="O7964">
            <v>47722</v>
          </cell>
          <cell r="P7964">
            <v>3.8806308312740003</v>
          </cell>
          <cell r="Q7964">
            <v>50.971042391762545</v>
          </cell>
        </row>
        <row r="7965">
          <cell r="O7965">
            <v>47723</v>
          </cell>
          <cell r="P7965">
            <v>3.8823929073292556</v>
          </cell>
          <cell r="Q7965">
            <v>50.994186786891838</v>
          </cell>
        </row>
        <row r="7966">
          <cell r="O7966">
            <v>47724</v>
          </cell>
          <cell r="P7966">
            <v>3.8841557834894824</v>
          </cell>
          <cell r="Q7966">
            <v>51.017341691184768</v>
          </cell>
        </row>
        <row r="7967">
          <cell r="O7967">
            <v>47725</v>
          </cell>
          <cell r="P7967">
            <v>3.8859194601179854</v>
          </cell>
          <cell r="Q7967">
            <v>51.040507109413248</v>
          </cell>
        </row>
        <row r="7968">
          <cell r="O7968">
            <v>47728</v>
          </cell>
          <cell r="P7968">
            <v>3.8876839375782319</v>
          </cell>
          <cell r="Q7968">
            <v>51.063683046351315</v>
          </cell>
        </row>
        <row r="7969">
          <cell r="O7969">
            <v>47729</v>
          </cell>
          <cell r="P7969">
            <v>3.8894492162338565</v>
          </cell>
          <cell r="Q7969">
            <v>51.086869506775223</v>
          </cell>
        </row>
        <row r="7970">
          <cell r="O7970">
            <v>47730</v>
          </cell>
          <cell r="P7970">
            <v>3.8912152964486562</v>
          </cell>
          <cell r="Q7970">
            <v>51.110066495463336</v>
          </cell>
        </row>
        <row r="7971">
          <cell r="O7971">
            <v>47731</v>
          </cell>
          <cell r="P7971">
            <v>3.8929821785865948</v>
          </cell>
          <cell r="Q7971">
            <v>51.133274017196221</v>
          </cell>
        </row>
        <row r="7972">
          <cell r="O7972">
            <v>47732</v>
          </cell>
          <cell r="P7972">
            <v>3.8947498630118011</v>
          </cell>
          <cell r="Q7972">
            <v>51.156492076756628</v>
          </cell>
        </row>
        <row r="7973">
          <cell r="O7973">
            <v>47735</v>
          </cell>
          <cell r="P7973">
            <v>3.8965183500885709</v>
          </cell>
          <cell r="Q7973">
            <v>51.179720678929463</v>
          </cell>
        </row>
        <row r="7974">
          <cell r="O7974">
            <v>47736</v>
          </cell>
          <cell r="P7974">
            <v>3.8982876401813615</v>
          </cell>
          <cell r="Q7974">
            <v>51.20295982850179</v>
          </cell>
        </row>
        <row r="7975">
          <cell r="O7975">
            <v>47737</v>
          </cell>
          <cell r="P7975">
            <v>3.9000577336547901</v>
          </cell>
          <cell r="Q7975">
            <v>51.22620953026275</v>
          </cell>
        </row>
        <row r="7976">
          <cell r="O7976">
            <v>47738</v>
          </cell>
          <cell r="P7976">
            <v>3.9018286308736649</v>
          </cell>
          <cell r="Q7976">
            <v>51.24946978900401</v>
          </cell>
        </row>
        <row r="7977">
          <cell r="O7977">
            <v>47739</v>
          </cell>
          <cell r="P7977">
            <v>3.9036003322029429</v>
          </cell>
          <cell r="Q7977">
            <v>51.272740609519168</v>
          </cell>
        </row>
        <row r="7978">
          <cell r="O7978">
            <v>47742</v>
          </cell>
          <cell r="P7978">
            <v>3.9053728380077177</v>
          </cell>
          <cell r="Q7978">
            <v>51.296021996603635</v>
          </cell>
        </row>
        <row r="7979">
          <cell r="O7979">
            <v>47743</v>
          </cell>
          <cell r="P7979">
            <v>3.9071461486533066</v>
          </cell>
          <cell r="Q7979">
            <v>51.319313955055762</v>
          </cell>
        </row>
        <row r="7980">
          <cell r="O7980">
            <v>47744</v>
          </cell>
          <cell r="P7980">
            <v>3.9089202645051513</v>
          </cell>
          <cell r="Q7980">
            <v>51.342616489675521</v>
          </cell>
        </row>
        <row r="7981">
          <cell r="O7981">
            <v>47745</v>
          </cell>
          <cell r="P7981">
            <v>3.9106951859288732</v>
          </cell>
          <cell r="Q7981">
            <v>51.365929605265258</v>
          </cell>
        </row>
        <row r="7982">
          <cell r="O7982">
            <v>47746</v>
          </cell>
          <cell r="P7982">
            <v>3.9124709132902571</v>
          </cell>
          <cell r="Q7982">
            <v>51.389253306629449</v>
          </cell>
        </row>
        <row r="7983">
          <cell r="O7983">
            <v>47749</v>
          </cell>
          <cell r="P7983">
            <v>3.9142474469552648</v>
          </cell>
          <cell r="Q7983">
            <v>51.412587598574909</v>
          </cell>
        </row>
        <row r="7984">
          <cell r="O7984">
            <v>47750</v>
          </cell>
          <cell r="P7984">
            <v>3.9160247872899863</v>
          </cell>
          <cell r="Q7984">
            <v>51.435932485910129</v>
          </cell>
        </row>
        <row r="7985">
          <cell r="O7985">
            <v>47751</v>
          </cell>
          <cell r="P7985">
            <v>3.9178029346607324</v>
          </cell>
          <cell r="Q7985">
            <v>51.459287973446507</v>
          </cell>
        </row>
        <row r="7986">
          <cell r="O7986">
            <v>47752</v>
          </cell>
          <cell r="P7986">
            <v>3.9195818894339451</v>
          </cell>
          <cell r="Q7986">
            <v>51.48265406599716</v>
          </cell>
        </row>
        <row r="7987">
          <cell r="O7987">
            <v>47753</v>
          </cell>
          <cell r="P7987">
            <v>3.921361651976242</v>
          </cell>
          <cell r="Q7987">
            <v>51.506030768377506</v>
          </cell>
        </row>
        <row r="7988">
          <cell r="O7988">
            <v>47756</v>
          </cell>
          <cell r="P7988">
            <v>3.9231422226544046</v>
          </cell>
          <cell r="Q7988">
            <v>51.529418085405119</v>
          </cell>
        </row>
        <row r="7989">
          <cell r="O7989">
            <v>47757</v>
          </cell>
          <cell r="P7989">
            <v>3.9249236018353839</v>
          </cell>
          <cell r="Q7989">
            <v>51.552816021899815</v>
          </cell>
        </row>
        <row r="7990">
          <cell r="O7990">
            <v>47758</v>
          </cell>
          <cell r="P7990">
            <v>3.9267057898862956</v>
          </cell>
          <cell r="Q7990">
            <v>51.576224582683551</v>
          </cell>
        </row>
        <row r="7991">
          <cell r="O7991">
            <v>47759</v>
          </cell>
          <cell r="P7991">
            <v>3.9284887871744245</v>
          </cell>
          <cell r="Q7991">
            <v>51.599643772580514</v>
          </cell>
        </row>
        <row r="7992">
          <cell r="O7992">
            <v>47760</v>
          </cell>
          <cell r="P7992">
            <v>3.9302725940672185</v>
          </cell>
          <cell r="Q7992">
            <v>51.623073596417036</v>
          </cell>
        </row>
        <row r="7993">
          <cell r="O7993">
            <v>47763</v>
          </cell>
          <cell r="P7993">
            <v>3.9320572109322955</v>
          </cell>
          <cell r="Q7993">
            <v>51.646514059021676</v>
          </cell>
        </row>
        <row r="7994">
          <cell r="O7994">
            <v>47764</v>
          </cell>
          <cell r="P7994">
            <v>3.9338426381374387</v>
          </cell>
          <cell r="Q7994">
            <v>51.669965165225172</v>
          </cell>
        </row>
        <row r="7995">
          <cell r="O7995">
            <v>47765</v>
          </cell>
          <cell r="P7995">
            <v>3.9356288760506</v>
          </cell>
          <cell r="Q7995">
            <v>51.693426919860464</v>
          </cell>
        </row>
        <row r="7996">
          <cell r="O7996">
            <v>47766</v>
          </cell>
          <cell r="P7996">
            <v>3.9374159250398955</v>
          </cell>
          <cell r="Q7996">
            <v>51.716899327762668</v>
          </cell>
        </row>
        <row r="7997">
          <cell r="O7997">
            <v>47767</v>
          </cell>
          <cell r="P7997">
            <v>3.9392037854736106</v>
          </cell>
          <cell r="Q7997">
            <v>51.740382393769117</v>
          </cell>
        </row>
        <row r="7998">
          <cell r="O7998">
            <v>47770</v>
          </cell>
          <cell r="P7998">
            <v>3.9409924577201978</v>
          </cell>
          <cell r="Q7998">
            <v>51.763876122719324</v>
          </cell>
        </row>
        <row r="7999">
          <cell r="O7999">
            <v>47771</v>
          </cell>
          <cell r="P7999">
            <v>3.9427819421482773</v>
          </cell>
          <cell r="Q7999">
            <v>51.78738051945502</v>
          </cell>
        </row>
        <row r="8000">
          <cell r="O8000">
            <v>47772</v>
          </cell>
          <cell r="P8000">
            <v>3.9445722391266345</v>
          </cell>
          <cell r="Q8000">
            <v>51.810895588820102</v>
          </cell>
        </row>
        <row r="8001">
          <cell r="O8001">
            <v>47773</v>
          </cell>
          <cell r="P8001">
            <v>3.9463633490242236</v>
          </cell>
          <cell r="Q8001">
            <v>51.834421335660686</v>
          </cell>
        </row>
        <row r="8002">
          <cell r="O8002">
            <v>47774</v>
          </cell>
          <cell r="P8002">
            <v>3.9481552722101689</v>
          </cell>
          <cell r="Q8002">
            <v>51.857957764825123</v>
          </cell>
        </row>
        <row r="8003">
          <cell r="O8003">
            <v>47777</v>
          </cell>
          <cell r="P8003">
            <v>3.9499480090537569</v>
          </cell>
          <cell r="Q8003">
            <v>51.881504881163885</v>
          </cell>
        </row>
        <row r="8004">
          <cell r="O8004">
            <v>47778</v>
          </cell>
          <cell r="P8004">
            <v>3.9517415599244456</v>
          </cell>
          <cell r="Q8004">
            <v>51.905062689529707</v>
          </cell>
        </row>
        <row r="8005">
          <cell r="O8005">
            <v>47779</v>
          </cell>
          <cell r="P8005">
            <v>3.9535359251918605</v>
          </cell>
          <cell r="Q8005">
            <v>51.928631194777523</v>
          </cell>
        </row>
        <row r="8006">
          <cell r="O8006">
            <v>47780</v>
          </cell>
          <cell r="P8006">
            <v>3.9553311052257945</v>
          </cell>
          <cell r="Q8006">
            <v>51.952210401764454</v>
          </cell>
        </row>
        <row r="8007">
          <cell r="O8007">
            <v>47781</v>
          </cell>
          <cell r="P8007">
            <v>3.9571271003962067</v>
          </cell>
          <cell r="Q8007">
            <v>51.975800315349829</v>
          </cell>
        </row>
        <row r="8008">
          <cell r="O8008">
            <v>47784</v>
          </cell>
          <cell r="P8008">
            <v>3.9589239110732271</v>
          </cell>
          <cell r="Q8008">
            <v>51.999400940395191</v>
          </cell>
        </row>
        <row r="8009">
          <cell r="O8009">
            <v>47785</v>
          </cell>
          <cell r="P8009">
            <v>3.9607215376271516</v>
          </cell>
          <cell r="Q8009">
            <v>52.023012281764288</v>
          </cell>
        </row>
        <row r="8010">
          <cell r="O8010">
            <v>47786</v>
          </cell>
          <cell r="P8010">
            <v>3.9625199804284463</v>
          </cell>
          <cell r="Q8010">
            <v>52.046634344323081</v>
          </cell>
        </row>
        <row r="8011">
          <cell r="O8011">
            <v>47787</v>
          </cell>
          <cell r="P8011">
            <v>3.9643192398477423</v>
          </cell>
          <cell r="Q8011">
            <v>52.070267132939726</v>
          </cell>
        </row>
        <row r="8012">
          <cell r="O8012">
            <v>47788</v>
          </cell>
          <cell r="P8012">
            <v>3.9661193162558419</v>
          </cell>
          <cell r="Q8012">
            <v>52.093910652484595</v>
          </cell>
        </row>
        <row r="8013">
          <cell r="O8013">
            <v>47791</v>
          </cell>
          <cell r="P8013">
            <v>3.9679202100237143</v>
          </cell>
          <cell r="Q8013">
            <v>52.117564907830278</v>
          </cell>
        </row>
        <row r="8014">
          <cell r="O8014">
            <v>47792</v>
          </cell>
          <cell r="P8014">
            <v>3.9697219215224995</v>
          </cell>
          <cell r="Q8014">
            <v>52.141229903851595</v>
          </cell>
        </row>
        <row r="8015">
          <cell r="O8015">
            <v>47793</v>
          </cell>
          <cell r="P8015">
            <v>3.9715244511235017</v>
          </cell>
          <cell r="Q8015">
            <v>52.164905645425534</v>
          </cell>
        </row>
        <row r="8016">
          <cell r="O8016">
            <v>47794</v>
          </cell>
          <cell r="P8016">
            <v>3.9733277991981972</v>
          </cell>
          <cell r="Q8016">
            <v>52.188592137431328</v>
          </cell>
        </row>
        <row r="8017">
          <cell r="O8017">
            <v>47795</v>
          </cell>
          <cell r="P8017">
            <v>3.9751319661182301</v>
          </cell>
          <cell r="Q8017">
            <v>52.21228938475042</v>
          </cell>
        </row>
        <row r="8018">
          <cell r="O8018">
            <v>47798</v>
          </cell>
          <cell r="P8018">
            <v>3.9769369522554139</v>
          </cell>
          <cell r="Q8018">
            <v>52.235997392266491</v>
          </cell>
        </row>
        <row r="8019">
          <cell r="O8019">
            <v>47799</v>
          </cell>
          <cell r="P8019">
            <v>3.9787427579817281</v>
          </cell>
          <cell r="Q8019">
            <v>52.259716164865388</v>
          </cell>
        </row>
        <row r="8020">
          <cell r="O8020">
            <v>47800</v>
          </cell>
          <cell r="P8020">
            <v>3.9805493836693238</v>
          </cell>
          <cell r="Q8020">
            <v>52.283445707435213</v>
          </cell>
        </row>
        <row r="8021">
          <cell r="O8021">
            <v>47801</v>
          </cell>
          <cell r="P8021">
            <v>3.982356829690521</v>
          </cell>
          <cell r="Q8021">
            <v>52.30718602486629</v>
          </cell>
        </row>
        <row r="8022">
          <cell r="O8022">
            <v>47805</v>
          </cell>
          <cell r="P8022">
            <v>3.9841650964178088</v>
          </cell>
          <cell r="Q8022">
            <v>52.330937122051161</v>
          </cell>
        </row>
        <row r="8023">
          <cell r="O8023">
            <v>47806</v>
          </cell>
          <cell r="P8023">
            <v>3.985974184223843</v>
          </cell>
          <cell r="Q8023">
            <v>52.354699003884562</v>
          </cell>
        </row>
        <row r="8024">
          <cell r="O8024">
            <v>47807</v>
          </cell>
          <cell r="P8024">
            <v>3.9877840934814515</v>
          </cell>
          <cell r="Q8024">
            <v>52.378471675263491</v>
          </cell>
        </row>
        <row r="8025">
          <cell r="O8025">
            <v>47808</v>
          </cell>
          <cell r="P8025">
            <v>3.9895948245636301</v>
          </cell>
          <cell r="Q8025">
            <v>52.402255141087139</v>
          </cell>
        </row>
        <row r="8026">
          <cell r="O8026">
            <v>47809</v>
          </cell>
          <cell r="P8026">
            <v>3.9914063778435449</v>
          </cell>
          <cell r="Q8026">
            <v>52.426049406256951</v>
          </cell>
        </row>
        <row r="8027">
          <cell r="O8027">
            <v>47812</v>
          </cell>
          <cell r="P8027">
            <v>3.9932187536945296</v>
          </cell>
          <cell r="Q8027">
            <v>52.44985447567656</v>
          </cell>
        </row>
        <row r="8028">
          <cell r="O8028">
            <v>47813</v>
          </cell>
          <cell r="P8028">
            <v>3.9950319524900895</v>
          </cell>
          <cell r="Q8028">
            <v>52.473670354251851</v>
          </cell>
        </row>
        <row r="8029">
          <cell r="O8029">
            <v>47814</v>
          </cell>
          <cell r="P8029">
            <v>3.9968459746038985</v>
          </cell>
          <cell r="Q8029">
            <v>52.497497046890949</v>
          </cell>
        </row>
        <row r="8030">
          <cell r="O8030">
            <v>47815</v>
          </cell>
          <cell r="P8030">
            <v>3.9986608204098006</v>
          </cell>
          <cell r="Q8030">
            <v>52.521334558504179</v>
          </cell>
        </row>
        <row r="8031">
          <cell r="O8031">
            <v>47816</v>
          </cell>
          <cell r="P8031">
            <v>4.0004764902817982</v>
          </cell>
          <cell r="Q8031">
            <v>52.545182894003965</v>
          </cell>
        </row>
        <row r="8032">
          <cell r="O8032">
            <v>47819</v>
          </cell>
          <cell r="P8032">
            <v>4.0022929845940967</v>
          </cell>
          <cell r="Q8032">
            <v>52.569042058305392</v>
          </cell>
        </row>
        <row r="8033">
          <cell r="O8033">
            <v>47820</v>
          </cell>
          <cell r="P8033">
            <v>4.0041103037210455</v>
          </cell>
          <cell r="Q8033">
            <v>52.592912056325446</v>
          </cell>
        </row>
        <row r="8034">
          <cell r="O8034">
            <v>47821</v>
          </cell>
          <cell r="P8034">
            <v>4.0059284480371415</v>
          </cell>
          <cell r="Q8034">
            <v>52.616792892983035</v>
          </cell>
        </row>
        <row r="8035">
          <cell r="O8035">
            <v>47822</v>
          </cell>
          <cell r="P8035">
            <v>4.0077474179171064</v>
          </cell>
          <cell r="Q8035">
            <v>52.640684573200041</v>
          </cell>
        </row>
        <row r="8036">
          <cell r="O8036">
            <v>47823</v>
          </cell>
          <cell r="P8036">
            <v>4.0095672137357941</v>
          </cell>
          <cell r="Q8036">
            <v>52.664587101900054</v>
          </cell>
        </row>
        <row r="8037">
          <cell r="O8037">
            <v>47826</v>
          </cell>
          <cell r="P8037">
            <v>4.0113878358682351</v>
          </cell>
          <cell r="Q8037">
            <v>52.688500484009005</v>
          </cell>
        </row>
        <row r="8038">
          <cell r="O8038">
            <v>47827</v>
          </cell>
          <cell r="P8038">
            <v>4.0132092846896388</v>
          </cell>
          <cell r="Q8038">
            <v>52.712424724455168</v>
          </cell>
        </row>
        <row r="8039">
          <cell r="O8039">
            <v>47828</v>
          </cell>
          <cell r="P8039">
            <v>4.0150315605753759</v>
          </cell>
          <cell r="Q8039">
            <v>52.736359828168936</v>
          </cell>
        </row>
        <row r="8040">
          <cell r="O8040">
            <v>47829</v>
          </cell>
          <cell r="P8040">
            <v>4.0168546639009914</v>
          </cell>
          <cell r="Q8040">
            <v>52.760305800082989</v>
          </cell>
        </row>
        <row r="8041">
          <cell r="O8041">
            <v>47830</v>
          </cell>
          <cell r="P8041">
            <v>4.0186785950421999</v>
          </cell>
          <cell r="Q8041">
            <v>52.784262645132245</v>
          </cell>
        </row>
        <row r="8042">
          <cell r="O8042">
            <v>47833</v>
          </cell>
          <cell r="P8042">
            <v>4.02050335437489</v>
          </cell>
          <cell r="Q8042">
            <v>52.808230368253895</v>
          </cell>
        </row>
        <row r="8043">
          <cell r="O8043">
            <v>47834</v>
          </cell>
          <cell r="P8043">
            <v>4.0223289422751147</v>
          </cell>
          <cell r="Q8043">
            <v>52.832208974387292</v>
          </cell>
        </row>
        <row r="8044">
          <cell r="O8044">
            <v>47835</v>
          </cell>
          <cell r="P8044">
            <v>4.0241553591191037</v>
          </cell>
          <cell r="Q8044">
            <v>52.856198468474119</v>
          </cell>
        </row>
        <row r="8045">
          <cell r="O8045">
            <v>47836</v>
          </cell>
          <cell r="P8045">
            <v>4.0259826052832528</v>
          </cell>
          <cell r="Q8045">
            <v>52.880198855458225</v>
          </cell>
        </row>
        <row r="8046">
          <cell r="O8046">
            <v>47837</v>
          </cell>
          <cell r="P8046">
            <v>4.0278106811441345</v>
          </cell>
          <cell r="Q8046">
            <v>52.904210140285791</v>
          </cell>
        </row>
        <row r="8047">
          <cell r="O8047">
            <v>47840</v>
          </cell>
          <cell r="P8047">
            <v>4.0296395870784849</v>
          </cell>
          <cell r="Q8047">
            <v>52.92823232790515</v>
          </cell>
        </row>
        <row r="8048">
          <cell r="O8048">
            <v>47841</v>
          </cell>
          <cell r="P8048">
            <v>4.0314693234632184</v>
          </cell>
          <cell r="Q8048">
            <v>52.952265423266958</v>
          </cell>
        </row>
        <row r="8049">
          <cell r="O8049">
            <v>47843</v>
          </cell>
          <cell r="P8049">
            <v>4.0332998906754138</v>
          </cell>
          <cell r="Q8049">
            <v>52.976309431324061</v>
          </cell>
        </row>
        <row r="8050">
          <cell r="O8050">
            <v>47844</v>
          </cell>
          <cell r="P8050">
            <v>4.0351312890923277</v>
          </cell>
          <cell r="Q8050">
            <v>53.000364357031607</v>
          </cell>
        </row>
        <row r="8051">
          <cell r="O8051">
            <v>47847</v>
          </cell>
          <cell r="P8051">
            <v>4.0369635190913824</v>
          </cell>
          <cell r="Q8051">
            <v>53.024430205346953</v>
          </cell>
        </row>
        <row r="8052">
          <cell r="O8052">
            <v>47848</v>
          </cell>
          <cell r="P8052">
            <v>4.0387965810501765</v>
          </cell>
          <cell r="Q8052">
            <v>53.048506981229743</v>
          </cell>
        </row>
        <row r="8053">
          <cell r="O8053">
            <v>47850</v>
          </cell>
          <cell r="P8053">
            <v>4.0406304753464735</v>
          </cell>
          <cell r="Q8053">
            <v>53.072594689641797</v>
          </cell>
        </row>
        <row r="8054">
          <cell r="O8054">
            <v>47851</v>
          </cell>
          <cell r="P8054">
            <v>4.0424652023582173</v>
          </cell>
          <cell r="Q8054">
            <v>53.096693335547315</v>
          </cell>
        </row>
        <row r="8055">
          <cell r="O8055">
            <v>47854</v>
          </cell>
          <cell r="P8055">
            <v>4.0443007624635143</v>
          </cell>
          <cell r="Q8055">
            <v>53.12080292391262</v>
          </cell>
        </row>
        <row r="8056">
          <cell r="O8056">
            <v>47855</v>
          </cell>
          <cell r="P8056">
            <v>4.0461371560406505</v>
          </cell>
          <cell r="Q8056">
            <v>53.144923459706391</v>
          </cell>
        </row>
        <row r="8057">
          <cell r="O8057">
            <v>47856</v>
          </cell>
          <cell r="P8057">
            <v>4.0479743834680768</v>
          </cell>
          <cell r="Q8057">
            <v>53.16905494789949</v>
          </cell>
        </row>
        <row r="8058">
          <cell r="O8058">
            <v>47857</v>
          </cell>
          <cell r="P8058">
            <v>4.049812445124422</v>
          </cell>
          <cell r="Q8058">
            <v>53.193197393465091</v>
          </cell>
        </row>
        <row r="8059">
          <cell r="O8059">
            <v>47858</v>
          </cell>
          <cell r="P8059">
            <v>4.0516513413884816</v>
          </cell>
          <cell r="Q8059">
            <v>53.217350801378586</v>
          </cell>
        </row>
        <row r="8060">
          <cell r="O8060">
            <v>47861</v>
          </cell>
          <cell r="P8060">
            <v>4.0534910726392264</v>
          </cell>
          <cell r="Q8060">
            <v>53.241515176617646</v>
          </cell>
        </row>
        <row r="8061">
          <cell r="O8061">
            <v>47862</v>
          </cell>
          <cell r="P8061">
            <v>4.0553316392557992</v>
          </cell>
          <cell r="Q8061">
            <v>53.26569052416221</v>
          </cell>
        </row>
        <row r="8062">
          <cell r="O8062">
            <v>47863</v>
          </cell>
          <cell r="P8062">
            <v>4.0571730416175145</v>
          </cell>
          <cell r="Q8062">
            <v>53.289876848994467</v>
          </cell>
        </row>
        <row r="8063">
          <cell r="O8063">
            <v>47864</v>
          </cell>
          <cell r="P8063">
            <v>4.0590152801038561</v>
          </cell>
          <cell r="Q8063">
            <v>53.314074156098847</v>
          </cell>
        </row>
        <row r="8064">
          <cell r="O8064">
            <v>47865</v>
          </cell>
          <cell r="P8064">
            <v>4.060858355094485</v>
          </cell>
          <cell r="Q8064">
            <v>53.338282450462088</v>
          </cell>
        </row>
        <row r="8065">
          <cell r="O8065">
            <v>47868</v>
          </cell>
          <cell r="P8065">
            <v>4.0627022669692314</v>
          </cell>
          <cell r="Q8065">
            <v>53.362501737073153</v>
          </cell>
        </row>
        <row r="8066">
          <cell r="O8066">
            <v>47869</v>
          </cell>
          <cell r="P8066">
            <v>4.064547016108099</v>
          </cell>
          <cell r="Q8066">
            <v>53.386732020923297</v>
          </cell>
        </row>
        <row r="8067">
          <cell r="O8067">
            <v>47870</v>
          </cell>
          <cell r="P8067">
            <v>4.0663926028912645</v>
          </cell>
          <cell r="Q8067">
            <v>53.410973307006039</v>
          </cell>
        </row>
        <row r="8068">
          <cell r="O8068">
            <v>47871</v>
          </cell>
          <cell r="P8068">
            <v>4.0682390276990734</v>
          </cell>
          <cell r="Q8068">
            <v>53.435225600317104</v>
          </cell>
        </row>
        <row r="8069">
          <cell r="O8069">
            <v>47872</v>
          </cell>
          <cell r="P8069">
            <v>4.0700862909120525</v>
          </cell>
          <cell r="Q8069">
            <v>53.45948890585462</v>
          </cell>
        </row>
        <row r="8070">
          <cell r="O8070">
            <v>47875</v>
          </cell>
          <cell r="P8070">
            <v>4.071934392910892</v>
          </cell>
          <cell r="Q8070">
            <v>53.483763228618841</v>
          </cell>
        </row>
        <row r="8071">
          <cell r="O8071">
            <v>47876</v>
          </cell>
          <cell r="P8071">
            <v>4.0737833340764613</v>
          </cell>
          <cell r="Q8071">
            <v>53.508048573612399</v>
          </cell>
        </row>
        <row r="8072">
          <cell r="O8072">
            <v>47877</v>
          </cell>
          <cell r="P8072">
            <v>4.0756331147897971</v>
          </cell>
          <cell r="Q8072">
            <v>53.532344945840094</v>
          </cell>
        </row>
        <row r="8073">
          <cell r="O8073">
            <v>47878</v>
          </cell>
          <cell r="P8073">
            <v>4.0774837354321161</v>
          </cell>
          <cell r="Q8073">
            <v>53.556652350309108</v>
          </cell>
        </row>
        <row r="8074">
          <cell r="O8074">
            <v>47879</v>
          </cell>
          <cell r="P8074">
            <v>4.0793351963848021</v>
          </cell>
          <cell r="Q8074">
            <v>53.580970792028822</v>
          </cell>
        </row>
        <row r="8075">
          <cell r="O8075">
            <v>47882</v>
          </cell>
          <cell r="P8075">
            <v>4.0811874980294167</v>
          </cell>
          <cell r="Q8075">
            <v>53.605300276010936</v>
          </cell>
        </row>
        <row r="8076">
          <cell r="O8076">
            <v>47883</v>
          </cell>
          <cell r="P8076">
            <v>4.0830406407476891</v>
          </cell>
          <cell r="Q8076">
            <v>53.629640807269368</v>
          </cell>
        </row>
        <row r="8077">
          <cell r="O8077">
            <v>47884</v>
          </cell>
          <cell r="P8077">
            <v>4.0848946249215281</v>
          </cell>
          <cell r="Q8077">
            <v>53.653992390820378</v>
          </cell>
        </row>
        <row r="8078">
          <cell r="O8078">
            <v>47885</v>
          </cell>
          <cell r="P8078">
            <v>4.086749450933012</v>
          </cell>
          <cell r="Q8078">
            <v>53.678355031682472</v>
          </cell>
        </row>
        <row r="8079">
          <cell r="O8079">
            <v>47886</v>
          </cell>
          <cell r="P8079">
            <v>4.0886051191643942</v>
          </cell>
          <cell r="Q8079">
            <v>53.702728734876437</v>
          </cell>
        </row>
        <row r="8080">
          <cell r="O8080">
            <v>47889</v>
          </cell>
          <cell r="P8080">
            <v>4.0904616299980976</v>
          </cell>
          <cell r="Q8080">
            <v>53.727113505425301</v>
          </cell>
        </row>
        <row r="8081">
          <cell r="O8081">
            <v>47890</v>
          </cell>
          <cell r="P8081">
            <v>4.0923189838167282</v>
          </cell>
          <cell r="Q8081">
            <v>53.751509348354489</v>
          </cell>
        </row>
        <row r="8082">
          <cell r="O8082">
            <v>47891</v>
          </cell>
          <cell r="P8082">
            <v>4.0941771810030545</v>
          </cell>
          <cell r="Q8082">
            <v>53.77591626869156</v>
          </cell>
        </row>
        <row r="8083">
          <cell r="O8083">
            <v>47892</v>
          </cell>
          <cell r="P8083">
            <v>4.0960362219400279</v>
          </cell>
          <cell r="Q8083">
            <v>53.800334271466483</v>
          </cell>
        </row>
        <row r="8084">
          <cell r="O8084">
            <v>47893</v>
          </cell>
          <cell r="P8084">
            <v>4.097896107010766</v>
          </cell>
          <cell r="Q8084">
            <v>53.824763361711398</v>
          </cell>
        </row>
        <row r="8085">
          <cell r="O8085">
            <v>47896</v>
          </cell>
          <cell r="P8085">
            <v>4.0997568365985675</v>
          </cell>
          <cell r="Q8085">
            <v>53.849203544460835</v>
          </cell>
        </row>
        <row r="8086">
          <cell r="O8086">
            <v>47897</v>
          </cell>
          <cell r="P8086">
            <v>4.1016184110868892</v>
          </cell>
          <cell r="Q8086">
            <v>53.873654824751391</v>
          </cell>
        </row>
        <row r="8087">
          <cell r="O8087">
            <v>47898</v>
          </cell>
          <cell r="P8087">
            <v>4.1034808308594073</v>
          </cell>
          <cell r="Q8087">
            <v>53.898117207622562</v>
          </cell>
        </row>
        <row r="8088">
          <cell r="O8088">
            <v>47899</v>
          </cell>
          <cell r="P8088">
            <v>4.1053440962998975</v>
          </cell>
          <cell r="Q8088">
            <v>53.922590698115123</v>
          </cell>
        </row>
        <row r="8089">
          <cell r="O8089">
            <v>47900</v>
          </cell>
          <cell r="P8089">
            <v>4.1072082077923833</v>
          </cell>
          <cell r="Q8089">
            <v>53.947075301273131</v>
          </cell>
        </row>
        <row r="8090">
          <cell r="O8090">
            <v>47905</v>
          </cell>
          <cell r="P8090">
            <v>4.1090731657210195</v>
          </cell>
          <cell r="Q8090">
            <v>53.971571022142349</v>
          </cell>
        </row>
        <row r="8091">
          <cell r="O8091">
            <v>47906</v>
          </cell>
          <cell r="P8091">
            <v>4.1109389704701593</v>
          </cell>
          <cell r="Q8091">
            <v>53.996077865771156</v>
          </cell>
        </row>
        <row r="8092">
          <cell r="O8092">
            <v>47907</v>
          </cell>
          <cell r="P8092">
            <v>4.1128056224242844</v>
          </cell>
          <cell r="Q8092">
            <v>54.020595837209612</v>
          </cell>
        </row>
        <row r="8093">
          <cell r="O8093">
            <v>47910</v>
          </cell>
          <cell r="P8093">
            <v>4.1146731219681181</v>
          </cell>
          <cell r="Q8093">
            <v>54.045124941510956</v>
          </cell>
        </row>
        <row r="8094">
          <cell r="O8094">
            <v>47911</v>
          </cell>
          <cell r="P8094">
            <v>4.1165414694865134</v>
          </cell>
          <cell r="Q8094">
            <v>54.069665183730137</v>
          </cell>
        </row>
        <row r="8095">
          <cell r="O8095">
            <v>47912</v>
          </cell>
          <cell r="P8095">
            <v>4.1184106653645109</v>
          </cell>
          <cell r="Q8095">
            <v>54.094216568924551</v>
          </cell>
        </row>
        <row r="8096">
          <cell r="O8096">
            <v>47913</v>
          </cell>
          <cell r="P8096">
            <v>4.1202807099873233</v>
          </cell>
          <cell r="Q8096">
            <v>54.118779102153859</v>
          </cell>
        </row>
        <row r="8097">
          <cell r="O8097">
            <v>47914</v>
          </cell>
          <cell r="P8097">
            <v>4.1221516037403401</v>
          </cell>
          <cell r="Q8097">
            <v>54.143352788480058</v>
          </cell>
        </row>
        <row r="8098">
          <cell r="O8098">
            <v>47917</v>
          </cell>
          <cell r="P8098">
            <v>4.1240233470091257</v>
          </cell>
          <cell r="Q8098">
            <v>54.16793763296743</v>
          </cell>
        </row>
        <row r="8099">
          <cell r="O8099">
            <v>47918</v>
          </cell>
          <cell r="P8099">
            <v>4.1258959401794204</v>
          </cell>
          <cell r="Q8099">
            <v>54.192533640682569</v>
          </cell>
        </row>
        <row r="8100">
          <cell r="O8100">
            <v>47919</v>
          </cell>
          <cell r="P8100">
            <v>4.1277693836371361</v>
          </cell>
          <cell r="Q8100">
            <v>54.217140816694318</v>
          </cell>
        </row>
        <row r="8101">
          <cell r="O8101">
            <v>47920</v>
          </cell>
          <cell r="P8101">
            <v>4.1296436777683647</v>
          </cell>
          <cell r="Q8101">
            <v>54.241759166073905</v>
          </cell>
        </row>
        <row r="8102">
          <cell r="O8102">
            <v>47921</v>
          </cell>
          <cell r="P8102">
            <v>4.1315188229593689</v>
          </cell>
          <cell r="Q8102">
            <v>54.266388693894775</v>
          </cell>
        </row>
        <row r="8103">
          <cell r="O8103">
            <v>47924</v>
          </cell>
          <cell r="P8103">
            <v>4.1333948195965924</v>
          </cell>
          <cell r="Q8103">
            <v>54.291029405232763</v>
          </cell>
        </row>
        <row r="8104">
          <cell r="O8104">
            <v>47925</v>
          </cell>
          <cell r="P8104">
            <v>4.1352716680666459</v>
          </cell>
          <cell r="Q8104">
            <v>54.315681305165896</v>
          </cell>
        </row>
        <row r="8105">
          <cell r="O8105">
            <v>47926</v>
          </cell>
          <cell r="P8105">
            <v>4.1371493687563259</v>
          </cell>
          <cell r="Q8105">
            <v>54.340344398774647</v>
          </cell>
        </row>
        <row r="8106">
          <cell r="O8106">
            <v>47927</v>
          </cell>
          <cell r="P8106">
            <v>4.1390279220525956</v>
          </cell>
          <cell r="Q8106">
            <v>54.365018691141678</v>
          </cell>
        </row>
        <row r="8107">
          <cell r="O8107">
            <v>47928</v>
          </cell>
          <cell r="P8107">
            <v>4.1409073283426006</v>
          </cell>
          <cell r="Q8107">
            <v>54.389704187352031</v>
          </cell>
        </row>
        <row r="8108">
          <cell r="O8108">
            <v>47931</v>
          </cell>
          <cell r="P8108">
            <v>4.1427875880136549</v>
          </cell>
          <cell r="Q8108">
            <v>54.414400892492971</v>
          </cell>
        </row>
        <row r="8109">
          <cell r="O8109">
            <v>47932</v>
          </cell>
          <cell r="P8109">
            <v>4.1446687014532584</v>
          </cell>
          <cell r="Q8109">
            <v>54.439108811654215</v>
          </cell>
        </row>
        <row r="8110">
          <cell r="O8110">
            <v>47933</v>
          </cell>
          <cell r="P8110">
            <v>4.146550669049077</v>
          </cell>
          <cell r="Q8110">
            <v>54.463827949927641</v>
          </cell>
        </row>
        <row r="8111">
          <cell r="O8111">
            <v>47934</v>
          </cell>
          <cell r="P8111">
            <v>4.1484334911889595</v>
          </cell>
          <cell r="Q8111">
            <v>54.488558312407548</v>
          </cell>
        </row>
        <row r="8112">
          <cell r="O8112">
            <v>47935</v>
          </cell>
          <cell r="P8112">
            <v>4.1503171682609263</v>
          </cell>
          <cell r="Q8112">
            <v>54.513299904190475</v>
          </cell>
        </row>
        <row r="8113">
          <cell r="O8113">
            <v>47938</v>
          </cell>
          <cell r="P8113">
            <v>4.152201700653178</v>
          </cell>
          <cell r="Q8113">
            <v>54.538052730375327</v>
          </cell>
        </row>
        <row r="8114">
          <cell r="O8114">
            <v>47939</v>
          </cell>
          <cell r="P8114">
            <v>4.1540870887540873</v>
          </cell>
          <cell r="Q8114">
            <v>54.562816796063281</v>
          </cell>
        </row>
        <row r="8115">
          <cell r="O8115">
            <v>47940</v>
          </cell>
          <cell r="P8115">
            <v>4.1559733329522084</v>
          </cell>
          <cell r="Q8115">
            <v>54.587592106357889</v>
          </cell>
        </row>
        <row r="8116">
          <cell r="O8116">
            <v>47941</v>
          </cell>
          <cell r="P8116">
            <v>4.157860433636265</v>
          </cell>
          <cell r="Q8116">
            <v>54.61237866636494</v>
          </cell>
        </row>
        <row r="8117">
          <cell r="O8117">
            <v>47942</v>
          </cell>
          <cell r="P8117">
            <v>4.1597483911951647</v>
          </cell>
          <cell r="Q8117">
            <v>54.637176481192618</v>
          </cell>
        </row>
        <row r="8118">
          <cell r="O8118">
            <v>47945</v>
          </cell>
          <cell r="P8118">
            <v>4.1616372060179856</v>
          </cell>
          <cell r="Q8118">
            <v>54.661985555951375</v>
          </cell>
        </row>
        <row r="8119">
          <cell r="O8119">
            <v>47946</v>
          </cell>
          <cell r="P8119">
            <v>4.1635268784939878</v>
          </cell>
          <cell r="Q8119">
            <v>54.68680589575402</v>
          </cell>
        </row>
        <row r="8120">
          <cell r="O8120">
            <v>47947</v>
          </cell>
          <cell r="P8120">
            <v>4.1654174090126022</v>
          </cell>
          <cell r="Q8120">
            <v>54.711637505715636</v>
          </cell>
        </row>
        <row r="8121">
          <cell r="O8121">
            <v>47948</v>
          </cell>
          <cell r="P8121">
            <v>4.1673087979634431</v>
          </cell>
          <cell r="Q8121">
            <v>54.736480390953702</v>
          </cell>
        </row>
        <row r="8122">
          <cell r="O8122">
            <v>47952</v>
          </cell>
          <cell r="P8122">
            <v>4.1692010457362967</v>
          </cell>
          <cell r="Q8122">
            <v>54.76133455658794</v>
          </cell>
        </row>
        <row r="8123">
          <cell r="O8123">
            <v>47953</v>
          </cell>
          <cell r="P8123">
            <v>4.1710941527211265</v>
          </cell>
          <cell r="Q8123">
            <v>54.786200007740433</v>
          </cell>
        </row>
        <row r="8124">
          <cell r="O8124">
            <v>47954</v>
          </cell>
          <cell r="P8124">
            <v>4.1729881193080773</v>
          </cell>
          <cell r="Q8124">
            <v>54.811076749535623</v>
          </cell>
        </row>
        <row r="8125">
          <cell r="O8125">
            <v>47955</v>
          </cell>
          <cell r="P8125">
            <v>4.1748829458874672</v>
          </cell>
          <cell r="Q8125">
            <v>54.835964787100231</v>
          </cell>
        </row>
        <row r="8126">
          <cell r="O8126">
            <v>47956</v>
          </cell>
          <cell r="P8126">
            <v>4.1767786328497909</v>
          </cell>
          <cell r="Q8126">
            <v>54.860864125563303</v>
          </cell>
        </row>
        <row r="8127">
          <cell r="O8127">
            <v>47960</v>
          </cell>
          <cell r="P8127">
            <v>4.1786751805857234</v>
          </cell>
          <cell r="Q8127">
            <v>54.885774770056244</v>
          </cell>
        </row>
        <row r="8128">
          <cell r="O8128">
            <v>47961</v>
          </cell>
          <cell r="P8128">
            <v>4.1805725894861165</v>
          </cell>
          <cell r="Q8128">
            <v>54.910696725712789</v>
          </cell>
        </row>
        <row r="8129">
          <cell r="O8129">
            <v>47962</v>
          </cell>
          <cell r="P8129">
            <v>4.1824708599419971</v>
          </cell>
          <cell r="Q8129">
            <v>54.935629997668975</v>
          </cell>
        </row>
        <row r="8130">
          <cell r="O8130">
            <v>47963</v>
          </cell>
          <cell r="P8130">
            <v>4.184369992344573</v>
          </cell>
          <cell r="Q8130">
            <v>54.960574591063214</v>
          </cell>
        </row>
        <row r="8131">
          <cell r="O8131">
            <v>47966</v>
          </cell>
          <cell r="P8131">
            <v>4.1862699870852245</v>
          </cell>
          <cell r="Q8131">
            <v>54.985530511036174</v>
          </cell>
        </row>
        <row r="8132">
          <cell r="O8132">
            <v>47967</v>
          </cell>
          <cell r="P8132">
            <v>4.1881708445555175</v>
          </cell>
          <cell r="Q8132">
            <v>55.010497762730971</v>
          </cell>
        </row>
        <row r="8133">
          <cell r="O8133">
            <v>47968</v>
          </cell>
          <cell r="P8133">
            <v>4.1900725651471884</v>
          </cell>
          <cell r="Q8133">
            <v>55.035476351292957</v>
          </cell>
        </row>
        <row r="8134">
          <cell r="O8134">
            <v>47970</v>
          </cell>
          <cell r="P8134">
            <v>4.1919751492521558</v>
          </cell>
          <cell r="Q8134">
            <v>55.060466281869871</v>
          </cell>
        </row>
        <row r="8135">
          <cell r="O8135">
            <v>47973</v>
          </cell>
          <cell r="P8135">
            <v>4.1938785972625121</v>
          </cell>
          <cell r="Q8135">
            <v>55.085467559611757</v>
          </cell>
        </row>
        <row r="8136">
          <cell r="O8136">
            <v>47974</v>
          </cell>
          <cell r="P8136">
            <v>4.1957829095705339</v>
          </cell>
          <cell r="Q8136">
            <v>55.110480189671044</v>
          </cell>
        </row>
        <row r="8137">
          <cell r="O8137">
            <v>47975</v>
          </cell>
          <cell r="P8137">
            <v>4.197688086568669</v>
          </cell>
          <cell r="Q8137">
            <v>55.135504177202442</v>
          </cell>
        </row>
        <row r="8138">
          <cell r="O8138">
            <v>47976</v>
          </cell>
          <cell r="P8138">
            <v>4.1995941286495508</v>
          </cell>
          <cell r="Q8138">
            <v>55.160539527363078</v>
          </cell>
        </row>
        <row r="8139">
          <cell r="O8139">
            <v>47977</v>
          </cell>
          <cell r="P8139">
            <v>4.2015010362059817</v>
          </cell>
          <cell r="Q8139">
            <v>55.185586245312308</v>
          </cell>
        </row>
        <row r="8140">
          <cell r="O8140">
            <v>47980</v>
          </cell>
          <cell r="P8140">
            <v>4.203408809630953</v>
          </cell>
          <cell r="Q8140">
            <v>55.210644336211971</v>
          </cell>
        </row>
        <row r="8141">
          <cell r="O8141">
            <v>47981</v>
          </cell>
          <cell r="P8141">
            <v>4.2053174493176257</v>
          </cell>
          <cell r="Q8141">
            <v>55.235713805226126</v>
          </cell>
        </row>
        <row r="8142">
          <cell r="O8142">
            <v>47982</v>
          </cell>
          <cell r="P8142">
            <v>4.2072269556593449</v>
          </cell>
          <cell r="Q8142">
            <v>55.260794657521252</v>
          </cell>
        </row>
        <row r="8143">
          <cell r="O8143">
            <v>47983</v>
          </cell>
          <cell r="P8143">
            <v>4.2091373290496303</v>
          </cell>
          <cell r="Q8143">
            <v>55.285886898266135</v>
          </cell>
        </row>
        <row r="8144">
          <cell r="O8144">
            <v>47984</v>
          </cell>
          <cell r="P8144">
            <v>4.2110485698821849</v>
          </cell>
          <cell r="Q8144">
            <v>55.310990532631948</v>
          </cell>
        </row>
        <row r="8145">
          <cell r="O8145">
            <v>47987</v>
          </cell>
          <cell r="P8145">
            <v>4.2129606785508846</v>
          </cell>
          <cell r="Q8145">
            <v>55.336105565792153</v>
          </cell>
        </row>
        <row r="8146">
          <cell r="O8146">
            <v>47988</v>
          </cell>
          <cell r="P8146">
            <v>4.2148736554497885</v>
          </cell>
          <cell r="Q8146">
            <v>55.361232002922605</v>
          </cell>
        </row>
        <row r="8147">
          <cell r="O8147">
            <v>47989</v>
          </cell>
          <cell r="P8147">
            <v>4.2167875009731244</v>
          </cell>
          <cell r="Q8147">
            <v>55.386369849201373</v>
          </cell>
        </row>
        <row r="8148">
          <cell r="O8148">
            <v>47990</v>
          </cell>
          <cell r="P8148">
            <v>4.2187022155153384</v>
          </cell>
          <cell r="Q8148">
            <v>55.411519109809419</v>
          </cell>
        </row>
        <row r="8149">
          <cell r="O8149">
            <v>47991</v>
          </cell>
          <cell r="P8149">
            <v>4.2206177994709826</v>
          </cell>
          <cell r="Q8149">
            <v>55.436679789929066</v>
          </cell>
        </row>
        <row r="8150">
          <cell r="O8150">
            <v>47994</v>
          </cell>
          <cell r="P8150">
            <v>4.2225342532348744</v>
          </cell>
          <cell r="Q8150">
            <v>55.461851894746133</v>
          </cell>
        </row>
        <row r="8151">
          <cell r="O8151">
            <v>47995</v>
          </cell>
          <cell r="P8151">
            <v>4.2244515772019247</v>
          </cell>
          <cell r="Q8151">
            <v>55.487035429447673</v>
          </cell>
        </row>
        <row r="8152">
          <cell r="O8152">
            <v>47996</v>
          </cell>
          <cell r="P8152">
            <v>4.226369771767299</v>
          </cell>
          <cell r="Q8152">
            <v>55.51223039922408</v>
          </cell>
        </row>
        <row r="8153">
          <cell r="O8153">
            <v>47997</v>
          </cell>
          <cell r="P8153">
            <v>4.2282888373262963</v>
          </cell>
          <cell r="Q8153">
            <v>55.537436809267504</v>
          </cell>
        </row>
        <row r="8154">
          <cell r="O8154">
            <v>47998</v>
          </cell>
          <cell r="P8154">
            <v>4.2302087742744101</v>
          </cell>
          <cell r="Q8154">
            <v>55.56265466477263</v>
          </cell>
        </row>
        <row r="8155">
          <cell r="O8155">
            <v>48001</v>
          </cell>
          <cell r="P8155">
            <v>4.2321295830073113</v>
          </cell>
          <cell r="Q8155">
            <v>55.587883970936502</v>
          </cell>
        </row>
        <row r="8156">
          <cell r="O8156">
            <v>48002</v>
          </cell>
          <cell r="P8156">
            <v>4.2340512639208514</v>
          </cell>
          <cell r="Q8156">
            <v>55.613124732958525</v>
          </cell>
        </row>
        <row r="8157">
          <cell r="O8157">
            <v>48003</v>
          </cell>
          <cell r="P8157">
            <v>4.2359738174110593</v>
          </cell>
          <cell r="Q8157">
            <v>55.638376956040418</v>
          </cell>
        </row>
        <row r="8158">
          <cell r="O8158">
            <v>48004</v>
          </cell>
          <cell r="P8158">
            <v>4.2378972438741469</v>
          </cell>
          <cell r="Q8158">
            <v>55.66364064538633</v>
          </cell>
        </row>
        <row r="8159">
          <cell r="O8159">
            <v>48005</v>
          </cell>
          <cell r="P8159">
            <v>4.239821543706503</v>
          </cell>
          <cell r="Q8159">
            <v>55.688915806202722</v>
          </cell>
        </row>
        <row r="8160">
          <cell r="O8160">
            <v>48008</v>
          </cell>
          <cell r="P8160">
            <v>4.241746717304701</v>
          </cell>
          <cell r="Q8160">
            <v>55.714202443698468</v>
          </cell>
        </row>
        <row r="8161">
          <cell r="O8161">
            <v>48009</v>
          </cell>
          <cell r="P8161">
            <v>4.2436727650654875</v>
          </cell>
          <cell r="Q8161">
            <v>55.739500563084739</v>
          </cell>
        </row>
        <row r="8162">
          <cell r="O8162">
            <v>48010</v>
          </cell>
          <cell r="P8162">
            <v>4.2455996873857966</v>
          </cell>
          <cell r="Q8162">
            <v>55.764810169575149</v>
          </cell>
        </row>
        <row r="8163">
          <cell r="O8163">
            <v>48012</v>
          </cell>
          <cell r="P8163">
            <v>4.2475274846627356</v>
          </cell>
          <cell r="Q8163">
            <v>55.790131268385601</v>
          </cell>
        </row>
        <row r="8164">
          <cell r="O8164">
            <v>48015</v>
          </cell>
          <cell r="P8164">
            <v>4.2494561572935989</v>
          </cell>
          <cell r="Q8164">
            <v>55.815463864734454</v>
          </cell>
        </row>
        <row r="8165">
          <cell r="O8165">
            <v>48016</v>
          </cell>
          <cell r="P8165">
            <v>4.2513857056758555</v>
          </cell>
          <cell r="Q8165">
            <v>55.840807963842352</v>
          </cell>
        </row>
        <row r="8166">
          <cell r="O8166">
            <v>48017</v>
          </cell>
          <cell r="P8166">
            <v>4.2533161302071587</v>
          </cell>
          <cell r="Q8166">
            <v>55.866163570932358</v>
          </cell>
        </row>
        <row r="8167">
          <cell r="O8167">
            <v>48018</v>
          </cell>
          <cell r="P8167">
            <v>4.2552474312853414</v>
          </cell>
          <cell r="Q8167">
            <v>55.891530691229903</v>
          </cell>
        </row>
        <row r="8168">
          <cell r="O8168">
            <v>48019</v>
          </cell>
          <cell r="P8168">
            <v>4.257179609308416</v>
          </cell>
          <cell r="Q8168">
            <v>55.916909329962785</v>
          </cell>
        </row>
        <row r="8169">
          <cell r="O8169">
            <v>48022</v>
          </cell>
          <cell r="P8169">
            <v>4.2591126646745749</v>
          </cell>
          <cell r="Q8169">
            <v>55.942299492361137</v>
          </cell>
        </row>
        <row r="8170">
          <cell r="O8170">
            <v>48023</v>
          </cell>
          <cell r="P8170">
            <v>4.2610465977821965</v>
          </cell>
          <cell r="Q8170">
            <v>55.96770118365756</v>
          </cell>
        </row>
        <row r="8171">
          <cell r="O8171">
            <v>48024</v>
          </cell>
          <cell r="P8171">
            <v>4.262981409029833</v>
          </cell>
          <cell r="Q8171">
            <v>55.993114409086935</v>
          </cell>
        </row>
        <row r="8172">
          <cell r="O8172">
            <v>48025</v>
          </cell>
          <cell r="P8172">
            <v>4.2649170988162242</v>
          </cell>
          <cell r="Q8172">
            <v>56.018539173886595</v>
          </cell>
        </row>
        <row r="8173">
          <cell r="O8173">
            <v>48026</v>
          </cell>
          <cell r="P8173">
            <v>4.2668536675402828</v>
          </cell>
          <cell r="Q8173">
            <v>56.043975483296151</v>
          </cell>
        </row>
        <row r="8174">
          <cell r="O8174">
            <v>48029</v>
          </cell>
          <cell r="P8174">
            <v>4.2687911156011138</v>
          </cell>
          <cell r="Q8174">
            <v>56.069423342557741</v>
          </cell>
        </row>
        <row r="8175">
          <cell r="O8175">
            <v>48030</v>
          </cell>
          <cell r="P8175">
            <v>4.2707294433979923</v>
          </cell>
          <cell r="Q8175">
            <v>56.094882756915744</v>
          </cell>
        </row>
        <row r="8176">
          <cell r="O8176">
            <v>48031</v>
          </cell>
          <cell r="P8176">
            <v>4.272668651330382</v>
          </cell>
          <cell r="Q8176">
            <v>56.120353731616994</v>
          </cell>
        </row>
        <row r="8177">
          <cell r="O8177">
            <v>48032</v>
          </cell>
          <cell r="P8177">
            <v>4.2746087397979249</v>
          </cell>
          <cell r="Q8177">
            <v>56.145836271910689</v>
          </cell>
        </row>
        <row r="8178">
          <cell r="O8178">
            <v>48033</v>
          </cell>
          <cell r="P8178">
            <v>4.2765497092004461</v>
          </cell>
          <cell r="Q8178">
            <v>56.171330383048428</v>
          </cell>
        </row>
        <row r="8179">
          <cell r="O8179">
            <v>48036</v>
          </cell>
          <cell r="P8179">
            <v>4.2784915599379492</v>
          </cell>
          <cell r="Q8179">
            <v>56.196836070284142</v>
          </cell>
        </row>
        <row r="8180">
          <cell r="O8180">
            <v>48037</v>
          </cell>
          <cell r="P8180">
            <v>4.2804342924106233</v>
          </cell>
          <cell r="Q8180">
            <v>56.222353338874207</v>
          </cell>
        </row>
        <row r="8181">
          <cell r="O8181">
            <v>48038</v>
          </cell>
          <cell r="P8181">
            <v>4.2823779070188364</v>
          </cell>
          <cell r="Q8181">
            <v>56.247882194077363</v>
          </cell>
        </row>
        <row r="8182">
          <cell r="O8182">
            <v>48039</v>
          </cell>
          <cell r="P8182">
            <v>4.2843224041631407</v>
          </cell>
          <cell r="Q8182">
            <v>56.273422641154738</v>
          </cell>
        </row>
        <row r="8183">
          <cell r="O8183">
            <v>48040</v>
          </cell>
          <cell r="P8183">
            <v>4.2862677842442674</v>
          </cell>
          <cell r="Q8183">
            <v>56.298974685369842</v>
          </cell>
        </row>
        <row r="8184">
          <cell r="O8184">
            <v>48043</v>
          </cell>
          <cell r="P8184">
            <v>4.2882140476631312</v>
          </cell>
          <cell r="Q8184">
            <v>56.32453833198857</v>
          </cell>
        </row>
        <row r="8185">
          <cell r="O8185">
            <v>48044</v>
          </cell>
          <cell r="P8185">
            <v>4.29016119482083</v>
          </cell>
          <cell r="Q8185">
            <v>56.350113586279249</v>
          </cell>
        </row>
        <row r="8186">
          <cell r="O8186">
            <v>48045</v>
          </cell>
          <cell r="P8186">
            <v>4.2921092261186429</v>
          </cell>
          <cell r="Q8186">
            <v>56.375700453512557</v>
          </cell>
        </row>
        <row r="8187">
          <cell r="O8187">
            <v>48046</v>
          </cell>
          <cell r="P8187">
            <v>4.294058141958029</v>
          </cell>
          <cell r="Q8187">
            <v>56.40129893896156</v>
          </cell>
        </row>
        <row r="8188">
          <cell r="O8188">
            <v>48047</v>
          </cell>
          <cell r="P8188">
            <v>4.2960079427406326</v>
          </cell>
          <cell r="Q8188">
            <v>56.426909047901752</v>
          </cell>
        </row>
        <row r="8189">
          <cell r="O8189">
            <v>48050</v>
          </cell>
          <cell r="P8189">
            <v>4.2979586288682796</v>
          </cell>
          <cell r="Q8189">
            <v>56.452530785610996</v>
          </cell>
        </row>
        <row r="8190">
          <cell r="O8190">
            <v>48051</v>
          </cell>
          <cell r="P8190">
            <v>4.2999102007429792</v>
          </cell>
          <cell r="Q8190">
            <v>56.478164157369584</v>
          </cell>
        </row>
        <row r="8191">
          <cell r="O8191">
            <v>48052</v>
          </cell>
          <cell r="P8191">
            <v>4.3018626587669209</v>
          </cell>
          <cell r="Q8191">
            <v>56.503809168460165</v>
          </cell>
        </row>
        <row r="8192">
          <cell r="O8192">
            <v>48053</v>
          </cell>
          <cell r="P8192">
            <v>4.3038160033424768</v>
          </cell>
          <cell r="Q8192">
            <v>56.529465824167787</v>
          </cell>
        </row>
        <row r="8193">
          <cell r="O8193">
            <v>48054</v>
          </cell>
          <cell r="P8193">
            <v>4.305770234872206</v>
          </cell>
          <cell r="Q8193">
            <v>56.555134129779958</v>
          </cell>
        </row>
        <row r="8194">
          <cell r="O8194">
            <v>48057</v>
          </cell>
          <cell r="P8194">
            <v>4.3077253537588449</v>
          </cell>
          <cell r="Q8194">
            <v>56.580814090586507</v>
          </cell>
        </row>
        <row r="8195">
          <cell r="O8195">
            <v>48058</v>
          </cell>
          <cell r="P8195">
            <v>4.3096813604053148</v>
          </cell>
          <cell r="Q8195">
            <v>56.606505711879699</v>
          </cell>
        </row>
        <row r="8196">
          <cell r="O8196">
            <v>48059</v>
          </cell>
          <cell r="P8196">
            <v>4.3116382552147225</v>
          </cell>
          <cell r="Q8196">
            <v>56.632208998954241</v>
          </cell>
        </row>
        <row r="8197">
          <cell r="O8197">
            <v>48060</v>
          </cell>
          <cell r="P8197">
            <v>4.3135960385903553</v>
          </cell>
          <cell r="Q8197">
            <v>56.657923957107194</v>
          </cell>
        </row>
        <row r="8198">
          <cell r="O8198">
            <v>48061</v>
          </cell>
          <cell r="P8198">
            <v>4.3155547109356824</v>
          </cell>
          <cell r="Q8198">
            <v>56.68365059163802</v>
          </cell>
        </row>
        <row r="8199">
          <cell r="O8199">
            <v>48064</v>
          </cell>
          <cell r="P8199">
            <v>4.3175142726543587</v>
          </cell>
          <cell r="Q8199">
            <v>56.709388907848613</v>
          </cell>
        </row>
        <row r="8200">
          <cell r="O8200">
            <v>48065</v>
          </cell>
          <cell r="P8200">
            <v>4.319474724150222</v>
          </cell>
          <cell r="Q8200">
            <v>56.735138911043286</v>
          </cell>
        </row>
        <row r="8201">
          <cell r="O8201">
            <v>48066</v>
          </cell>
          <cell r="P8201">
            <v>4.3214360658272932</v>
          </cell>
          <cell r="Q8201">
            <v>56.760900606528736</v>
          </cell>
        </row>
        <row r="8202">
          <cell r="O8202">
            <v>48067</v>
          </cell>
          <cell r="P8202">
            <v>4.3233982980897752</v>
          </cell>
          <cell r="Q8202">
            <v>56.786673999614059</v>
          </cell>
        </row>
        <row r="8203">
          <cell r="O8203">
            <v>48068</v>
          </cell>
          <cell r="P8203">
            <v>4.3253614213420564</v>
          </cell>
          <cell r="Q8203">
            <v>56.812459095610791</v>
          </cell>
        </row>
        <row r="8204">
          <cell r="O8204">
            <v>48071</v>
          </cell>
          <cell r="P8204">
            <v>4.3273254359887074</v>
          </cell>
          <cell r="Q8204">
            <v>56.838255899832859</v>
          </cell>
        </row>
        <row r="8205">
          <cell r="O8205">
            <v>48072</v>
          </cell>
          <cell r="P8205">
            <v>4.3292903424344846</v>
          </cell>
          <cell r="Q8205">
            <v>56.864064417596623</v>
          </cell>
        </row>
        <row r="8206">
          <cell r="O8206">
            <v>48073</v>
          </cell>
          <cell r="P8206">
            <v>4.3312561410843138</v>
          </cell>
          <cell r="Q8206">
            <v>56.889884654220687</v>
          </cell>
        </row>
        <row r="8207">
          <cell r="O8207">
            <v>48074</v>
          </cell>
          <cell r="P8207">
            <v>4.3332228323433526</v>
          </cell>
          <cell r="Q8207">
            <v>56.915716615026675</v>
          </cell>
        </row>
        <row r="8208">
          <cell r="O8208">
            <v>48075</v>
          </cell>
          <cell r="P8208">
            <v>4.3351904166168733</v>
          </cell>
          <cell r="Q8208">
            <v>56.941560305337731</v>
          </cell>
        </row>
        <row r="8209">
          <cell r="O8209">
            <v>48078</v>
          </cell>
          <cell r="P8209">
            <v>4.3371588943103667</v>
          </cell>
          <cell r="Q8209">
            <v>56.967415730479871</v>
          </cell>
        </row>
        <row r="8210">
          <cell r="O8210">
            <v>48079</v>
          </cell>
          <cell r="P8210">
            <v>4.3391282658295411</v>
          </cell>
          <cell r="Q8210">
            <v>56.993282895781967</v>
          </cell>
        </row>
        <row r="8211">
          <cell r="O8211">
            <v>48080</v>
          </cell>
          <cell r="P8211">
            <v>4.3410985315802231</v>
          </cell>
          <cell r="Q8211">
            <v>57.019161806574438</v>
          </cell>
        </row>
        <row r="8212">
          <cell r="O8212">
            <v>48081</v>
          </cell>
          <cell r="P8212">
            <v>4.3430696919684539</v>
          </cell>
          <cell r="Q8212">
            <v>57.045052468190526</v>
          </cell>
        </row>
        <row r="8213">
          <cell r="O8213">
            <v>48082</v>
          </cell>
          <cell r="P8213">
            <v>4.3450417474004848</v>
          </cell>
          <cell r="Q8213">
            <v>57.070954885966231</v>
          </cell>
        </row>
        <row r="8214">
          <cell r="O8214">
            <v>48085</v>
          </cell>
          <cell r="P8214">
            <v>4.3470146982827158</v>
          </cell>
          <cell r="Q8214">
            <v>57.096869065239517</v>
          </cell>
        </row>
        <row r="8215">
          <cell r="O8215">
            <v>48086</v>
          </cell>
          <cell r="P8215">
            <v>4.348988545021756</v>
          </cell>
          <cell r="Q8215">
            <v>57.122795011351073</v>
          </cell>
        </row>
        <row r="8216">
          <cell r="O8216">
            <v>48087</v>
          </cell>
          <cell r="P8216">
            <v>4.3509632880243521</v>
          </cell>
          <cell r="Q8216">
            <v>57.148732729643413</v>
          </cell>
        </row>
        <row r="8217">
          <cell r="O8217">
            <v>48088</v>
          </cell>
          <cell r="P8217">
            <v>4.3529389276975028</v>
          </cell>
          <cell r="Q8217">
            <v>57.174682225462362</v>
          </cell>
        </row>
        <row r="8218">
          <cell r="O8218">
            <v>48089</v>
          </cell>
          <cell r="P8218">
            <v>4.3549154644483492</v>
          </cell>
          <cell r="Q8218">
            <v>57.200643504155593</v>
          </cell>
        </row>
        <row r="8219">
          <cell r="O8219">
            <v>48092</v>
          </cell>
          <cell r="P8219">
            <v>4.3568928986842277</v>
          </cell>
          <cell r="Q8219">
            <v>57.226616571073379</v>
          </cell>
        </row>
        <row r="8220">
          <cell r="O8220">
            <v>48093</v>
          </cell>
          <cell r="P8220">
            <v>4.3588712308126558</v>
          </cell>
          <cell r="Q8220">
            <v>57.252601431568337</v>
          </cell>
        </row>
        <row r="8221">
          <cell r="O8221">
            <v>48094</v>
          </cell>
          <cell r="P8221">
            <v>4.3608504612413412</v>
          </cell>
          <cell r="Q8221">
            <v>57.278598090995608</v>
          </cell>
        </row>
        <row r="8222">
          <cell r="O8222">
            <v>48095</v>
          </cell>
          <cell r="P8222">
            <v>4.3628305903781746</v>
          </cell>
          <cell r="Q8222">
            <v>57.30460655471272</v>
          </cell>
        </row>
        <row r="8223">
          <cell r="O8223">
            <v>48096</v>
          </cell>
          <cell r="P8223">
            <v>4.364811618631232</v>
          </cell>
          <cell r="Q8223">
            <v>57.330626828079644</v>
          </cell>
        </row>
        <row r="8224">
          <cell r="O8224">
            <v>48099</v>
          </cell>
          <cell r="P8224">
            <v>4.3667935464087728</v>
          </cell>
          <cell r="Q8224">
            <v>57.356658916458763</v>
          </cell>
        </row>
        <row r="8225">
          <cell r="O8225">
            <v>48100</v>
          </cell>
          <cell r="P8225">
            <v>4.3687763741192471</v>
          </cell>
          <cell r="Q8225">
            <v>57.382702825214949</v>
          </cell>
        </row>
        <row r="8226">
          <cell r="O8226">
            <v>48101</v>
          </cell>
          <cell r="P8226">
            <v>4.3707601021712836</v>
          </cell>
          <cell r="Q8226">
            <v>57.408758559715437</v>
          </cell>
        </row>
        <row r="8227">
          <cell r="O8227">
            <v>48102</v>
          </cell>
          <cell r="P8227">
            <v>4.3727447309737029</v>
          </cell>
          <cell r="Q8227">
            <v>57.43482612532997</v>
          </cell>
        </row>
        <row r="8228">
          <cell r="O8228">
            <v>48103</v>
          </cell>
          <cell r="P8228">
            <v>4.3747302609355039</v>
          </cell>
          <cell r="Q8228">
            <v>57.460905527430647</v>
          </cell>
        </row>
        <row r="8229">
          <cell r="O8229">
            <v>48106</v>
          </cell>
          <cell r="P8229">
            <v>4.3767166924658811</v>
          </cell>
          <cell r="Q8229">
            <v>57.486996771392121</v>
          </cell>
        </row>
        <row r="8230">
          <cell r="O8230">
            <v>48107</v>
          </cell>
          <cell r="P8230">
            <v>4.3787040259742049</v>
          </cell>
          <cell r="Q8230">
            <v>57.513099862591368</v>
          </cell>
        </row>
        <row r="8231">
          <cell r="O8231">
            <v>48108</v>
          </cell>
          <cell r="P8231">
            <v>4.3806922618700392</v>
          </cell>
          <cell r="Q8231">
            <v>57.539214806407891</v>
          </cell>
        </row>
        <row r="8232">
          <cell r="O8232">
            <v>48109</v>
          </cell>
          <cell r="P8232">
            <v>4.3826814005631265</v>
          </cell>
          <cell r="Q8232">
            <v>57.565341608223555</v>
          </cell>
        </row>
        <row r="8233">
          <cell r="O8233">
            <v>48110</v>
          </cell>
          <cell r="P8233">
            <v>4.3846714424634046</v>
          </cell>
          <cell r="Q8233">
            <v>57.591480273422775</v>
          </cell>
        </row>
        <row r="8234">
          <cell r="O8234">
            <v>48113</v>
          </cell>
          <cell r="P8234">
            <v>4.3866623879809881</v>
          </cell>
          <cell r="Q8234">
            <v>57.61763080739231</v>
          </cell>
        </row>
        <row r="8235">
          <cell r="O8235">
            <v>48114</v>
          </cell>
          <cell r="P8235">
            <v>4.3886542375261843</v>
          </cell>
          <cell r="Q8235">
            <v>57.64379321552142</v>
          </cell>
        </row>
        <row r="8236">
          <cell r="O8236">
            <v>48115</v>
          </cell>
          <cell r="P8236">
            <v>4.3906469915094837</v>
          </cell>
          <cell r="Q8236">
            <v>57.669967503201796</v>
          </cell>
        </row>
        <row r="8237">
          <cell r="O8237">
            <v>48116</v>
          </cell>
          <cell r="P8237">
            <v>4.3926406503415656</v>
          </cell>
          <cell r="Q8237">
            <v>57.696153675827603</v>
          </cell>
        </row>
        <row r="8238">
          <cell r="O8238">
            <v>48117</v>
          </cell>
          <cell r="P8238">
            <v>4.3946352144332916</v>
          </cell>
          <cell r="Q8238">
            <v>57.722351738795389</v>
          </cell>
        </row>
        <row r="8239">
          <cell r="O8239">
            <v>48120</v>
          </cell>
          <cell r="P8239">
            <v>4.3966306841957135</v>
          </cell>
          <cell r="Q8239">
            <v>57.748561697504215</v>
          </cell>
        </row>
        <row r="8240">
          <cell r="O8240">
            <v>48121</v>
          </cell>
          <cell r="P8240">
            <v>4.3986270600400692</v>
          </cell>
          <cell r="Q8240">
            <v>57.774783557355576</v>
          </cell>
        </row>
        <row r="8241">
          <cell r="O8241">
            <v>48122</v>
          </cell>
          <cell r="P8241">
            <v>4.4006243423777844</v>
          </cell>
          <cell r="Q8241">
            <v>57.801017323753442</v>
          </cell>
        </row>
        <row r="8242">
          <cell r="O8242">
            <v>48123</v>
          </cell>
          <cell r="P8242">
            <v>4.4026225316204668</v>
          </cell>
          <cell r="Q8242">
            <v>57.827263002104168</v>
          </cell>
        </row>
        <row r="8243">
          <cell r="O8243">
            <v>48124</v>
          </cell>
          <cell r="P8243">
            <v>4.4046216281799158</v>
          </cell>
          <cell r="Q8243">
            <v>57.853520597816626</v>
          </cell>
        </row>
        <row r="8244">
          <cell r="O8244">
            <v>48127</v>
          </cell>
          <cell r="P8244">
            <v>4.4066216324681164</v>
          </cell>
          <cell r="Q8244">
            <v>57.879790116302139</v>
          </cell>
        </row>
        <row r="8245">
          <cell r="O8245">
            <v>48128</v>
          </cell>
          <cell r="P8245">
            <v>4.4086225448972414</v>
          </cell>
          <cell r="Q8245">
            <v>57.906071562974468</v>
          </cell>
        </row>
        <row r="8246">
          <cell r="O8246">
            <v>48129</v>
          </cell>
          <cell r="P8246">
            <v>4.4106243658796478</v>
          </cell>
          <cell r="Q8246">
            <v>57.932364943249823</v>
          </cell>
        </row>
        <row r="8247">
          <cell r="O8247">
            <v>48130</v>
          </cell>
          <cell r="P8247">
            <v>4.412627095827883</v>
          </cell>
          <cell r="Q8247">
            <v>57.958670262546903</v>
          </cell>
        </row>
        <row r="8248">
          <cell r="O8248">
            <v>48131</v>
          </cell>
          <cell r="P8248">
            <v>4.414630735154681</v>
          </cell>
          <cell r="Q8248">
            <v>57.984987526286851</v>
          </cell>
        </row>
        <row r="8249">
          <cell r="O8249">
            <v>48134</v>
          </cell>
          <cell r="P8249">
            <v>4.4166352842729637</v>
          </cell>
          <cell r="Q8249">
            <v>58.011316739893296</v>
          </cell>
        </row>
        <row r="8250">
          <cell r="O8250">
            <v>48135</v>
          </cell>
          <cell r="P8250">
            <v>4.4186407435958364</v>
          </cell>
          <cell r="Q8250">
            <v>58.037657908792255</v>
          </cell>
        </row>
        <row r="8251">
          <cell r="O8251">
            <v>48136</v>
          </cell>
          <cell r="P8251">
            <v>4.4206471135365994</v>
          </cell>
          <cell r="Q8251">
            <v>58.064011038412325</v>
          </cell>
        </row>
        <row r="8252">
          <cell r="O8252">
            <v>48137</v>
          </cell>
          <cell r="P8252">
            <v>4.4226543945087329</v>
          </cell>
          <cell r="Q8252">
            <v>58.090376134184446</v>
          </cell>
        </row>
        <row r="8253">
          <cell r="O8253">
            <v>48138</v>
          </cell>
          <cell r="P8253">
            <v>4.4246625869259084</v>
          </cell>
          <cell r="Q8253">
            <v>58.116753201542089</v>
          </cell>
        </row>
        <row r="8254">
          <cell r="O8254">
            <v>48141</v>
          </cell>
          <cell r="P8254">
            <v>4.4266716912019923</v>
          </cell>
          <cell r="Q8254">
            <v>58.143142245921283</v>
          </cell>
        </row>
        <row r="8255">
          <cell r="O8255">
            <v>48142</v>
          </cell>
          <cell r="P8255">
            <v>4.4286817077510223</v>
          </cell>
          <cell r="Q8255">
            <v>58.169543272760293</v>
          </cell>
        </row>
        <row r="8256">
          <cell r="O8256">
            <v>48143</v>
          </cell>
          <cell r="P8256">
            <v>4.4306926369872404</v>
          </cell>
          <cell r="Q8256">
            <v>58.195956287500074</v>
          </cell>
        </row>
        <row r="8257">
          <cell r="O8257">
            <v>48144</v>
          </cell>
          <cell r="P8257">
            <v>4.4327044793250652</v>
          </cell>
          <cell r="Q8257">
            <v>58.222381295583915</v>
          </cell>
        </row>
        <row r="8258">
          <cell r="O8258">
            <v>48145</v>
          </cell>
          <cell r="P8258">
            <v>4.4347172351791109</v>
          </cell>
          <cell r="Q8258">
            <v>58.24881830245765</v>
          </cell>
        </row>
        <row r="8259">
          <cell r="O8259">
            <v>48148</v>
          </cell>
          <cell r="P8259">
            <v>4.4367309049641772</v>
          </cell>
          <cell r="Q8259">
            <v>58.275267313569572</v>
          </cell>
        </row>
        <row r="8260">
          <cell r="O8260">
            <v>48149</v>
          </cell>
          <cell r="P8260">
            <v>4.4387454890952531</v>
          </cell>
          <cell r="Q8260">
            <v>58.301728334370445</v>
          </cell>
        </row>
        <row r="8261">
          <cell r="O8261">
            <v>48150</v>
          </cell>
          <cell r="P8261">
            <v>4.4407609879875123</v>
          </cell>
          <cell r="Q8261">
            <v>58.328201370313458</v>
          </cell>
        </row>
        <row r="8262">
          <cell r="O8262">
            <v>48151</v>
          </cell>
          <cell r="P8262">
            <v>4.4427774020563238</v>
          </cell>
          <cell r="Q8262">
            <v>58.354686426854379</v>
          </cell>
        </row>
        <row r="8263">
          <cell r="O8263">
            <v>48152</v>
          </cell>
          <cell r="P8263">
            <v>4.4447947317172387</v>
          </cell>
          <cell r="Q8263">
            <v>58.381183509451361</v>
          </cell>
        </row>
        <row r="8264">
          <cell r="O8264">
            <v>48155</v>
          </cell>
          <cell r="P8264">
            <v>4.446812977386001</v>
          </cell>
          <cell r="Q8264">
            <v>58.407692623565083</v>
          </cell>
        </row>
        <row r="8265">
          <cell r="O8265">
            <v>48156</v>
          </cell>
          <cell r="P8265">
            <v>4.4488321394785393</v>
          </cell>
          <cell r="Q8265">
            <v>58.434213774658659</v>
          </cell>
        </row>
        <row r="8266">
          <cell r="O8266">
            <v>48157</v>
          </cell>
          <cell r="P8266">
            <v>4.4508522184109767</v>
          </cell>
          <cell r="Q8266">
            <v>58.460746968197753</v>
          </cell>
        </row>
        <row r="8267">
          <cell r="O8267">
            <v>48158</v>
          </cell>
          <cell r="P8267">
            <v>4.4528732145996202</v>
          </cell>
          <cell r="Q8267">
            <v>58.487292209650448</v>
          </cell>
        </row>
        <row r="8268">
          <cell r="O8268">
            <v>48159</v>
          </cell>
          <cell r="P8268">
            <v>4.4548951284609579</v>
          </cell>
          <cell r="Q8268">
            <v>58.513849504487204</v>
          </cell>
        </row>
        <row r="8269">
          <cell r="O8269">
            <v>48162</v>
          </cell>
          <cell r="P8269">
            <v>4.45691796041171</v>
          </cell>
          <cell r="Q8269">
            <v>58.540418858181525</v>
          </cell>
        </row>
        <row r="8270">
          <cell r="O8270">
            <v>48163</v>
          </cell>
          <cell r="P8270">
            <v>4.4589417108687197</v>
          </cell>
          <cell r="Q8270">
            <v>58.567000276208532</v>
          </cell>
        </row>
        <row r="8271">
          <cell r="O8271">
            <v>48164</v>
          </cell>
          <cell r="P8271">
            <v>4.4609663802490518</v>
          </cell>
          <cell r="Q8271">
            <v>58.593593764046261</v>
          </cell>
        </row>
        <row r="8272">
          <cell r="O8272">
            <v>48165</v>
          </cell>
          <cell r="P8272">
            <v>4.4629919689699964</v>
          </cell>
          <cell r="Q8272">
            <v>58.620199327175712</v>
          </cell>
        </row>
        <row r="8273">
          <cell r="O8273">
            <v>48166</v>
          </cell>
          <cell r="P8273">
            <v>4.4650184774489512</v>
          </cell>
          <cell r="Q8273">
            <v>58.646816971079282</v>
          </cell>
        </row>
        <row r="8274">
          <cell r="O8274">
            <v>48169</v>
          </cell>
          <cell r="P8274">
            <v>4.4670459061035972</v>
          </cell>
          <cell r="Q8274">
            <v>58.673446701243101</v>
          </cell>
        </row>
        <row r="8275">
          <cell r="O8275">
            <v>48170</v>
          </cell>
          <cell r="P8275">
            <v>4.4690742553517113</v>
          </cell>
          <cell r="Q8275">
            <v>58.700088523154562</v>
          </cell>
        </row>
        <row r="8276">
          <cell r="O8276">
            <v>48171</v>
          </cell>
          <cell r="P8276">
            <v>4.4711035256113538</v>
          </cell>
          <cell r="Q8276">
            <v>58.726742442304776</v>
          </cell>
        </row>
        <row r="8277">
          <cell r="O8277">
            <v>48172</v>
          </cell>
          <cell r="P8277">
            <v>4.4731337173006809</v>
          </cell>
          <cell r="Q8277">
            <v>58.753408464186094</v>
          </cell>
        </row>
        <row r="8278">
          <cell r="O8278">
            <v>48173</v>
          </cell>
          <cell r="P8278">
            <v>4.4751648308381204</v>
          </cell>
          <cell r="Q8278">
            <v>58.780086594294474</v>
          </cell>
        </row>
        <row r="8279">
          <cell r="O8279">
            <v>48176</v>
          </cell>
          <cell r="P8279">
            <v>4.4771968666422453</v>
          </cell>
          <cell r="Q8279">
            <v>58.806776838127753</v>
          </cell>
        </row>
        <row r="8280">
          <cell r="O8280">
            <v>48177</v>
          </cell>
          <cell r="P8280">
            <v>4.479229825131827</v>
          </cell>
          <cell r="Q8280">
            <v>58.833479201186371</v>
          </cell>
        </row>
        <row r="8281">
          <cell r="O8281">
            <v>48178</v>
          </cell>
          <cell r="P8281">
            <v>4.4812637067258301</v>
          </cell>
          <cell r="Q8281">
            <v>58.860193688973332</v>
          </cell>
        </row>
        <row r="8282">
          <cell r="O8282">
            <v>48179</v>
          </cell>
          <cell r="P8282">
            <v>4.4832985118434063</v>
          </cell>
          <cell r="Q8282">
            <v>58.886920306994064</v>
          </cell>
        </row>
        <row r="8283">
          <cell r="O8283">
            <v>48180</v>
          </cell>
          <cell r="P8283">
            <v>4.4853342409039012</v>
          </cell>
          <cell r="Q8283">
            <v>58.913659060756572</v>
          </cell>
        </row>
        <row r="8284">
          <cell r="O8284">
            <v>48183</v>
          </cell>
          <cell r="P8284">
            <v>4.4873708943268502</v>
          </cell>
          <cell r="Q8284">
            <v>58.940409955771337</v>
          </cell>
        </row>
        <row r="8285">
          <cell r="O8285">
            <v>48184</v>
          </cell>
          <cell r="P8285">
            <v>4.4894084725319745</v>
          </cell>
          <cell r="Q8285">
            <v>58.96717299755128</v>
          </cell>
        </row>
        <row r="8286">
          <cell r="O8286">
            <v>48185</v>
          </cell>
          <cell r="P8286">
            <v>4.4914469759391915</v>
          </cell>
          <cell r="Q8286">
            <v>58.993948191611906</v>
          </cell>
        </row>
        <row r="8287">
          <cell r="O8287">
            <v>48186</v>
          </cell>
          <cell r="P8287">
            <v>4.4934864049686079</v>
          </cell>
          <cell r="Q8287">
            <v>59.020735543471204</v>
          </cell>
        </row>
        <row r="8288">
          <cell r="O8288">
            <v>48187</v>
          </cell>
          <cell r="P8288">
            <v>4.4955267600405202</v>
          </cell>
          <cell r="Q8288">
            <v>59.04753505864965</v>
          </cell>
        </row>
        <row r="8289">
          <cell r="O8289">
            <v>48190</v>
          </cell>
          <cell r="P8289">
            <v>4.4975680415754145</v>
          </cell>
          <cell r="Q8289">
            <v>59.07434674267023</v>
          </cell>
        </row>
        <row r="8290">
          <cell r="O8290">
            <v>48191</v>
          </cell>
          <cell r="P8290">
            <v>4.4996102499939719</v>
          </cell>
          <cell r="Q8290">
            <v>59.101170601058456</v>
          </cell>
        </row>
        <row r="8291">
          <cell r="O8291">
            <v>48192</v>
          </cell>
          <cell r="P8291">
            <v>4.5016533857170593</v>
          </cell>
          <cell r="Q8291">
            <v>59.128006639342324</v>
          </cell>
        </row>
        <row r="8292">
          <cell r="O8292">
            <v>48193</v>
          </cell>
          <cell r="P8292">
            <v>4.50369744916574</v>
          </cell>
          <cell r="Q8292">
            <v>59.154854863052371</v>
          </cell>
        </row>
        <row r="8293">
          <cell r="O8293">
            <v>48194</v>
          </cell>
          <cell r="P8293">
            <v>4.5057424407612627</v>
          </cell>
          <cell r="Q8293">
            <v>59.181715277721594</v>
          </cell>
        </row>
        <row r="8294">
          <cell r="O8294">
            <v>48197</v>
          </cell>
          <cell r="P8294">
            <v>4.5077883609250744</v>
          </cell>
          <cell r="Q8294">
            <v>59.208587888885582</v>
          </cell>
        </row>
        <row r="8295">
          <cell r="O8295">
            <v>48198</v>
          </cell>
          <cell r="P8295">
            <v>4.5098352100788075</v>
          </cell>
          <cell r="Q8295">
            <v>59.235472702082362</v>
          </cell>
        </row>
        <row r="8296">
          <cell r="O8296">
            <v>48199</v>
          </cell>
          <cell r="P8296">
            <v>4.5118829886442882</v>
          </cell>
          <cell r="Q8296">
            <v>59.262369722852512</v>
          </cell>
        </row>
        <row r="8297">
          <cell r="O8297">
            <v>48200</v>
          </cell>
          <cell r="P8297">
            <v>4.5139316970435317</v>
          </cell>
          <cell r="Q8297">
            <v>59.289278956739089</v>
          </cell>
        </row>
        <row r="8298">
          <cell r="O8298">
            <v>48201</v>
          </cell>
          <cell r="P8298">
            <v>4.5159813356987524</v>
          </cell>
          <cell r="Q8298">
            <v>59.316200409287759</v>
          </cell>
        </row>
        <row r="8299">
          <cell r="O8299">
            <v>48204</v>
          </cell>
          <cell r="P8299">
            <v>4.5180319050323465</v>
          </cell>
          <cell r="Q8299">
            <v>59.343134086046582</v>
          </cell>
        </row>
        <row r="8300">
          <cell r="O8300">
            <v>48205</v>
          </cell>
          <cell r="P8300">
            <v>4.5200834054669086</v>
          </cell>
          <cell r="Q8300">
            <v>59.370079992566232</v>
          </cell>
        </row>
        <row r="8301">
          <cell r="O8301">
            <v>48206</v>
          </cell>
          <cell r="P8301">
            <v>4.5221358374252221</v>
          </cell>
          <cell r="Q8301">
            <v>59.397038134399857</v>
          </cell>
        </row>
        <row r="8302">
          <cell r="O8302">
            <v>48208</v>
          </cell>
          <cell r="P8302">
            <v>4.524189201330266</v>
          </cell>
          <cell r="Q8302">
            <v>59.424008517103161</v>
          </cell>
        </row>
        <row r="8303">
          <cell r="O8303">
            <v>48211</v>
          </cell>
          <cell r="P8303">
            <v>4.5262434976052068</v>
          </cell>
          <cell r="Q8303">
            <v>59.45099114623433</v>
          </cell>
        </row>
        <row r="8304">
          <cell r="O8304">
            <v>48212</v>
          </cell>
          <cell r="P8304">
            <v>4.5282987266734054</v>
          </cell>
          <cell r="Q8304">
            <v>59.477986027354092</v>
          </cell>
        </row>
        <row r="8305">
          <cell r="O8305">
            <v>48213</v>
          </cell>
          <cell r="P8305">
            <v>4.5303548889584144</v>
          </cell>
          <cell r="Q8305">
            <v>59.504993166025706</v>
          </cell>
        </row>
        <row r="8306">
          <cell r="O8306">
            <v>48215</v>
          </cell>
          <cell r="P8306">
            <v>4.5324119848839812</v>
          </cell>
          <cell r="Q8306">
            <v>59.532012567814967</v>
          </cell>
        </row>
        <row r="8307">
          <cell r="O8307">
            <v>48218</v>
          </cell>
          <cell r="P8307">
            <v>4.5344700148740404</v>
          </cell>
          <cell r="Q8307">
            <v>59.559044238290149</v>
          </cell>
        </row>
        <row r="8308">
          <cell r="O8308">
            <v>48219</v>
          </cell>
          <cell r="P8308">
            <v>4.5365289793527248</v>
          </cell>
          <cell r="Q8308">
            <v>59.586088183022113</v>
          </cell>
        </row>
        <row r="8309">
          <cell r="O8309">
            <v>48220</v>
          </cell>
          <cell r="P8309">
            <v>4.5385888787443553</v>
          </cell>
          <cell r="Q8309">
            <v>59.613144407584215</v>
          </cell>
        </row>
        <row r="8310">
          <cell r="O8310">
            <v>48221</v>
          </cell>
          <cell r="P8310">
            <v>4.5406497134734503</v>
          </cell>
          <cell r="Q8310">
            <v>59.640212917552383</v>
          </cell>
        </row>
        <row r="8311">
          <cell r="O8311">
            <v>48222</v>
          </cell>
          <cell r="P8311">
            <v>4.5427114839647125</v>
          </cell>
          <cell r="Q8311">
            <v>59.667293718504972</v>
          </cell>
        </row>
        <row r="8312">
          <cell r="O8312">
            <v>48225</v>
          </cell>
          <cell r="P8312">
            <v>4.5447741906430492</v>
          </cell>
          <cell r="Q8312">
            <v>59.694386816023027</v>
          </cell>
        </row>
        <row r="8313">
          <cell r="O8313">
            <v>48226</v>
          </cell>
          <cell r="P8313">
            <v>4.5468378339335507</v>
          </cell>
          <cell r="Q8313">
            <v>59.721492215689992</v>
          </cell>
        </row>
        <row r="8314">
          <cell r="O8314">
            <v>48227</v>
          </cell>
          <cell r="P8314">
            <v>4.5489024142615051</v>
          </cell>
          <cell r="Q8314">
            <v>59.748609923091912</v>
          </cell>
        </row>
        <row r="8315">
          <cell r="O8315">
            <v>48228</v>
          </cell>
          <cell r="P8315">
            <v>4.5509679320523908</v>
          </cell>
          <cell r="Q8315">
            <v>59.775739943817335</v>
          </cell>
        </row>
        <row r="8316">
          <cell r="O8316">
            <v>48229</v>
          </cell>
          <cell r="P8316">
            <v>4.5530343877318842</v>
          </cell>
          <cell r="Q8316">
            <v>59.8028822834574</v>
          </cell>
        </row>
        <row r="8317">
          <cell r="O8317">
            <v>48232</v>
          </cell>
          <cell r="P8317">
            <v>4.5551017817258508</v>
          </cell>
          <cell r="Q8317">
            <v>59.830036947605748</v>
          </cell>
        </row>
        <row r="8318">
          <cell r="O8318">
            <v>48233</v>
          </cell>
          <cell r="P8318">
            <v>4.557170114460348</v>
          </cell>
          <cell r="Q8318">
            <v>59.857203941858515</v>
          </cell>
        </row>
        <row r="8319">
          <cell r="O8319">
            <v>48234</v>
          </cell>
          <cell r="P8319">
            <v>4.5592393863616323</v>
          </cell>
          <cell r="Q8319">
            <v>59.884383271814464</v>
          </cell>
        </row>
        <row r="8320">
          <cell r="O8320">
            <v>48235</v>
          </cell>
          <cell r="P8320">
            <v>4.5613095978561491</v>
          </cell>
          <cell r="Q8320">
            <v>59.911574943074854</v>
          </cell>
        </row>
        <row r="8321">
          <cell r="O8321">
            <v>48236</v>
          </cell>
          <cell r="P8321">
            <v>4.5633807493705412</v>
          </cell>
          <cell r="Q8321">
            <v>59.938778961243514</v>
          </cell>
        </row>
        <row r="8322">
          <cell r="O8322">
            <v>48239</v>
          </cell>
          <cell r="P8322">
            <v>4.5654528413316386</v>
          </cell>
          <cell r="Q8322">
            <v>59.965995331926749</v>
          </cell>
        </row>
        <row r="8323">
          <cell r="O8323">
            <v>48240</v>
          </cell>
          <cell r="P8323">
            <v>4.567525874166475</v>
          </cell>
          <cell r="Q8323">
            <v>59.993224060733517</v>
          </cell>
        </row>
        <row r="8324">
          <cell r="O8324">
            <v>48241</v>
          </cell>
          <cell r="P8324">
            <v>4.5695998483022677</v>
          </cell>
          <cell r="Q8324">
            <v>60.020465153275218</v>
          </cell>
        </row>
        <row r="8325">
          <cell r="O8325">
            <v>48242</v>
          </cell>
          <cell r="P8325">
            <v>4.5716747641664366</v>
          </cell>
          <cell r="Q8325">
            <v>60.047718615165891</v>
          </cell>
        </row>
        <row r="8326">
          <cell r="O8326">
            <v>48243</v>
          </cell>
          <cell r="P8326">
            <v>4.5737506221865871</v>
          </cell>
          <cell r="Q8326">
            <v>60.074984452022015</v>
          </cell>
        </row>
        <row r="8327">
          <cell r="O8327">
            <v>48246</v>
          </cell>
          <cell r="P8327">
            <v>4.5758274227905291</v>
          </cell>
          <cell r="Q8327">
            <v>60.102262669462768</v>
          </cell>
        </row>
        <row r="8328">
          <cell r="O8328">
            <v>48247</v>
          </cell>
          <cell r="P8328">
            <v>4.5779051664062562</v>
          </cell>
          <cell r="Q8328">
            <v>60.129553273109721</v>
          </cell>
        </row>
        <row r="8329">
          <cell r="O8329">
            <v>48248</v>
          </cell>
          <cell r="P8329">
            <v>4.5799838534619646</v>
          </cell>
          <cell r="Q8329">
            <v>60.156856268587113</v>
          </cell>
        </row>
        <row r="8330">
          <cell r="O8330">
            <v>48249</v>
          </cell>
          <cell r="P8330">
            <v>4.5820634843860395</v>
          </cell>
          <cell r="Q8330">
            <v>60.184171661521681</v>
          </cell>
        </row>
        <row r="8331">
          <cell r="O8331">
            <v>48250</v>
          </cell>
          <cell r="P8331">
            <v>4.5841440596070653</v>
          </cell>
          <cell r="Q8331">
            <v>60.211499457542757</v>
          </cell>
        </row>
        <row r="8332">
          <cell r="O8332">
            <v>48255</v>
          </cell>
          <cell r="P8332">
            <v>4.5862255795538154</v>
          </cell>
          <cell r="Q8332">
            <v>60.238839662282167</v>
          </cell>
        </row>
        <row r="8333">
          <cell r="O8333">
            <v>48256</v>
          </cell>
          <cell r="P8333">
            <v>4.5883080446552622</v>
          </cell>
          <cell r="Q8333">
            <v>60.266192281374352</v>
          </cell>
        </row>
        <row r="8334">
          <cell r="O8334">
            <v>48257</v>
          </cell>
          <cell r="P8334">
            <v>4.5903914553405594</v>
          </cell>
          <cell r="Q8334">
            <v>60.293557320456117</v>
          </cell>
        </row>
        <row r="8335">
          <cell r="O8335">
            <v>48260</v>
          </cell>
          <cell r="P8335">
            <v>4.5924758120390923</v>
          </cell>
          <cell r="Q8335">
            <v>60.320934785167339</v>
          </cell>
        </row>
        <row r="8336">
          <cell r="O8336">
            <v>48261</v>
          </cell>
          <cell r="P8336">
            <v>4.5945611151804053</v>
          </cell>
          <cell r="Q8336">
            <v>60.348324681149954</v>
          </cell>
        </row>
        <row r="8337">
          <cell r="O8337">
            <v>48262</v>
          </cell>
          <cell r="P8337">
            <v>4.5966473651942605</v>
          </cell>
          <cell r="Q8337">
            <v>60.375727014048785</v>
          </cell>
        </row>
        <row r="8338">
          <cell r="O8338">
            <v>48263</v>
          </cell>
          <cell r="P8338">
            <v>4.5987345625105664</v>
          </cell>
          <cell r="Q8338">
            <v>60.403141789510556</v>
          </cell>
        </row>
        <row r="8339">
          <cell r="O8339">
            <v>48264</v>
          </cell>
          <cell r="P8339">
            <v>4.6008227075595149</v>
          </cell>
          <cell r="Q8339">
            <v>60.430569013185725</v>
          </cell>
        </row>
        <row r="8340">
          <cell r="O8340">
            <v>48267</v>
          </cell>
          <cell r="P8340">
            <v>4.6029118007713912</v>
          </cell>
          <cell r="Q8340">
            <v>60.458008690725968</v>
          </cell>
        </row>
        <row r="8341">
          <cell r="O8341">
            <v>48268</v>
          </cell>
          <cell r="P8341">
            <v>4.6050018425767663</v>
          </cell>
          <cell r="Q8341">
            <v>60.485460827786724</v>
          </cell>
        </row>
        <row r="8342">
          <cell r="O8342">
            <v>48269</v>
          </cell>
          <cell r="P8342">
            <v>4.6070928334063526</v>
          </cell>
          <cell r="Q8342">
            <v>60.512925430025284</v>
          </cell>
        </row>
        <row r="8343">
          <cell r="O8343">
            <v>48270</v>
          </cell>
          <cell r="P8343">
            <v>4.6091847736910765</v>
          </cell>
          <cell r="Q8343">
            <v>60.540402503101745</v>
          </cell>
        </row>
        <row r="8344">
          <cell r="O8344">
            <v>48271</v>
          </cell>
          <cell r="P8344">
            <v>4.6112776638620536</v>
          </cell>
          <cell r="Q8344">
            <v>60.567892052678708</v>
          </cell>
        </row>
        <row r="8345">
          <cell r="O8345">
            <v>48274</v>
          </cell>
          <cell r="P8345">
            <v>4.6133715043506003</v>
          </cell>
          <cell r="Q8345">
            <v>60.595394084421379</v>
          </cell>
        </row>
        <row r="8346">
          <cell r="O8346">
            <v>48275</v>
          </cell>
          <cell r="P8346">
            <v>4.6154662955882237</v>
          </cell>
          <cell r="Q8346">
            <v>60.622908603997509</v>
          </cell>
        </row>
        <row r="8347">
          <cell r="O8347">
            <v>48276</v>
          </cell>
          <cell r="P8347">
            <v>4.6175620380066347</v>
          </cell>
          <cell r="Q8347">
            <v>60.650435617077484</v>
          </cell>
        </row>
        <row r="8348">
          <cell r="O8348">
            <v>48277</v>
          </cell>
          <cell r="P8348">
            <v>4.619658732037732</v>
          </cell>
          <cell r="Q8348">
            <v>60.677975129334186</v>
          </cell>
        </row>
        <row r="8349">
          <cell r="O8349">
            <v>48278</v>
          </cell>
          <cell r="P8349">
            <v>4.6217563781136146</v>
          </cell>
          <cell r="Q8349">
            <v>60.705527146443124</v>
          </cell>
        </row>
        <row r="8350">
          <cell r="O8350">
            <v>48281</v>
          </cell>
          <cell r="P8350">
            <v>4.6238549766665766</v>
          </cell>
          <cell r="Q8350">
            <v>60.73309167408236</v>
          </cell>
        </row>
        <row r="8351">
          <cell r="O8351">
            <v>48282</v>
          </cell>
          <cell r="P8351">
            <v>4.6259545281291112</v>
          </cell>
          <cell r="Q8351">
            <v>60.760668717932575</v>
          </cell>
        </row>
        <row r="8352">
          <cell r="O8352">
            <v>48283</v>
          </cell>
          <cell r="P8352">
            <v>4.6280550329339025</v>
          </cell>
          <cell r="Q8352">
            <v>60.788258283676953</v>
          </cell>
        </row>
        <row r="8353">
          <cell r="O8353">
            <v>48284</v>
          </cell>
          <cell r="P8353">
            <v>4.6301564915138353</v>
          </cell>
          <cell r="Q8353">
            <v>60.815860377001336</v>
          </cell>
        </row>
        <row r="8354">
          <cell r="O8354">
            <v>48285</v>
          </cell>
          <cell r="P8354">
            <v>4.6322589043019899</v>
          </cell>
          <cell r="Q8354">
            <v>60.843475003594101</v>
          </cell>
        </row>
        <row r="8355">
          <cell r="O8355">
            <v>48288</v>
          </cell>
          <cell r="P8355">
            <v>4.6343622717316446</v>
          </cell>
          <cell r="Q8355">
            <v>60.871102169146255</v>
          </cell>
        </row>
        <row r="8356">
          <cell r="O8356">
            <v>48289</v>
          </cell>
          <cell r="P8356">
            <v>4.6364665942362695</v>
          </cell>
          <cell r="Q8356">
            <v>60.898741879351299</v>
          </cell>
        </row>
        <row r="8357">
          <cell r="O8357">
            <v>48290</v>
          </cell>
          <cell r="P8357">
            <v>4.6385718722495373</v>
          </cell>
          <cell r="Q8357">
            <v>60.926394139905412</v>
          </cell>
        </row>
        <row r="8358">
          <cell r="O8358">
            <v>48291</v>
          </cell>
          <cell r="P8358">
            <v>4.6406781062053151</v>
          </cell>
          <cell r="Q8358">
            <v>60.954058956507325</v>
          </cell>
        </row>
        <row r="8359">
          <cell r="O8359">
            <v>48292</v>
          </cell>
          <cell r="P8359">
            <v>4.6427852965376681</v>
          </cell>
          <cell r="Q8359">
            <v>60.981736334858361</v>
          </cell>
        </row>
        <row r="8360">
          <cell r="O8360">
            <v>48295</v>
          </cell>
          <cell r="P8360">
            <v>4.6448934436808562</v>
          </cell>
          <cell r="Q8360">
            <v>61.009426280662417</v>
          </cell>
        </row>
        <row r="8361">
          <cell r="O8361">
            <v>48296</v>
          </cell>
          <cell r="P8361">
            <v>4.647002548069338</v>
          </cell>
          <cell r="Q8361">
            <v>61.037128799625975</v>
          </cell>
        </row>
        <row r="8362">
          <cell r="O8362">
            <v>48297</v>
          </cell>
          <cell r="P8362">
            <v>4.6491126101377702</v>
          </cell>
          <cell r="Q8362">
            <v>61.064843897458154</v>
          </cell>
        </row>
        <row r="8363">
          <cell r="O8363">
            <v>48298</v>
          </cell>
          <cell r="P8363">
            <v>4.6512236303210068</v>
          </cell>
          <cell r="Q8363">
            <v>61.092571579870629</v>
          </cell>
        </row>
        <row r="8364">
          <cell r="O8364">
            <v>48302</v>
          </cell>
          <cell r="P8364">
            <v>4.6533356090540954</v>
          </cell>
          <cell r="Q8364">
            <v>61.120311852577636</v>
          </cell>
        </row>
        <row r="8365">
          <cell r="O8365">
            <v>48303</v>
          </cell>
          <cell r="P8365">
            <v>4.6554485467722877</v>
          </cell>
          <cell r="Q8365">
            <v>61.148064721296087</v>
          </cell>
        </row>
        <row r="8366">
          <cell r="O8366">
            <v>48304</v>
          </cell>
          <cell r="P8366">
            <v>4.6575624439110275</v>
          </cell>
          <cell r="Q8366">
            <v>61.175830191745426</v>
          </cell>
        </row>
        <row r="8367">
          <cell r="O8367">
            <v>48305</v>
          </cell>
          <cell r="P8367">
            <v>4.6596773009059609</v>
          </cell>
          <cell r="Q8367">
            <v>61.203608269647745</v>
          </cell>
        </row>
        <row r="8368">
          <cell r="O8368">
            <v>48306</v>
          </cell>
          <cell r="P8368">
            <v>4.6617931181929251</v>
          </cell>
          <cell r="Q8368">
            <v>61.231398960727645</v>
          </cell>
        </row>
        <row r="8369">
          <cell r="O8369">
            <v>48309</v>
          </cell>
          <cell r="P8369">
            <v>4.6639098962079633</v>
          </cell>
          <cell r="Q8369">
            <v>61.259202270712443</v>
          </cell>
        </row>
        <row r="8370">
          <cell r="O8370">
            <v>48310</v>
          </cell>
          <cell r="P8370">
            <v>4.6660276353873105</v>
          </cell>
          <cell r="Q8370">
            <v>61.287018205331961</v>
          </cell>
        </row>
        <row r="8371">
          <cell r="O8371">
            <v>48311</v>
          </cell>
          <cell r="P8371">
            <v>4.6681463361674034</v>
          </cell>
          <cell r="Q8371">
            <v>61.314846770318674</v>
          </cell>
        </row>
        <row r="8372">
          <cell r="O8372">
            <v>48312</v>
          </cell>
          <cell r="P8372">
            <v>4.670265998984874</v>
          </cell>
          <cell r="Q8372">
            <v>61.342687971407642</v>
          </cell>
        </row>
        <row r="8373">
          <cell r="O8373">
            <v>48313</v>
          </cell>
          <cell r="P8373">
            <v>4.672386624276557</v>
          </cell>
          <cell r="Q8373">
            <v>61.370541814336562</v>
          </cell>
        </row>
        <row r="8374">
          <cell r="O8374">
            <v>48316</v>
          </cell>
          <cell r="P8374">
            <v>4.6745082124794797</v>
          </cell>
          <cell r="Q8374">
            <v>61.398408304845667</v>
          </cell>
        </row>
        <row r="8375">
          <cell r="O8375">
            <v>48317</v>
          </cell>
          <cell r="P8375">
            <v>4.6766307640308717</v>
          </cell>
          <cell r="Q8375">
            <v>61.426287448677847</v>
          </cell>
        </row>
        <row r="8376">
          <cell r="O8376">
            <v>48318</v>
          </cell>
          <cell r="P8376">
            <v>4.6787542793681602</v>
          </cell>
          <cell r="Q8376">
            <v>61.454179251578609</v>
          </cell>
        </row>
        <row r="8377">
          <cell r="O8377">
            <v>48319</v>
          </cell>
          <cell r="P8377">
            <v>4.680878758928972</v>
          </cell>
          <cell r="Q8377">
            <v>61.482083719296043</v>
          </cell>
        </row>
        <row r="8378">
          <cell r="O8378">
            <v>48320</v>
          </cell>
          <cell r="P8378">
            <v>4.6830042031511301</v>
          </cell>
          <cell r="Q8378">
            <v>61.510000857580842</v>
          </cell>
        </row>
        <row r="8379">
          <cell r="O8379">
            <v>48323</v>
          </cell>
          <cell r="P8379">
            <v>4.6851306124726575</v>
          </cell>
          <cell r="Q8379">
            <v>61.537930672186327</v>
          </cell>
        </row>
        <row r="8380">
          <cell r="O8380">
            <v>48324</v>
          </cell>
          <cell r="P8380">
            <v>4.6872579873317779</v>
          </cell>
          <cell r="Q8380">
            <v>61.56587316886845</v>
          </cell>
        </row>
        <row r="8381">
          <cell r="O8381">
            <v>48326</v>
          </cell>
          <cell r="P8381">
            <v>4.6893863281669113</v>
          </cell>
          <cell r="Q8381">
            <v>61.593828353385724</v>
          </cell>
        </row>
        <row r="8382">
          <cell r="O8382">
            <v>48327</v>
          </cell>
          <cell r="P8382">
            <v>4.6915156354166783</v>
          </cell>
          <cell r="Q8382">
            <v>61.621796231499324</v>
          </cell>
        </row>
        <row r="8383">
          <cell r="O8383">
            <v>48330</v>
          </cell>
          <cell r="P8383">
            <v>4.6936459095198986</v>
          </cell>
          <cell r="Q8383">
            <v>61.649776808973037</v>
          </cell>
        </row>
        <row r="8384">
          <cell r="O8384">
            <v>48331</v>
          </cell>
          <cell r="P8384">
            <v>4.6957771509155908</v>
          </cell>
          <cell r="Q8384">
            <v>61.677770091573237</v>
          </cell>
        </row>
        <row r="8385">
          <cell r="O8385">
            <v>48332</v>
          </cell>
          <cell r="P8385">
            <v>4.6979093600429715</v>
          </cell>
          <cell r="Q8385">
            <v>61.705776085068926</v>
          </cell>
        </row>
        <row r="8386">
          <cell r="O8386">
            <v>48333</v>
          </cell>
          <cell r="P8386">
            <v>4.70004253734146</v>
          </cell>
          <cell r="Q8386">
            <v>61.733794795231752</v>
          </cell>
        </row>
        <row r="8387">
          <cell r="O8387">
            <v>48334</v>
          </cell>
          <cell r="P8387">
            <v>4.7021766832506726</v>
          </cell>
          <cell r="Q8387">
            <v>61.761826227835961</v>
          </cell>
        </row>
        <row r="8388">
          <cell r="O8388">
            <v>48337</v>
          </cell>
          <cell r="P8388">
            <v>4.7043117982104263</v>
          </cell>
          <cell r="Q8388">
            <v>61.789870388658436</v>
          </cell>
        </row>
        <row r="8389">
          <cell r="O8389">
            <v>48338</v>
          </cell>
          <cell r="P8389">
            <v>4.7064478826607354</v>
          </cell>
          <cell r="Q8389">
            <v>61.817927283478639</v>
          </cell>
        </row>
        <row r="8390">
          <cell r="O8390">
            <v>48339</v>
          </cell>
          <cell r="P8390">
            <v>4.7085849370418194</v>
          </cell>
          <cell r="Q8390">
            <v>61.845996918078733</v>
          </cell>
        </row>
        <row r="8391">
          <cell r="O8391">
            <v>48340</v>
          </cell>
          <cell r="P8391">
            <v>4.7107229617940911</v>
          </cell>
          <cell r="Q8391">
            <v>61.87407929824343</v>
          </cell>
        </row>
        <row r="8392">
          <cell r="O8392">
            <v>48341</v>
          </cell>
          <cell r="P8392">
            <v>4.7128619573581689</v>
          </cell>
          <cell r="Q8392">
            <v>61.90217442976013</v>
          </cell>
        </row>
        <row r="8393">
          <cell r="O8393">
            <v>48344</v>
          </cell>
          <cell r="P8393">
            <v>4.7150019241748655</v>
          </cell>
          <cell r="Q8393">
            <v>61.93028231841879</v>
          </cell>
        </row>
        <row r="8394">
          <cell r="O8394">
            <v>48345</v>
          </cell>
          <cell r="P8394">
            <v>4.7171428626852014</v>
          </cell>
          <cell r="Q8394">
            <v>61.958402970012095</v>
          </cell>
        </row>
        <row r="8395">
          <cell r="O8395">
            <v>48346</v>
          </cell>
          <cell r="P8395">
            <v>4.71928477333039</v>
          </cell>
          <cell r="Q8395">
            <v>61.98653639033526</v>
          </cell>
        </row>
        <row r="8396">
          <cell r="O8396">
            <v>48347</v>
          </cell>
          <cell r="P8396">
            <v>4.7214276565518487</v>
          </cell>
          <cell r="Q8396">
            <v>62.014682585186193</v>
          </cell>
        </row>
        <row r="8397">
          <cell r="O8397">
            <v>48348</v>
          </cell>
          <cell r="P8397">
            <v>4.7235715127911941</v>
          </cell>
          <cell r="Q8397">
            <v>62.042841560365403</v>
          </cell>
        </row>
        <row r="8398">
          <cell r="O8398">
            <v>48351</v>
          </cell>
          <cell r="P8398">
            <v>4.7257163424902471</v>
          </cell>
          <cell r="Q8398">
            <v>62.071013321676091</v>
          </cell>
        </row>
        <row r="8399">
          <cell r="O8399">
            <v>48352</v>
          </cell>
          <cell r="P8399">
            <v>4.727862146091022</v>
          </cell>
          <cell r="Q8399">
            <v>62.099197874923988</v>
          </cell>
        </row>
        <row r="8400">
          <cell r="O8400">
            <v>48353</v>
          </cell>
          <cell r="P8400">
            <v>4.7300089240357401</v>
          </cell>
          <cell r="Q8400">
            <v>62.127395225917567</v>
          </cell>
        </row>
        <row r="8401">
          <cell r="O8401">
            <v>48354</v>
          </cell>
          <cell r="P8401">
            <v>4.7321566767668202</v>
          </cell>
          <cell r="Q8401">
            <v>62.155605380467868</v>
          </cell>
        </row>
        <row r="8402">
          <cell r="O8402">
            <v>48355</v>
          </cell>
          <cell r="P8402">
            <v>4.7343054047268849</v>
          </cell>
          <cell r="Q8402">
            <v>62.18382834438863</v>
          </cell>
        </row>
        <row r="8403">
          <cell r="O8403">
            <v>48358</v>
          </cell>
          <cell r="P8403">
            <v>4.7364551083587534</v>
          </cell>
          <cell r="Q8403">
            <v>62.212064123496148</v>
          </cell>
        </row>
        <row r="8404">
          <cell r="O8404">
            <v>48359</v>
          </cell>
          <cell r="P8404">
            <v>4.73860578810545</v>
          </cell>
          <cell r="Q8404">
            <v>62.240312723609442</v>
          </cell>
        </row>
        <row r="8405">
          <cell r="O8405">
            <v>48360</v>
          </cell>
          <cell r="P8405">
            <v>4.7407574444101979</v>
          </cell>
          <cell r="Q8405">
            <v>62.268574150550123</v>
          </cell>
        </row>
        <row r="8406">
          <cell r="O8406">
            <v>48362</v>
          </cell>
          <cell r="P8406">
            <v>4.7429100777164237</v>
          </cell>
          <cell r="Q8406">
            <v>62.296848410142488</v>
          </cell>
        </row>
        <row r="8407">
          <cell r="O8407">
            <v>48365</v>
          </cell>
          <cell r="P8407">
            <v>4.7450636884677397</v>
          </cell>
          <cell r="Q8407">
            <v>62.325135508213251</v>
          </cell>
        </row>
        <row r="8408">
          <cell r="O8408">
            <v>48366</v>
          </cell>
          <cell r="P8408">
            <v>4.7472182771079998</v>
          </cell>
          <cell r="Q8408">
            <v>62.353435450592322</v>
          </cell>
        </row>
        <row r="8409">
          <cell r="O8409">
            <v>48367</v>
          </cell>
          <cell r="P8409">
            <v>4.7493738440812212</v>
          </cell>
          <cell r="Q8409">
            <v>62.381748243111751</v>
          </cell>
        </row>
        <row r="8410">
          <cell r="O8410">
            <v>48368</v>
          </cell>
          <cell r="P8410">
            <v>4.7515303898316485</v>
          </cell>
          <cell r="Q8410">
            <v>62.410073891606565</v>
          </cell>
        </row>
        <row r="8411">
          <cell r="O8411">
            <v>48369</v>
          </cell>
          <cell r="P8411">
            <v>4.753687914803673</v>
          </cell>
          <cell r="Q8411">
            <v>62.438412401913723</v>
          </cell>
        </row>
        <row r="8412">
          <cell r="O8412">
            <v>48372</v>
          </cell>
          <cell r="P8412">
            <v>4.7558464194419727</v>
          </cell>
          <cell r="Q8412">
            <v>62.466763779873958</v>
          </cell>
        </row>
        <row r="8413">
          <cell r="O8413">
            <v>48373</v>
          </cell>
          <cell r="P8413">
            <v>4.7580059041913669</v>
          </cell>
          <cell r="Q8413">
            <v>62.495128031329848</v>
          </cell>
        </row>
        <row r="8414">
          <cell r="O8414">
            <v>48374</v>
          </cell>
          <cell r="P8414">
            <v>4.760166369496897</v>
          </cell>
          <cell r="Q8414">
            <v>62.523505162126895</v>
          </cell>
        </row>
        <row r="8415">
          <cell r="O8415">
            <v>48375</v>
          </cell>
          <cell r="P8415">
            <v>4.7623278158038014</v>
          </cell>
          <cell r="Q8415">
            <v>62.551895178113178</v>
          </cell>
        </row>
        <row r="8416">
          <cell r="O8416">
            <v>48376</v>
          </cell>
          <cell r="P8416">
            <v>4.7644902435575247</v>
          </cell>
          <cell r="Q8416">
            <v>62.580298085139503</v>
          </cell>
        </row>
        <row r="8417">
          <cell r="O8417">
            <v>48379</v>
          </cell>
          <cell r="P8417">
            <v>4.7666536532037114</v>
          </cell>
          <cell r="Q8417">
            <v>62.608713889059281</v>
          </cell>
        </row>
        <row r="8418">
          <cell r="O8418">
            <v>48380</v>
          </cell>
          <cell r="P8418">
            <v>4.7688180451882083</v>
          </cell>
          <cell r="Q8418">
            <v>62.637142595728598</v>
          </cell>
        </row>
        <row r="8419">
          <cell r="O8419">
            <v>48381</v>
          </cell>
          <cell r="P8419">
            <v>4.7709834199570658</v>
          </cell>
          <cell r="Q8419">
            <v>62.665584211006198</v>
          </cell>
        </row>
        <row r="8420">
          <cell r="O8420">
            <v>48382</v>
          </cell>
          <cell r="P8420">
            <v>4.7731497779565375</v>
          </cell>
          <cell r="Q8420">
            <v>62.694038740753506</v>
          </cell>
        </row>
        <row r="8421">
          <cell r="O8421">
            <v>48383</v>
          </cell>
          <cell r="P8421">
            <v>4.7753171196330761</v>
          </cell>
          <cell r="Q8421">
            <v>62.722506190834558</v>
          </cell>
        </row>
        <row r="8422">
          <cell r="O8422">
            <v>48386</v>
          </cell>
          <cell r="P8422">
            <v>4.7774854454333395</v>
          </cell>
          <cell r="Q8422">
            <v>62.75098656711608</v>
          </cell>
        </row>
        <row r="8423">
          <cell r="O8423">
            <v>48387</v>
          </cell>
          <cell r="P8423">
            <v>4.7796547558041906</v>
          </cell>
          <cell r="Q8423">
            <v>62.779479875467509</v>
          </cell>
        </row>
        <row r="8424">
          <cell r="O8424">
            <v>48388</v>
          </cell>
          <cell r="P8424">
            <v>4.7818250511926914</v>
          </cell>
          <cell r="Q8424">
            <v>62.807986121760877</v>
          </cell>
        </row>
        <row r="8425">
          <cell r="O8425">
            <v>48389</v>
          </cell>
          <cell r="P8425">
            <v>4.7839963320461081</v>
          </cell>
          <cell r="Q8425">
            <v>62.836505311870894</v>
          </cell>
        </row>
        <row r="8426">
          <cell r="O8426">
            <v>48390</v>
          </cell>
          <cell r="P8426">
            <v>4.7861685988119103</v>
          </cell>
          <cell r="Q8426">
            <v>62.865037451674972</v>
          </cell>
        </row>
        <row r="8427">
          <cell r="O8427">
            <v>48393</v>
          </cell>
          <cell r="P8427">
            <v>4.788341851937771</v>
          </cell>
          <cell r="Q8427">
            <v>62.893582547053164</v>
          </cell>
        </row>
        <row r="8428">
          <cell r="O8428">
            <v>48394</v>
          </cell>
          <cell r="P8428">
            <v>4.7905160918715666</v>
          </cell>
          <cell r="Q8428">
            <v>62.922140603888217</v>
          </cell>
        </row>
        <row r="8429">
          <cell r="O8429">
            <v>48395</v>
          </cell>
          <cell r="P8429">
            <v>4.7926913190613742</v>
          </cell>
          <cell r="Q8429">
            <v>62.950711628065491</v>
          </cell>
        </row>
        <row r="8430">
          <cell r="O8430">
            <v>48396</v>
          </cell>
          <cell r="P8430">
            <v>4.7948675339554807</v>
          </cell>
          <cell r="Q8430">
            <v>62.979295625473114</v>
          </cell>
        </row>
        <row r="8431">
          <cell r="O8431">
            <v>48397</v>
          </cell>
          <cell r="P8431">
            <v>4.7970447370023699</v>
          </cell>
          <cell r="Q8431">
            <v>63.007892602001803</v>
          </cell>
        </row>
        <row r="8432">
          <cell r="O8432">
            <v>48400</v>
          </cell>
          <cell r="P8432">
            <v>4.7992229286507326</v>
          </cell>
          <cell r="Q8432">
            <v>63.036502563545</v>
          </cell>
        </row>
        <row r="8433">
          <cell r="O8433">
            <v>48401</v>
          </cell>
          <cell r="P8433">
            <v>4.8014021093494597</v>
          </cell>
          <cell r="Q8433">
            <v>63.065125515998751</v>
          </cell>
        </row>
        <row r="8434">
          <cell r="O8434">
            <v>48402</v>
          </cell>
          <cell r="P8434">
            <v>4.8035822795476539</v>
          </cell>
          <cell r="Q8434">
            <v>63.093761465261913</v>
          </cell>
        </row>
        <row r="8435">
          <cell r="O8435">
            <v>48403</v>
          </cell>
          <cell r="P8435">
            <v>4.8057634396946129</v>
          </cell>
          <cell r="Q8435">
            <v>63.122410417235884</v>
          </cell>
        </row>
        <row r="8436">
          <cell r="O8436">
            <v>48404</v>
          </cell>
          <cell r="P8436">
            <v>4.8079455902398438</v>
          </cell>
          <cell r="Q8436">
            <v>63.151072377824811</v>
          </cell>
        </row>
        <row r="8437">
          <cell r="O8437">
            <v>48407</v>
          </cell>
          <cell r="P8437">
            <v>4.8101287316330552</v>
          </cell>
          <cell r="Q8437">
            <v>63.179747352935514</v>
          </cell>
        </row>
        <row r="8438">
          <cell r="O8438">
            <v>48408</v>
          </cell>
          <cell r="P8438">
            <v>4.8123128643241628</v>
          </cell>
          <cell r="Q8438">
            <v>63.208435348477501</v>
          </cell>
        </row>
        <row r="8439">
          <cell r="O8439">
            <v>48409</v>
          </cell>
          <cell r="P8439">
            <v>4.8144979887632831</v>
          </cell>
          <cell r="Q8439">
            <v>63.237136370362926</v>
          </cell>
        </row>
        <row r="8440">
          <cell r="O8440">
            <v>48410</v>
          </cell>
          <cell r="P8440">
            <v>4.8166841054007383</v>
          </cell>
          <cell r="Q8440">
            <v>63.265850424506667</v>
          </cell>
        </row>
        <row r="8441">
          <cell r="O8441">
            <v>48411</v>
          </cell>
          <cell r="P8441">
            <v>4.8188712146870563</v>
          </cell>
          <cell r="Q8441">
            <v>63.29457751682628</v>
          </cell>
        </row>
        <row r="8442">
          <cell r="O8442">
            <v>48414</v>
          </cell>
          <cell r="P8442">
            <v>4.8210593170729696</v>
          </cell>
          <cell r="Q8442">
            <v>63.323317653242007</v>
          </cell>
        </row>
        <row r="8443">
          <cell r="O8443">
            <v>48415</v>
          </cell>
          <cell r="P8443">
            <v>4.823248413009412</v>
          </cell>
          <cell r="Q8443">
            <v>63.352070839676756</v>
          </cell>
        </row>
        <row r="8444">
          <cell r="O8444">
            <v>48416</v>
          </cell>
          <cell r="P8444">
            <v>4.8254385029475255</v>
          </cell>
          <cell r="Q8444">
            <v>63.380837082056139</v>
          </cell>
        </row>
        <row r="8445">
          <cell r="O8445">
            <v>48417</v>
          </cell>
          <cell r="P8445">
            <v>4.8276295873386585</v>
          </cell>
          <cell r="Q8445">
            <v>63.409616386308514</v>
          </cell>
        </row>
        <row r="8446">
          <cell r="O8446">
            <v>48418</v>
          </cell>
          <cell r="P8446">
            <v>4.8298216666343574</v>
          </cell>
          <cell r="Q8446">
            <v>63.438408758364808</v>
          </cell>
        </row>
        <row r="8447">
          <cell r="O8447">
            <v>48421</v>
          </cell>
          <cell r="P8447">
            <v>4.8320147412863799</v>
          </cell>
          <cell r="Q8447">
            <v>63.467214204158743</v>
          </cell>
        </row>
        <row r="8448">
          <cell r="O8448">
            <v>48422</v>
          </cell>
          <cell r="P8448">
            <v>4.8342088117466879</v>
          </cell>
          <cell r="Q8448">
            <v>63.49603272962672</v>
          </cell>
        </row>
        <row r="8449">
          <cell r="O8449">
            <v>48423</v>
          </cell>
          <cell r="P8449">
            <v>4.836403878467447</v>
          </cell>
          <cell r="Q8449">
            <v>63.524864340707801</v>
          </cell>
        </row>
        <row r="8450">
          <cell r="O8450">
            <v>48424</v>
          </cell>
          <cell r="P8450">
            <v>4.8385999419010277</v>
          </cell>
          <cell r="Q8450">
            <v>63.553709043343765</v>
          </cell>
        </row>
        <row r="8451">
          <cell r="O8451">
            <v>48425</v>
          </cell>
          <cell r="P8451">
            <v>4.8407970025000076</v>
          </cell>
          <cell r="Q8451">
            <v>63.582566843479086</v>
          </cell>
        </row>
        <row r="8452">
          <cell r="O8452">
            <v>48428</v>
          </cell>
          <cell r="P8452">
            <v>4.8429950607171692</v>
          </cell>
          <cell r="Q8452">
            <v>63.611437747060947</v>
          </cell>
        </row>
        <row r="8453">
          <cell r="O8453">
            <v>48429</v>
          </cell>
          <cell r="P8453">
            <v>4.8451941170055015</v>
          </cell>
          <cell r="Q8453">
            <v>63.640321760039235</v>
          </cell>
        </row>
        <row r="8454">
          <cell r="O8454">
            <v>48430</v>
          </cell>
          <cell r="P8454">
            <v>4.8473941718181957</v>
          </cell>
          <cell r="Q8454">
            <v>63.669218888366494</v>
          </cell>
        </row>
        <row r="8455">
          <cell r="O8455">
            <v>48431</v>
          </cell>
          <cell r="P8455">
            <v>4.8495952256086534</v>
          </cell>
          <cell r="Q8455">
            <v>63.698129137998031</v>
          </cell>
        </row>
        <row r="8456">
          <cell r="O8456">
            <v>48432</v>
          </cell>
          <cell r="P8456">
            <v>4.8517972788304791</v>
          </cell>
          <cell r="Q8456">
            <v>63.727052514891817</v>
          </cell>
        </row>
        <row r="8457">
          <cell r="O8457">
            <v>48435</v>
          </cell>
          <cell r="P8457">
            <v>4.8540003319374847</v>
          </cell>
          <cell r="Q8457">
            <v>63.755989025008553</v>
          </cell>
        </row>
        <row r="8458">
          <cell r="O8458">
            <v>48436</v>
          </cell>
          <cell r="P8458">
            <v>4.8562043853836849</v>
          </cell>
          <cell r="Q8458">
            <v>63.784938674311604</v>
          </cell>
        </row>
        <row r="8459">
          <cell r="O8459">
            <v>48437</v>
          </cell>
          <cell r="P8459">
            <v>4.8584094396233066</v>
          </cell>
          <cell r="Q8459">
            <v>63.813901468767114</v>
          </cell>
        </row>
        <row r="8460">
          <cell r="O8460">
            <v>48438</v>
          </cell>
          <cell r="P8460">
            <v>4.8606154951107783</v>
          </cell>
          <cell r="Q8460">
            <v>63.842877414343874</v>
          </cell>
        </row>
        <row r="8461">
          <cell r="O8461">
            <v>48439</v>
          </cell>
          <cell r="P8461">
            <v>4.8628225523007353</v>
          </cell>
          <cell r="Q8461">
            <v>63.871866517013402</v>
          </cell>
        </row>
        <row r="8462">
          <cell r="O8462">
            <v>48442</v>
          </cell>
          <cell r="P8462">
            <v>4.8650306116480211</v>
          </cell>
          <cell r="Q8462">
            <v>63.900868782749946</v>
          </cell>
        </row>
        <row r="8463">
          <cell r="O8463">
            <v>48443</v>
          </cell>
          <cell r="P8463">
            <v>4.8672396736076857</v>
          </cell>
          <cell r="Q8463">
            <v>63.929884217530464</v>
          </cell>
        </row>
        <row r="8464">
          <cell r="O8464">
            <v>48444</v>
          </cell>
          <cell r="P8464">
            <v>4.8694497386349829</v>
          </cell>
          <cell r="Q8464">
            <v>63.958912827334593</v>
          </cell>
        </row>
        <row r="8465">
          <cell r="O8465">
            <v>48445</v>
          </cell>
          <cell r="P8465">
            <v>4.8716608071853758</v>
          </cell>
          <cell r="Q8465">
            <v>63.987954618144713</v>
          </cell>
        </row>
        <row r="8466">
          <cell r="O8466">
            <v>48446</v>
          </cell>
          <cell r="P8466">
            <v>4.8738728797145328</v>
          </cell>
          <cell r="Q8466">
            <v>64.017009595945908</v>
          </cell>
        </row>
        <row r="8467">
          <cell r="O8467">
            <v>48449</v>
          </cell>
          <cell r="P8467">
            <v>4.8760859566783328</v>
          </cell>
          <cell r="Q8467">
            <v>64.046077766726029</v>
          </cell>
        </row>
        <row r="8468">
          <cell r="O8468">
            <v>48450</v>
          </cell>
          <cell r="P8468">
            <v>4.8783000385328554</v>
          </cell>
          <cell r="Q8468">
            <v>64.075159136475563</v>
          </cell>
        </row>
        <row r="8469">
          <cell r="O8469">
            <v>48451</v>
          </cell>
          <cell r="P8469">
            <v>4.8805151257343926</v>
          </cell>
          <cell r="Q8469">
            <v>64.104253711187781</v>
          </cell>
        </row>
        <row r="8470">
          <cell r="O8470">
            <v>48452</v>
          </cell>
          <cell r="P8470">
            <v>4.8827312187394414</v>
          </cell>
          <cell r="Q8470">
            <v>64.133361496858626</v>
          </cell>
        </row>
        <row r="8471">
          <cell r="O8471">
            <v>48453</v>
          </cell>
          <cell r="P8471">
            <v>4.8849483180047075</v>
          </cell>
          <cell r="Q8471">
            <v>64.162482499486828</v>
          </cell>
        </row>
        <row r="8472">
          <cell r="O8472">
            <v>48456</v>
          </cell>
          <cell r="P8472">
            <v>4.8871664239871011</v>
          </cell>
          <cell r="Q8472">
            <v>64.191616725073786</v>
          </cell>
        </row>
        <row r="8473">
          <cell r="O8473">
            <v>48457</v>
          </cell>
          <cell r="P8473">
            <v>4.8893855371437436</v>
          </cell>
          <cell r="Q8473">
            <v>64.220764179623643</v>
          </cell>
        </row>
        <row r="8474">
          <cell r="O8474">
            <v>48458</v>
          </cell>
          <cell r="P8474">
            <v>4.8916056579319616</v>
          </cell>
          <cell r="Q8474">
            <v>64.249924869143271</v>
          </cell>
        </row>
        <row r="8475">
          <cell r="O8475">
            <v>48459</v>
          </cell>
          <cell r="P8475">
            <v>4.8938267868092753</v>
          </cell>
          <cell r="Q8475">
            <v>64.279098799642085</v>
          </cell>
        </row>
        <row r="8476">
          <cell r="O8476">
            <v>48460</v>
          </cell>
          <cell r="P8476">
            <v>4.8960489242334679</v>
          </cell>
          <cell r="Q8476">
            <v>64.308285977132925</v>
          </cell>
        </row>
        <row r="8477">
          <cell r="O8477">
            <v>48463</v>
          </cell>
          <cell r="P8477">
            <v>4.8982720706624514</v>
          </cell>
          <cell r="Q8477">
            <v>64.337486407630365</v>
          </cell>
        </row>
        <row r="8478">
          <cell r="O8478">
            <v>48465</v>
          </cell>
          <cell r="P8478">
            <v>4.9004962265543819</v>
          </cell>
          <cell r="Q8478">
            <v>64.366700097152133</v>
          </cell>
        </row>
        <row r="8479">
          <cell r="O8479">
            <v>48466</v>
          </cell>
          <cell r="P8479">
            <v>4.9027213923676527</v>
          </cell>
          <cell r="Q8479">
            <v>64.395927051719141</v>
          </cell>
        </row>
        <row r="8480">
          <cell r="O8480">
            <v>48467</v>
          </cell>
          <cell r="P8480">
            <v>4.9049475685608259</v>
          </cell>
          <cell r="Q8480">
            <v>64.425167277354433</v>
          </cell>
        </row>
        <row r="8481">
          <cell r="O8481">
            <v>48470</v>
          </cell>
          <cell r="P8481">
            <v>4.9071747555926972</v>
          </cell>
          <cell r="Q8481">
            <v>64.454420780084206</v>
          </cell>
        </row>
        <row r="8482">
          <cell r="O8482">
            <v>48471</v>
          </cell>
          <cell r="P8482">
            <v>4.9094029539222159</v>
          </cell>
          <cell r="Q8482">
            <v>64.48368756593662</v>
          </cell>
        </row>
        <row r="8483">
          <cell r="O8483">
            <v>48472</v>
          </cell>
          <cell r="P8483">
            <v>4.9116321640086253</v>
          </cell>
          <cell r="Q8483">
            <v>64.5129676409437</v>
          </cell>
        </row>
        <row r="8484">
          <cell r="O8484">
            <v>48473</v>
          </cell>
          <cell r="P8484">
            <v>4.9138623863113162</v>
          </cell>
          <cell r="Q8484">
            <v>64.542261011139445</v>
          </cell>
        </row>
        <row r="8485">
          <cell r="O8485">
            <v>48474</v>
          </cell>
          <cell r="P8485">
            <v>4.9160936212899076</v>
          </cell>
          <cell r="Q8485">
            <v>64.571567682560811</v>
          </cell>
        </row>
        <row r="8486">
          <cell r="O8486">
            <v>48477</v>
          </cell>
          <cell r="P8486">
            <v>4.9183258694042218</v>
          </cell>
          <cell r="Q8486">
            <v>64.600887661247441</v>
          </cell>
        </row>
        <row r="8487">
          <cell r="O8487">
            <v>48478</v>
          </cell>
          <cell r="P8487">
            <v>4.9205591311142962</v>
          </cell>
          <cell r="Q8487">
            <v>64.630220953241803</v>
          </cell>
        </row>
        <row r="8488">
          <cell r="O8488">
            <v>48479</v>
          </cell>
          <cell r="P8488">
            <v>4.9227934068803716</v>
          </cell>
          <cell r="Q8488">
            <v>64.65956756458904</v>
          </cell>
        </row>
        <row r="8489">
          <cell r="O8489">
            <v>48480</v>
          </cell>
          <cell r="P8489">
            <v>4.9250286971629</v>
          </cell>
          <cell r="Q8489">
            <v>64.688927501337076</v>
          </cell>
        </row>
        <row r="8490">
          <cell r="O8490">
            <v>48481</v>
          </cell>
          <cell r="P8490">
            <v>4.9272650024225433</v>
          </cell>
          <cell r="Q8490">
            <v>64.718300769536555</v>
          </cell>
        </row>
        <row r="8491">
          <cell r="O8491">
            <v>48484</v>
          </cell>
          <cell r="P8491">
            <v>4.9295023231201727</v>
          </cell>
          <cell r="Q8491">
            <v>64.747687375240915</v>
          </cell>
        </row>
        <row r="8492">
          <cell r="O8492">
            <v>48485</v>
          </cell>
          <cell r="P8492">
            <v>4.9317406597168638</v>
          </cell>
          <cell r="Q8492">
            <v>64.777087324506255</v>
          </cell>
        </row>
        <row r="8493">
          <cell r="O8493">
            <v>48486</v>
          </cell>
          <cell r="P8493">
            <v>4.9339800126739091</v>
          </cell>
          <cell r="Q8493">
            <v>64.806500623391528</v>
          </cell>
        </row>
        <row r="8494">
          <cell r="O8494">
            <v>48487</v>
          </cell>
          <cell r="P8494">
            <v>4.9362203824528041</v>
          </cell>
          <cell r="Q8494">
            <v>64.835927277958362</v>
          </cell>
        </row>
        <row r="8495">
          <cell r="O8495">
            <v>48488</v>
          </cell>
          <cell r="P8495">
            <v>4.9384617695152597</v>
          </cell>
          <cell r="Q8495">
            <v>64.865367294271195</v>
          </cell>
        </row>
        <row r="8496">
          <cell r="O8496">
            <v>48491</v>
          </cell>
          <cell r="P8496">
            <v>4.940704174323189</v>
          </cell>
          <cell r="Q8496">
            <v>64.894820678397124</v>
          </cell>
        </row>
        <row r="8497">
          <cell r="O8497">
            <v>48492</v>
          </cell>
          <cell r="P8497">
            <v>4.9429475973387236</v>
          </cell>
          <cell r="Q8497">
            <v>64.924287436406146</v>
          </cell>
        </row>
        <row r="8498">
          <cell r="O8498">
            <v>48493</v>
          </cell>
          <cell r="P8498">
            <v>4.9451920390241986</v>
          </cell>
          <cell r="Q8498">
            <v>64.953767574370886</v>
          </cell>
        </row>
        <row r="8499">
          <cell r="O8499">
            <v>48494</v>
          </cell>
          <cell r="P8499">
            <v>4.9474374998421613</v>
          </cell>
          <cell r="Q8499">
            <v>64.983261098366782</v>
          </cell>
        </row>
        <row r="8500">
          <cell r="O8500">
            <v>48495</v>
          </cell>
          <cell r="P8500">
            <v>4.949683980255366</v>
          </cell>
          <cell r="Q8500">
            <v>65.012768014472002</v>
          </cell>
        </row>
        <row r="8501">
          <cell r="O8501">
            <v>48498</v>
          </cell>
          <cell r="P8501">
            <v>4.9519314807267838</v>
          </cell>
          <cell r="Q8501">
            <v>65.04228832876754</v>
          </cell>
        </row>
        <row r="8502">
          <cell r="O8502">
            <v>48500</v>
          </cell>
          <cell r="P8502">
            <v>4.9541800017195898</v>
          </cell>
          <cell r="Q8502">
            <v>65.071822047337065</v>
          </cell>
        </row>
        <row r="8503">
          <cell r="O8503">
            <v>48501</v>
          </cell>
          <cell r="P8503">
            <v>4.9564295436971717</v>
          </cell>
          <cell r="Q8503">
            <v>65.101369176267056</v>
          </cell>
        </row>
        <row r="8504">
          <cell r="O8504">
            <v>48502</v>
          </cell>
          <cell r="P8504">
            <v>4.9586801071231283</v>
          </cell>
          <cell r="Q8504">
            <v>65.130929721646766</v>
          </cell>
        </row>
        <row r="8505">
          <cell r="O8505">
            <v>48505</v>
          </cell>
          <cell r="P8505">
            <v>4.9609316924612674</v>
          </cell>
          <cell r="Q8505">
            <v>65.160503689568188</v>
          </cell>
        </row>
        <row r="8506">
          <cell r="O8506">
            <v>48506</v>
          </cell>
          <cell r="P8506">
            <v>4.9631843001756115</v>
          </cell>
          <cell r="Q8506">
            <v>65.190091086126117</v>
          </cell>
        </row>
        <row r="8507">
          <cell r="O8507">
            <v>48507</v>
          </cell>
          <cell r="P8507">
            <v>4.9654379307303831</v>
          </cell>
          <cell r="Q8507">
            <v>65.219691917418004</v>
          </cell>
        </row>
        <row r="8508">
          <cell r="O8508">
            <v>48508</v>
          </cell>
          <cell r="P8508">
            <v>4.9676925845900302</v>
          </cell>
          <cell r="Q8508">
            <v>65.249306189544242</v>
          </cell>
        </row>
        <row r="8509">
          <cell r="O8509">
            <v>48509</v>
          </cell>
          <cell r="P8509">
            <v>4.9699482622191997</v>
          </cell>
          <cell r="Q8509">
            <v>65.278933908607854</v>
          </cell>
        </row>
        <row r="8510">
          <cell r="O8510">
            <v>48512</v>
          </cell>
          <cell r="P8510">
            <v>4.9722049640827564</v>
          </cell>
          <cell r="Q8510">
            <v>65.308575080714689</v>
          </cell>
        </row>
        <row r="8511">
          <cell r="O8511">
            <v>48513</v>
          </cell>
          <cell r="P8511">
            <v>4.9744626906457725</v>
          </cell>
          <cell r="Q8511">
            <v>65.338229711973383</v>
          </cell>
        </row>
        <row r="8512">
          <cell r="O8512">
            <v>48514</v>
          </cell>
          <cell r="P8512">
            <v>4.9767214423735346</v>
          </cell>
          <cell r="Q8512">
            <v>65.367897808495314</v>
          </cell>
        </row>
        <row r="8513">
          <cell r="O8513">
            <v>48515</v>
          </cell>
          <cell r="P8513">
            <v>4.9789812197315371</v>
          </cell>
          <cell r="Q8513">
            <v>65.397579376394646</v>
          </cell>
        </row>
        <row r="8514">
          <cell r="O8514">
            <v>48516</v>
          </cell>
          <cell r="P8514">
            <v>4.9812420231854873</v>
          </cell>
          <cell r="Q8514">
            <v>65.427274421788312</v>
          </cell>
        </row>
        <row r="8515">
          <cell r="O8515">
            <v>48519</v>
          </cell>
          <cell r="P8515">
            <v>4.983503853201305</v>
          </cell>
          <cell r="Q8515">
            <v>65.456982950796032</v>
          </cell>
        </row>
        <row r="8516">
          <cell r="O8516">
            <v>48521</v>
          </cell>
          <cell r="P8516">
            <v>4.9857667102451204</v>
          </cell>
          <cell r="Q8516">
            <v>65.486704969540341</v>
          </cell>
        </row>
        <row r="8517">
          <cell r="O8517">
            <v>48522</v>
          </cell>
          <cell r="P8517">
            <v>4.9880305947832744</v>
          </cell>
          <cell r="Q8517">
            <v>65.516440484146457</v>
          </cell>
        </row>
        <row r="8518">
          <cell r="O8518">
            <v>48523</v>
          </cell>
          <cell r="P8518">
            <v>4.9902955072823234</v>
          </cell>
          <cell r="Q8518">
            <v>65.546189500742486</v>
          </cell>
        </row>
        <row r="8519">
          <cell r="O8519">
            <v>48526</v>
          </cell>
          <cell r="P8519">
            <v>4.992561448209031</v>
          </cell>
          <cell r="Q8519">
            <v>65.575952025459259</v>
          </cell>
        </row>
        <row r="8520">
          <cell r="O8520">
            <v>48527</v>
          </cell>
          <cell r="P8520">
            <v>4.9948284180303757</v>
          </cell>
          <cell r="Q8520">
            <v>65.605728064430394</v>
          </cell>
        </row>
        <row r="8521">
          <cell r="O8521">
            <v>48528</v>
          </cell>
          <cell r="P8521">
            <v>4.9970964172135455</v>
          </cell>
          <cell r="Q8521">
            <v>65.635517623792282</v>
          </cell>
        </row>
        <row r="8522">
          <cell r="O8522">
            <v>48529</v>
          </cell>
          <cell r="P8522">
            <v>4.9993654462259451</v>
          </cell>
          <cell r="Q8522">
            <v>65.665320709684167</v>
          </cell>
        </row>
        <row r="8523">
          <cell r="O8523">
            <v>48530</v>
          </cell>
          <cell r="P8523">
            <v>5.0016355055351864</v>
          </cell>
          <cell r="Q8523">
            <v>65.695137328248009</v>
          </cell>
        </row>
        <row r="8524">
          <cell r="O8524">
            <v>48534</v>
          </cell>
          <cell r="P8524">
            <v>5.003906595609096</v>
          </cell>
          <cell r="Q8524">
            <v>65.724967485628568</v>
          </cell>
        </row>
        <row r="8525">
          <cell r="O8525">
            <v>48535</v>
          </cell>
          <cell r="P8525">
            <v>5.0061787169157128</v>
          </cell>
          <cell r="Q8525">
            <v>65.754811187973417</v>
          </cell>
        </row>
        <row r="8526">
          <cell r="O8526">
            <v>48536</v>
          </cell>
          <cell r="P8526">
            <v>5.0084518699232898</v>
          </cell>
          <cell r="Q8526">
            <v>65.784668441432942</v>
          </cell>
        </row>
        <row r="8527">
          <cell r="O8527">
            <v>48537</v>
          </cell>
          <cell r="P8527">
            <v>5.0107260551002879</v>
          </cell>
          <cell r="Q8527">
            <v>65.81453925216023</v>
          </cell>
        </row>
        <row r="8528">
          <cell r="O8528">
            <v>48540</v>
          </cell>
          <cell r="P8528">
            <v>5.0130012729153854</v>
          </cell>
          <cell r="Q8528">
            <v>65.844423626311269</v>
          </cell>
        </row>
        <row r="8529">
          <cell r="O8529">
            <v>48541</v>
          </cell>
          <cell r="P8529">
            <v>5.0152775238374723</v>
          </cell>
          <cell r="Q8529">
            <v>65.874321570044785</v>
          </cell>
        </row>
        <row r="8530">
          <cell r="O8530">
            <v>48542</v>
          </cell>
          <cell r="P8530">
            <v>5.0175548083356505</v>
          </cell>
          <cell r="Q8530">
            <v>65.904233089522307</v>
          </cell>
        </row>
        <row r="8531">
          <cell r="O8531">
            <v>48543</v>
          </cell>
          <cell r="P8531">
            <v>5.0198331268792344</v>
          </cell>
          <cell r="Q8531">
            <v>65.934158190908164</v>
          </cell>
        </row>
        <row r="8532">
          <cell r="O8532">
            <v>48544</v>
          </cell>
          <cell r="P8532">
            <v>5.0221124799377534</v>
          </cell>
          <cell r="Q8532">
            <v>65.964096880369496</v>
          </cell>
        </row>
        <row r="8533">
          <cell r="O8533">
            <v>48547</v>
          </cell>
          <cell r="P8533">
            <v>5.0243928679809482</v>
          </cell>
          <cell r="Q8533">
            <v>65.994049164076202</v>
          </cell>
        </row>
        <row r="8534">
          <cell r="O8534">
            <v>48548</v>
          </cell>
          <cell r="P8534">
            <v>5.026674291478777</v>
          </cell>
          <cell r="Q8534">
            <v>66.024015048201093</v>
          </cell>
        </row>
        <row r="8535">
          <cell r="O8535">
            <v>48549</v>
          </cell>
          <cell r="P8535">
            <v>5.0289567509014024</v>
          </cell>
          <cell r="Q8535">
            <v>66.053994538919596</v>
          </cell>
        </row>
        <row r="8536">
          <cell r="O8536">
            <v>48550</v>
          </cell>
          <cell r="P8536">
            <v>5.0312402467192125</v>
          </cell>
          <cell r="Q8536">
            <v>66.083987642410136</v>
          </cell>
        </row>
        <row r="8537">
          <cell r="O8537">
            <v>48551</v>
          </cell>
          <cell r="P8537">
            <v>5.0335247794027982</v>
          </cell>
          <cell r="Q8537">
            <v>66.113994364853809</v>
          </cell>
        </row>
        <row r="8538">
          <cell r="O8538">
            <v>48554</v>
          </cell>
          <cell r="P8538">
            <v>5.0358103494229711</v>
          </cell>
          <cell r="Q8538">
            <v>66.144014712434611</v>
          </cell>
        </row>
        <row r="8539">
          <cell r="O8539">
            <v>48555</v>
          </cell>
          <cell r="P8539">
            <v>5.0380969572507519</v>
          </cell>
          <cell r="Q8539">
            <v>66.174048691339237</v>
          </cell>
        </row>
        <row r="8540">
          <cell r="O8540">
            <v>48556</v>
          </cell>
          <cell r="P8540">
            <v>5.0403846033573796</v>
          </cell>
          <cell r="Q8540">
            <v>66.204096307757311</v>
          </cell>
        </row>
        <row r="8541">
          <cell r="O8541">
            <v>48557</v>
          </cell>
          <cell r="P8541">
            <v>5.0426732882143037</v>
          </cell>
          <cell r="Q8541">
            <v>66.234157567881184</v>
          </cell>
        </row>
        <row r="8542">
          <cell r="O8542">
            <v>48558</v>
          </cell>
          <cell r="P8542">
            <v>5.0449630122931897</v>
          </cell>
          <cell r="Q8542">
            <v>66.264232477906063</v>
          </cell>
        </row>
        <row r="8543">
          <cell r="O8543">
            <v>48561</v>
          </cell>
          <cell r="P8543">
            <v>5.0472537760659151</v>
          </cell>
          <cell r="Q8543">
            <v>66.294321044029928</v>
          </cell>
        </row>
        <row r="8544">
          <cell r="O8544">
            <v>48562</v>
          </cell>
          <cell r="P8544">
            <v>5.0495455800045761</v>
          </cell>
          <cell r="Q8544">
            <v>66.324423272453643</v>
          </cell>
        </row>
        <row r="8545">
          <cell r="O8545">
            <v>48563</v>
          </cell>
          <cell r="P8545">
            <v>5.0518384245814776</v>
          </cell>
          <cell r="Q8545">
            <v>66.354539169380786</v>
          </cell>
        </row>
        <row r="8546">
          <cell r="O8546">
            <v>48564</v>
          </cell>
          <cell r="P8546">
            <v>5.054132310269142</v>
          </cell>
          <cell r="Q8546">
            <v>66.384668741017833</v>
          </cell>
        </row>
        <row r="8547">
          <cell r="O8547">
            <v>48565</v>
          </cell>
          <cell r="P8547">
            <v>5.0564272375403068</v>
          </cell>
          <cell r="Q8547">
            <v>66.414811993574062</v>
          </cell>
        </row>
        <row r="8548">
          <cell r="O8548">
            <v>48568</v>
          </cell>
          <cell r="P8548">
            <v>5.0587232068679233</v>
          </cell>
          <cell r="Q8548">
            <v>66.444968933261549</v>
          </cell>
        </row>
        <row r="8549">
          <cell r="O8549">
            <v>48569</v>
          </cell>
          <cell r="P8549">
            <v>5.0610202187251563</v>
          </cell>
          <cell r="Q8549">
            <v>66.475139566295184</v>
          </cell>
        </row>
        <row r="8550">
          <cell r="O8550">
            <v>48570</v>
          </cell>
          <cell r="P8550">
            <v>5.0633182735853888</v>
          </cell>
          <cell r="Q8550">
            <v>66.50532389889274</v>
          </cell>
        </row>
        <row r="8551">
          <cell r="O8551">
            <v>48571</v>
          </cell>
          <cell r="P8551">
            <v>5.0656173719222144</v>
          </cell>
          <cell r="Q8551">
            <v>66.535521937274737</v>
          </cell>
        </row>
        <row r="8552">
          <cell r="O8552">
            <v>48572</v>
          </cell>
          <cell r="P8552">
            <v>5.0679175142094461</v>
          </cell>
          <cell r="Q8552">
            <v>66.565733687664576</v>
          </cell>
        </row>
        <row r="8553">
          <cell r="O8553">
            <v>48575</v>
          </cell>
          <cell r="P8553">
            <v>5.0702187009210924</v>
          </cell>
          <cell r="Q8553">
            <v>66.595959156288245</v>
          </cell>
        </row>
        <row r="8554">
          <cell r="O8554">
            <v>48576</v>
          </cell>
          <cell r="P8554">
            <v>5.0725209325314422</v>
          </cell>
          <cell r="Q8554">
            <v>66.626198349375386</v>
          </cell>
        </row>
        <row r="8555">
          <cell r="O8555">
            <v>48577</v>
          </cell>
          <cell r="P8555">
            <v>5.0748242095149054</v>
          </cell>
          <cell r="Q8555">
            <v>66.656451273157245</v>
          </cell>
        </row>
        <row r="8556">
          <cell r="O8556">
            <v>48578</v>
          </cell>
          <cell r="P8556">
            <v>5.077128532346169</v>
          </cell>
          <cell r="Q8556">
            <v>66.686717933868707</v>
          </cell>
        </row>
        <row r="8557">
          <cell r="O8557">
            <v>48579</v>
          </cell>
          <cell r="P8557">
            <v>5.0794339015001073</v>
          </cell>
          <cell r="Q8557">
            <v>66.716998337747143</v>
          </cell>
        </row>
        <row r="8558">
          <cell r="O8558">
            <v>48582</v>
          </cell>
          <cell r="P8558">
            <v>5.0817403174518523</v>
          </cell>
          <cell r="Q8558">
            <v>66.747292491033249</v>
          </cell>
        </row>
        <row r="8559">
          <cell r="O8559">
            <v>48583</v>
          </cell>
          <cell r="P8559">
            <v>5.0840477806767064</v>
          </cell>
          <cell r="Q8559">
            <v>66.777600399970027</v>
          </cell>
        </row>
        <row r="8560">
          <cell r="O8560">
            <v>48584</v>
          </cell>
          <cell r="P8560">
            <v>5.0863562916502083</v>
          </cell>
          <cell r="Q8560">
            <v>66.807922070803514</v>
          </cell>
        </row>
        <row r="8561">
          <cell r="O8561">
            <v>48585</v>
          </cell>
          <cell r="P8561">
            <v>5.0886658508481188</v>
          </cell>
          <cell r="Q8561">
            <v>66.838257509782736</v>
          </cell>
        </row>
        <row r="8562">
          <cell r="O8562">
            <v>48586</v>
          </cell>
          <cell r="P8562">
            <v>5.090976458746364</v>
          </cell>
          <cell r="Q8562">
            <v>66.868606723158834</v>
          </cell>
        </row>
        <row r="8563">
          <cell r="O8563">
            <v>48589</v>
          </cell>
          <cell r="P8563">
            <v>5.0932881158211689</v>
          </cell>
          <cell r="Q8563">
            <v>66.898969717186901</v>
          </cell>
        </row>
        <row r="8564">
          <cell r="O8564">
            <v>48590</v>
          </cell>
          <cell r="P8564">
            <v>5.0956008225489198</v>
          </cell>
          <cell r="Q8564">
            <v>66.929346498124133</v>
          </cell>
        </row>
        <row r="8565">
          <cell r="O8565">
            <v>48591</v>
          </cell>
          <cell r="P8565">
            <v>5.0979145794062291</v>
          </cell>
          <cell r="Q8565">
            <v>66.959737072230723</v>
          </cell>
        </row>
        <row r="8566">
          <cell r="O8566">
            <v>48592</v>
          </cell>
          <cell r="P8566">
            <v>5.1002293868699313</v>
          </cell>
          <cell r="Q8566">
            <v>66.990141445769751</v>
          </cell>
        </row>
        <row r="8567">
          <cell r="O8567">
            <v>48593</v>
          </cell>
          <cell r="P8567">
            <v>5.1025452454170734</v>
          </cell>
          <cell r="Q8567">
            <v>67.02055962500711</v>
          </cell>
        </row>
        <row r="8568">
          <cell r="O8568">
            <v>48596</v>
          </cell>
          <cell r="P8568">
            <v>5.1048621555249216</v>
          </cell>
          <cell r="Q8568">
            <v>67.050991616211562</v>
          </cell>
        </row>
        <row r="8569">
          <cell r="O8569">
            <v>48597</v>
          </cell>
          <cell r="P8569">
            <v>5.1071801176709553</v>
          </cell>
          <cell r="Q8569">
            <v>67.081437425654656</v>
          </cell>
        </row>
        <row r="8570">
          <cell r="O8570">
            <v>48598</v>
          </cell>
          <cell r="P8570">
            <v>5.109499132332874</v>
          </cell>
          <cell r="Q8570">
            <v>67.111897059610868</v>
          </cell>
        </row>
        <row r="8571">
          <cell r="O8571">
            <v>48599</v>
          </cell>
          <cell r="P8571">
            <v>5.1118191999885951</v>
          </cell>
          <cell r="Q8571">
            <v>67.142370524357503</v>
          </cell>
        </row>
        <row r="8572">
          <cell r="O8572">
            <v>48600</v>
          </cell>
          <cell r="P8572">
            <v>5.1141403211162473</v>
          </cell>
          <cell r="Q8572">
            <v>67.172857826174649</v>
          </cell>
        </row>
        <row r="8573">
          <cell r="O8573">
            <v>48603</v>
          </cell>
          <cell r="P8573">
            <v>5.116462496194182</v>
          </cell>
          <cell r="Q8573">
            <v>67.203358971345324</v>
          </cell>
        </row>
        <row r="8574">
          <cell r="O8574">
            <v>48604</v>
          </cell>
          <cell r="P8574">
            <v>5.1187857257009659</v>
          </cell>
          <cell r="Q8574">
            <v>67.233873966155386</v>
          </cell>
        </row>
        <row r="8575">
          <cell r="O8575">
            <v>48605</v>
          </cell>
          <cell r="P8575">
            <v>5.1211100101153839</v>
          </cell>
          <cell r="Q8575">
            <v>67.264402816893522</v>
          </cell>
        </row>
        <row r="8576">
          <cell r="O8576">
            <v>48606</v>
          </cell>
          <cell r="P8576">
            <v>5.1234353499164342</v>
          </cell>
          <cell r="Q8576">
            <v>67.294945529851276</v>
          </cell>
        </row>
        <row r="8577">
          <cell r="O8577">
            <v>48607</v>
          </cell>
          <cell r="P8577">
            <v>5.1257617455833397</v>
          </cell>
          <cell r="Q8577">
            <v>67.32550211132309</v>
          </cell>
        </row>
        <row r="8578">
          <cell r="O8578">
            <v>48610</v>
          </cell>
          <cell r="P8578">
            <v>5.1280891975955338</v>
          </cell>
          <cell r="Q8578">
            <v>67.356072567606191</v>
          </cell>
        </row>
        <row r="8579">
          <cell r="O8579">
            <v>48611</v>
          </cell>
          <cell r="P8579">
            <v>5.1304177064326719</v>
          </cell>
          <cell r="Q8579">
            <v>67.386656905000748</v>
          </cell>
        </row>
        <row r="8580">
          <cell r="O8580">
            <v>48612</v>
          </cell>
          <cell r="P8580">
            <v>5.1327472725746262</v>
          </cell>
          <cell r="Q8580">
            <v>67.417255129809718</v>
          </cell>
        </row>
        <row r="8581">
          <cell r="O8581">
            <v>48613</v>
          </cell>
          <cell r="P8581">
            <v>5.1350778965014872</v>
          </cell>
          <cell r="Q8581">
            <v>67.44786724833898</v>
          </cell>
        </row>
        <row r="8582">
          <cell r="O8582">
            <v>48614</v>
          </cell>
          <cell r="P8582">
            <v>5.1374095786935596</v>
          </cell>
          <cell r="Q8582">
            <v>67.478493266897217</v>
          </cell>
        </row>
        <row r="8583">
          <cell r="O8583">
            <v>48617</v>
          </cell>
          <cell r="P8583">
            <v>5.1397423196313721</v>
          </cell>
          <cell r="Q8583">
            <v>67.509133191796025</v>
          </cell>
        </row>
        <row r="8584">
          <cell r="O8584">
            <v>48618</v>
          </cell>
          <cell r="P8584">
            <v>5.1420761197956688</v>
          </cell>
          <cell r="Q8584">
            <v>67.539787029349853</v>
          </cell>
        </row>
        <row r="8585">
          <cell r="O8585">
            <v>48619</v>
          </cell>
          <cell r="P8585">
            <v>5.1444109796674118</v>
          </cell>
          <cell r="Q8585">
            <v>67.570454785876024</v>
          </cell>
        </row>
        <row r="8586">
          <cell r="O8586">
            <v>48620</v>
          </cell>
          <cell r="P8586">
            <v>5.1467468997277805</v>
          </cell>
          <cell r="Q8586">
            <v>67.601136467694687</v>
          </cell>
        </row>
        <row r="8587">
          <cell r="O8587">
            <v>48621</v>
          </cell>
          <cell r="P8587">
            <v>5.1490838804581767</v>
          </cell>
          <cell r="Q8587">
            <v>67.63183208112892</v>
          </cell>
        </row>
        <row r="8588">
          <cell r="O8588">
            <v>48624</v>
          </cell>
          <cell r="P8588">
            <v>5.1514219223402158</v>
          </cell>
          <cell r="Q8588">
            <v>67.662541632504613</v>
          </cell>
        </row>
        <row r="8589">
          <cell r="O8589">
            <v>48625</v>
          </cell>
          <cell r="P8589">
            <v>5.1537610258557374</v>
          </cell>
          <cell r="Q8589">
            <v>67.693265128150614</v>
          </cell>
        </row>
        <row r="8590">
          <cell r="O8590">
            <v>48626</v>
          </cell>
          <cell r="P8590">
            <v>5.1561011914867922</v>
          </cell>
          <cell r="Q8590">
            <v>67.724002574398511</v>
          </cell>
        </row>
        <row r="8591">
          <cell r="O8591">
            <v>48627</v>
          </cell>
          <cell r="P8591">
            <v>5.1584424197156595</v>
          </cell>
          <cell r="Q8591">
            <v>67.754753977582936</v>
          </cell>
        </row>
        <row r="8592">
          <cell r="O8592">
            <v>48628</v>
          </cell>
          <cell r="P8592">
            <v>5.1607847110248297</v>
          </cell>
          <cell r="Q8592">
            <v>67.785519344041248</v>
          </cell>
        </row>
        <row r="8593">
          <cell r="O8593">
            <v>48631</v>
          </cell>
          <cell r="P8593">
            <v>5.1631280658970153</v>
          </cell>
          <cell r="Q8593">
            <v>67.816298680113746</v>
          </cell>
        </row>
        <row r="8594">
          <cell r="O8594">
            <v>48632</v>
          </cell>
          <cell r="P8594">
            <v>5.1654724848151483</v>
          </cell>
          <cell r="Q8594">
            <v>67.847091992143632</v>
          </cell>
        </row>
        <row r="8595">
          <cell r="O8595">
            <v>48633</v>
          </cell>
          <cell r="P8595">
            <v>5.1678179682623808</v>
          </cell>
          <cell r="Q8595">
            <v>67.877899286476975</v>
          </cell>
        </row>
        <row r="8596">
          <cell r="O8596">
            <v>48634</v>
          </cell>
          <cell r="P8596">
            <v>5.17016451672208</v>
          </cell>
          <cell r="Q8596">
            <v>67.908720569462645</v>
          </cell>
        </row>
        <row r="8597">
          <cell r="O8597">
            <v>48635</v>
          </cell>
          <cell r="P8597">
            <v>5.1725121306778377</v>
          </cell>
          <cell r="Q8597">
            <v>67.939555847452525</v>
          </cell>
        </row>
        <row r="8598">
          <cell r="O8598">
            <v>48640</v>
          </cell>
          <cell r="P8598">
            <v>5.1748608106134624</v>
          </cell>
          <cell r="Q8598">
            <v>67.970405126801296</v>
          </cell>
        </row>
        <row r="8599">
          <cell r="O8599">
            <v>48641</v>
          </cell>
          <cell r="P8599">
            <v>5.1772105570129847</v>
          </cell>
          <cell r="Q8599">
            <v>68.001268413866569</v>
          </cell>
        </row>
        <row r="8600">
          <cell r="O8600">
            <v>48642</v>
          </cell>
          <cell r="P8600">
            <v>5.1795613703606493</v>
          </cell>
          <cell r="Q8600">
            <v>68.032145715008753</v>
          </cell>
        </row>
        <row r="8601">
          <cell r="O8601">
            <v>48645</v>
          </cell>
          <cell r="P8601">
            <v>5.18191325114093</v>
          </cell>
          <cell r="Q8601">
            <v>68.063037036591311</v>
          </cell>
        </row>
        <row r="8602">
          <cell r="O8602">
            <v>48646</v>
          </cell>
          <cell r="P8602">
            <v>5.184266199838512</v>
          </cell>
          <cell r="Q8602">
            <v>68.093942384980437</v>
          </cell>
        </row>
        <row r="8603">
          <cell r="O8603">
            <v>48647</v>
          </cell>
          <cell r="P8603">
            <v>5.1866202169383051</v>
          </cell>
          <cell r="Q8603">
            <v>68.12486176654528</v>
          </cell>
        </row>
        <row r="8604">
          <cell r="O8604">
            <v>48648</v>
          </cell>
          <cell r="P8604">
            <v>5.188975302925436</v>
          </cell>
          <cell r="Q8604">
            <v>68.155795187657873</v>
          </cell>
        </row>
        <row r="8605">
          <cell r="O8605">
            <v>48649</v>
          </cell>
          <cell r="P8605">
            <v>5.1913314582852577</v>
          </cell>
          <cell r="Q8605">
            <v>68.186742654693177</v>
          </cell>
        </row>
        <row r="8606">
          <cell r="O8606">
            <v>48652</v>
          </cell>
          <cell r="P8606">
            <v>5.1936886835033365</v>
          </cell>
          <cell r="Q8606">
            <v>68.217704174028995</v>
          </cell>
        </row>
        <row r="8607">
          <cell r="O8607">
            <v>48653</v>
          </cell>
          <cell r="P8607">
            <v>5.1960469790654633</v>
          </cell>
          <cell r="Q8607">
            <v>68.24867975204603</v>
          </cell>
        </row>
        <row r="8608">
          <cell r="O8608">
            <v>48654</v>
          </cell>
          <cell r="P8608">
            <v>5.1984063454576495</v>
          </cell>
          <cell r="Q8608">
            <v>68.279669395127939</v>
          </cell>
        </row>
        <row r="8609">
          <cell r="O8609">
            <v>48655</v>
          </cell>
          <cell r="P8609">
            <v>5.2007667831661264</v>
          </cell>
          <cell r="Q8609">
            <v>68.310673109661224</v>
          </cell>
        </row>
        <row r="8610">
          <cell r="O8610">
            <v>48656</v>
          </cell>
          <cell r="P8610">
            <v>5.203128292677345</v>
          </cell>
          <cell r="Q8610">
            <v>68.341690902035296</v>
          </cell>
        </row>
        <row r="8611">
          <cell r="O8611">
            <v>48659</v>
          </cell>
          <cell r="P8611">
            <v>5.2054908744779782</v>
          </cell>
          <cell r="Q8611">
            <v>68.372722778642469</v>
          </cell>
        </row>
        <row r="8612">
          <cell r="O8612">
            <v>48660</v>
          </cell>
          <cell r="P8612">
            <v>5.2078545290549201</v>
          </cell>
          <cell r="Q8612">
            <v>68.403768745877969</v>
          </cell>
        </row>
        <row r="8613">
          <cell r="O8613">
            <v>48661</v>
          </cell>
          <cell r="P8613">
            <v>5.2102192568952868</v>
          </cell>
          <cell r="Q8613">
            <v>68.434828810139919</v>
          </cell>
        </row>
        <row r="8614">
          <cell r="O8614">
            <v>48662</v>
          </cell>
          <cell r="P8614">
            <v>5.212585058486412</v>
          </cell>
          <cell r="Q8614">
            <v>68.465902977829344</v>
          </cell>
        </row>
        <row r="8615">
          <cell r="O8615">
            <v>48663</v>
          </cell>
          <cell r="P8615">
            <v>5.2149519343158568</v>
          </cell>
          <cell r="Q8615">
            <v>68.49699125535021</v>
          </cell>
        </row>
        <row r="8616">
          <cell r="O8616">
            <v>48666</v>
          </cell>
          <cell r="P8616">
            <v>5.2173198848713964</v>
          </cell>
          <cell r="Q8616">
            <v>68.528093649109309</v>
          </cell>
        </row>
        <row r="8617">
          <cell r="O8617">
            <v>48667</v>
          </cell>
          <cell r="P8617">
            <v>5.2196889106410342</v>
          </cell>
          <cell r="Q8617">
            <v>68.559210165516461</v>
          </cell>
        </row>
        <row r="8618">
          <cell r="O8618">
            <v>48668</v>
          </cell>
          <cell r="P8618">
            <v>5.2220590121129886</v>
          </cell>
          <cell r="Q8618">
            <v>68.590340810984245</v>
          </cell>
        </row>
        <row r="8619">
          <cell r="O8619">
            <v>48669</v>
          </cell>
          <cell r="P8619">
            <v>5.2244301897757071</v>
          </cell>
          <cell r="Q8619">
            <v>68.621485591928305</v>
          </cell>
        </row>
        <row r="8620">
          <cell r="O8620">
            <v>48670</v>
          </cell>
          <cell r="P8620">
            <v>5.226802444117852</v>
          </cell>
          <cell r="Q8620">
            <v>68.652644514767104</v>
          </cell>
        </row>
        <row r="8621">
          <cell r="O8621">
            <v>48673</v>
          </cell>
          <cell r="P8621">
            <v>5.2291757756283124</v>
          </cell>
          <cell r="Q8621">
            <v>68.683817585922057</v>
          </cell>
        </row>
        <row r="8622">
          <cell r="O8622">
            <v>48674</v>
          </cell>
          <cell r="P8622">
            <v>5.2315501847961965</v>
          </cell>
          <cell r="Q8622">
            <v>68.715004811817451</v>
          </cell>
        </row>
        <row r="8623">
          <cell r="O8623">
            <v>48675</v>
          </cell>
          <cell r="P8623">
            <v>5.2339256721108374</v>
          </cell>
          <cell r="Q8623">
            <v>68.746206198880571</v>
          </cell>
        </row>
        <row r="8624">
          <cell r="O8624">
            <v>48676</v>
          </cell>
          <cell r="P8624">
            <v>5.2363022380617714</v>
          </cell>
          <cell r="Q8624">
            <v>68.777421753541333</v>
          </cell>
        </row>
        <row r="8625">
          <cell r="O8625">
            <v>48677</v>
          </cell>
          <cell r="P8625">
            <v>5.2386798831388059</v>
          </cell>
          <cell r="Q8625">
            <v>68.80865148223323</v>
          </cell>
        </row>
        <row r="8626">
          <cell r="O8626">
            <v>48680</v>
          </cell>
          <cell r="P8626">
            <v>5.2410586078319366</v>
          </cell>
          <cell r="Q8626">
            <v>68.839895391392218</v>
          </cell>
        </row>
        <row r="8627">
          <cell r="O8627">
            <v>48681</v>
          </cell>
          <cell r="P8627">
            <v>5.2434384126313587</v>
          </cell>
          <cell r="Q8627">
            <v>68.871153487456894</v>
          </cell>
        </row>
        <row r="8628">
          <cell r="O8628">
            <v>48682</v>
          </cell>
          <cell r="P8628">
            <v>5.2458192980275253</v>
          </cell>
          <cell r="Q8628">
            <v>68.902425776869194</v>
          </cell>
        </row>
        <row r="8629">
          <cell r="O8629">
            <v>48683</v>
          </cell>
          <cell r="P8629">
            <v>5.2482012645111071</v>
          </cell>
          <cell r="Q8629">
            <v>68.933712266073982</v>
          </cell>
        </row>
        <row r="8630">
          <cell r="O8630">
            <v>48687</v>
          </cell>
          <cell r="P8630">
            <v>5.2505843125729754</v>
          </cell>
          <cell r="Q8630">
            <v>68.965012961518696</v>
          </cell>
        </row>
        <row r="8631">
          <cell r="O8631">
            <v>48688</v>
          </cell>
          <cell r="P8631">
            <v>5.2529684427042733</v>
          </cell>
          <cell r="Q8631">
            <v>68.996327869654394</v>
          </cell>
        </row>
        <row r="8632">
          <cell r="O8632">
            <v>48689</v>
          </cell>
          <cell r="P8632">
            <v>5.2553536553963198</v>
          </cell>
          <cell r="Q8632">
            <v>69.027656996934383</v>
          </cell>
        </row>
        <row r="8633">
          <cell r="O8633">
            <v>48691</v>
          </cell>
          <cell r="P8633">
            <v>5.2577399511406844</v>
          </cell>
          <cell r="Q8633">
            <v>69.059000349815335</v>
          </cell>
        </row>
        <row r="8634">
          <cell r="O8634">
            <v>48694</v>
          </cell>
          <cell r="P8634">
            <v>5.2601273304291247</v>
          </cell>
          <cell r="Q8634">
            <v>69.090357934756327</v>
          </cell>
        </row>
        <row r="8635">
          <cell r="O8635">
            <v>48695</v>
          </cell>
          <cell r="P8635">
            <v>5.2625157937536393</v>
          </cell>
          <cell r="Q8635">
            <v>69.12172975821963</v>
          </cell>
        </row>
        <row r="8636">
          <cell r="O8636">
            <v>48696</v>
          </cell>
          <cell r="P8636">
            <v>5.2649053416065037</v>
          </cell>
          <cell r="Q8636">
            <v>69.153115826671169</v>
          </cell>
        </row>
        <row r="8637">
          <cell r="O8637">
            <v>48697</v>
          </cell>
          <cell r="P8637">
            <v>5.267295974480108</v>
          </cell>
          <cell r="Q8637">
            <v>69.184516146578332</v>
          </cell>
        </row>
        <row r="8638">
          <cell r="O8638">
            <v>48698</v>
          </cell>
          <cell r="P8638">
            <v>5.2696876928671745</v>
          </cell>
          <cell r="Q8638">
            <v>69.215930724412914</v>
          </cell>
        </row>
        <row r="8639">
          <cell r="O8639">
            <v>48701</v>
          </cell>
          <cell r="P8639">
            <v>5.2720804972605837</v>
          </cell>
          <cell r="Q8639">
            <v>69.247359566648754</v>
          </cell>
        </row>
        <row r="8640">
          <cell r="O8640">
            <v>48702</v>
          </cell>
          <cell r="P8640">
            <v>5.2744743881534584</v>
          </cell>
          <cell r="Q8640">
            <v>69.278802679762904</v>
          </cell>
        </row>
        <row r="8641">
          <cell r="O8641">
            <v>48703</v>
          </cell>
          <cell r="P8641">
            <v>5.2768693660391461</v>
          </cell>
          <cell r="Q8641">
            <v>69.31026007023533</v>
          </cell>
        </row>
        <row r="8642">
          <cell r="O8642">
            <v>48704</v>
          </cell>
          <cell r="P8642">
            <v>5.2792654314112166</v>
          </cell>
          <cell r="Q8642">
            <v>69.341731744548937</v>
          </cell>
        </row>
        <row r="8643">
          <cell r="O8643">
            <v>48705</v>
          </cell>
          <cell r="P8643">
            <v>5.2816625847634633</v>
          </cell>
          <cell r="Q8643">
            <v>69.373217709189589</v>
          </cell>
        </row>
        <row r="8644">
          <cell r="O8644">
            <v>48708</v>
          </cell>
          <cell r="P8644">
            <v>5.2840608265899069</v>
          </cell>
          <cell r="Q8644">
            <v>69.404717970646118</v>
          </cell>
        </row>
        <row r="8645">
          <cell r="O8645">
            <v>48709</v>
          </cell>
          <cell r="P8645">
            <v>5.2864601573847887</v>
          </cell>
          <cell r="Q8645">
            <v>69.436232535410227</v>
          </cell>
        </row>
        <row r="8646">
          <cell r="O8646">
            <v>48710</v>
          </cell>
          <cell r="P8646">
            <v>5.2888605776425761</v>
          </cell>
          <cell r="Q8646">
            <v>69.467761409976617</v>
          </cell>
        </row>
        <row r="8647">
          <cell r="O8647">
            <v>48711</v>
          </cell>
          <cell r="P8647">
            <v>5.2912620878579606</v>
          </cell>
          <cell r="Q8647">
            <v>69.499304600842947</v>
          </cell>
        </row>
        <row r="8648">
          <cell r="O8648">
            <v>48712</v>
          </cell>
          <cell r="P8648">
            <v>5.2936646885258618</v>
          </cell>
          <cell r="Q8648">
            <v>69.53086211450983</v>
          </cell>
        </row>
        <row r="8649">
          <cell r="O8649">
            <v>48715</v>
          </cell>
          <cell r="P8649">
            <v>5.2960683801414161</v>
          </cell>
          <cell r="Q8649">
            <v>69.562433957480764</v>
          </cell>
        </row>
        <row r="8650">
          <cell r="O8650">
            <v>48716</v>
          </cell>
          <cell r="P8650">
            <v>5.2984731631999926</v>
          </cell>
          <cell r="Q8650">
            <v>69.594020136262273</v>
          </cell>
        </row>
        <row r="8651">
          <cell r="O8651">
            <v>48717</v>
          </cell>
          <cell r="P8651">
            <v>5.3008790381971815</v>
          </cell>
          <cell r="Q8651">
            <v>69.625620657363825</v>
          </cell>
        </row>
        <row r="8652">
          <cell r="O8652">
            <v>48718</v>
          </cell>
          <cell r="P8652">
            <v>5.3032860056288005</v>
          </cell>
          <cell r="Q8652">
            <v>69.657235527297843</v>
          </cell>
        </row>
        <row r="8653">
          <cell r="O8653">
            <v>48719</v>
          </cell>
          <cell r="P8653">
            <v>5.3056940659908864</v>
          </cell>
          <cell r="Q8653">
            <v>69.688864752579619</v>
          </cell>
        </row>
        <row r="8654">
          <cell r="O8654">
            <v>48722</v>
          </cell>
          <cell r="P8654">
            <v>5.3081032197797109</v>
          </cell>
          <cell r="Q8654">
            <v>69.720508339727573</v>
          </cell>
        </row>
        <row r="8655">
          <cell r="O8655">
            <v>48723</v>
          </cell>
          <cell r="P8655">
            <v>5.310513467491762</v>
          </cell>
          <cell r="Q8655">
            <v>69.752166295262938</v>
          </cell>
        </row>
        <row r="8656">
          <cell r="O8656">
            <v>48724</v>
          </cell>
          <cell r="P8656">
            <v>5.3129248096237589</v>
          </cell>
          <cell r="Q8656">
            <v>69.783838625709961</v>
          </cell>
        </row>
        <row r="8657">
          <cell r="O8657">
            <v>48725</v>
          </cell>
          <cell r="P8657">
            <v>5.3153372466726418</v>
          </cell>
          <cell r="Q8657">
            <v>69.815525337595858</v>
          </cell>
        </row>
        <row r="8658">
          <cell r="O8658">
            <v>48726</v>
          </cell>
          <cell r="P8658">
            <v>5.317750779135582</v>
          </cell>
          <cell r="Q8658">
            <v>69.8472264374508</v>
          </cell>
        </row>
        <row r="8659">
          <cell r="O8659">
            <v>48729</v>
          </cell>
          <cell r="P8659">
            <v>5.3201654075099718</v>
          </cell>
          <cell r="Q8659">
            <v>69.87894193180793</v>
          </cell>
        </row>
        <row r="8660">
          <cell r="O8660">
            <v>48730</v>
          </cell>
          <cell r="P8660">
            <v>5.3225811322934318</v>
          </cell>
          <cell r="Q8660">
            <v>69.910671827203359</v>
          </cell>
        </row>
        <row r="8661">
          <cell r="O8661">
            <v>48731</v>
          </cell>
          <cell r="P8661">
            <v>5.3249979539838073</v>
          </cell>
          <cell r="Q8661">
            <v>69.942416130176127</v>
          </cell>
        </row>
        <row r="8662">
          <cell r="O8662">
            <v>48732</v>
          </cell>
          <cell r="P8662">
            <v>5.3274158730791719</v>
          </cell>
          <cell r="Q8662">
            <v>69.97417484726833</v>
          </cell>
        </row>
        <row r="8663">
          <cell r="O8663">
            <v>48733</v>
          </cell>
          <cell r="P8663">
            <v>5.3298348900778212</v>
          </cell>
          <cell r="Q8663">
            <v>70.005947985024918</v>
          </cell>
        </row>
        <row r="8664">
          <cell r="O8664">
            <v>48736</v>
          </cell>
          <cell r="P8664">
            <v>5.3322550054782809</v>
          </cell>
          <cell r="Q8664">
            <v>70.037735549993911</v>
          </cell>
        </row>
        <row r="8665">
          <cell r="O8665">
            <v>48737</v>
          </cell>
          <cell r="P8665">
            <v>5.3346762197793023</v>
          </cell>
          <cell r="Q8665">
            <v>70.06953754872626</v>
          </cell>
        </row>
        <row r="8666">
          <cell r="O8666">
            <v>48738</v>
          </cell>
          <cell r="P8666">
            <v>5.3370985334798631</v>
          </cell>
          <cell r="Q8666">
            <v>70.101353987775909</v>
          </cell>
        </row>
        <row r="8667">
          <cell r="O8667">
            <v>48739</v>
          </cell>
          <cell r="P8667">
            <v>5.3395219470791631</v>
          </cell>
          <cell r="Q8667">
            <v>70.133184873699719</v>
          </cell>
        </row>
        <row r="8668">
          <cell r="O8668">
            <v>48740</v>
          </cell>
          <cell r="P8668">
            <v>5.3419464610766383</v>
          </cell>
          <cell r="Q8668">
            <v>70.165030213057648</v>
          </cell>
        </row>
        <row r="8669">
          <cell r="O8669">
            <v>48743</v>
          </cell>
          <cell r="P8669">
            <v>5.3443720759719424</v>
          </cell>
          <cell r="Q8669">
            <v>70.196890012412496</v>
          </cell>
        </row>
        <row r="8670">
          <cell r="O8670">
            <v>48744</v>
          </cell>
          <cell r="P8670">
            <v>5.3467987922649618</v>
          </cell>
          <cell r="Q8670">
            <v>70.228764278330146</v>
          </cell>
        </row>
        <row r="8671">
          <cell r="O8671">
            <v>48745</v>
          </cell>
          <cell r="P8671">
            <v>5.3492266104558039</v>
          </cell>
          <cell r="Q8671">
            <v>70.260653017379383</v>
          </cell>
        </row>
        <row r="8672">
          <cell r="O8672">
            <v>48747</v>
          </cell>
          <cell r="P8672">
            <v>5.3516555310448108</v>
          </cell>
          <cell r="Q8672">
            <v>70.292556236132057</v>
          </cell>
        </row>
        <row r="8673">
          <cell r="O8673">
            <v>48750</v>
          </cell>
          <cell r="P8673">
            <v>5.3540855545325456</v>
          </cell>
          <cell r="Q8673">
            <v>70.324473941162921</v>
          </cell>
        </row>
        <row r="8674">
          <cell r="O8674">
            <v>48751</v>
          </cell>
          <cell r="P8674">
            <v>5.3565166814198024</v>
          </cell>
          <cell r="Q8674">
            <v>70.356406139049795</v>
          </cell>
        </row>
        <row r="8675">
          <cell r="O8675">
            <v>48752</v>
          </cell>
          <cell r="P8675">
            <v>5.3589489122075991</v>
          </cell>
          <cell r="Q8675">
            <v>70.388352836373386</v>
          </cell>
        </row>
        <row r="8676">
          <cell r="O8676">
            <v>48753</v>
          </cell>
          <cell r="P8676">
            <v>5.3613822473971871</v>
          </cell>
          <cell r="Q8676">
            <v>70.420314039717525</v>
          </cell>
        </row>
        <row r="8677">
          <cell r="O8677">
            <v>48754</v>
          </cell>
          <cell r="P8677">
            <v>5.3638166874900373</v>
          </cell>
          <cell r="Q8677">
            <v>70.452289755668872</v>
          </cell>
        </row>
        <row r="8678">
          <cell r="O8678">
            <v>48757</v>
          </cell>
          <cell r="P8678">
            <v>5.366252232987855</v>
          </cell>
          <cell r="Q8678">
            <v>70.484279990817214</v>
          </cell>
        </row>
        <row r="8679">
          <cell r="O8679">
            <v>48758</v>
          </cell>
          <cell r="P8679">
            <v>5.3686888843925695</v>
          </cell>
          <cell r="Q8679">
            <v>70.516284751755236</v>
          </cell>
        </row>
        <row r="8680">
          <cell r="O8680">
            <v>48759</v>
          </cell>
          <cell r="P8680">
            <v>5.3711266422063417</v>
          </cell>
          <cell r="Q8680">
            <v>70.548304045078694</v>
          </cell>
        </row>
        <row r="8681">
          <cell r="O8681">
            <v>48760</v>
          </cell>
          <cell r="P8681">
            <v>5.3735655069315538</v>
          </cell>
          <cell r="Q8681">
            <v>70.580337877386256</v>
          </cell>
        </row>
        <row r="8682">
          <cell r="O8682">
            <v>48761</v>
          </cell>
          <cell r="P8682">
            <v>5.3760054790708267</v>
          </cell>
          <cell r="Q8682">
            <v>70.612386255279688</v>
          </cell>
        </row>
        <row r="8683">
          <cell r="O8683">
            <v>48764</v>
          </cell>
          <cell r="P8683">
            <v>5.3784465591269983</v>
          </cell>
          <cell r="Q8683">
            <v>70.644449185363655</v>
          </cell>
        </row>
        <row r="8684">
          <cell r="O8684">
            <v>48765</v>
          </cell>
          <cell r="P8684">
            <v>5.3808887476031408</v>
          </cell>
          <cell r="Q8684">
            <v>70.676526674245864</v>
          </cell>
        </row>
        <row r="8685">
          <cell r="O8685">
            <v>48766</v>
          </cell>
          <cell r="P8685">
            <v>5.3833320450025557</v>
          </cell>
          <cell r="Q8685">
            <v>70.708618728537033</v>
          </cell>
        </row>
        <row r="8686">
          <cell r="O8686">
            <v>48767</v>
          </cell>
          <cell r="P8686">
            <v>5.3857764518287707</v>
          </cell>
          <cell r="Q8686">
            <v>70.740725354850881</v>
          </cell>
        </row>
        <row r="8687">
          <cell r="O8687">
            <v>48768</v>
          </cell>
          <cell r="P8687">
            <v>5.3882219685855413</v>
          </cell>
          <cell r="Q8687">
            <v>70.772846559804094</v>
          </cell>
        </row>
        <row r="8688">
          <cell r="O8688">
            <v>48771</v>
          </cell>
          <cell r="P8688">
            <v>5.3906685957768534</v>
          </cell>
          <cell r="Q8688">
            <v>70.804982350016402</v>
          </cell>
        </row>
        <row r="8689">
          <cell r="O8689">
            <v>48772</v>
          </cell>
          <cell r="P8689">
            <v>5.3931163339069226</v>
          </cell>
          <cell r="Q8689">
            <v>70.837132732110518</v>
          </cell>
        </row>
        <row r="8690">
          <cell r="O8690">
            <v>48773</v>
          </cell>
          <cell r="P8690">
            <v>5.3955651834801923</v>
          </cell>
          <cell r="Q8690">
            <v>70.869297712712196</v>
          </cell>
        </row>
        <row r="8691">
          <cell r="O8691">
            <v>48774</v>
          </cell>
          <cell r="P8691">
            <v>5.3980151450013327</v>
          </cell>
          <cell r="Q8691">
            <v>70.901477298450118</v>
          </cell>
        </row>
        <row r="8692">
          <cell r="O8692">
            <v>48775</v>
          </cell>
          <cell r="P8692">
            <v>5.4004662189752484</v>
          </cell>
          <cell r="Q8692">
            <v>70.933671495956091</v>
          </cell>
        </row>
        <row r="8693">
          <cell r="O8693">
            <v>48778</v>
          </cell>
          <cell r="P8693">
            <v>5.4029184059070685</v>
          </cell>
          <cell r="Q8693">
            <v>70.965880311864851</v>
          </cell>
        </row>
        <row r="8694">
          <cell r="O8694">
            <v>48779</v>
          </cell>
          <cell r="P8694">
            <v>5.4053717063021542</v>
          </cell>
          <cell r="Q8694">
            <v>70.99810375281416</v>
          </cell>
        </row>
        <row r="8695">
          <cell r="O8695">
            <v>48780</v>
          </cell>
          <cell r="P8695">
            <v>5.4078261206660931</v>
          </cell>
          <cell r="Q8695">
            <v>71.030341825444793</v>
          </cell>
        </row>
        <row r="8696">
          <cell r="O8696">
            <v>48781</v>
          </cell>
          <cell r="P8696">
            <v>5.4102816495047064</v>
          </cell>
          <cell r="Q8696">
            <v>71.062594536400567</v>
          </cell>
        </row>
        <row r="8697">
          <cell r="O8697">
            <v>48782</v>
          </cell>
          <cell r="P8697">
            <v>5.4127382933240442</v>
          </cell>
          <cell r="Q8697">
            <v>71.094861892328325</v>
          </cell>
        </row>
        <row r="8698">
          <cell r="O8698">
            <v>48785</v>
          </cell>
          <cell r="P8698">
            <v>5.4151960526303808</v>
          </cell>
          <cell r="Q8698">
            <v>71.127143899877822</v>
          </cell>
        </row>
        <row r="8699">
          <cell r="O8699">
            <v>48786</v>
          </cell>
          <cell r="P8699">
            <v>5.4176549279302302</v>
          </cell>
          <cell r="Q8699">
            <v>71.159440565702013</v>
          </cell>
        </row>
        <row r="8700">
          <cell r="O8700">
            <v>48787</v>
          </cell>
          <cell r="P8700">
            <v>5.4201149197303264</v>
          </cell>
          <cell r="Q8700">
            <v>71.191751896456694</v>
          </cell>
        </row>
        <row r="8701">
          <cell r="O8701">
            <v>48788</v>
          </cell>
          <cell r="P8701">
            <v>5.422576028537641</v>
          </cell>
          <cell r="Q8701">
            <v>71.2240778988008</v>
          </cell>
        </row>
        <row r="8702">
          <cell r="O8702">
            <v>48789</v>
          </cell>
          <cell r="P8702">
            <v>5.4250382548593716</v>
          </cell>
          <cell r="Q8702">
            <v>71.256418579396239</v>
          </cell>
        </row>
        <row r="8703">
          <cell r="O8703">
            <v>48792</v>
          </cell>
          <cell r="P8703">
            <v>5.4275015992029498</v>
          </cell>
          <cell r="Q8703">
            <v>71.288773944907987</v>
          </cell>
        </row>
        <row r="8704">
          <cell r="O8704">
            <v>48793</v>
          </cell>
          <cell r="P8704">
            <v>5.4299660620760308</v>
          </cell>
          <cell r="Q8704">
            <v>71.321144002003962</v>
          </cell>
        </row>
        <row r="8705">
          <cell r="O8705">
            <v>48794</v>
          </cell>
          <cell r="P8705">
            <v>5.4324316439865079</v>
          </cell>
          <cell r="Q8705">
            <v>71.353528757355193</v>
          </cell>
        </row>
        <row r="8706">
          <cell r="O8706">
            <v>48795</v>
          </cell>
          <cell r="P8706">
            <v>5.4348983454425008</v>
          </cell>
          <cell r="Q8706">
            <v>71.385928217635723</v>
          </cell>
        </row>
        <row r="8707">
          <cell r="O8707">
            <v>48796</v>
          </cell>
          <cell r="P8707">
            <v>5.437366166952363</v>
          </cell>
          <cell r="Q8707">
            <v>71.418342389522607</v>
          </cell>
        </row>
        <row r="8708">
          <cell r="O8708">
            <v>48799</v>
          </cell>
          <cell r="P8708">
            <v>5.4398351090246573</v>
          </cell>
          <cell r="Q8708">
            <v>71.450771279695715</v>
          </cell>
        </row>
        <row r="8709">
          <cell r="O8709">
            <v>48800</v>
          </cell>
          <cell r="P8709">
            <v>5.4423051721682469</v>
          </cell>
          <cell r="Q8709">
            <v>71.483214894838795</v>
          </cell>
        </row>
        <row r="8710">
          <cell r="O8710">
            <v>48801</v>
          </cell>
          <cell r="P8710">
            <v>5.4447763568921275</v>
          </cell>
          <cell r="Q8710">
            <v>71.515673241637387</v>
          </cell>
        </row>
        <row r="8711">
          <cell r="O8711">
            <v>48802</v>
          </cell>
          <cell r="P8711">
            <v>5.4472486637055919</v>
          </cell>
          <cell r="Q8711">
            <v>71.548146326780909</v>
          </cell>
        </row>
        <row r="8712">
          <cell r="O8712">
            <v>48803</v>
          </cell>
          <cell r="P8712">
            <v>5.4497220931181278</v>
          </cell>
          <cell r="Q8712">
            <v>71.580634156961338</v>
          </cell>
        </row>
        <row r="8713">
          <cell r="O8713">
            <v>48806</v>
          </cell>
          <cell r="P8713">
            <v>5.4521966456395248</v>
          </cell>
          <cell r="Q8713">
            <v>71.613136738874644</v>
          </cell>
        </row>
        <row r="8714">
          <cell r="O8714">
            <v>48807</v>
          </cell>
          <cell r="P8714">
            <v>5.454672321779686</v>
          </cell>
          <cell r="Q8714">
            <v>71.645654079218247</v>
          </cell>
        </row>
        <row r="8715">
          <cell r="O8715">
            <v>48808</v>
          </cell>
          <cell r="P8715">
            <v>5.457149122048861</v>
          </cell>
          <cell r="Q8715">
            <v>71.678186184694155</v>
          </cell>
        </row>
        <row r="8716">
          <cell r="O8716">
            <v>48809</v>
          </cell>
          <cell r="P8716">
            <v>5.4596270469574657</v>
          </cell>
          <cell r="Q8716">
            <v>71.710733062006526</v>
          </cell>
        </row>
        <row r="8717">
          <cell r="O8717">
            <v>48810</v>
          </cell>
          <cell r="P8717">
            <v>5.462106097016167</v>
          </cell>
          <cell r="Q8717">
            <v>71.743294717862852</v>
          </cell>
        </row>
        <row r="8718">
          <cell r="O8718">
            <v>48813</v>
          </cell>
          <cell r="P8718">
            <v>5.4645862727358585</v>
          </cell>
          <cell r="Q8718">
            <v>71.775871158973558</v>
          </cell>
        </row>
        <row r="8719">
          <cell r="O8719">
            <v>48814</v>
          </cell>
          <cell r="P8719">
            <v>5.4670675746276691</v>
          </cell>
          <cell r="Q8719">
            <v>71.808462392052206</v>
          </cell>
        </row>
        <row r="8720">
          <cell r="O8720">
            <v>48815</v>
          </cell>
          <cell r="P8720">
            <v>5.4695500032029605</v>
          </cell>
          <cell r="Q8720">
            <v>71.841068423815386</v>
          </cell>
        </row>
        <row r="8721">
          <cell r="O8721">
            <v>48816</v>
          </cell>
          <cell r="P8721">
            <v>5.4720335589733251</v>
          </cell>
          <cell r="Q8721">
            <v>71.873689260982729</v>
          </cell>
        </row>
        <row r="8722">
          <cell r="O8722">
            <v>48817</v>
          </cell>
          <cell r="P8722">
            <v>5.4745182424505847</v>
          </cell>
          <cell r="Q8722">
            <v>71.906324910276879</v>
          </cell>
        </row>
        <row r="8723">
          <cell r="O8723">
            <v>48820</v>
          </cell>
          <cell r="P8723">
            <v>5.4770040541468017</v>
          </cell>
          <cell r="Q8723">
            <v>71.938975378423635</v>
          </cell>
        </row>
        <row r="8724">
          <cell r="O8724">
            <v>48821</v>
          </cell>
          <cell r="P8724">
            <v>5.4794909945742614</v>
          </cell>
          <cell r="Q8724">
            <v>71.971640672151722</v>
          </cell>
        </row>
        <row r="8725">
          <cell r="O8725">
            <v>48822</v>
          </cell>
          <cell r="P8725">
            <v>5.4819790642454898</v>
          </cell>
          <cell r="Q8725">
            <v>72.004320798193035</v>
          </cell>
        </row>
        <row r="8726">
          <cell r="O8726">
            <v>48823</v>
          </cell>
          <cell r="P8726">
            <v>5.4844682636732376</v>
          </cell>
          <cell r="Q8726">
            <v>72.037015763282412</v>
          </cell>
        </row>
        <row r="8727">
          <cell r="O8727">
            <v>48824</v>
          </cell>
          <cell r="P8727">
            <v>5.4869585933704981</v>
          </cell>
          <cell r="Q8727">
            <v>72.0697255741579</v>
          </cell>
        </row>
        <row r="8728">
          <cell r="O8728">
            <v>48827</v>
          </cell>
          <cell r="P8728">
            <v>5.4894500538504882</v>
          </cell>
          <cell r="Q8728">
            <v>72.102450237560447</v>
          </cell>
        </row>
        <row r="8729">
          <cell r="O8729">
            <v>48828</v>
          </cell>
          <cell r="P8729">
            <v>5.4919426456266631</v>
          </cell>
          <cell r="Q8729">
            <v>72.135189760234141</v>
          </cell>
        </row>
        <row r="8730">
          <cell r="O8730">
            <v>48830</v>
          </cell>
          <cell r="P8730">
            <v>5.4944363692127105</v>
          </cell>
          <cell r="Q8730">
            <v>72.167944148926154</v>
          </cell>
        </row>
        <row r="8731">
          <cell r="O8731">
            <v>48831</v>
          </cell>
          <cell r="P8731">
            <v>5.4969312251225508</v>
          </cell>
          <cell r="Q8731">
            <v>72.200713410386683</v>
          </cell>
        </row>
        <row r="8732">
          <cell r="O8732">
            <v>48834</v>
          </cell>
          <cell r="P8732">
            <v>5.4994272138703364</v>
          </cell>
          <cell r="Q8732">
            <v>72.233497551368984</v>
          </cell>
        </row>
        <row r="8733">
          <cell r="O8733">
            <v>48835</v>
          </cell>
          <cell r="P8733">
            <v>5.5019243359704548</v>
          </cell>
          <cell r="Q8733">
            <v>72.266296578629394</v>
          </cell>
        </row>
        <row r="8734">
          <cell r="O8734">
            <v>48836</v>
          </cell>
          <cell r="P8734">
            <v>5.5044225919375274</v>
          </cell>
          <cell r="Q8734">
            <v>72.299110498927334</v>
          </cell>
        </row>
        <row r="8735">
          <cell r="O8735">
            <v>48837</v>
          </cell>
          <cell r="P8735">
            <v>5.5069219822864088</v>
          </cell>
          <cell r="Q8735">
            <v>72.331939319025267</v>
          </cell>
        </row>
        <row r="8736">
          <cell r="O8736">
            <v>48838</v>
          </cell>
          <cell r="P8736">
            <v>5.509422507532185</v>
          </cell>
          <cell r="Q8736">
            <v>72.364783045688725</v>
          </cell>
        </row>
        <row r="8737">
          <cell r="O8737">
            <v>48841</v>
          </cell>
          <cell r="P8737">
            <v>5.5119241681901814</v>
          </cell>
          <cell r="Q8737">
            <v>72.397641685686352</v>
          </cell>
        </row>
        <row r="8738">
          <cell r="O8738">
            <v>48842</v>
          </cell>
          <cell r="P8738">
            <v>5.514426964775951</v>
          </cell>
          <cell r="Q8738">
            <v>72.430515245789806</v>
          </cell>
        </row>
        <row r="8739">
          <cell r="O8739">
            <v>48843</v>
          </cell>
          <cell r="P8739">
            <v>5.5169308978052856</v>
          </cell>
          <cell r="Q8739">
            <v>72.463403732773884</v>
          </cell>
        </row>
        <row r="8740">
          <cell r="O8740">
            <v>48844</v>
          </cell>
          <cell r="P8740">
            <v>5.5194359677942098</v>
          </cell>
          <cell r="Q8740">
            <v>72.49630715341641</v>
          </cell>
        </row>
        <row r="8741">
          <cell r="O8741">
            <v>48845</v>
          </cell>
          <cell r="P8741">
            <v>5.5219421752589817</v>
          </cell>
          <cell r="Q8741">
            <v>72.529225514498322</v>
          </cell>
        </row>
        <row r="8742">
          <cell r="O8742">
            <v>48848</v>
          </cell>
          <cell r="P8742">
            <v>5.524449520716094</v>
          </cell>
          <cell r="Q8742">
            <v>72.562158822803582</v>
          </cell>
        </row>
        <row r="8743">
          <cell r="O8743">
            <v>48849</v>
          </cell>
          <cell r="P8743">
            <v>5.5269580046822737</v>
          </cell>
          <cell r="Q8743">
            <v>72.595107085119281</v>
          </cell>
        </row>
        <row r="8744">
          <cell r="O8744">
            <v>48850</v>
          </cell>
          <cell r="P8744">
            <v>5.5294676276744852</v>
          </cell>
          <cell r="Q8744">
            <v>72.628070308235593</v>
          </cell>
        </row>
        <row r="8745">
          <cell r="O8745">
            <v>48851</v>
          </cell>
          <cell r="P8745">
            <v>5.5319783902099244</v>
          </cell>
          <cell r="Q8745">
            <v>72.661048498945775</v>
          </cell>
        </row>
        <row r="8746">
          <cell r="O8746">
            <v>48852</v>
          </cell>
          <cell r="P8746">
            <v>5.5344902928060211</v>
          </cell>
          <cell r="Q8746">
            <v>72.694041664046097</v>
          </cell>
        </row>
        <row r="8747">
          <cell r="O8747">
            <v>48855</v>
          </cell>
          <cell r="P8747">
            <v>5.5370033359804456</v>
          </cell>
          <cell r="Q8747">
            <v>72.727049810336027</v>
          </cell>
        </row>
        <row r="8748">
          <cell r="O8748">
            <v>48856</v>
          </cell>
          <cell r="P8748">
            <v>5.5395175202510973</v>
          </cell>
          <cell r="Q8748">
            <v>72.760072944618045</v>
          </cell>
        </row>
        <row r="8749">
          <cell r="O8749">
            <v>48857</v>
          </cell>
          <cell r="P8749">
            <v>5.5420328461361139</v>
          </cell>
          <cell r="Q8749">
            <v>72.79311107369773</v>
          </cell>
        </row>
        <row r="8750">
          <cell r="O8750">
            <v>48858</v>
          </cell>
          <cell r="P8750">
            <v>5.5445493141538682</v>
          </cell>
          <cell r="Q8750">
            <v>72.826164204383801</v>
          </cell>
        </row>
        <row r="8751">
          <cell r="O8751">
            <v>48859</v>
          </cell>
          <cell r="P8751">
            <v>5.5470669248229676</v>
          </cell>
          <cell r="Q8751">
            <v>72.859232343488003</v>
          </cell>
        </row>
        <row r="8752">
          <cell r="O8752">
            <v>48862</v>
          </cell>
          <cell r="P8752">
            <v>5.5495856786622539</v>
          </cell>
          <cell r="Q8752">
            <v>72.892315497825194</v>
          </cell>
        </row>
        <row r="8753">
          <cell r="O8753">
            <v>48863</v>
          </cell>
          <cell r="P8753">
            <v>5.5521055761908071</v>
          </cell>
          <cell r="Q8753">
            <v>72.925413674213331</v>
          </cell>
        </row>
        <row r="8754">
          <cell r="O8754">
            <v>48865</v>
          </cell>
          <cell r="P8754">
            <v>5.5546266179279407</v>
          </cell>
          <cell r="Q8754">
            <v>72.958526879473482</v>
          </cell>
        </row>
        <row r="8755">
          <cell r="O8755">
            <v>48866</v>
          </cell>
          <cell r="P8755">
            <v>5.5571488043932069</v>
          </cell>
          <cell r="Q8755">
            <v>72.991655120429812</v>
          </cell>
        </row>
        <row r="8756">
          <cell r="O8756">
            <v>48869</v>
          </cell>
          <cell r="P8756">
            <v>5.5596721361063883</v>
          </cell>
          <cell r="Q8756">
            <v>73.024798403909529</v>
          </cell>
        </row>
        <row r="8757">
          <cell r="O8757">
            <v>48870</v>
          </cell>
          <cell r="P8757">
            <v>5.562196613587516</v>
          </cell>
          <cell r="Q8757">
            <v>73.057956736743108</v>
          </cell>
        </row>
        <row r="8758">
          <cell r="O8758">
            <v>48871</v>
          </cell>
          <cell r="P8758">
            <v>5.5647222373568317</v>
          </cell>
          <cell r="Q8758">
            <v>73.091130125763769</v>
          </cell>
        </row>
        <row r="8759">
          <cell r="O8759">
            <v>48872</v>
          </cell>
          <cell r="P8759">
            <v>5.5672490079348433</v>
          </cell>
          <cell r="Q8759">
            <v>73.124318577808253</v>
          </cell>
        </row>
        <row r="8760">
          <cell r="O8760">
            <v>48873</v>
          </cell>
          <cell r="P8760">
            <v>5.5697769258422785</v>
          </cell>
          <cell r="Q8760">
            <v>73.157522099716175</v>
          </cell>
        </row>
        <row r="8761">
          <cell r="O8761">
            <v>48876</v>
          </cell>
          <cell r="P8761">
            <v>5.5723059916001034</v>
          </cell>
          <cell r="Q8761">
            <v>73.190740698330288</v>
          </cell>
        </row>
        <row r="8762">
          <cell r="O8762">
            <v>48877</v>
          </cell>
          <cell r="P8762">
            <v>5.5748362057295235</v>
          </cell>
          <cell r="Q8762">
            <v>73.223974380496486</v>
          </cell>
        </row>
        <row r="8763">
          <cell r="O8763">
            <v>48878</v>
          </cell>
          <cell r="P8763">
            <v>5.5773675687519768</v>
          </cell>
          <cell r="Q8763">
            <v>73.25722315306372</v>
          </cell>
        </row>
        <row r="8764">
          <cell r="O8764">
            <v>48879</v>
          </cell>
          <cell r="P8764">
            <v>5.5799000811891437</v>
          </cell>
          <cell r="Q8764">
            <v>73.290487022884108</v>
          </cell>
        </row>
        <row r="8765">
          <cell r="O8765">
            <v>48880</v>
          </cell>
          <cell r="P8765">
            <v>5.5824337435629356</v>
          </cell>
          <cell r="Q8765">
            <v>73.323765996812838</v>
          </cell>
        </row>
        <row r="8766">
          <cell r="O8766">
            <v>48883</v>
          </cell>
          <cell r="P8766">
            <v>5.5849685563955047</v>
          </cell>
          <cell r="Q8766">
            <v>73.357060081708212</v>
          </cell>
        </row>
        <row r="8767">
          <cell r="O8767">
            <v>48884</v>
          </cell>
          <cell r="P8767">
            <v>5.5875045202092393</v>
          </cell>
          <cell r="Q8767">
            <v>73.390369284431685</v>
          </cell>
        </row>
        <row r="8768">
          <cell r="O8768">
            <v>48886</v>
          </cell>
          <cell r="P8768">
            <v>5.5900416355267657</v>
          </cell>
          <cell r="Q8768">
            <v>73.423693611847796</v>
          </cell>
        </row>
        <row r="8769">
          <cell r="O8769">
            <v>48887</v>
          </cell>
          <cell r="P8769">
            <v>5.5925799028709449</v>
          </cell>
          <cell r="Q8769">
            <v>73.457033070824181</v>
          </cell>
        </row>
        <row r="8770">
          <cell r="O8770">
            <v>48890</v>
          </cell>
          <cell r="P8770">
            <v>5.5951193227648774</v>
          </cell>
          <cell r="Q8770">
            <v>73.490387668231648</v>
          </cell>
        </row>
        <row r="8771">
          <cell r="O8771">
            <v>48891</v>
          </cell>
          <cell r="P8771">
            <v>5.5976598957319013</v>
          </cell>
          <cell r="Q8771">
            <v>73.523757410944071</v>
          </cell>
        </row>
        <row r="8772">
          <cell r="O8772">
            <v>48892</v>
          </cell>
          <cell r="P8772">
            <v>5.6002016222955939</v>
          </cell>
          <cell r="Q8772">
            <v>73.557142305838525</v>
          </cell>
        </row>
        <row r="8773">
          <cell r="O8773">
            <v>48893</v>
          </cell>
          <cell r="P8773">
            <v>5.6027445029797631</v>
          </cell>
          <cell r="Q8773">
            <v>73.590542359795066</v>
          </cell>
        </row>
        <row r="8774">
          <cell r="O8774">
            <v>48894</v>
          </cell>
          <cell r="P8774">
            <v>5.6052885383084661</v>
          </cell>
          <cell r="Q8774">
            <v>73.623957579697063</v>
          </cell>
        </row>
        <row r="8775">
          <cell r="O8775">
            <v>48897</v>
          </cell>
          <cell r="P8775">
            <v>5.6078337288059865</v>
          </cell>
          <cell r="Q8775">
            <v>73.657387972430811</v>
          </cell>
        </row>
        <row r="8776">
          <cell r="O8776">
            <v>48899</v>
          </cell>
          <cell r="P8776">
            <v>5.610380074996856</v>
          </cell>
          <cell r="Q8776">
            <v>73.690833544885933</v>
          </cell>
        </row>
        <row r="8777">
          <cell r="O8777">
            <v>48900</v>
          </cell>
          <cell r="P8777">
            <v>5.6129275774058334</v>
          </cell>
          <cell r="Q8777">
            <v>73.724294303954963</v>
          </cell>
        </row>
        <row r="8778">
          <cell r="O8778">
            <v>48901</v>
          </cell>
          <cell r="P8778">
            <v>5.615476236557928</v>
          </cell>
          <cell r="Q8778">
            <v>73.75777025653376</v>
          </cell>
        </row>
        <row r="8779">
          <cell r="O8779">
            <v>48904</v>
          </cell>
          <cell r="P8779">
            <v>5.6180260529783785</v>
          </cell>
          <cell r="Q8779">
            <v>73.791261409521212</v>
          </cell>
        </row>
        <row r="8780">
          <cell r="O8780">
            <v>48905</v>
          </cell>
          <cell r="P8780">
            <v>5.6205770271926658</v>
          </cell>
          <cell r="Q8780">
            <v>73.824767769819346</v>
          </cell>
        </row>
        <row r="8781">
          <cell r="O8781">
            <v>48906</v>
          </cell>
          <cell r="P8781">
            <v>5.6231291597265098</v>
          </cell>
          <cell r="Q8781">
            <v>73.858289344333372</v>
          </cell>
        </row>
        <row r="8782">
          <cell r="O8782">
            <v>48907</v>
          </cell>
          <cell r="P8782">
            <v>5.6256824511058676</v>
          </cell>
          <cell r="Q8782">
            <v>73.89182613997157</v>
          </cell>
        </row>
        <row r="8783">
          <cell r="O8783">
            <v>48908</v>
          </cell>
          <cell r="P8783">
            <v>5.6282369018569325</v>
          </cell>
          <cell r="Q8783">
            <v>73.925378163645377</v>
          </cell>
        </row>
        <row r="8784">
          <cell r="O8784">
            <v>48911</v>
          </cell>
          <cell r="P8784">
            <v>5.6307925125061447</v>
          </cell>
          <cell r="Q8784">
            <v>73.958945422269423</v>
          </cell>
        </row>
        <row r="8785">
          <cell r="O8785">
            <v>48912</v>
          </cell>
          <cell r="P8785">
            <v>5.6333492835801753</v>
          </cell>
          <cell r="Q8785">
            <v>73.992527922761411</v>
          </cell>
        </row>
        <row r="8786">
          <cell r="O8786">
            <v>48913</v>
          </cell>
          <cell r="P8786">
            <v>5.6359072156059398</v>
          </cell>
          <cell r="Q8786">
            <v>74.026125672042212</v>
          </cell>
        </row>
        <row r="8787">
          <cell r="O8787">
            <v>48914</v>
          </cell>
          <cell r="P8787">
            <v>5.638466309110588</v>
          </cell>
          <cell r="Q8787">
            <v>74.059738677035796</v>
          </cell>
        </row>
        <row r="8788">
          <cell r="O8788">
            <v>48915</v>
          </cell>
          <cell r="P8788">
            <v>5.6410265646215167</v>
          </cell>
          <cell r="Q8788">
            <v>74.093366944669398</v>
          </cell>
        </row>
        <row r="8789">
          <cell r="O8789">
            <v>48918</v>
          </cell>
          <cell r="P8789">
            <v>5.6435879826663529</v>
          </cell>
          <cell r="Q8789">
            <v>74.127010481873256</v>
          </cell>
        </row>
        <row r="8790">
          <cell r="O8790">
            <v>48919</v>
          </cell>
          <cell r="P8790">
            <v>5.6461505637729701</v>
          </cell>
          <cell r="Q8790">
            <v>74.160669295580831</v>
          </cell>
        </row>
        <row r="8791">
          <cell r="O8791">
            <v>48920</v>
          </cell>
          <cell r="P8791">
            <v>5.6487143084694784</v>
          </cell>
          <cell r="Q8791">
            <v>74.194343392728712</v>
          </cell>
        </row>
        <row r="8792">
          <cell r="O8792">
            <v>48921</v>
          </cell>
          <cell r="P8792">
            <v>5.6512792172842294</v>
          </cell>
          <cell r="Q8792">
            <v>74.228032780256655</v>
          </cell>
        </row>
        <row r="8793">
          <cell r="O8793">
            <v>48922</v>
          </cell>
          <cell r="P8793">
            <v>5.6538452907458128</v>
          </cell>
          <cell r="Q8793">
            <v>74.261737465107544</v>
          </cell>
        </row>
        <row r="8794">
          <cell r="O8794">
            <v>48925</v>
          </cell>
          <cell r="P8794">
            <v>5.6564125293830596</v>
          </cell>
          <cell r="Q8794">
            <v>74.295457454227432</v>
          </cell>
        </row>
        <row r="8795">
          <cell r="O8795">
            <v>48926</v>
          </cell>
          <cell r="P8795">
            <v>5.6589809337250401</v>
          </cell>
          <cell r="Q8795">
            <v>74.329192754565526</v>
          </cell>
        </row>
        <row r="8796">
          <cell r="O8796">
            <v>48927</v>
          </cell>
          <cell r="P8796">
            <v>5.661550504301049</v>
          </cell>
          <cell r="Q8796">
            <v>74.362943373073946</v>
          </cell>
        </row>
        <row r="8797">
          <cell r="O8797">
            <v>48928</v>
          </cell>
          <cell r="P8797">
            <v>5.6641212416406868</v>
          </cell>
          <cell r="Q8797">
            <v>74.396709316708879</v>
          </cell>
        </row>
        <row r="8798">
          <cell r="O8798">
            <v>48929</v>
          </cell>
          <cell r="P8798">
            <v>5.6666931462736976</v>
          </cell>
          <cell r="Q8798">
            <v>74.430490592428356</v>
          </cell>
        </row>
        <row r="8799">
          <cell r="O8799">
            <v>48932</v>
          </cell>
          <cell r="P8799">
            <v>5.6692662187301268</v>
          </cell>
          <cell r="Q8799">
            <v>74.464287207194374</v>
          </cell>
        </row>
        <row r="8800">
          <cell r="O8800">
            <v>48933</v>
          </cell>
          <cell r="P8800">
            <v>5.6718404595402498</v>
          </cell>
          <cell r="Q8800">
            <v>74.498099167971986</v>
          </cell>
        </row>
        <row r="8801">
          <cell r="O8801">
            <v>48934</v>
          </cell>
          <cell r="P8801">
            <v>5.6744158692345641</v>
          </cell>
          <cell r="Q8801">
            <v>74.531926481729101</v>
          </cell>
        </row>
        <row r="8802">
          <cell r="O8802">
            <v>48935</v>
          </cell>
          <cell r="P8802">
            <v>5.6769924483438734</v>
          </cell>
          <cell r="Q8802">
            <v>74.565769155437692</v>
          </cell>
        </row>
        <row r="8803">
          <cell r="O8803">
            <v>48936</v>
          </cell>
          <cell r="P8803">
            <v>5.6795701973991042</v>
          </cell>
          <cell r="Q8803">
            <v>74.599627196071353</v>
          </cell>
        </row>
        <row r="8804">
          <cell r="O8804">
            <v>48939</v>
          </cell>
          <cell r="P8804">
            <v>5.6821491169315488</v>
          </cell>
          <cell r="Q8804">
            <v>74.633500610608451</v>
          </cell>
        </row>
        <row r="8805">
          <cell r="O8805">
            <v>48940</v>
          </cell>
          <cell r="P8805">
            <v>5.6847292074726639</v>
          </cell>
          <cell r="Q8805">
            <v>74.667389406029528</v>
          </cell>
        </row>
        <row r="8806">
          <cell r="O8806">
            <v>48941</v>
          </cell>
          <cell r="P8806">
            <v>5.6873104695541707</v>
          </cell>
          <cell r="Q8806">
            <v>74.701293589318595</v>
          </cell>
        </row>
        <row r="8807">
          <cell r="O8807">
            <v>48942</v>
          </cell>
          <cell r="P8807">
            <v>5.6898929037080297</v>
          </cell>
          <cell r="Q8807">
            <v>74.735213167462817</v>
          </cell>
        </row>
        <row r="8808">
          <cell r="O8808">
            <v>48943</v>
          </cell>
          <cell r="P8808">
            <v>5.6924765104664434</v>
          </cell>
          <cell r="Q8808">
            <v>74.76914814745254</v>
          </cell>
        </row>
        <row r="8809">
          <cell r="O8809">
            <v>48946</v>
          </cell>
          <cell r="P8809">
            <v>5.6950612903618554</v>
          </cell>
          <cell r="Q8809">
            <v>74.80309853628124</v>
          </cell>
        </row>
        <row r="8810">
          <cell r="O8810">
            <v>48947</v>
          </cell>
          <cell r="P8810">
            <v>5.6976472439269514</v>
          </cell>
          <cell r="Q8810">
            <v>74.837064340945631</v>
          </cell>
        </row>
        <row r="8811">
          <cell r="O8811">
            <v>48948</v>
          </cell>
          <cell r="P8811">
            <v>5.7002343716946582</v>
          </cell>
          <cell r="Q8811">
            <v>74.871045568445538</v>
          </cell>
        </row>
        <row r="8812">
          <cell r="O8812">
            <v>48949</v>
          </cell>
          <cell r="P8812">
            <v>5.7028226741981483</v>
          </cell>
          <cell r="Q8812">
            <v>74.905042225784044</v>
          </cell>
        </row>
        <row r="8813">
          <cell r="O8813">
            <v>48950</v>
          </cell>
          <cell r="P8813">
            <v>5.7054121519708287</v>
          </cell>
          <cell r="Q8813">
            <v>74.939054319967326</v>
          </cell>
        </row>
        <row r="8814">
          <cell r="O8814">
            <v>48953</v>
          </cell>
          <cell r="P8814">
            <v>5.7080028055463581</v>
          </cell>
          <cell r="Q8814">
            <v>74.973081858004832</v>
          </cell>
        </row>
        <row r="8815">
          <cell r="O8815">
            <v>48954</v>
          </cell>
          <cell r="P8815">
            <v>5.7105946354586292</v>
          </cell>
          <cell r="Q8815">
            <v>75.007124846909093</v>
          </cell>
        </row>
        <row r="8816">
          <cell r="O8816">
            <v>48955</v>
          </cell>
          <cell r="P8816">
            <v>5.713187642241782</v>
          </cell>
          <cell r="Q8816">
            <v>75.041183293695909</v>
          </cell>
        </row>
        <row r="8817">
          <cell r="O8817">
            <v>48956</v>
          </cell>
          <cell r="P8817">
            <v>5.7157818264301978</v>
          </cell>
          <cell r="Q8817">
            <v>75.075257205384219</v>
          </cell>
        </row>
        <row r="8818">
          <cell r="O8818">
            <v>48957</v>
          </cell>
          <cell r="P8818">
            <v>5.7183771885585015</v>
          </cell>
          <cell r="Q8818">
            <v>75.109346588996189</v>
          </cell>
        </row>
        <row r="8819">
          <cell r="O8819">
            <v>48960</v>
          </cell>
          <cell r="P8819">
            <v>5.7209737291615568</v>
          </cell>
          <cell r="Q8819">
            <v>75.143451451557112</v>
          </cell>
        </row>
        <row r="8820">
          <cell r="O8820">
            <v>48961</v>
          </cell>
          <cell r="P8820">
            <v>5.7235714487744751</v>
          </cell>
          <cell r="Q8820">
            <v>75.177571800095521</v>
          </cell>
        </row>
        <row r="8821">
          <cell r="O8821">
            <v>48962</v>
          </cell>
          <cell r="P8821">
            <v>5.7261703479326096</v>
          </cell>
          <cell r="Q8821">
            <v>75.211707641643144</v>
          </cell>
        </row>
        <row r="8822">
          <cell r="O8822">
            <v>48963</v>
          </cell>
          <cell r="P8822">
            <v>5.7287704271715532</v>
          </cell>
          <cell r="Q8822">
            <v>75.245858983234854</v>
          </cell>
        </row>
        <row r="8823">
          <cell r="O8823">
            <v>48964</v>
          </cell>
          <cell r="P8823">
            <v>5.7313716870271456</v>
          </cell>
          <cell r="Q8823">
            <v>75.280025831908745</v>
          </cell>
        </row>
        <row r="8824">
          <cell r="O8824">
            <v>48967</v>
          </cell>
          <cell r="P8824">
            <v>5.7339741280354701</v>
          </cell>
          <cell r="Q8824">
            <v>75.31420819470614</v>
          </cell>
        </row>
        <row r="8825">
          <cell r="O8825">
            <v>48968</v>
          </cell>
          <cell r="P8825">
            <v>5.7365777507328515</v>
          </cell>
          <cell r="Q8825">
            <v>75.348406078671516</v>
          </cell>
        </row>
        <row r="8826">
          <cell r="O8826">
            <v>48969</v>
          </cell>
          <cell r="P8826">
            <v>5.7391825556558569</v>
          </cell>
          <cell r="Q8826">
            <v>75.382619490852548</v>
          </cell>
        </row>
        <row r="8827">
          <cell r="O8827">
            <v>48970</v>
          </cell>
          <cell r="P8827">
            <v>5.7417885433413023</v>
          </cell>
          <cell r="Q8827">
            <v>75.41684843830015</v>
          </cell>
        </row>
        <row r="8828">
          <cell r="O8828">
            <v>48971</v>
          </cell>
          <cell r="P8828">
            <v>5.7443957143262407</v>
          </cell>
          <cell r="Q8828">
            <v>75.451092928068391</v>
          </cell>
        </row>
        <row r="8829">
          <cell r="O8829">
            <v>48974</v>
          </cell>
          <cell r="P8829">
            <v>5.7470040691479749</v>
          </cell>
          <cell r="Q8829">
            <v>75.485352967214581</v>
          </cell>
        </row>
        <row r="8830">
          <cell r="O8830">
            <v>48975</v>
          </cell>
          <cell r="P8830">
            <v>5.7496136083440463</v>
          </cell>
          <cell r="Q8830">
            <v>75.519628562799198</v>
          </cell>
        </row>
        <row r="8831">
          <cell r="O8831">
            <v>48976</v>
          </cell>
          <cell r="P8831">
            <v>5.7522243324522462</v>
          </cell>
          <cell r="Q8831">
            <v>75.553919721885975</v>
          </cell>
        </row>
        <row r="8832">
          <cell r="O8832">
            <v>48977</v>
          </cell>
          <cell r="P8832">
            <v>5.7548362420106054</v>
          </cell>
          <cell r="Q8832">
            <v>75.5882264515418</v>
          </cell>
        </row>
        <row r="8833">
          <cell r="O8833">
            <v>48978</v>
          </cell>
          <cell r="P8833">
            <v>5.7574493375574001</v>
          </cell>
          <cell r="Q8833">
            <v>75.622548758836786</v>
          </cell>
        </row>
        <row r="8834">
          <cell r="O8834">
            <v>48981</v>
          </cell>
          <cell r="P8834">
            <v>5.7600636196311523</v>
          </cell>
          <cell r="Q8834">
            <v>75.656886650844285</v>
          </cell>
        </row>
        <row r="8835">
          <cell r="O8835">
            <v>48982</v>
          </cell>
          <cell r="P8835">
            <v>5.7626790887706294</v>
          </cell>
          <cell r="Q8835">
            <v>75.69124013464085</v>
          </cell>
        </row>
        <row r="8836">
          <cell r="O8836">
            <v>48983</v>
          </cell>
          <cell r="P8836">
            <v>5.7652957455148366</v>
          </cell>
          <cell r="Q8836">
            <v>75.725609217306172</v>
          </cell>
        </row>
        <row r="8837">
          <cell r="O8837">
            <v>48984</v>
          </cell>
          <cell r="P8837">
            <v>5.7679135904030359</v>
          </cell>
          <cell r="Q8837">
            <v>75.759993905923324</v>
          </cell>
        </row>
        <row r="8838">
          <cell r="O8838">
            <v>48985</v>
          </cell>
          <cell r="P8838">
            <v>5.770532623974721</v>
          </cell>
          <cell r="Q8838">
            <v>75.794394207578407</v>
          </cell>
        </row>
        <row r="8839">
          <cell r="O8839">
            <v>48988</v>
          </cell>
          <cell r="P8839">
            <v>5.7731528467696416</v>
          </cell>
          <cell r="Q8839">
            <v>75.828810129360875</v>
          </cell>
        </row>
        <row r="8840">
          <cell r="O8840">
            <v>48989</v>
          </cell>
          <cell r="P8840">
            <v>5.7757742593277825</v>
          </cell>
          <cell r="Q8840">
            <v>75.863241678363295</v>
          </cell>
        </row>
        <row r="8841">
          <cell r="O8841">
            <v>48990</v>
          </cell>
          <cell r="P8841">
            <v>5.7783968621893855</v>
          </cell>
          <cell r="Q8841">
            <v>75.897688861681587</v>
          </cell>
        </row>
        <row r="8842">
          <cell r="O8842">
            <v>48991</v>
          </cell>
          <cell r="P8842">
            <v>5.7810206558949249</v>
          </cell>
          <cell r="Q8842">
            <v>75.932151686414741</v>
          </cell>
        </row>
        <row r="8843">
          <cell r="O8843">
            <v>48992</v>
          </cell>
          <cell r="P8843">
            <v>5.7836456409851298</v>
          </cell>
          <cell r="Q8843">
            <v>75.966630159665101</v>
          </cell>
        </row>
        <row r="8844">
          <cell r="O8844">
            <v>48997</v>
          </cell>
          <cell r="P8844">
            <v>5.7862718180009711</v>
          </cell>
          <cell r="Q8844">
            <v>76.001124288538151</v>
          </cell>
        </row>
        <row r="8845">
          <cell r="O8845">
            <v>48998</v>
          </cell>
          <cell r="P8845">
            <v>5.7888991874836675</v>
          </cell>
          <cell r="Q8845">
            <v>76.035634080142671</v>
          </cell>
        </row>
        <row r="8846">
          <cell r="O8846">
            <v>48999</v>
          </cell>
          <cell r="P8846">
            <v>5.7915277499746782</v>
          </cell>
          <cell r="Q8846">
            <v>76.070159541590584</v>
          </cell>
        </row>
        <row r="8847">
          <cell r="O8847">
            <v>49002</v>
          </cell>
          <cell r="P8847">
            <v>5.794157506015714</v>
          </cell>
          <cell r="Q8847">
            <v>76.104700679997094</v>
          </cell>
        </row>
        <row r="8848">
          <cell r="O8848">
            <v>49003</v>
          </cell>
          <cell r="P8848">
            <v>5.7967884561487288</v>
          </cell>
          <cell r="Q8848">
            <v>76.139257502480646</v>
          </cell>
        </row>
        <row r="8849">
          <cell r="O8849">
            <v>49004</v>
          </cell>
          <cell r="P8849">
            <v>5.7994206009159255</v>
          </cell>
          <cell r="Q8849">
            <v>76.17383001616291</v>
          </cell>
        </row>
        <row r="8850">
          <cell r="O8850">
            <v>49005</v>
          </cell>
          <cell r="P8850">
            <v>5.8020539408597465</v>
          </cell>
          <cell r="Q8850">
            <v>76.208418228168725</v>
          </cell>
        </row>
        <row r="8851">
          <cell r="O8851">
            <v>49006</v>
          </cell>
          <cell r="P8851">
            <v>5.804688476522891</v>
          </cell>
          <cell r="Q8851">
            <v>76.243022145626298</v>
          </cell>
        </row>
        <row r="8852">
          <cell r="O8852">
            <v>49009</v>
          </cell>
          <cell r="P8852">
            <v>5.8073242084482937</v>
          </cell>
          <cell r="Q8852">
            <v>76.27764177566695</v>
          </cell>
        </row>
        <row r="8853">
          <cell r="O8853">
            <v>49010</v>
          </cell>
          <cell r="P8853">
            <v>5.8099611371791431</v>
          </cell>
          <cell r="Q8853">
            <v>76.312277125425283</v>
          </cell>
        </row>
        <row r="8854">
          <cell r="O8854">
            <v>49011</v>
          </cell>
          <cell r="P8854">
            <v>5.8125992632588721</v>
          </cell>
          <cell r="Q8854">
            <v>76.34692820203918</v>
          </cell>
        </row>
        <row r="8855">
          <cell r="O8855">
            <v>49012</v>
          </cell>
          <cell r="P8855">
            <v>5.8152385872311605</v>
          </cell>
          <cell r="Q8855">
            <v>76.381595012649697</v>
          </cell>
        </row>
        <row r="8856">
          <cell r="O8856">
            <v>49013</v>
          </cell>
          <cell r="P8856">
            <v>5.8178791096399323</v>
          </cell>
          <cell r="Q8856">
            <v>76.416277564401128</v>
          </cell>
        </row>
        <row r="8857">
          <cell r="O8857">
            <v>49016</v>
          </cell>
          <cell r="P8857">
            <v>5.8205208310293637</v>
          </cell>
          <cell r="Q8857">
            <v>76.450975864441119</v>
          </cell>
        </row>
        <row r="8858">
          <cell r="O8858">
            <v>49017</v>
          </cell>
          <cell r="P8858">
            <v>5.8231637519438735</v>
          </cell>
          <cell r="Q8858">
            <v>76.485689919920418</v>
          </cell>
        </row>
        <row r="8859">
          <cell r="O8859">
            <v>49018</v>
          </cell>
          <cell r="P8859">
            <v>5.8258078729281317</v>
          </cell>
          <cell r="Q8859">
            <v>76.520419737993151</v>
          </cell>
        </row>
        <row r="8860">
          <cell r="O8860">
            <v>49019</v>
          </cell>
          <cell r="P8860">
            <v>5.8284531945270492</v>
          </cell>
          <cell r="Q8860">
            <v>76.55516532581656</v>
          </cell>
        </row>
        <row r="8861">
          <cell r="O8861">
            <v>49020</v>
          </cell>
          <cell r="P8861">
            <v>5.8310997172857935</v>
          </cell>
          <cell r="Q8861">
            <v>76.58992669055128</v>
          </cell>
        </row>
        <row r="8862">
          <cell r="O8862">
            <v>49023</v>
          </cell>
          <cell r="P8862">
            <v>5.8337474417497708</v>
          </cell>
          <cell r="Q8862">
            <v>76.624703839361075</v>
          </cell>
        </row>
        <row r="8863">
          <cell r="O8863">
            <v>49024</v>
          </cell>
          <cell r="P8863">
            <v>5.8363963684646407</v>
          </cell>
          <cell r="Q8863">
            <v>76.659496779413033</v>
          </cell>
        </row>
        <row r="8864">
          <cell r="O8864">
            <v>49025</v>
          </cell>
          <cell r="P8864">
            <v>5.8390464979763079</v>
          </cell>
          <cell r="Q8864">
            <v>76.694305517877481</v>
          </cell>
        </row>
        <row r="8865">
          <cell r="O8865">
            <v>49026</v>
          </cell>
          <cell r="P8865">
            <v>5.8416978308309275</v>
          </cell>
          <cell r="Q8865">
            <v>76.729130061927989</v>
          </cell>
        </row>
        <row r="8866">
          <cell r="O8866">
            <v>49027</v>
          </cell>
          <cell r="P8866">
            <v>5.844350367574898</v>
          </cell>
          <cell r="Q8866">
            <v>76.76397041874138</v>
          </cell>
        </row>
        <row r="8867">
          <cell r="O8867">
            <v>49030</v>
          </cell>
          <cell r="P8867">
            <v>5.8470041087548701</v>
          </cell>
          <cell r="Q8867">
            <v>76.798826595497758</v>
          </cell>
        </row>
        <row r="8868">
          <cell r="O8868">
            <v>49031</v>
          </cell>
          <cell r="P8868">
            <v>5.8496590549177414</v>
          </cell>
          <cell r="Q8868">
            <v>76.833698599380469</v>
          </cell>
        </row>
        <row r="8869">
          <cell r="O8869">
            <v>49032</v>
          </cell>
          <cell r="P8869">
            <v>5.8523152066106592</v>
          </cell>
          <cell r="Q8869">
            <v>76.868586437576155</v>
          </cell>
        </row>
        <row r="8870">
          <cell r="O8870">
            <v>49033</v>
          </cell>
          <cell r="P8870">
            <v>5.8549725643810149</v>
          </cell>
          <cell r="Q8870">
            <v>76.903490117274643</v>
          </cell>
        </row>
        <row r="8871">
          <cell r="O8871">
            <v>49034</v>
          </cell>
          <cell r="P8871">
            <v>5.8576311287764549</v>
          </cell>
          <cell r="Q8871">
            <v>76.938409645669125</v>
          </cell>
        </row>
        <row r="8872">
          <cell r="O8872">
            <v>49037</v>
          </cell>
          <cell r="P8872">
            <v>5.860290900344868</v>
          </cell>
          <cell r="Q8872">
            <v>76.973345029955993</v>
          </cell>
        </row>
        <row r="8873">
          <cell r="O8873">
            <v>49038</v>
          </cell>
          <cell r="P8873">
            <v>5.8629518796343953</v>
          </cell>
          <cell r="Q8873">
            <v>77.008296277334907</v>
          </cell>
        </row>
        <row r="8874">
          <cell r="O8874">
            <v>49039</v>
          </cell>
          <cell r="P8874">
            <v>5.8656140671934276</v>
          </cell>
          <cell r="Q8874">
            <v>77.043263395008836</v>
          </cell>
        </row>
        <row r="8875">
          <cell r="O8875">
            <v>49040</v>
          </cell>
          <cell r="P8875">
            <v>5.8682774635706023</v>
          </cell>
          <cell r="Q8875">
            <v>77.078246390184006</v>
          </cell>
        </row>
        <row r="8876">
          <cell r="O8876">
            <v>49044</v>
          </cell>
          <cell r="P8876">
            <v>5.8709420693148067</v>
          </cell>
          <cell r="Q8876">
            <v>77.113245270069868</v>
          </cell>
        </row>
        <row r="8877">
          <cell r="O8877">
            <v>49045</v>
          </cell>
          <cell r="P8877">
            <v>5.8736078849751765</v>
          </cell>
          <cell r="Q8877">
            <v>77.148260041879212</v>
          </cell>
        </row>
        <row r="8878">
          <cell r="O8878">
            <v>49046</v>
          </cell>
          <cell r="P8878">
            <v>5.876274911101099</v>
          </cell>
          <cell r="Q8878">
            <v>77.183290712828068</v>
          </cell>
        </row>
        <row r="8879">
          <cell r="O8879">
            <v>49047</v>
          </cell>
          <cell r="P8879">
            <v>5.878943148242211</v>
          </cell>
          <cell r="Q8879">
            <v>77.218337290135764</v>
          </cell>
        </row>
        <row r="8880">
          <cell r="O8880">
            <v>49048</v>
          </cell>
          <cell r="P8880">
            <v>5.8816125969483926</v>
          </cell>
          <cell r="Q8880">
            <v>77.253399781024839</v>
          </cell>
        </row>
        <row r="8881">
          <cell r="O8881">
            <v>49051</v>
          </cell>
          <cell r="P8881">
            <v>5.884283257769785</v>
          </cell>
          <cell r="Q8881">
            <v>77.288478192721257</v>
          </cell>
        </row>
        <row r="8882">
          <cell r="O8882">
            <v>49052</v>
          </cell>
          <cell r="P8882">
            <v>5.8869551312567685</v>
          </cell>
          <cell r="Q8882">
            <v>77.323572532454094</v>
          </cell>
        </row>
        <row r="8883">
          <cell r="O8883">
            <v>49053</v>
          </cell>
          <cell r="P8883">
            <v>5.8896282179599799</v>
          </cell>
          <cell r="Q8883">
            <v>77.358682807455821</v>
          </cell>
        </row>
        <row r="8884">
          <cell r="O8884">
            <v>49054</v>
          </cell>
          <cell r="P8884">
            <v>5.8923025184303004</v>
          </cell>
          <cell r="Q8884">
            <v>77.393809024962138</v>
          </cell>
        </row>
        <row r="8885">
          <cell r="O8885">
            <v>49058</v>
          </cell>
          <cell r="P8885">
            <v>5.8949780332188668</v>
          </cell>
          <cell r="Q8885">
            <v>77.428951192212054</v>
          </cell>
        </row>
        <row r="8886">
          <cell r="O8886">
            <v>49059</v>
          </cell>
          <cell r="P8886">
            <v>5.8976547628770462</v>
          </cell>
          <cell r="Q8886">
            <v>77.464109316447633</v>
          </cell>
        </row>
        <row r="8887">
          <cell r="O8887">
            <v>49060</v>
          </cell>
          <cell r="P8887">
            <v>5.9003327079565278</v>
          </cell>
          <cell r="Q8887">
            <v>77.499283404915161</v>
          </cell>
        </row>
        <row r="8888">
          <cell r="O8888">
            <v>49061</v>
          </cell>
          <cell r="P8888">
            <v>5.9030118690091431</v>
          </cell>
          <cell r="Q8888">
            <v>77.534473464862813</v>
          </cell>
        </row>
        <row r="8889">
          <cell r="O8889">
            <v>49062</v>
          </cell>
          <cell r="P8889">
            <v>5.9056922465870265</v>
          </cell>
          <cell r="Q8889">
            <v>77.569679503542702</v>
          </cell>
        </row>
        <row r="8890">
          <cell r="O8890">
            <v>49066</v>
          </cell>
          <cell r="P8890">
            <v>5.9083738412426046</v>
          </cell>
          <cell r="Q8890">
            <v>77.604901528210817</v>
          </cell>
        </row>
        <row r="8891">
          <cell r="O8891">
            <v>49067</v>
          </cell>
          <cell r="P8891">
            <v>5.9110566535284947</v>
          </cell>
          <cell r="Q8891">
            <v>77.640139546125639</v>
          </cell>
        </row>
        <row r="8892">
          <cell r="O8892">
            <v>49068</v>
          </cell>
          <cell r="P8892">
            <v>5.9137406839975863</v>
          </cell>
          <cell r="Q8892">
            <v>77.675393564549225</v>
          </cell>
        </row>
        <row r="8893">
          <cell r="O8893">
            <v>49069</v>
          </cell>
          <cell r="P8893">
            <v>5.9164259332030191</v>
          </cell>
          <cell r="Q8893">
            <v>77.710663590746904</v>
          </cell>
        </row>
        <row r="8894">
          <cell r="O8894">
            <v>49072</v>
          </cell>
          <cell r="P8894">
            <v>5.9191124016981851</v>
          </cell>
          <cell r="Q8894">
            <v>77.745949631987344</v>
          </cell>
        </row>
        <row r="8895">
          <cell r="O8895">
            <v>49073</v>
          </cell>
          <cell r="P8895">
            <v>5.9218000900367231</v>
          </cell>
          <cell r="Q8895">
            <v>77.781251695542423</v>
          </cell>
        </row>
        <row r="8896">
          <cell r="O8896">
            <v>49074</v>
          </cell>
          <cell r="P8896">
            <v>5.924488998772552</v>
          </cell>
          <cell r="Q8896">
            <v>77.816569788687744</v>
          </cell>
        </row>
        <row r="8897">
          <cell r="O8897">
            <v>49075</v>
          </cell>
          <cell r="P8897">
            <v>5.9271791284597528</v>
          </cell>
          <cell r="Q8897">
            <v>77.851903918700998</v>
          </cell>
        </row>
        <row r="8898">
          <cell r="O8898">
            <v>49076</v>
          </cell>
          <cell r="P8898">
            <v>5.9298704796527844</v>
          </cell>
          <cell r="Q8898">
            <v>77.887254092864836</v>
          </cell>
        </row>
        <row r="8899">
          <cell r="O8899">
            <v>49079</v>
          </cell>
          <cell r="P8899">
            <v>5.9325630529062741</v>
          </cell>
          <cell r="Q8899">
            <v>77.922620318464169</v>
          </cell>
        </row>
        <row r="8900">
          <cell r="O8900">
            <v>49080</v>
          </cell>
          <cell r="P8900">
            <v>5.9352568487751238</v>
          </cell>
          <cell r="Q8900">
            <v>77.958002602787474</v>
          </cell>
        </row>
        <row r="8901">
          <cell r="O8901">
            <v>49081</v>
          </cell>
          <cell r="P8901">
            <v>5.9379518678144843</v>
          </cell>
          <cell r="Q8901">
            <v>77.993400953126496</v>
          </cell>
        </row>
        <row r="8902">
          <cell r="O8902">
            <v>49082</v>
          </cell>
          <cell r="P8902">
            <v>5.9406481105797599</v>
          </cell>
          <cell r="Q8902">
            <v>78.028815376776322</v>
          </cell>
        </row>
        <row r="8903">
          <cell r="O8903">
            <v>49083</v>
          </cell>
          <cell r="P8903">
            <v>5.9433455776266086</v>
          </cell>
          <cell r="Q8903">
            <v>78.06424588103539</v>
          </cell>
        </row>
        <row r="8904">
          <cell r="O8904">
            <v>49086</v>
          </cell>
          <cell r="P8904">
            <v>5.9460442695109395</v>
          </cell>
          <cell r="Q8904">
            <v>78.099692473205394</v>
          </cell>
        </row>
        <row r="8905">
          <cell r="O8905">
            <v>49087</v>
          </cell>
          <cell r="P8905">
            <v>5.9487441867889101</v>
          </cell>
          <cell r="Q8905">
            <v>78.135155160591339</v>
          </cell>
        </row>
        <row r="8906">
          <cell r="O8906">
            <v>49088</v>
          </cell>
          <cell r="P8906">
            <v>5.9514453300169405</v>
          </cell>
          <cell r="Q8906">
            <v>78.170633950501625</v>
          </cell>
        </row>
        <row r="8907">
          <cell r="O8907">
            <v>49089</v>
          </cell>
          <cell r="P8907">
            <v>5.954147699751692</v>
          </cell>
          <cell r="Q8907">
            <v>78.206128850247865</v>
          </cell>
        </row>
        <row r="8908">
          <cell r="O8908">
            <v>49090</v>
          </cell>
          <cell r="P8908">
            <v>5.9568512965500853</v>
          </cell>
          <cell r="Q8908">
            <v>78.241639867145054</v>
          </cell>
        </row>
        <row r="8909">
          <cell r="O8909">
            <v>49093</v>
          </cell>
          <cell r="P8909">
            <v>5.9595561209692933</v>
          </cell>
          <cell r="Q8909">
            <v>78.277167008511512</v>
          </cell>
        </row>
        <row r="8910">
          <cell r="O8910">
            <v>49094</v>
          </cell>
          <cell r="P8910">
            <v>5.9622621735667432</v>
          </cell>
          <cell r="Q8910">
            <v>78.312710281668899</v>
          </cell>
        </row>
        <row r="8911">
          <cell r="O8911">
            <v>49095</v>
          </cell>
          <cell r="P8911">
            <v>5.9649694549001087</v>
          </cell>
          <cell r="Q8911">
            <v>78.348269693942115</v>
          </cell>
        </row>
        <row r="8912">
          <cell r="O8912">
            <v>49096</v>
          </cell>
          <cell r="P8912">
            <v>5.9676779655273231</v>
          </cell>
          <cell r="Q8912">
            <v>78.383845252659455</v>
          </cell>
        </row>
        <row r="8913">
          <cell r="O8913">
            <v>49097</v>
          </cell>
          <cell r="P8913">
            <v>5.970387706006572</v>
          </cell>
          <cell r="Q8913">
            <v>78.419436965152528</v>
          </cell>
        </row>
        <row r="8914">
          <cell r="O8914">
            <v>49100</v>
          </cell>
          <cell r="P8914">
            <v>5.9730986768962948</v>
          </cell>
          <cell r="Q8914">
            <v>78.455044838756294</v>
          </cell>
        </row>
        <row r="8915">
          <cell r="O8915">
            <v>49101</v>
          </cell>
          <cell r="P8915">
            <v>5.9758108787551798</v>
          </cell>
          <cell r="Q8915">
            <v>78.490668880808983</v>
          </cell>
        </row>
        <row r="8916">
          <cell r="O8916">
            <v>49102</v>
          </cell>
          <cell r="P8916">
            <v>5.9785243121421763</v>
          </cell>
          <cell r="Q8916">
            <v>78.52630909865222</v>
          </cell>
        </row>
        <row r="8917">
          <cell r="O8917">
            <v>49104</v>
          </cell>
          <cell r="P8917">
            <v>5.9812389776164814</v>
          </cell>
          <cell r="Q8917">
            <v>78.561965499630929</v>
          </cell>
        </row>
        <row r="8918">
          <cell r="O8918">
            <v>49107</v>
          </cell>
          <cell r="P8918">
            <v>5.9839548757375489</v>
          </cell>
          <cell r="Q8918">
            <v>78.597638091093387</v>
          </cell>
        </row>
        <row r="8919">
          <cell r="O8919">
            <v>49108</v>
          </cell>
          <cell r="P8919">
            <v>5.9866720070650858</v>
          </cell>
          <cell r="Q8919">
            <v>78.633326880391181</v>
          </cell>
        </row>
        <row r="8920">
          <cell r="O8920">
            <v>49109</v>
          </cell>
          <cell r="P8920">
            <v>5.9893903721590549</v>
          </cell>
          <cell r="Q8920">
            <v>78.669031874879281</v>
          </cell>
        </row>
        <row r="8921">
          <cell r="O8921">
            <v>49110</v>
          </cell>
          <cell r="P8921">
            <v>5.9921099715796693</v>
          </cell>
          <cell r="Q8921">
            <v>78.704753081915939</v>
          </cell>
        </row>
        <row r="8922">
          <cell r="O8922">
            <v>49111</v>
          </cell>
          <cell r="P8922">
            <v>5.9948308058874016</v>
          </cell>
          <cell r="Q8922">
            <v>78.740490508862791</v>
          </cell>
        </row>
        <row r="8923">
          <cell r="O8923">
            <v>49114</v>
          </cell>
          <cell r="P8923">
            <v>5.9975528756429748</v>
          </cell>
          <cell r="Q8923">
            <v>78.776244163084812</v>
          </cell>
        </row>
        <row r="8924">
          <cell r="O8924">
            <v>49115</v>
          </cell>
          <cell r="P8924">
            <v>6.0002761814073695</v>
          </cell>
          <cell r="Q8924">
            <v>78.812014051950314</v>
          </cell>
        </row>
        <row r="8925">
          <cell r="O8925">
            <v>49116</v>
          </cell>
          <cell r="P8925">
            <v>6.0030007237418168</v>
          </cell>
          <cell r="Q8925">
            <v>78.847800182830909</v>
          </cell>
        </row>
        <row r="8926">
          <cell r="O8926">
            <v>49117</v>
          </cell>
          <cell r="P8926">
            <v>6.0057265032078098</v>
          </cell>
          <cell r="Q8926">
            <v>78.883602563101675</v>
          </cell>
        </row>
        <row r="8927">
          <cell r="O8927">
            <v>49118</v>
          </cell>
          <cell r="P8927">
            <v>6.0084535203670884</v>
          </cell>
          <cell r="Q8927">
            <v>78.919421200140903</v>
          </cell>
        </row>
        <row r="8928">
          <cell r="O8928">
            <v>49121</v>
          </cell>
          <cell r="P8928">
            <v>6.0111817757816519</v>
          </cell>
          <cell r="Q8928">
            <v>78.955256101330306</v>
          </cell>
        </row>
        <row r="8929">
          <cell r="O8929">
            <v>49122</v>
          </cell>
          <cell r="P8929">
            <v>6.0139112700137556</v>
          </cell>
          <cell r="Q8929">
            <v>78.991107274054968</v>
          </cell>
        </row>
        <row r="8930">
          <cell r="O8930">
            <v>49123</v>
          </cell>
          <cell r="P8930">
            <v>6.0166420036259103</v>
          </cell>
          <cell r="Q8930">
            <v>79.026974725703298</v>
          </cell>
        </row>
        <row r="8931">
          <cell r="O8931">
            <v>49124</v>
          </cell>
          <cell r="P8931">
            <v>6.0193739771808765</v>
          </cell>
          <cell r="Q8931">
            <v>79.062858463667013</v>
          </cell>
        </row>
        <row r="8932">
          <cell r="O8932">
            <v>49125</v>
          </cell>
          <cell r="P8932">
            <v>6.0221071912416759</v>
          </cell>
          <cell r="Q8932">
            <v>79.098758495341258</v>
          </cell>
        </row>
        <row r="8933">
          <cell r="O8933">
            <v>49128</v>
          </cell>
          <cell r="P8933">
            <v>6.0248416463715859</v>
          </cell>
          <cell r="Q8933">
            <v>79.134674828124517</v>
          </cell>
        </row>
        <row r="8934">
          <cell r="O8934">
            <v>49129</v>
          </cell>
          <cell r="P8934">
            <v>6.027577343134138</v>
          </cell>
          <cell r="Q8934">
            <v>79.170607469418627</v>
          </cell>
        </row>
        <row r="8935">
          <cell r="O8935">
            <v>49130</v>
          </cell>
          <cell r="P8935">
            <v>6.0303142820931157</v>
          </cell>
          <cell r="Q8935">
            <v>79.206556426628737</v>
          </cell>
        </row>
        <row r="8936">
          <cell r="O8936">
            <v>49131</v>
          </cell>
          <cell r="P8936">
            <v>6.0330524638125693</v>
          </cell>
          <cell r="Q8936">
            <v>79.242521707163505</v>
          </cell>
        </row>
        <row r="8937">
          <cell r="O8937">
            <v>49132</v>
          </cell>
          <cell r="P8937">
            <v>6.0357918888567923</v>
          </cell>
          <cell r="Q8937">
            <v>79.278503318434758</v>
          </cell>
        </row>
        <row r="8938">
          <cell r="O8938">
            <v>49135</v>
          </cell>
          <cell r="P8938">
            <v>6.0385325577903437</v>
          </cell>
          <cell r="Q8938">
            <v>79.314501267857835</v>
          </cell>
        </row>
        <row r="8939">
          <cell r="O8939">
            <v>49136</v>
          </cell>
          <cell r="P8939">
            <v>6.0412744711780348</v>
          </cell>
          <cell r="Q8939">
            <v>79.350515562851385</v>
          </cell>
        </row>
        <row r="8940">
          <cell r="O8940">
            <v>49137</v>
          </cell>
          <cell r="P8940">
            <v>6.0440176295849355</v>
          </cell>
          <cell r="Q8940">
            <v>79.386546210837437</v>
          </cell>
        </row>
        <row r="8941">
          <cell r="O8941">
            <v>49138</v>
          </cell>
          <cell r="P8941">
            <v>6.0467620335763685</v>
          </cell>
          <cell r="Q8941">
            <v>79.422593219241364</v>
          </cell>
        </row>
        <row r="8942">
          <cell r="O8942">
            <v>49139</v>
          </cell>
          <cell r="P8942">
            <v>6.049507683717918</v>
          </cell>
          <cell r="Q8942">
            <v>79.458656595491945</v>
          </cell>
        </row>
        <row r="8943">
          <cell r="O8943">
            <v>49142</v>
          </cell>
          <cell r="P8943">
            <v>6.0522545805754211</v>
          </cell>
          <cell r="Q8943">
            <v>79.494736347021316</v>
          </cell>
        </row>
        <row r="8944">
          <cell r="O8944">
            <v>49143</v>
          </cell>
          <cell r="P8944">
            <v>6.055002724714976</v>
          </cell>
          <cell r="Q8944">
            <v>79.530832481265023</v>
          </cell>
        </row>
        <row r="8945">
          <cell r="O8945">
            <v>49144</v>
          </cell>
          <cell r="P8945">
            <v>6.0577521167029307</v>
          </cell>
          <cell r="Q8945">
            <v>79.566945005661893</v>
          </cell>
        </row>
        <row r="8946">
          <cell r="O8946">
            <v>49145</v>
          </cell>
          <cell r="P8946">
            <v>6.0605027571059011</v>
          </cell>
          <cell r="Q8946">
            <v>79.603073927654265</v>
          </cell>
        </row>
        <row r="8947">
          <cell r="O8947">
            <v>49146</v>
          </cell>
          <cell r="P8947">
            <v>6.0632546464907513</v>
          </cell>
          <cell r="Q8947">
            <v>79.639219254687745</v>
          </cell>
        </row>
        <row r="8948">
          <cell r="O8948">
            <v>49149</v>
          </cell>
          <cell r="P8948">
            <v>6.0660077854246026</v>
          </cell>
          <cell r="Q8948">
            <v>79.675380994211338</v>
          </cell>
        </row>
        <row r="8949">
          <cell r="O8949">
            <v>49150</v>
          </cell>
          <cell r="P8949">
            <v>6.0687621744748439</v>
          </cell>
          <cell r="Q8949">
            <v>79.711559153677541</v>
          </cell>
        </row>
        <row r="8950">
          <cell r="O8950">
            <v>49151</v>
          </cell>
          <cell r="P8950">
            <v>6.07151781420911</v>
          </cell>
          <cell r="Q8950">
            <v>79.747753740542066</v>
          </cell>
        </row>
        <row r="8951">
          <cell r="O8951">
            <v>49152</v>
          </cell>
          <cell r="P8951">
            <v>6.0742747051952994</v>
          </cell>
          <cell r="Q8951">
            <v>79.783964762264119</v>
          </cell>
        </row>
        <row r="8952">
          <cell r="O8952">
            <v>49153</v>
          </cell>
          <cell r="P8952">
            <v>6.0770328480015676</v>
          </cell>
          <cell r="Q8952">
            <v>79.820192226306261</v>
          </cell>
        </row>
        <row r="8953">
          <cell r="O8953">
            <v>49156</v>
          </cell>
          <cell r="P8953">
            <v>6.07979224319633</v>
          </cell>
          <cell r="Q8953">
            <v>79.856436140134491</v>
          </cell>
        </row>
        <row r="8954">
          <cell r="O8954">
            <v>49157</v>
          </cell>
          <cell r="P8954">
            <v>6.0825528913482545</v>
          </cell>
          <cell r="Q8954">
            <v>79.892696511218091</v>
          </cell>
        </row>
        <row r="8955">
          <cell r="O8955">
            <v>49158</v>
          </cell>
          <cell r="P8955">
            <v>6.0853147930262725</v>
          </cell>
          <cell r="Q8955">
            <v>79.928973347029853</v>
          </cell>
        </row>
        <row r="8956">
          <cell r="O8956">
            <v>49159</v>
          </cell>
          <cell r="P8956">
            <v>6.0880779487995715</v>
          </cell>
          <cell r="Q8956">
            <v>79.965266655045866</v>
          </cell>
        </row>
        <row r="8957">
          <cell r="O8957">
            <v>49160</v>
          </cell>
          <cell r="P8957">
            <v>6.0908423592375991</v>
          </cell>
          <cell r="Q8957">
            <v>80.001576442745687</v>
          </cell>
        </row>
        <row r="8958">
          <cell r="O8958">
            <v>49163</v>
          </cell>
          <cell r="P8958">
            <v>6.0936080249100577</v>
          </cell>
          <cell r="Q8958">
            <v>80.037902717612198</v>
          </cell>
        </row>
        <row r="8959">
          <cell r="O8959">
            <v>49164</v>
          </cell>
          <cell r="P8959">
            <v>6.0963749463869146</v>
          </cell>
          <cell r="Q8959">
            <v>80.074245487131776</v>
          </cell>
        </row>
        <row r="8960">
          <cell r="O8960">
            <v>49165</v>
          </cell>
          <cell r="P8960">
            <v>6.0991431242383891</v>
          </cell>
          <cell r="Q8960">
            <v>80.110604758794082</v>
          </cell>
        </row>
        <row r="8961">
          <cell r="O8961">
            <v>49166</v>
          </cell>
          <cell r="P8961">
            <v>6.1019125590349628</v>
          </cell>
          <cell r="Q8961">
            <v>80.146980540092258</v>
          </cell>
        </row>
        <row r="8962">
          <cell r="O8962">
            <v>49167</v>
          </cell>
          <cell r="P8962">
            <v>6.1046832513473781</v>
          </cell>
          <cell r="Q8962">
            <v>80.183372838522843</v>
          </cell>
        </row>
        <row r="8963">
          <cell r="O8963">
            <v>49170</v>
          </cell>
          <cell r="P8963">
            <v>6.1074552017466344</v>
          </cell>
          <cell r="Q8963">
            <v>80.219781661585756</v>
          </cell>
        </row>
        <row r="8964">
          <cell r="O8964">
            <v>49171</v>
          </cell>
          <cell r="P8964">
            <v>6.1102284108039893</v>
          </cell>
          <cell r="Q8964">
            <v>80.25620701678433</v>
          </cell>
        </row>
        <row r="8965">
          <cell r="O8965">
            <v>49172</v>
          </cell>
          <cell r="P8965">
            <v>6.1130028790909607</v>
          </cell>
          <cell r="Q8965">
            <v>80.292648911625278</v>
          </cell>
        </row>
        <row r="8966">
          <cell r="O8966">
            <v>49173</v>
          </cell>
          <cell r="P8966">
            <v>6.115778607179327</v>
          </cell>
          <cell r="Q8966">
            <v>80.329107353618753</v>
          </cell>
        </row>
        <row r="8967">
          <cell r="O8967">
            <v>49174</v>
          </cell>
          <cell r="P8967">
            <v>6.1185555956411264</v>
          </cell>
          <cell r="Q8967">
            <v>80.365582350278345</v>
          </cell>
        </row>
        <row r="8968">
          <cell r="O8968">
            <v>49177</v>
          </cell>
          <cell r="P8968">
            <v>6.1213338450486532</v>
          </cell>
          <cell r="Q8968">
            <v>80.402073909120972</v>
          </cell>
        </row>
        <row r="8969">
          <cell r="O8969">
            <v>49178</v>
          </cell>
          <cell r="P8969">
            <v>6.1241133559744689</v>
          </cell>
          <cell r="Q8969">
            <v>80.438582037667075</v>
          </cell>
        </row>
        <row r="8970">
          <cell r="O8970">
            <v>49179</v>
          </cell>
          <cell r="P8970">
            <v>6.1268941289913874</v>
          </cell>
          <cell r="Q8970">
            <v>80.475106743440406</v>
          </cell>
        </row>
        <row r="8971">
          <cell r="O8971">
            <v>49180</v>
          </cell>
          <cell r="P8971">
            <v>6.1296761646724853</v>
          </cell>
          <cell r="Q8971">
            <v>80.511648033968186</v>
          </cell>
        </row>
        <row r="8972">
          <cell r="O8972">
            <v>49181</v>
          </cell>
          <cell r="P8972">
            <v>6.1324594635911014</v>
          </cell>
          <cell r="Q8972">
            <v>80.548205916781058</v>
          </cell>
        </row>
        <row r="8973">
          <cell r="O8973">
            <v>49184</v>
          </cell>
          <cell r="P8973">
            <v>6.1352440263208345</v>
          </cell>
          <cell r="Q8973">
            <v>80.584780399413091</v>
          </cell>
        </row>
        <row r="8974">
          <cell r="O8974">
            <v>49185</v>
          </cell>
          <cell r="P8974">
            <v>6.1380298534355395</v>
          </cell>
          <cell r="Q8974">
            <v>80.62137148940171</v>
          </cell>
        </row>
        <row r="8975">
          <cell r="O8975">
            <v>49186</v>
          </cell>
          <cell r="P8975">
            <v>6.1408169455093358</v>
          </cell>
          <cell r="Q8975">
            <v>80.657979194287819</v>
          </cell>
        </row>
        <row r="8976">
          <cell r="O8976">
            <v>49187</v>
          </cell>
          <cell r="P8976">
            <v>6.1436053031166047</v>
          </cell>
          <cell r="Q8976">
            <v>80.694603521615761</v>
          </cell>
        </row>
        <row r="8977">
          <cell r="O8977">
            <v>49188</v>
          </cell>
          <cell r="P8977">
            <v>6.1463949268319853</v>
          </cell>
          <cell r="Q8977">
            <v>80.731244478933263</v>
          </cell>
        </row>
        <row r="8978">
          <cell r="O8978">
            <v>49191</v>
          </cell>
          <cell r="P8978">
            <v>6.1491858172303759</v>
          </cell>
          <cell r="Q8978">
            <v>80.76790207379149</v>
          </cell>
        </row>
        <row r="8979">
          <cell r="O8979">
            <v>49192</v>
          </cell>
          <cell r="P8979">
            <v>6.1519779748869254</v>
          </cell>
          <cell r="Q8979">
            <v>80.804576313744818</v>
          </cell>
        </row>
        <row r="8980">
          <cell r="O8980">
            <v>49193</v>
          </cell>
          <cell r="P8980">
            <v>6.1547714003770908</v>
          </cell>
          <cell r="Q8980">
            <v>80.841267206351759</v>
          </cell>
        </row>
        <row r="8981">
          <cell r="O8981">
            <v>49195</v>
          </cell>
          <cell r="P8981">
            <v>6.1575660942765573</v>
          </cell>
          <cell r="Q8981">
            <v>80.877974759173767</v>
          </cell>
        </row>
        <row r="8982">
          <cell r="O8982">
            <v>49198</v>
          </cell>
          <cell r="P8982">
            <v>6.1603620571612332</v>
          </cell>
          <cell r="Q8982">
            <v>80.914698979775252</v>
          </cell>
        </row>
        <row r="8983">
          <cell r="O8983">
            <v>49199</v>
          </cell>
          <cell r="P8983">
            <v>6.1631592896073464</v>
          </cell>
          <cell r="Q8983">
            <v>80.951439875724802</v>
          </cell>
        </row>
        <row r="8984">
          <cell r="O8984">
            <v>49200</v>
          </cell>
          <cell r="P8984">
            <v>6.1659577921913442</v>
          </cell>
          <cell r="Q8984">
            <v>80.988197454593902</v>
          </cell>
        </row>
        <row r="8985">
          <cell r="O8985">
            <v>49201</v>
          </cell>
          <cell r="P8985">
            <v>6.1687575654899973</v>
          </cell>
          <cell r="Q8985">
            <v>81.024971723958274</v>
          </cell>
        </row>
        <row r="8986">
          <cell r="O8986">
            <v>49202</v>
          </cell>
          <cell r="P8986">
            <v>6.1715586100802975</v>
          </cell>
          <cell r="Q8986">
            <v>81.061762691396552</v>
          </cell>
        </row>
        <row r="8987">
          <cell r="O8987">
            <v>49205</v>
          </cell>
          <cell r="P8987">
            <v>6.1743609265394443</v>
          </cell>
          <cell r="Q8987">
            <v>81.098570364490115</v>
          </cell>
        </row>
        <row r="8988">
          <cell r="O8988">
            <v>49206</v>
          </cell>
          <cell r="P8988">
            <v>6.1771645154450079</v>
          </cell>
          <cell r="Q8988">
            <v>81.135394750825171</v>
          </cell>
        </row>
        <row r="8989">
          <cell r="O8989">
            <v>49207</v>
          </cell>
          <cell r="P8989">
            <v>6.1799693773747544</v>
          </cell>
          <cell r="Q8989">
            <v>81.172235857990529</v>
          </cell>
        </row>
        <row r="8990">
          <cell r="O8990">
            <v>49208</v>
          </cell>
          <cell r="P8990">
            <v>6.1827755129067192</v>
          </cell>
          <cell r="Q8990">
            <v>81.209093693578524</v>
          </cell>
        </row>
        <row r="8991">
          <cell r="O8991">
            <v>49209</v>
          </cell>
          <cell r="P8991">
            <v>6.1855829226192096</v>
          </cell>
          <cell r="Q8991">
            <v>81.24596826518507</v>
          </cell>
        </row>
        <row r="8992">
          <cell r="O8992">
            <v>49212</v>
          </cell>
          <cell r="P8992">
            <v>6.1883916070907903</v>
          </cell>
          <cell r="Q8992">
            <v>81.282859580409465</v>
          </cell>
        </row>
        <row r="8993">
          <cell r="O8993">
            <v>49213</v>
          </cell>
          <cell r="P8993">
            <v>6.1912015669002933</v>
          </cell>
          <cell r="Q8993">
            <v>81.319767646854501</v>
          </cell>
        </row>
        <row r="8994">
          <cell r="O8994">
            <v>49214</v>
          </cell>
          <cell r="P8994">
            <v>6.1940128026268066</v>
          </cell>
          <cell r="Q8994">
            <v>81.356692472126355</v>
          </cell>
        </row>
        <row r="8995">
          <cell r="O8995">
            <v>49215</v>
          </cell>
          <cell r="P8995">
            <v>6.1968253148496881</v>
          </cell>
          <cell r="Q8995">
            <v>81.393634063834725</v>
          </cell>
        </row>
        <row r="8996">
          <cell r="O8996">
            <v>49216</v>
          </cell>
          <cell r="P8996">
            <v>6.199639104148555</v>
          </cell>
          <cell r="Q8996">
            <v>81.430592429592735</v>
          </cell>
        </row>
        <row r="8997">
          <cell r="O8997">
            <v>49219</v>
          </cell>
          <cell r="P8997">
            <v>6.2024541711032901</v>
          </cell>
          <cell r="Q8997">
            <v>81.467567577016979</v>
          </cell>
        </row>
        <row r="8998">
          <cell r="O8998">
            <v>49220</v>
          </cell>
          <cell r="P8998">
            <v>6.2052705162940329</v>
          </cell>
          <cell r="Q8998">
            <v>81.504559513727457</v>
          </cell>
        </row>
        <row r="8999">
          <cell r="O8999">
            <v>49221</v>
          </cell>
          <cell r="P8999">
            <v>6.2080881403011983</v>
          </cell>
          <cell r="Q8999">
            <v>81.54156824734774</v>
          </cell>
        </row>
        <row r="9000">
          <cell r="O9000">
            <v>49222</v>
          </cell>
          <cell r="P9000">
            <v>6.2109070437054532</v>
          </cell>
          <cell r="Q9000">
            <v>81.578593785504737</v>
          </cell>
        </row>
        <row r="9001">
          <cell r="O9001">
            <v>49223</v>
          </cell>
          <cell r="P9001">
            <v>6.2137272270877331</v>
          </cell>
          <cell r="Q9001">
            <v>81.615636135828879</v>
          </cell>
        </row>
        <row r="9002">
          <cell r="O9002">
            <v>49226</v>
          </cell>
          <cell r="P9002">
            <v>6.2165486910292387</v>
          </cell>
          <cell r="Q9002">
            <v>81.652695305954083</v>
          </cell>
        </row>
        <row r="9003">
          <cell r="O9003">
            <v>49227</v>
          </cell>
          <cell r="P9003">
            <v>6.2193714361114338</v>
          </cell>
          <cell r="Q9003">
            <v>81.68977130351773</v>
          </cell>
        </row>
        <row r="9004">
          <cell r="O9004">
            <v>49228</v>
          </cell>
          <cell r="P9004">
            <v>6.2221954629160416</v>
          </cell>
          <cell r="Q9004">
            <v>81.726864136160586</v>
          </cell>
        </row>
        <row r="9005">
          <cell r="O9005">
            <v>49230</v>
          </cell>
          <cell r="P9005">
            <v>6.2250207720250543</v>
          </cell>
          <cell r="Q9005">
            <v>81.763973811526952</v>
          </cell>
        </row>
        <row r="9006">
          <cell r="O9006">
            <v>49233</v>
          </cell>
          <cell r="P9006">
            <v>6.2278473640207288</v>
          </cell>
          <cell r="Q9006">
            <v>81.801100337264643</v>
          </cell>
        </row>
        <row r="9007">
          <cell r="O9007">
            <v>49234</v>
          </cell>
          <cell r="P9007">
            <v>6.2306752394855858</v>
          </cell>
          <cell r="Q9007">
            <v>81.838243721024881</v>
          </cell>
        </row>
        <row r="9008">
          <cell r="O9008">
            <v>49235</v>
          </cell>
          <cell r="P9008">
            <v>6.2335043990024044</v>
          </cell>
          <cell r="Q9008">
            <v>81.875403970462344</v>
          </cell>
        </row>
        <row r="9009">
          <cell r="O9009">
            <v>49236</v>
          </cell>
          <cell r="P9009">
            <v>6.23633484315424</v>
          </cell>
          <cell r="Q9009">
            <v>81.912581093235275</v>
          </cell>
        </row>
        <row r="9010">
          <cell r="O9010">
            <v>49237</v>
          </cell>
          <cell r="P9010">
            <v>6.2391665725244003</v>
          </cell>
          <cell r="Q9010">
            <v>81.9497750970053</v>
          </cell>
        </row>
        <row r="9011">
          <cell r="O9011">
            <v>49240</v>
          </cell>
          <cell r="P9011">
            <v>6.2419995876964682</v>
          </cell>
          <cell r="Q9011">
            <v>81.986985989437585</v>
          </cell>
        </row>
        <row r="9012">
          <cell r="O9012">
            <v>49241</v>
          </cell>
          <cell r="P9012">
            <v>6.2448338892542843</v>
          </cell>
          <cell r="Q9012">
            <v>82.024213778200746</v>
          </cell>
        </row>
        <row r="9013">
          <cell r="O9013">
            <v>49242</v>
          </cell>
          <cell r="P9013">
            <v>6.2476694777819581</v>
          </cell>
          <cell r="Q9013">
            <v>82.061458470966897</v>
          </cell>
        </row>
        <row r="9014">
          <cell r="O9014">
            <v>49243</v>
          </cell>
          <cell r="P9014">
            <v>6.2505063538638623</v>
          </cell>
          <cell r="Q9014">
            <v>82.09872007541162</v>
          </cell>
        </row>
        <row r="9015">
          <cell r="O9015">
            <v>49244</v>
          </cell>
          <cell r="P9015">
            <v>6.2533445180846394</v>
          </cell>
          <cell r="Q9015">
            <v>82.135998599214034</v>
          </cell>
        </row>
        <row r="9016">
          <cell r="O9016">
            <v>49247</v>
          </cell>
          <cell r="P9016">
            <v>6.2561839710291895</v>
          </cell>
          <cell r="Q9016">
            <v>82.17329405005664</v>
          </cell>
        </row>
        <row r="9017">
          <cell r="O9017">
            <v>49248</v>
          </cell>
          <cell r="P9017">
            <v>6.2590247132826846</v>
          </cell>
          <cell r="Q9017">
            <v>82.210606435625522</v>
          </cell>
        </row>
        <row r="9018">
          <cell r="O9018">
            <v>49249</v>
          </cell>
          <cell r="P9018">
            <v>6.2618667454305603</v>
          </cell>
          <cell r="Q9018">
            <v>82.247935763610201</v>
          </cell>
        </row>
        <row r="9019">
          <cell r="O9019">
            <v>49251</v>
          </cell>
          <cell r="P9019">
            <v>6.2647100680585215</v>
          </cell>
          <cell r="Q9019">
            <v>82.28528204170378</v>
          </cell>
        </row>
        <row r="9020">
          <cell r="O9020">
            <v>49254</v>
          </cell>
          <cell r="P9020">
            <v>6.2675546817525314</v>
          </cell>
          <cell r="Q9020">
            <v>82.322645277602717</v>
          </cell>
        </row>
        <row r="9021">
          <cell r="O9021">
            <v>49255</v>
          </cell>
          <cell r="P9021">
            <v>6.2704005870988233</v>
          </cell>
          <cell r="Q9021">
            <v>82.360025479007021</v>
          </cell>
        </row>
        <row r="9022">
          <cell r="O9022">
            <v>49256</v>
          </cell>
          <cell r="P9022">
            <v>6.2732477846839005</v>
          </cell>
          <cell r="Q9022">
            <v>82.397422653620268</v>
          </cell>
        </row>
        <row r="9023">
          <cell r="O9023">
            <v>49257</v>
          </cell>
          <cell r="P9023">
            <v>6.2760962750945311</v>
          </cell>
          <cell r="Q9023">
            <v>82.434836809149488</v>
          </cell>
        </row>
        <row r="9024">
          <cell r="O9024">
            <v>49258</v>
          </cell>
          <cell r="P9024">
            <v>6.2789460589177395</v>
          </cell>
          <cell r="Q9024">
            <v>82.472267953305092</v>
          </cell>
        </row>
        <row r="9025">
          <cell r="O9025">
            <v>49261</v>
          </cell>
          <cell r="P9025">
            <v>6.2817971367408321</v>
          </cell>
          <cell r="Q9025">
            <v>82.509716093801202</v>
          </cell>
        </row>
        <row r="9026">
          <cell r="O9026">
            <v>49262</v>
          </cell>
          <cell r="P9026">
            <v>6.2846495091513717</v>
          </cell>
          <cell r="Q9026">
            <v>82.547181238355279</v>
          </cell>
        </row>
        <row r="9027">
          <cell r="O9027">
            <v>49264</v>
          </cell>
          <cell r="P9027">
            <v>6.2875031767371938</v>
          </cell>
          <cell r="Q9027">
            <v>82.584663394688405</v>
          </cell>
        </row>
        <row r="9028">
          <cell r="O9028">
            <v>49265</v>
          </cell>
          <cell r="P9028">
            <v>6.2903581400863944</v>
          </cell>
          <cell r="Q9028">
            <v>82.622162570525049</v>
          </cell>
        </row>
        <row r="9029">
          <cell r="O9029">
            <v>49268</v>
          </cell>
          <cell r="P9029">
            <v>6.2932143997873418</v>
          </cell>
          <cell r="Q9029">
            <v>82.659678773593271</v>
          </cell>
        </row>
        <row r="9030">
          <cell r="O9030">
            <v>49269</v>
          </cell>
          <cell r="P9030">
            <v>6.2960719564286691</v>
          </cell>
          <cell r="Q9030">
            <v>82.6972120116246</v>
          </cell>
        </row>
        <row r="9031">
          <cell r="O9031">
            <v>49270</v>
          </cell>
          <cell r="P9031">
            <v>6.2989308105992796</v>
          </cell>
          <cell r="Q9031">
            <v>82.734762292354148</v>
          </cell>
        </row>
        <row r="9032">
          <cell r="O9032">
            <v>49271</v>
          </cell>
          <cell r="P9032">
            <v>6.3017909628883384</v>
          </cell>
          <cell r="Q9032">
            <v>82.77232962352042</v>
          </cell>
        </row>
        <row r="9033">
          <cell r="O9033">
            <v>49272</v>
          </cell>
          <cell r="P9033">
            <v>6.3046524138852833</v>
          </cell>
          <cell r="Q9033">
            <v>82.809914012865519</v>
          </cell>
        </row>
        <row r="9034">
          <cell r="O9034">
            <v>49275</v>
          </cell>
          <cell r="P9034">
            <v>6.3075151641798168</v>
          </cell>
          <cell r="Q9034">
            <v>82.847515468135057</v>
          </cell>
        </row>
        <row r="9035">
          <cell r="O9035">
            <v>49276</v>
          </cell>
          <cell r="P9035">
            <v>6.3103792143619151</v>
          </cell>
          <cell r="Q9035">
            <v>82.885133997078171</v>
          </cell>
        </row>
        <row r="9036">
          <cell r="O9036">
            <v>49277</v>
          </cell>
          <cell r="P9036">
            <v>6.3132445650218108</v>
          </cell>
          <cell r="Q9036">
            <v>82.922769607447449</v>
          </cell>
        </row>
        <row r="9037">
          <cell r="O9037">
            <v>49278</v>
          </cell>
          <cell r="P9037">
            <v>6.316111216750012</v>
          </cell>
          <cell r="Q9037">
            <v>82.960422306999035</v>
          </cell>
        </row>
        <row r="9038">
          <cell r="O9038">
            <v>49279</v>
          </cell>
          <cell r="P9038">
            <v>6.3189791701372986</v>
          </cell>
          <cell r="Q9038">
            <v>82.998092103492652</v>
          </cell>
        </row>
        <row r="9039">
          <cell r="O9039">
            <v>49282</v>
          </cell>
          <cell r="P9039">
            <v>6.3218484257747134</v>
          </cell>
          <cell r="Q9039">
            <v>83.03577900469152</v>
          </cell>
        </row>
        <row r="9040">
          <cell r="O9040">
            <v>49283</v>
          </cell>
          <cell r="P9040">
            <v>6.3247189842535647</v>
          </cell>
          <cell r="Q9040">
            <v>83.073483018362282</v>
          </cell>
        </row>
        <row r="9041">
          <cell r="O9041">
            <v>49284</v>
          </cell>
          <cell r="P9041">
            <v>6.3275908461654344</v>
          </cell>
          <cell r="Q9041">
            <v>83.111204152275235</v>
          </cell>
        </row>
        <row r="9042">
          <cell r="O9042">
            <v>49285</v>
          </cell>
          <cell r="P9042">
            <v>6.3304640121021727</v>
          </cell>
          <cell r="Q9042">
            <v>83.148942414204157</v>
          </cell>
        </row>
        <row r="9043">
          <cell r="O9043">
            <v>49286</v>
          </cell>
          <cell r="P9043">
            <v>6.3333384826559014</v>
          </cell>
          <cell r="Q9043">
            <v>83.186697811926408</v>
          </cell>
        </row>
        <row r="9044">
          <cell r="O9044">
            <v>49289</v>
          </cell>
          <cell r="P9044">
            <v>6.3362142584189982</v>
          </cell>
          <cell r="Q9044">
            <v>83.224470353222713</v>
          </cell>
        </row>
        <row r="9045">
          <cell r="O9045">
            <v>49290</v>
          </cell>
          <cell r="P9045">
            <v>6.3390913399841251</v>
          </cell>
          <cell r="Q9045">
            <v>83.262260045877525</v>
          </cell>
        </row>
        <row r="9046">
          <cell r="O9046">
            <v>49291</v>
          </cell>
          <cell r="P9046">
            <v>6.3419697279442051</v>
          </cell>
          <cell r="Q9046">
            <v>83.300066897678732</v>
          </cell>
        </row>
        <row r="9047">
          <cell r="O9047">
            <v>49292</v>
          </cell>
          <cell r="P9047">
            <v>6.3448494228924348</v>
          </cell>
          <cell r="Q9047">
            <v>83.337890916417805</v>
          </cell>
        </row>
        <row r="9048">
          <cell r="O9048">
            <v>49293</v>
          </cell>
          <cell r="P9048">
            <v>6.3477304254222746</v>
          </cell>
          <cell r="Q9048">
            <v>83.375732109889711</v>
          </cell>
        </row>
        <row r="9049">
          <cell r="O9049">
            <v>49296</v>
          </cell>
          <cell r="P9049">
            <v>6.3506127361274585</v>
          </cell>
          <cell r="Q9049">
            <v>83.413590485892954</v>
          </cell>
        </row>
        <row r="9050">
          <cell r="O9050">
            <v>49297</v>
          </cell>
          <cell r="P9050">
            <v>6.3534963556019886</v>
          </cell>
          <cell r="Q9050">
            <v>83.451466052229605</v>
          </cell>
        </row>
        <row r="9051">
          <cell r="O9051">
            <v>49298</v>
          </cell>
          <cell r="P9051">
            <v>6.3563812844401388</v>
          </cell>
          <cell r="Q9051">
            <v>83.489358816705291</v>
          </cell>
        </row>
        <row r="9052">
          <cell r="O9052">
            <v>49299</v>
          </cell>
          <cell r="P9052">
            <v>6.3592675232364488</v>
          </cell>
          <cell r="Q9052">
            <v>83.527268787129145</v>
          </cell>
        </row>
        <row r="9053">
          <cell r="O9053">
            <v>49300</v>
          </cell>
          <cell r="P9053">
            <v>6.3621550725857317</v>
          </cell>
          <cell r="Q9053">
            <v>83.565195971313855</v>
          </cell>
        </row>
        <row r="9054">
          <cell r="O9054">
            <v>49304</v>
          </cell>
          <cell r="P9054">
            <v>6.3650439330830677</v>
          </cell>
          <cell r="Q9054">
            <v>83.603140377075661</v>
          </cell>
        </row>
        <row r="9055">
          <cell r="O9055">
            <v>49305</v>
          </cell>
          <cell r="P9055">
            <v>6.3679341053238163</v>
          </cell>
          <cell r="Q9055">
            <v>83.641102012234427</v>
          </cell>
        </row>
        <row r="9056">
          <cell r="O9056">
            <v>49306</v>
          </cell>
          <cell r="P9056">
            <v>6.3708255899035908</v>
          </cell>
          <cell r="Q9056">
            <v>83.679080884613384</v>
          </cell>
        </row>
        <row r="9057">
          <cell r="O9057">
            <v>49307</v>
          </cell>
          <cell r="P9057">
            <v>6.3737183874182879</v>
          </cell>
          <cell r="Q9057">
            <v>83.717077002039474</v>
          </cell>
        </row>
        <row r="9058">
          <cell r="O9058">
            <v>49311</v>
          </cell>
          <cell r="P9058">
            <v>6.3766124984640733</v>
          </cell>
          <cell r="Q9058">
            <v>83.75509037234319</v>
          </cell>
        </row>
        <row r="9059">
          <cell r="O9059">
            <v>49312</v>
          </cell>
          <cell r="P9059">
            <v>6.3795079236373828</v>
          </cell>
          <cell r="Q9059">
            <v>83.793121003358522</v>
          </cell>
        </row>
        <row r="9060">
          <cell r="O9060">
            <v>49313</v>
          </cell>
          <cell r="P9060">
            <v>6.3824046635349143</v>
          </cell>
          <cell r="Q9060">
            <v>83.831168902922968</v>
          </cell>
        </row>
        <row r="9061">
          <cell r="O9061">
            <v>49314</v>
          </cell>
          <cell r="P9061">
            <v>6.3853027187536497</v>
          </cell>
          <cell r="Q9061">
            <v>83.86923407887771</v>
          </cell>
        </row>
        <row r="9062">
          <cell r="O9062">
            <v>49317</v>
          </cell>
          <cell r="P9062">
            <v>6.3882020898908349</v>
          </cell>
          <cell r="Q9062">
            <v>83.907316539067409</v>
          </cell>
        </row>
        <row r="9063">
          <cell r="O9063">
            <v>49318</v>
          </cell>
          <cell r="P9063">
            <v>6.3911027775439893</v>
          </cell>
          <cell r="Q9063">
            <v>83.945416291340322</v>
          </cell>
        </row>
        <row r="9064">
          <cell r="O9064">
            <v>49319</v>
          </cell>
          <cell r="P9064">
            <v>6.3940047823109003</v>
          </cell>
          <cell r="Q9064">
            <v>83.983533343548245</v>
          </cell>
        </row>
        <row r="9065">
          <cell r="O9065">
            <v>49320</v>
          </cell>
          <cell r="P9065">
            <v>6.396908104789631</v>
          </cell>
          <cell r="Q9065">
            <v>84.021667703546555</v>
          </cell>
        </row>
        <row r="9066">
          <cell r="O9066">
            <v>49321</v>
          </cell>
          <cell r="P9066">
            <v>6.3998127455785134</v>
          </cell>
          <cell r="Q9066">
            <v>84.059819379194181</v>
          </cell>
        </row>
        <row r="9067">
          <cell r="O9067">
            <v>49324</v>
          </cell>
          <cell r="P9067">
            <v>6.4027187052761532</v>
          </cell>
          <cell r="Q9067">
            <v>84.097988378353662</v>
          </cell>
        </row>
        <row r="9068">
          <cell r="O9068">
            <v>49325</v>
          </cell>
          <cell r="P9068">
            <v>6.405625984481425</v>
          </cell>
          <cell r="Q9068">
            <v>84.136174708891048</v>
          </cell>
        </row>
        <row r="9069">
          <cell r="O9069">
            <v>49326</v>
          </cell>
          <cell r="P9069">
            <v>6.4085345837934762</v>
          </cell>
          <cell r="Q9069">
            <v>84.174378378675982</v>
          </cell>
        </row>
        <row r="9070">
          <cell r="O9070">
            <v>49327</v>
          </cell>
          <cell r="P9070">
            <v>6.4114445038117278</v>
          </cell>
          <cell r="Q9070">
            <v>84.212599395581691</v>
          </cell>
        </row>
        <row r="9071">
          <cell r="O9071">
            <v>49328</v>
          </cell>
          <cell r="P9071">
            <v>6.4143557451358761</v>
          </cell>
          <cell r="Q9071">
            <v>84.250837767485024</v>
          </cell>
        </row>
        <row r="9072">
          <cell r="O9072">
            <v>49331</v>
          </cell>
          <cell r="P9072">
            <v>6.4172683083658795</v>
          </cell>
          <cell r="Q9072">
            <v>84.289093502266283</v>
          </cell>
        </row>
        <row r="9073">
          <cell r="O9073">
            <v>49332</v>
          </cell>
          <cell r="P9073">
            <v>6.4201821941019785</v>
          </cell>
          <cell r="Q9073">
            <v>84.327366607809466</v>
          </cell>
        </row>
        <row r="9074">
          <cell r="O9074">
            <v>49333</v>
          </cell>
          <cell r="P9074">
            <v>6.4230974029446637</v>
          </cell>
          <cell r="Q9074">
            <v>84.36565709200184</v>
          </cell>
        </row>
        <row r="9075">
          <cell r="O9075">
            <v>49334</v>
          </cell>
          <cell r="P9075">
            <v>6.4260139354947743</v>
          </cell>
          <cell r="Q9075">
            <v>84.403964962735273</v>
          </cell>
        </row>
        <row r="9076">
          <cell r="O9076">
            <v>49335</v>
          </cell>
          <cell r="P9076">
            <v>6.4289317923533069</v>
          </cell>
          <cell r="Q9076">
            <v>84.442290227903712</v>
          </cell>
        </row>
        <row r="9077">
          <cell r="O9077">
            <v>49338</v>
          </cell>
          <cell r="P9077">
            <v>6.4318509741215886</v>
          </cell>
          <cell r="Q9077">
            <v>84.480632895405392</v>
          </cell>
        </row>
        <row r="9078">
          <cell r="O9078">
            <v>49339</v>
          </cell>
          <cell r="P9078">
            <v>6.434771481401266</v>
          </cell>
          <cell r="Q9078">
            <v>84.518992973142815</v>
          </cell>
        </row>
        <row r="9079">
          <cell r="O9079">
            <v>49340</v>
          </cell>
          <cell r="P9079">
            <v>6.4376933147942061</v>
          </cell>
          <cell r="Q9079">
            <v>84.557370469021322</v>
          </cell>
        </row>
        <row r="9080">
          <cell r="O9080">
            <v>49341</v>
          </cell>
          <cell r="P9080">
            <v>6.4406164749025177</v>
          </cell>
          <cell r="Q9080">
            <v>84.595765390949452</v>
          </cell>
        </row>
        <row r="9081">
          <cell r="O9081">
            <v>49342</v>
          </cell>
          <cell r="P9081">
            <v>6.4435409623286244</v>
          </cell>
          <cell r="Q9081">
            <v>84.634177746839882</v>
          </cell>
        </row>
        <row r="9082">
          <cell r="O9082">
            <v>49347</v>
          </cell>
          <cell r="P9082">
            <v>6.446466777675262</v>
          </cell>
          <cell r="Q9082">
            <v>84.672607544609377</v>
          </cell>
        </row>
        <row r="9083">
          <cell r="O9083">
            <v>49348</v>
          </cell>
          <cell r="P9083">
            <v>6.4493939215453748</v>
          </cell>
          <cell r="Q9083">
            <v>84.71105479217745</v>
          </cell>
        </row>
        <row r="9084">
          <cell r="O9084">
            <v>49349</v>
          </cell>
          <cell r="P9084">
            <v>6.452322394542227</v>
          </cell>
          <cell r="Q9084">
            <v>84.74951949746783</v>
          </cell>
        </row>
        <row r="9085">
          <cell r="O9085">
            <v>49352</v>
          </cell>
          <cell r="P9085">
            <v>6.4552521972692736</v>
          </cell>
          <cell r="Q9085">
            <v>84.788001668406707</v>
          </cell>
        </row>
        <row r="9086">
          <cell r="O9086">
            <v>49353</v>
          </cell>
          <cell r="P9086">
            <v>6.4581833303303657</v>
          </cell>
          <cell r="Q9086">
            <v>84.826501312925529</v>
          </cell>
        </row>
        <row r="9087">
          <cell r="O9087">
            <v>49354</v>
          </cell>
          <cell r="P9087">
            <v>6.4611157943295456</v>
          </cell>
          <cell r="Q9087">
            <v>84.865018438958217</v>
          </cell>
        </row>
        <row r="9088">
          <cell r="O9088">
            <v>49355</v>
          </cell>
          <cell r="P9088">
            <v>6.464049589871153</v>
          </cell>
          <cell r="Q9088">
            <v>84.903553054442611</v>
          </cell>
        </row>
        <row r="9089">
          <cell r="O9089">
            <v>49356</v>
          </cell>
          <cell r="P9089">
            <v>6.4669847175597983</v>
          </cell>
          <cell r="Q9089">
            <v>84.942105167320108</v>
          </cell>
        </row>
        <row r="9090">
          <cell r="O9090">
            <v>49359</v>
          </cell>
          <cell r="P9090">
            <v>6.4699211780003747</v>
          </cell>
          <cell r="Q9090">
            <v>84.980674785535825</v>
          </cell>
        </row>
        <row r="9091">
          <cell r="O9091">
            <v>49360</v>
          </cell>
          <cell r="P9091">
            <v>6.472858971798038</v>
          </cell>
          <cell r="Q9091">
            <v>85.019261917038307</v>
          </cell>
        </row>
        <row r="9092">
          <cell r="O9092">
            <v>49361</v>
          </cell>
          <cell r="P9092">
            <v>6.4757980995582267</v>
          </cell>
          <cell r="Q9092">
            <v>85.057866569779833</v>
          </cell>
        </row>
        <row r="9093">
          <cell r="O9093">
            <v>49362</v>
          </cell>
          <cell r="P9093">
            <v>6.4787385618866535</v>
          </cell>
          <cell r="Q9093">
            <v>85.096488751716265</v>
          </cell>
        </row>
        <row r="9094">
          <cell r="O9094">
            <v>49363</v>
          </cell>
          <cell r="P9094">
            <v>6.4816803593893075</v>
          </cell>
          <cell r="Q9094">
            <v>85.135128470807132</v>
          </cell>
        </row>
        <row r="9095">
          <cell r="O9095">
            <v>49366</v>
          </cell>
          <cell r="P9095">
            <v>6.4846234926724442</v>
          </cell>
          <cell r="Q9095">
            <v>85.173785735015414</v>
          </cell>
        </row>
        <row r="9096">
          <cell r="O9096">
            <v>49367</v>
          </cell>
          <cell r="P9096">
            <v>6.487567962342605</v>
          </cell>
          <cell r="Q9096">
            <v>85.212460552307874</v>
          </cell>
        </row>
        <row r="9097">
          <cell r="O9097">
            <v>49368</v>
          </cell>
          <cell r="P9097">
            <v>6.4905137690066024</v>
          </cell>
          <cell r="Q9097">
            <v>85.25115293065484</v>
          </cell>
        </row>
        <row r="9098">
          <cell r="O9098">
            <v>49369</v>
          </cell>
          <cell r="P9098">
            <v>6.4934609132715249</v>
          </cell>
          <cell r="Q9098">
            <v>85.289862878030249</v>
          </cell>
        </row>
        <row r="9099">
          <cell r="O9099">
            <v>49370</v>
          </cell>
          <cell r="P9099">
            <v>6.4964093957447338</v>
          </cell>
          <cell r="Q9099">
            <v>85.328590402411621</v>
          </cell>
        </row>
        <row r="9100">
          <cell r="O9100">
            <v>49373</v>
          </cell>
          <cell r="P9100">
            <v>6.4993592170338701</v>
          </cell>
          <cell r="Q9100">
            <v>85.367335511780183</v>
          </cell>
        </row>
        <row r="9101">
          <cell r="O9101">
            <v>49374</v>
          </cell>
          <cell r="P9101">
            <v>6.5023103777468503</v>
          </cell>
          <cell r="Q9101">
            <v>85.406098214120732</v>
          </cell>
        </row>
        <row r="9102">
          <cell r="O9102">
            <v>49375</v>
          </cell>
          <cell r="P9102">
            <v>6.5052628784918651</v>
          </cell>
          <cell r="Q9102">
            <v>85.444878517421685</v>
          </cell>
        </row>
        <row r="9103">
          <cell r="O9103">
            <v>49376</v>
          </cell>
          <cell r="P9103">
            <v>6.5082167198773808</v>
          </cell>
          <cell r="Q9103">
            <v>85.4836764296751</v>
          </cell>
        </row>
        <row r="9104">
          <cell r="O9104">
            <v>49377</v>
          </cell>
          <cell r="P9104">
            <v>6.5111719025121433</v>
          </cell>
          <cell r="Q9104">
            <v>85.522491958876685</v>
          </cell>
        </row>
        <row r="9105">
          <cell r="O9105">
            <v>49380</v>
          </cell>
          <cell r="P9105">
            <v>6.5141284270051694</v>
          </cell>
          <cell r="Q9105">
            <v>85.561325113025703</v>
          </cell>
        </row>
        <row r="9106">
          <cell r="O9106">
            <v>49381</v>
          </cell>
          <cell r="P9106">
            <v>6.5170862939657637</v>
          </cell>
          <cell r="Q9106">
            <v>85.600175900125222</v>
          </cell>
        </row>
        <row r="9107">
          <cell r="O9107">
            <v>49382</v>
          </cell>
          <cell r="P9107">
            <v>6.5200455040034919</v>
          </cell>
          <cell r="Q9107">
            <v>85.639044328181711</v>
          </cell>
        </row>
        <row r="9108">
          <cell r="O9108">
            <v>49383</v>
          </cell>
          <cell r="P9108">
            <v>6.5230060577282076</v>
          </cell>
          <cell r="Q9108">
            <v>85.677930405205444</v>
          </cell>
        </row>
        <row r="9109">
          <cell r="O9109">
            <v>49384</v>
          </cell>
          <cell r="P9109">
            <v>6.5259679557500361</v>
          </cell>
          <cell r="Q9109">
            <v>85.716834139210235</v>
          </cell>
        </row>
        <row r="9110">
          <cell r="O9110">
            <v>49387</v>
          </cell>
          <cell r="P9110">
            <v>6.5289311986793876</v>
          </cell>
          <cell r="Q9110">
            <v>85.755755538213677</v>
          </cell>
        </row>
        <row r="9111">
          <cell r="O9111">
            <v>49388</v>
          </cell>
          <cell r="P9111">
            <v>6.5318957871269365</v>
          </cell>
          <cell r="Q9111">
            <v>85.794694610236803</v>
          </cell>
        </row>
        <row r="9112">
          <cell r="O9112">
            <v>49389</v>
          </cell>
          <cell r="P9112">
            <v>6.5348617217036429</v>
          </cell>
          <cell r="Q9112">
            <v>85.833651363304412</v>
          </cell>
        </row>
        <row r="9113">
          <cell r="O9113">
            <v>49390</v>
          </cell>
          <cell r="P9113">
            <v>6.5378290030207458</v>
          </cell>
          <cell r="Q9113">
            <v>85.872625805444969</v>
          </cell>
        </row>
        <row r="9114">
          <cell r="O9114">
            <v>49394</v>
          </cell>
          <cell r="P9114">
            <v>6.5407976316897605</v>
          </cell>
          <cell r="Q9114">
            <v>85.911617944690562</v>
          </cell>
        </row>
        <row r="9115">
          <cell r="O9115">
            <v>49395</v>
          </cell>
          <cell r="P9115">
            <v>6.5437676083224705</v>
          </cell>
          <cell r="Q9115">
            <v>85.95062778907679</v>
          </cell>
        </row>
        <row r="9116">
          <cell r="O9116">
            <v>49396</v>
          </cell>
          <cell r="P9116">
            <v>6.5467389335309516</v>
          </cell>
          <cell r="Q9116">
            <v>85.989655346643104</v>
          </cell>
        </row>
        <row r="9117">
          <cell r="O9117">
            <v>49397</v>
          </cell>
          <cell r="P9117">
            <v>6.5497116079275504</v>
          </cell>
          <cell r="Q9117">
            <v>86.028700625432535</v>
          </cell>
        </row>
        <row r="9118">
          <cell r="O9118">
            <v>49398</v>
          </cell>
          <cell r="P9118">
            <v>6.5526856321248914</v>
          </cell>
          <cell r="Q9118">
            <v>86.067763633491722</v>
          </cell>
        </row>
        <row r="9119">
          <cell r="O9119">
            <v>49401</v>
          </cell>
          <cell r="P9119">
            <v>6.5556610067358756</v>
          </cell>
          <cell r="Q9119">
            <v>86.106844378870974</v>
          </cell>
        </row>
        <row r="9120">
          <cell r="O9120">
            <v>49402</v>
          </cell>
          <cell r="P9120">
            <v>6.5586377323736871</v>
          </cell>
          <cell r="Q9120">
            <v>86.145942869624264</v>
          </cell>
        </row>
        <row r="9121">
          <cell r="O9121">
            <v>49403</v>
          </cell>
          <cell r="P9121">
            <v>6.5616158096517854</v>
          </cell>
          <cell r="Q9121">
            <v>86.18505911380926</v>
          </cell>
        </row>
        <row r="9122">
          <cell r="O9122">
            <v>49404</v>
          </cell>
          <cell r="P9122">
            <v>6.5645952391839097</v>
          </cell>
          <cell r="Q9122">
            <v>86.224193119487225</v>
          </cell>
        </row>
        <row r="9123">
          <cell r="O9123">
            <v>49405</v>
          </cell>
          <cell r="P9123">
            <v>6.5675760215840757</v>
          </cell>
          <cell r="Q9123">
            <v>86.263344894723105</v>
          </cell>
        </row>
        <row r="9124">
          <cell r="O9124">
            <v>49408</v>
          </cell>
          <cell r="P9124">
            <v>6.5705581574665803</v>
          </cell>
          <cell r="Q9124">
            <v>86.302514447585537</v>
          </cell>
        </row>
        <row r="9125">
          <cell r="O9125">
            <v>49409</v>
          </cell>
          <cell r="P9125">
            <v>6.5735416474459978</v>
          </cell>
          <cell r="Q9125">
            <v>86.341701786146757</v>
          </cell>
        </row>
        <row r="9126">
          <cell r="O9126">
            <v>49410</v>
          </cell>
          <cell r="P9126">
            <v>6.5765264921371873</v>
          </cell>
          <cell r="Q9126">
            <v>86.380906918482808</v>
          </cell>
        </row>
        <row r="9127">
          <cell r="O9127">
            <v>49411</v>
          </cell>
          <cell r="P9127">
            <v>6.5795126921552747</v>
          </cell>
          <cell r="Q9127">
            <v>86.420129852673185</v>
          </cell>
        </row>
        <row r="9128">
          <cell r="O9128">
            <v>49412</v>
          </cell>
          <cell r="P9128">
            <v>6.5825002481156742</v>
          </cell>
          <cell r="Q9128">
            <v>86.459370596801193</v>
          </cell>
        </row>
        <row r="9129">
          <cell r="O9129">
            <v>49415</v>
          </cell>
          <cell r="P9129">
            <v>6.5854891606340811</v>
          </cell>
          <cell r="Q9129">
            <v>86.498629158953833</v>
          </cell>
        </row>
        <row r="9130">
          <cell r="O9130">
            <v>49416</v>
          </cell>
          <cell r="P9130">
            <v>6.5884794303264682</v>
          </cell>
          <cell r="Q9130">
            <v>86.537905547221726</v>
          </cell>
        </row>
        <row r="9131">
          <cell r="O9131">
            <v>49417</v>
          </cell>
          <cell r="P9131">
            <v>6.5914710578090796</v>
          </cell>
          <cell r="Q9131">
            <v>86.577199769699078</v>
          </cell>
        </row>
        <row r="9132">
          <cell r="O9132">
            <v>49418</v>
          </cell>
          <cell r="P9132">
            <v>6.5944640436984523</v>
          </cell>
          <cell r="Q9132">
            <v>86.61651183448393</v>
          </cell>
        </row>
        <row r="9133">
          <cell r="O9133">
            <v>49419</v>
          </cell>
          <cell r="P9133">
            <v>6.597458388611396</v>
          </cell>
          <cell r="Q9133">
            <v>86.655841749677919</v>
          </cell>
        </row>
        <row r="9134">
          <cell r="O9134">
            <v>49422</v>
          </cell>
          <cell r="P9134">
            <v>6.6004540931650029</v>
          </cell>
          <cell r="Q9134">
            <v>86.695189523386404</v>
          </cell>
        </row>
        <row r="9135">
          <cell r="O9135">
            <v>49423</v>
          </cell>
          <cell r="P9135">
            <v>6.6034511579766422</v>
          </cell>
          <cell r="Q9135">
            <v>86.734555163718326</v>
          </cell>
        </row>
        <row r="9136">
          <cell r="O9136">
            <v>49424</v>
          </cell>
          <cell r="P9136">
            <v>6.6064495836639656</v>
          </cell>
          <cell r="Q9136">
            <v>86.773938678786408</v>
          </cell>
        </row>
        <row r="9137">
          <cell r="O9137">
            <v>49425</v>
          </cell>
          <cell r="P9137">
            <v>6.6094493708449082</v>
          </cell>
          <cell r="Q9137">
            <v>86.813340076707036</v>
          </cell>
        </row>
        <row r="9138">
          <cell r="O9138">
            <v>49426</v>
          </cell>
          <cell r="P9138">
            <v>6.6124505201376786</v>
          </cell>
          <cell r="Q9138">
            <v>86.852759365600221</v>
          </cell>
        </row>
        <row r="9139">
          <cell r="O9139">
            <v>49429</v>
          </cell>
          <cell r="P9139">
            <v>6.6154530321607732</v>
          </cell>
          <cell r="Q9139">
            <v>86.892196553589756</v>
          </cell>
        </row>
        <row r="9140">
          <cell r="O9140">
            <v>49431</v>
          </cell>
          <cell r="P9140">
            <v>6.6184569075329645</v>
          </cell>
          <cell r="Q9140">
            <v>86.93165164880304</v>
          </cell>
        </row>
        <row r="9141">
          <cell r="O9141">
            <v>49432</v>
          </cell>
          <cell r="P9141">
            <v>6.6214621468733101</v>
          </cell>
          <cell r="Q9141">
            <v>86.971124659371242</v>
          </cell>
        </row>
        <row r="9142">
          <cell r="O9142">
            <v>49433</v>
          </cell>
          <cell r="P9142">
            <v>6.6244687508011433</v>
          </cell>
          <cell r="Q9142">
            <v>87.010615593429122</v>
          </cell>
        </row>
        <row r="9143">
          <cell r="O9143">
            <v>49436</v>
          </cell>
          <cell r="P9143">
            <v>6.6274767199360829</v>
          </cell>
          <cell r="Q9143">
            <v>87.05012445911521</v>
          </cell>
        </row>
        <row r="9144">
          <cell r="O9144">
            <v>49437</v>
          </cell>
          <cell r="P9144">
            <v>6.6304860548980269</v>
          </cell>
          <cell r="Q9144">
            <v>87.089651264571714</v>
          </cell>
        </row>
        <row r="9145">
          <cell r="O9145">
            <v>49438</v>
          </cell>
          <cell r="P9145">
            <v>6.633496756307161</v>
          </cell>
          <cell r="Q9145">
            <v>87.129196017944594</v>
          </cell>
        </row>
        <row r="9146">
          <cell r="O9146">
            <v>49439</v>
          </cell>
          <cell r="P9146">
            <v>6.6365088247839399</v>
          </cell>
          <cell r="Q9146">
            <v>87.168758727383349</v>
          </cell>
        </row>
        <row r="9147">
          <cell r="O9147">
            <v>49440</v>
          </cell>
          <cell r="P9147">
            <v>6.6395222609491089</v>
          </cell>
          <cell r="Q9147">
            <v>87.208339401041314</v>
          </cell>
        </row>
        <row r="9148">
          <cell r="O9148">
            <v>49443</v>
          </cell>
          <cell r="P9148">
            <v>6.6425370654236966</v>
          </cell>
          <cell r="Q9148">
            <v>87.247938047075536</v>
          </cell>
        </row>
        <row r="9149">
          <cell r="O9149">
            <v>49444</v>
          </cell>
          <cell r="P9149">
            <v>6.6455532388290113</v>
          </cell>
          <cell r="Q9149">
            <v>87.28755467364671</v>
          </cell>
        </row>
        <row r="9150">
          <cell r="O9150">
            <v>49445</v>
          </cell>
          <cell r="P9150">
            <v>6.6485707817866366</v>
          </cell>
          <cell r="Q9150">
            <v>87.3271892889192</v>
          </cell>
        </row>
        <row r="9151">
          <cell r="O9151">
            <v>49446</v>
          </cell>
          <cell r="P9151">
            <v>6.6515896949184494</v>
          </cell>
          <cell r="Q9151">
            <v>87.366841901061164</v>
          </cell>
        </row>
        <row r="9152">
          <cell r="O9152">
            <v>49447</v>
          </cell>
          <cell r="P9152">
            <v>6.6546099788466027</v>
          </cell>
          <cell r="Q9152">
            <v>87.40651251824444</v>
          </cell>
        </row>
        <row r="9153">
          <cell r="O9153">
            <v>49450</v>
          </cell>
          <cell r="P9153">
            <v>6.6576316341935362</v>
          </cell>
          <cell r="Q9153">
            <v>87.44620114864459</v>
          </cell>
        </row>
        <row r="9154">
          <cell r="O9154">
            <v>49451</v>
          </cell>
          <cell r="P9154">
            <v>6.6606546615819617</v>
          </cell>
          <cell r="Q9154">
            <v>87.485907800440756</v>
          </cell>
        </row>
        <row r="9155">
          <cell r="O9155">
            <v>49452</v>
          </cell>
          <cell r="P9155">
            <v>6.6636790616348875</v>
          </cell>
          <cell r="Q9155">
            <v>87.525632481816004</v>
          </cell>
        </row>
        <row r="9156">
          <cell r="O9156">
            <v>49454</v>
          </cell>
          <cell r="P9156">
            <v>6.6667048349755982</v>
          </cell>
          <cell r="Q9156">
            <v>87.565375200957007</v>
          </cell>
        </row>
        <row r="9157">
          <cell r="O9157">
            <v>49457</v>
          </cell>
          <cell r="P9157">
            <v>6.6697319822276615</v>
          </cell>
          <cell r="Q9157">
            <v>87.605135966054149</v>
          </cell>
        </row>
        <row r="9158">
          <cell r="O9158">
            <v>49458</v>
          </cell>
          <cell r="P9158">
            <v>6.6727605040149278</v>
          </cell>
          <cell r="Q9158">
            <v>87.644914785301552</v>
          </cell>
        </row>
        <row r="9159">
          <cell r="O9159">
            <v>49459</v>
          </cell>
          <cell r="P9159">
            <v>6.6757904009615308</v>
          </cell>
          <cell r="Q9159">
            <v>87.68471166689703</v>
          </cell>
        </row>
        <row r="9160">
          <cell r="O9160">
            <v>49460</v>
          </cell>
          <cell r="P9160">
            <v>6.6788216736918899</v>
          </cell>
          <cell r="Q9160">
            <v>87.724526619042166</v>
          </cell>
        </row>
        <row r="9161">
          <cell r="O9161">
            <v>49461</v>
          </cell>
          <cell r="P9161">
            <v>6.6818543228307075</v>
          </cell>
          <cell r="Q9161">
            <v>87.764359649942264</v>
          </cell>
        </row>
        <row r="9162">
          <cell r="O9162">
            <v>49464</v>
          </cell>
          <cell r="P9162">
            <v>6.684888349002966</v>
          </cell>
          <cell r="Q9162">
            <v>87.80421076780631</v>
          </cell>
        </row>
        <row r="9163">
          <cell r="O9163">
            <v>49465</v>
          </cell>
          <cell r="P9163">
            <v>6.6879237528339353</v>
          </cell>
          <cell r="Q9163">
            <v>87.844079980847027</v>
          </cell>
        </row>
        <row r="9164">
          <cell r="O9164">
            <v>49466</v>
          </cell>
          <cell r="P9164">
            <v>6.6909605349491672</v>
          </cell>
          <cell r="Q9164">
            <v>87.88396729728089</v>
          </cell>
        </row>
        <row r="9165">
          <cell r="O9165">
            <v>49467</v>
          </cell>
          <cell r="P9165">
            <v>6.6939986959745044</v>
          </cell>
          <cell r="Q9165">
            <v>87.923872725328167</v>
          </cell>
        </row>
        <row r="9166">
          <cell r="O9166">
            <v>49468</v>
          </cell>
          <cell r="P9166">
            <v>6.6970382365360601</v>
          </cell>
          <cell r="Q9166">
            <v>87.963796273212694</v>
          </cell>
        </row>
        <row r="9167">
          <cell r="O9167">
            <v>49471</v>
          </cell>
          <cell r="P9167">
            <v>6.7000791572602418</v>
          </cell>
          <cell r="Q9167">
            <v>88.003737949162158</v>
          </cell>
        </row>
        <row r="9168">
          <cell r="O9168">
            <v>49472</v>
          </cell>
          <cell r="P9168">
            <v>6.7031214587737411</v>
          </cell>
          <cell r="Q9168">
            <v>88.043697761407998</v>
          </cell>
        </row>
        <row r="9169">
          <cell r="O9169">
            <v>49473</v>
          </cell>
          <cell r="P9169">
            <v>6.7061651417035346</v>
          </cell>
          <cell r="Q9169">
            <v>88.083675718185361</v>
          </cell>
        </row>
        <row r="9170">
          <cell r="O9170">
            <v>49474</v>
          </cell>
          <cell r="P9170">
            <v>6.7092102066768735</v>
          </cell>
          <cell r="Q9170">
            <v>88.123671827733034</v>
          </cell>
        </row>
        <row r="9171">
          <cell r="O9171">
            <v>49475</v>
          </cell>
          <cell r="P9171">
            <v>6.7122566543213074</v>
          </cell>
          <cell r="Q9171">
            <v>88.163686098293724</v>
          </cell>
        </row>
        <row r="9172">
          <cell r="O9172">
            <v>49478</v>
          </cell>
          <cell r="P9172">
            <v>6.7153044852646646</v>
          </cell>
          <cell r="Q9172">
            <v>88.203718538113762</v>
          </cell>
        </row>
        <row r="9173">
          <cell r="O9173">
            <v>49479</v>
          </cell>
          <cell r="P9173">
            <v>6.7183537001350597</v>
          </cell>
          <cell r="Q9173">
            <v>88.243769155443289</v>
          </cell>
        </row>
        <row r="9174">
          <cell r="O9174">
            <v>49480</v>
          </cell>
          <cell r="P9174">
            <v>6.7214042995608878</v>
          </cell>
          <cell r="Q9174">
            <v>88.283837958536083</v>
          </cell>
        </row>
        <row r="9175">
          <cell r="O9175">
            <v>49481</v>
          </cell>
          <cell r="P9175">
            <v>6.7244562841708371</v>
          </cell>
          <cell r="Q9175">
            <v>88.323924955649815</v>
          </cell>
        </row>
        <row r="9176">
          <cell r="O9176">
            <v>49482</v>
          </cell>
          <cell r="P9176">
            <v>6.7275096545938524</v>
          </cell>
          <cell r="Q9176">
            <v>88.364030155045498</v>
          </cell>
        </row>
        <row r="9177">
          <cell r="O9177">
            <v>49485</v>
          </cell>
          <cell r="P9177">
            <v>6.7305644114592598</v>
          </cell>
          <cell r="Q9177">
            <v>88.404153564989159</v>
          </cell>
        </row>
        <row r="9178">
          <cell r="O9178">
            <v>49486</v>
          </cell>
          <cell r="P9178">
            <v>6.7336205553965298</v>
          </cell>
          <cell r="Q9178">
            <v>88.444295193748715</v>
          </cell>
        </row>
        <row r="9179">
          <cell r="O9179">
            <v>49487</v>
          </cell>
          <cell r="P9179">
            <v>6.7366780870355125</v>
          </cell>
          <cell r="Q9179">
            <v>88.484455049597102</v>
          </cell>
        </row>
        <row r="9180">
          <cell r="O9180">
            <v>49488</v>
          </cell>
          <cell r="P9180">
            <v>6.7397370070063207</v>
          </cell>
          <cell r="Q9180">
            <v>88.524633140810664</v>
          </cell>
        </row>
        <row r="9181">
          <cell r="O9181">
            <v>49489</v>
          </cell>
          <cell r="P9181">
            <v>6.7427973159393586</v>
          </cell>
          <cell r="Q9181">
            <v>88.564829475669583</v>
          </cell>
        </row>
        <row r="9182">
          <cell r="O9182">
            <v>49492</v>
          </cell>
          <cell r="P9182">
            <v>6.7458590144653039</v>
          </cell>
          <cell r="Q9182">
            <v>88.605044062457665</v>
          </cell>
        </row>
        <row r="9183">
          <cell r="O9183">
            <v>49493</v>
          </cell>
          <cell r="P9183">
            <v>6.7489221032151301</v>
          </cell>
          <cell r="Q9183">
            <v>88.645276909462552</v>
          </cell>
        </row>
        <row r="9184">
          <cell r="O9184">
            <v>49494</v>
          </cell>
          <cell r="P9184">
            <v>6.751986582820078</v>
          </cell>
          <cell r="Q9184">
            <v>88.68552802497544</v>
          </cell>
        </row>
        <row r="9185">
          <cell r="O9185">
            <v>49495</v>
          </cell>
          <cell r="P9185">
            <v>6.755052453911734</v>
          </cell>
          <cell r="Q9185">
            <v>88.725797417292043</v>
          </cell>
        </row>
        <row r="9186">
          <cell r="O9186">
            <v>49496</v>
          </cell>
          <cell r="P9186">
            <v>6.7581197171219065</v>
          </cell>
          <cell r="Q9186">
            <v>88.766085094711002</v>
          </cell>
        </row>
        <row r="9187">
          <cell r="O9187">
            <v>49499</v>
          </cell>
          <cell r="P9187">
            <v>6.7611883730827138</v>
          </cell>
          <cell r="Q9187">
            <v>88.806391065534996</v>
          </cell>
        </row>
        <row r="9188">
          <cell r="O9188">
            <v>49500</v>
          </cell>
          <cell r="P9188">
            <v>6.7642584224265621</v>
          </cell>
          <cell r="Q9188">
            <v>88.846715338070538</v>
          </cell>
        </row>
        <row r="9189">
          <cell r="O9189">
            <v>49501</v>
          </cell>
          <cell r="P9189">
            <v>6.7673298657861478</v>
          </cell>
          <cell r="Q9189">
            <v>88.887057920627896</v>
          </cell>
        </row>
        <row r="9190">
          <cell r="O9190">
            <v>49502</v>
          </cell>
          <cell r="P9190">
            <v>6.7704027037944456</v>
          </cell>
          <cell r="Q9190">
            <v>88.927418821521059</v>
          </cell>
        </row>
        <row r="9191">
          <cell r="O9191">
            <v>49503</v>
          </cell>
          <cell r="P9191">
            <v>6.7734769370847232</v>
          </cell>
          <cell r="Q9191">
            <v>88.967798049067795</v>
          </cell>
        </row>
        <row r="9192">
          <cell r="O9192">
            <v>49506</v>
          </cell>
          <cell r="P9192">
            <v>6.7765525662905386</v>
          </cell>
          <cell r="Q9192">
            <v>89.008195611589741</v>
          </cell>
        </row>
        <row r="9193">
          <cell r="O9193">
            <v>49507</v>
          </cell>
          <cell r="P9193">
            <v>6.7796295920457368</v>
          </cell>
          <cell r="Q9193">
            <v>89.048611517412255</v>
          </cell>
        </row>
        <row r="9194">
          <cell r="O9194">
            <v>49508</v>
          </cell>
          <cell r="P9194">
            <v>6.7827080149844399</v>
          </cell>
          <cell r="Q9194">
            <v>89.089045774864388</v>
          </cell>
        </row>
        <row r="9195">
          <cell r="O9195">
            <v>49509</v>
          </cell>
          <cell r="P9195">
            <v>6.7857878357410728</v>
          </cell>
          <cell r="Q9195">
            <v>89.129498392279132</v>
          </cell>
        </row>
        <row r="9196">
          <cell r="O9196">
            <v>49510</v>
          </cell>
          <cell r="P9196">
            <v>6.7888690549503394</v>
          </cell>
          <cell r="Q9196">
            <v>89.169969377993141</v>
          </cell>
        </row>
        <row r="9197">
          <cell r="O9197">
            <v>49513</v>
          </cell>
          <cell r="P9197">
            <v>6.7919516732472376</v>
          </cell>
          <cell r="Q9197">
            <v>89.210458740346951</v>
          </cell>
        </row>
        <row r="9198">
          <cell r="O9198">
            <v>49514</v>
          </cell>
          <cell r="P9198">
            <v>6.7950356912670467</v>
          </cell>
          <cell r="Q9198">
            <v>89.250966487684778</v>
          </cell>
        </row>
        <row r="9199">
          <cell r="O9199">
            <v>49515</v>
          </cell>
          <cell r="P9199">
            <v>6.7981211096453391</v>
          </cell>
          <cell r="Q9199">
            <v>89.291492628354703</v>
          </cell>
        </row>
        <row r="9200">
          <cell r="O9200">
            <v>49516</v>
          </cell>
          <cell r="P9200">
            <v>6.8012079290179761</v>
          </cell>
          <cell r="Q9200">
            <v>89.332037170708603</v>
          </cell>
        </row>
        <row r="9201">
          <cell r="O9201">
            <v>49517</v>
          </cell>
          <cell r="P9201">
            <v>6.8042961500211048</v>
          </cell>
          <cell r="Q9201">
            <v>89.372600123102075</v>
          </cell>
        </row>
        <row r="9202">
          <cell r="O9202">
            <v>49520</v>
          </cell>
          <cell r="P9202">
            <v>6.8073857732911636</v>
          </cell>
          <cell r="Q9202">
            <v>89.413181493894569</v>
          </cell>
        </row>
        <row r="9203">
          <cell r="O9203">
            <v>49521</v>
          </cell>
          <cell r="P9203">
            <v>6.8104767994648796</v>
          </cell>
          <cell r="Q9203">
            <v>89.453781291449346</v>
          </cell>
        </row>
        <row r="9204">
          <cell r="O9204">
            <v>49522</v>
          </cell>
          <cell r="P9204">
            <v>6.8135692291792695</v>
          </cell>
          <cell r="Q9204">
            <v>89.494399524133428</v>
          </cell>
        </row>
        <row r="9205">
          <cell r="O9205">
            <v>49523</v>
          </cell>
          <cell r="P9205">
            <v>6.8166630630716352</v>
          </cell>
          <cell r="Q9205">
            <v>89.535036200317606</v>
          </cell>
        </row>
        <row r="9206">
          <cell r="O9206">
            <v>49524</v>
          </cell>
          <cell r="P9206">
            <v>6.8197583017795731</v>
          </cell>
          <cell r="Q9206">
            <v>89.57569132837655</v>
          </cell>
        </row>
        <row r="9207">
          <cell r="O9207">
            <v>49527</v>
          </cell>
          <cell r="P9207">
            <v>6.8228549459409651</v>
          </cell>
          <cell r="Q9207">
            <v>89.616364916688667</v>
          </cell>
        </row>
        <row r="9208">
          <cell r="O9208">
            <v>49528</v>
          </cell>
          <cell r="P9208">
            <v>6.8259529961939904</v>
          </cell>
          <cell r="Q9208">
            <v>89.657056973636244</v>
          </cell>
        </row>
        <row r="9209">
          <cell r="O9209">
            <v>49529</v>
          </cell>
          <cell r="P9209">
            <v>6.8290524531771064</v>
          </cell>
          <cell r="Q9209">
            <v>89.697767507605278</v>
          </cell>
        </row>
        <row r="9210">
          <cell r="O9210">
            <v>49530</v>
          </cell>
          <cell r="P9210">
            <v>6.8321533175290661</v>
          </cell>
          <cell r="Q9210">
            <v>89.7384965269856</v>
          </cell>
        </row>
        <row r="9211">
          <cell r="O9211">
            <v>49531</v>
          </cell>
          <cell r="P9211">
            <v>6.8352555898889165</v>
          </cell>
          <cell r="Q9211">
            <v>89.779244040170937</v>
          </cell>
        </row>
        <row r="9212">
          <cell r="O9212">
            <v>49534</v>
          </cell>
          <cell r="P9212">
            <v>6.8383592708959924</v>
          </cell>
          <cell r="Q9212">
            <v>89.820010055558754</v>
          </cell>
        </row>
        <row r="9213">
          <cell r="O9213">
            <v>49535</v>
          </cell>
          <cell r="P9213">
            <v>6.8414643611899102</v>
          </cell>
          <cell r="Q9213">
            <v>89.860794581550266</v>
          </cell>
        </row>
        <row r="9214">
          <cell r="O9214">
            <v>49536</v>
          </cell>
          <cell r="P9214">
            <v>6.84457086141059</v>
          </cell>
          <cell r="Q9214">
            <v>89.901597626550625</v>
          </cell>
        </row>
        <row r="9215">
          <cell r="O9215">
            <v>49537</v>
          </cell>
          <cell r="P9215">
            <v>6.8476787721982353</v>
          </cell>
          <cell r="Q9215">
            <v>89.942419198968764</v>
          </cell>
        </row>
        <row r="9216">
          <cell r="O9216">
            <v>49538</v>
          </cell>
          <cell r="P9216">
            <v>6.8507880941933426</v>
          </cell>
          <cell r="Q9216">
            <v>89.983259307217409</v>
          </cell>
        </row>
        <row r="9217">
          <cell r="O9217">
            <v>49541</v>
          </cell>
          <cell r="P9217">
            <v>6.8538988280366944</v>
          </cell>
          <cell r="Q9217">
            <v>90.024117959713067</v>
          </cell>
        </row>
        <row r="9218">
          <cell r="O9218">
            <v>49542</v>
          </cell>
          <cell r="P9218">
            <v>6.8570109743693708</v>
          </cell>
          <cell r="Q9218">
            <v>90.064995164876166</v>
          </cell>
        </row>
        <row r="9219">
          <cell r="O9219">
            <v>49543</v>
          </cell>
          <cell r="P9219">
            <v>6.8601245338327388</v>
          </cell>
          <cell r="Q9219">
            <v>90.105890931130872</v>
          </cell>
        </row>
        <row r="9220">
          <cell r="O9220">
            <v>49544</v>
          </cell>
          <cell r="P9220">
            <v>6.8632395070684611</v>
          </cell>
          <cell r="Q9220">
            <v>90.146805266905261</v>
          </cell>
        </row>
        <row r="9221">
          <cell r="O9221">
            <v>49545</v>
          </cell>
          <cell r="P9221">
            <v>6.8663558947184846</v>
          </cell>
          <cell r="Q9221">
            <v>90.187738180631143</v>
          </cell>
        </row>
        <row r="9222">
          <cell r="O9222">
            <v>49548</v>
          </cell>
          <cell r="P9222">
            <v>6.869473697425053</v>
          </cell>
          <cell r="Q9222">
            <v>90.228689680744196</v>
          </cell>
        </row>
        <row r="9223">
          <cell r="O9223">
            <v>49549</v>
          </cell>
          <cell r="P9223">
            <v>6.8725929158306984</v>
          </cell>
          <cell r="Q9223">
            <v>90.26965977568392</v>
          </cell>
        </row>
        <row r="9224">
          <cell r="O9224">
            <v>49550</v>
          </cell>
          <cell r="P9224">
            <v>6.8757135505782543</v>
          </cell>
          <cell r="Q9224">
            <v>90.310648473893764</v>
          </cell>
        </row>
        <row r="9225">
          <cell r="O9225">
            <v>49551</v>
          </cell>
          <cell r="P9225">
            <v>6.8788356023108284</v>
          </cell>
          <cell r="Q9225">
            <v>90.351655783820746</v>
          </cell>
        </row>
        <row r="9226">
          <cell r="O9226">
            <v>49552</v>
          </cell>
          <cell r="P9226">
            <v>6.881959071671834</v>
          </cell>
          <cell r="Q9226">
            <v>90.392681713915962</v>
          </cell>
        </row>
        <row r="9227">
          <cell r="O9227">
            <v>49555</v>
          </cell>
          <cell r="P9227">
            <v>6.8850839593049749</v>
          </cell>
          <cell r="Q9227">
            <v>90.433726272634274</v>
          </cell>
        </row>
        <row r="9228">
          <cell r="O9228">
            <v>49556</v>
          </cell>
          <cell r="P9228">
            <v>6.8882102658542479</v>
          </cell>
          <cell r="Q9228">
            <v>90.474789468434409</v>
          </cell>
        </row>
        <row r="9229">
          <cell r="O9229">
            <v>49557</v>
          </cell>
          <cell r="P9229">
            <v>6.8913379919639297</v>
          </cell>
          <cell r="Q9229">
            <v>90.515871309778774</v>
          </cell>
        </row>
        <row r="9230">
          <cell r="O9230">
            <v>49558</v>
          </cell>
          <cell r="P9230">
            <v>6.8944671382786069</v>
          </cell>
          <cell r="Q9230">
            <v>90.556971805133827</v>
          </cell>
        </row>
        <row r="9231">
          <cell r="O9231">
            <v>49562</v>
          </cell>
          <cell r="P9231">
            <v>6.8975977054431503</v>
          </cell>
          <cell r="Q9231">
            <v>90.598090962969763</v>
          </cell>
        </row>
        <row r="9232">
          <cell r="O9232">
            <v>49563</v>
          </cell>
          <cell r="P9232">
            <v>6.9007296941027247</v>
          </cell>
          <cell r="Q9232">
            <v>90.639228791760686</v>
          </cell>
        </row>
        <row r="9233">
          <cell r="O9233">
            <v>49564</v>
          </cell>
          <cell r="P9233">
            <v>6.9038631049027845</v>
          </cell>
          <cell r="Q9233">
            <v>90.680385299984422</v>
          </cell>
        </row>
        <row r="9234">
          <cell r="O9234">
            <v>49565</v>
          </cell>
          <cell r="P9234">
            <v>6.9069979384890834</v>
          </cell>
          <cell r="Q9234">
            <v>90.721560496122805</v>
          </cell>
        </row>
        <row r="9235">
          <cell r="O9235">
            <v>49566</v>
          </cell>
          <cell r="P9235">
            <v>6.9101341955076645</v>
          </cell>
          <cell r="Q9235">
            <v>90.762754388661435</v>
          </cell>
        </row>
        <row r="9236">
          <cell r="O9236">
            <v>49569</v>
          </cell>
          <cell r="P9236">
            <v>6.9132718766048651</v>
          </cell>
          <cell r="Q9236">
            <v>90.803966986089762</v>
          </cell>
        </row>
        <row r="9237">
          <cell r="O9237">
            <v>49570</v>
          </cell>
          <cell r="P9237">
            <v>6.9164109824273146</v>
          </cell>
          <cell r="Q9237">
            <v>90.845198296901088</v>
          </cell>
        </row>
        <row r="9238">
          <cell r="O9238">
            <v>49571</v>
          </cell>
          <cell r="P9238">
            <v>6.9195515136219381</v>
          </cell>
          <cell r="Q9238">
            <v>90.886448329592625</v>
          </cell>
        </row>
        <row r="9239">
          <cell r="O9239">
            <v>49572</v>
          </cell>
          <cell r="P9239">
            <v>6.9226934708359522</v>
          </cell>
          <cell r="Q9239">
            <v>90.927717092665361</v>
          </cell>
        </row>
        <row r="9240">
          <cell r="O9240">
            <v>49573</v>
          </cell>
          <cell r="P9240">
            <v>6.9258368547168754</v>
          </cell>
          <cell r="Q9240">
            <v>90.969004594624295</v>
          </cell>
        </row>
        <row r="9241">
          <cell r="O9241">
            <v>49576</v>
          </cell>
          <cell r="P9241">
            <v>6.928981665912505</v>
          </cell>
          <cell r="Q9241">
            <v>91.010310843978061</v>
          </cell>
        </row>
        <row r="9242">
          <cell r="O9242">
            <v>49577</v>
          </cell>
          <cell r="P9242">
            <v>6.9321279050709421</v>
          </cell>
          <cell r="Q9242">
            <v>91.051635849239304</v>
          </cell>
        </row>
        <row r="9243">
          <cell r="O9243">
            <v>49578</v>
          </cell>
          <cell r="P9243">
            <v>6.9352755728405864</v>
          </cell>
          <cell r="Q9243">
            <v>91.092979618924559</v>
          </cell>
        </row>
        <row r="9244">
          <cell r="O9244">
            <v>49579</v>
          </cell>
          <cell r="P9244">
            <v>6.938424669870126</v>
          </cell>
          <cell r="Q9244">
            <v>91.134342161554187</v>
          </cell>
        </row>
        <row r="9245">
          <cell r="O9245">
            <v>49580</v>
          </cell>
          <cell r="P9245">
            <v>6.9415751968085369</v>
          </cell>
          <cell r="Q9245">
            <v>91.175723485652327</v>
          </cell>
        </row>
        <row r="9246">
          <cell r="O9246">
            <v>49583</v>
          </cell>
          <cell r="P9246">
            <v>6.9447271543051041</v>
          </cell>
          <cell r="Q9246">
            <v>91.217123599747126</v>
          </cell>
        </row>
        <row r="9247">
          <cell r="O9247">
            <v>49584</v>
          </cell>
          <cell r="P9247">
            <v>6.9478805430093988</v>
          </cell>
          <cell r="Q9247">
            <v>91.258542512370553</v>
          </cell>
        </row>
        <row r="9248">
          <cell r="O9248">
            <v>49585</v>
          </cell>
          <cell r="P9248">
            <v>6.9510353635712896</v>
          </cell>
          <cell r="Q9248">
            <v>91.299980232058445</v>
          </cell>
        </row>
        <row r="9249">
          <cell r="O9249">
            <v>49586</v>
          </cell>
          <cell r="P9249">
            <v>6.9541916166409372</v>
          </cell>
          <cell r="Q9249">
            <v>91.341436767350501</v>
          </cell>
        </row>
        <row r="9250">
          <cell r="O9250">
            <v>49587</v>
          </cell>
          <cell r="P9250">
            <v>6.9573493028688</v>
          </cell>
          <cell r="Q9250">
            <v>91.382912126790302</v>
          </cell>
        </row>
        <row r="9251">
          <cell r="O9251">
            <v>49590</v>
          </cell>
          <cell r="P9251">
            <v>6.9605084229056322</v>
          </cell>
          <cell r="Q9251">
            <v>91.42440631892535</v>
          </cell>
        </row>
        <row r="9252">
          <cell r="O9252">
            <v>49591</v>
          </cell>
          <cell r="P9252">
            <v>6.9636689774024836</v>
          </cell>
          <cell r="Q9252">
            <v>91.465919352306983</v>
          </cell>
        </row>
        <row r="9253">
          <cell r="O9253">
            <v>49592</v>
          </cell>
          <cell r="P9253">
            <v>6.9668309670106963</v>
          </cell>
          <cell r="Q9253">
            <v>91.507451235490421</v>
          </cell>
        </row>
        <row r="9254">
          <cell r="O9254">
            <v>49593</v>
          </cell>
          <cell r="P9254">
            <v>6.9699943923819125</v>
          </cell>
          <cell r="Q9254">
            <v>91.549001977034806</v>
          </cell>
        </row>
        <row r="9255">
          <cell r="O9255">
            <v>49597</v>
          </cell>
          <cell r="P9255">
            <v>6.973159254168066</v>
          </cell>
          <cell r="Q9255">
            <v>91.590571585503113</v>
          </cell>
        </row>
        <row r="9256">
          <cell r="O9256">
            <v>49598</v>
          </cell>
          <cell r="P9256">
            <v>6.976325553021395</v>
          </cell>
          <cell r="Q9256">
            <v>91.632160069462316</v>
          </cell>
        </row>
        <row r="9257">
          <cell r="O9257">
            <v>49599</v>
          </cell>
          <cell r="P9257">
            <v>6.9794932895944211</v>
          </cell>
          <cell r="Q9257">
            <v>91.673767437483107</v>
          </cell>
        </row>
        <row r="9258">
          <cell r="O9258">
            <v>49600</v>
          </cell>
          <cell r="P9258">
            <v>6.9826624645399695</v>
          </cell>
          <cell r="Q9258">
            <v>91.715393698140176</v>
          </cell>
        </row>
        <row r="9259">
          <cell r="O9259">
            <v>49601</v>
          </cell>
          <cell r="P9259">
            <v>6.9858330785111651</v>
          </cell>
          <cell r="Q9259">
            <v>91.75703886001213</v>
          </cell>
        </row>
        <row r="9260">
          <cell r="O9260">
            <v>49604</v>
          </cell>
          <cell r="P9260">
            <v>6.9890051321614273</v>
          </cell>
          <cell r="Q9260">
            <v>91.798702931681476</v>
          </cell>
        </row>
        <row r="9261">
          <cell r="O9261">
            <v>49605</v>
          </cell>
          <cell r="P9261">
            <v>6.9921786261444563</v>
          </cell>
          <cell r="Q9261">
            <v>91.840385921734381</v>
          </cell>
        </row>
        <row r="9262">
          <cell r="O9262">
            <v>49606</v>
          </cell>
          <cell r="P9262">
            <v>6.9953535611142863</v>
          </cell>
          <cell r="Q9262">
            <v>91.882087838761393</v>
          </cell>
        </row>
        <row r="9263">
          <cell r="O9263">
            <v>49607</v>
          </cell>
          <cell r="P9263">
            <v>6.9985299377252099</v>
          </cell>
          <cell r="Q9263">
            <v>91.923808691356498</v>
          </cell>
        </row>
        <row r="9264">
          <cell r="O9264">
            <v>49608</v>
          </cell>
          <cell r="P9264">
            <v>7.0017077566318315</v>
          </cell>
          <cell r="Q9264">
            <v>91.965548488117733</v>
          </cell>
        </row>
        <row r="9265">
          <cell r="O9265">
            <v>49611</v>
          </cell>
          <cell r="P9265">
            <v>7.0048870184890593</v>
          </cell>
          <cell r="Q9265">
            <v>92.00730723764714</v>
          </cell>
        </row>
        <row r="9266">
          <cell r="O9266">
            <v>49612</v>
          </cell>
          <cell r="P9266">
            <v>7.0080677239520908</v>
          </cell>
          <cell r="Q9266">
            <v>92.049084948550572</v>
          </cell>
        </row>
        <row r="9267">
          <cell r="O9267">
            <v>49613</v>
          </cell>
          <cell r="P9267">
            <v>7.0112498736764257</v>
          </cell>
          <cell r="Q9267">
            <v>92.090881629437831</v>
          </cell>
        </row>
        <row r="9268">
          <cell r="O9268">
            <v>49614</v>
          </cell>
          <cell r="P9268">
            <v>7.0144334683178551</v>
          </cell>
          <cell r="Q9268">
            <v>92.132697288922557</v>
          </cell>
        </row>
        <row r="9269">
          <cell r="O9269">
            <v>49618</v>
          </cell>
          <cell r="P9269">
            <v>7.0176185085324745</v>
          </cell>
          <cell r="Q9269">
            <v>92.174531935622383</v>
          </cell>
        </row>
        <row r="9270">
          <cell r="O9270">
            <v>49619</v>
          </cell>
          <cell r="P9270">
            <v>7.0208049949766735</v>
          </cell>
          <cell r="Q9270">
            <v>92.216385578158835</v>
          </cell>
        </row>
        <row r="9271">
          <cell r="O9271">
            <v>49620</v>
          </cell>
          <cell r="P9271">
            <v>7.0239929283071421</v>
          </cell>
          <cell r="Q9271">
            <v>92.258258225157334</v>
          </cell>
        </row>
        <row r="9272">
          <cell r="O9272">
            <v>49621</v>
          </cell>
          <cell r="P9272">
            <v>7.0271823091808656</v>
          </cell>
          <cell r="Q9272">
            <v>92.300149885247208</v>
          </cell>
        </row>
        <row r="9273">
          <cell r="O9273">
            <v>49622</v>
          </cell>
          <cell r="P9273">
            <v>7.03037313825513</v>
          </cell>
          <cell r="Q9273">
            <v>92.34206056706175</v>
          </cell>
        </row>
        <row r="9274">
          <cell r="O9274">
            <v>49625</v>
          </cell>
          <cell r="P9274">
            <v>7.0335654161875167</v>
          </cell>
          <cell r="Q9274">
            <v>92.383990279238091</v>
          </cell>
        </row>
        <row r="9275">
          <cell r="O9275">
            <v>49626</v>
          </cell>
          <cell r="P9275">
            <v>7.0367591436359156</v>
          </cell>
          <cell r="Q9275">
            <v>92.425939030417453</v>
          </cell>
        </row>
        <row r="9276">
          <cell r="O9276">
            <v>49627</v>
          </cell>
          <cell r="P9276">
            <v>7.0399543212584987</v>
          </cell>
          <cell r="Q9276">
            <v>92.46790682924474</v>
          </cell>
        </row>
        <row r="9277">
          <cell r="O9277">
            <v>49629</v>
          </cell>
          <cell r="P9277">
            <v>7.0431509497137483</v>
          </cell>
          <cell r="Q9277">
            <v>92.509893684368961</v>
          </cell>
        </row>
        <row r="9278">
          <cell r="O9278">
            <v>49632</v>
          </cell>
          <cell r="P9278">
            <v>7.0463490296604459</v>
          </cell>
          <cell r="Q9278">
            <v>92.551899604442994</v>
          </cell>
        </row>
        <row r="9279">
          <cell r="O9279">
            <v>49633</v>
          </cell>
          <cell r="P9279">
            <v>7.0495485617576703</v>
          </cell>
          <cell r="Q9279">
            <v>92.593924598123706</v>
          </cell>
        </row>
        <row r="9280">
          <cell r="O9280">
            <v>49634</v>
          </cell>
          <cell r="P9280">
            <v>7.0527495466647929</v>
          </cell>
          <cell r="Q9280">
            <v>92.635968674071734</v>
          </cell>
        </row>
        <row r="9281">
          <cell r="O9281">
            <v>49635</v>
          </cell>
          <cell r="P9281">
            <v>7.0559519850414949</v>
          </cell>
          <cell r="Q9281">
            <v>92.678031840951817</v>
          </cell>
        </row>
        <row r="9282">
          <cell r="O9282">
            <v>49636</v>
          </cell>
          <cell r="P9282">
            <v>7.0591558775477514</v>
          </cell>
          <cell r="Q9282">
            <v>92.720114107432551</v>
          </cell>
        </row>
        <row r="9283">
          <cell r="O9283">
            <v>49639</v>
          </cell>
          <cell r="P9283">
            <v>7.0623612248438414</v>
          </cell>
          <cell r="Q9283">
            <v>92.762215482186534</v>
          </cell>
        </row>
        <row r="9284">
          <cell r="O9284">
            <v>49640</v>
          </cell>
          <cell r="P9284">
            <v>7.0655680275903325</v>
          </cell>
          <cell r="Q9284">
            <v>92.804335973890133</v>
          </cell>
        </row>
        <row r="9285">
          <cell r="O9285">
            <v>49641</v>
          </cell>
          <cell r="P9285">
            <v>7.0687762864481067</v>
          </cell>
          <cell r="Q9285">
            <v>92.846475591223864</v>
          </cell>
        </row>
        <row r="9286">
          <cell r="O9286">
            <v>49642</v>
          </cell>
          <cell r="P9286">
            <v>7.0719860020783392</v>
          </cell>
          <cell r="Q9286">
            <v>92.888634342872081</v>
          </cell>
        </row>
        <row r="9287">
          <cell r="O9287">
            <v>49643</v>
          </cell>
          <cell r="P9287">
            <v>7.075197175142506</v>
          </cell>
          <cell r="Q9287">
            <v>92.930812237523085</v>
          </cell>
        </row>
        <row r="9288">
          <cell r="O9288">
            <v>49646</v>
          </cell>
          <cell r="P9288">
            <v>7.0784098063023562</v>
          </cell>
          <cell r="Q9288">
            <v>92.973009283868791</v>
          </cell>
        </row>
        <row r="9289">
          <cell r="O9289">
            <v>49647</v>
          </cell>
          <cell r="P9289">
            <v>7.0816238962200426</v>
          </cell>
          <cell r="Q9289">
            <v>93.015225490606383</v>
          </cell>
        </row>
        <row r="9290">
          <cell r="O9290">
            <v>49648</v>
          </cell>
          <cell r="P9290">
            <v>7.084839445557841</v>
          </cell>
          <cell r="Q9290">
            <v>93.057460866434681</v>
          </cell>
        </row>
        <row r="9291">
          <cell r="O9291">
            <v>49649</v>
          </cell>
          <cell r="P9291">
            <v>7.0880564549785365</v>
          </cell>
          <cell r="Q9291">
            <v>93.099715420059184</v>
          </cell>
        </row>
        <row r="9292">
          <cell r="O9292">
            <v>49650</v>
          </cell>
          <cell r="P9292">
            <v>7.0912749251449991</v>
          </cell>
          <cell r="Q9292">
            <v>93.141989160186512</v>
          </cell>
        </row>
        <row r="9293">
          <cell r="O9293">
            <v>49653</v>
          </cell>
          <cell r="P9293">
            <v>7.0944948567206119</v>
          </cell>
          <cell r="Q9293">
            <v>93.184282095530037</v>
          </cell>
        </row>
        <row r="9294">
          <cell r="O9294">
            <v>49654</v>
          </cell>
          <cell r="P9294">
            <v>7.0977162503688582</v>
          </cell>
          <cell r="Q9294">
            <v>93.226594234804409</v>
          </cell>
        </row>
        <row r="9295">
          <cell r="O9295">
            <v>49655</v>
          </cell>
          <cell r="P9295">
            <v>7.1009391067536978</v>
          </cell>
          <cell r="Q9295">
            <v>93.268925586730589</v>
          </cell>
        </row>
        <row r="9296">
          <cell r="O9296">
            <v>49656</v>
          </cell>
          <cell r="P9296">
            <v>7.1041634265392819</v>
          </cell>
          <cell r="Q9296">
            <v>93.311276160031994</v>
          </cell>
        </row>
        <row r="9297">
          <cell r="O9297">
            <v>49657</v>
          </cell>
          <cell r="P9297">
            <v>7.1073892103901022</v>
          </cell>
          <cell r="Q9297">
            <v>93.353645963436577</v>
          </cell>
        </row>
        <row r="9298">
          <cell r="O9298">
            <v>49660</v>
          </cell>
          <cell r="P9298">
            <v>7.1106164589709451</v>
          </cell>
          <cell r="Q9298">
            <v>93.396035005676111</v>
          </cell>
        </row>
        <row r="9299">
          <cell r="O9299">
            <v>49661</v>
          </cell>
          <cell r="P9299">
            <v>7.1138451729468999</v>
          </cell>
          <cell r="Q9299">
            <v>93.438443295486366</v>
          </cell>
        </row>
        <row r="9300">
          <cell r="O9300">
            <v>49662</v>
          </cell>
          <cell r="P9300">
            <v>7.1170753529833561</v>
          </cell>
          <cell r="Q9300">
            <v>93.480870841607043</v>
          </cell>
        </row>
        <row r="9301">
          <cell r="O9301">
            <v>49663</v>
          </cell>
          <cell r="P9301">
            <v>7.120306999746008</v>
          </cell>
          <cell r="Q9301">
            <v>93.523317652781884</v>
          </cell>
        </row>
        <row r="9302">
          <cell r="O9302">
            <v>49664</v>
          </cell>
          <cell r="P9302">
            <v>7.1235401139008507</v>
          </cell>
          <cell r="Q9302">
            <v>93.565783737758537</v>
          </cell>
        </row>
        <row r="9303">
          <cell r="O9303">
            <v>49667</v>
          </cell>
          <cell r="P9303">
            <v>7.1267746961141851</v>
          </cell>
          <cell r="Q9303">
            <v>93.608269105288684</v>
          </cell>
        </row>
        <row r="9304">
          <cell r="O9304">
            <v>49669</v>
          </cell>
          <cell r="P9304">
            <v>7.1300107470526077</v>
          </cell>
          <cell r="Q9304">
            <v>93.650773764127905</v>
          </cell>
        </row>
        <row r="9305">
          <cell r="O9305">
            <v>49670</v>
          </cell>
          <cell r="P9305">
            <v>7.1332482673830233</v>
          </cell>
          <cell r="Q9305">
            <v>93.693297723035798</v>
          </cell>
        </row>
        <row r="9306">
          <cell r="O9306">
            <v>49671</v>
          </cell>
          <cell r="P9306">
            <v>7.1364872577726368</v>
          </cell>
          <cell r="Q9306">
            <v>93.735840990775927</v>
          </cell>
        </row>
        <row r="9307">
          <cell r="O9307">
            <v>49674</v>
          </cell>
          <cell r="P9307">
            <v>7.1397277188889641</v>
          </cell>
          <cell r="Q9307">
            <v>93.778403576115934</v>
          </cell>
        </row>
        <row r="9308">
          <cell r="O9308">
            <v>49676</v>
          </cell>
          <cell r="P9308">
            <v>7.1429696513998078</v>
          </cell>
          <cell r="Q9308">
            <v>93.82098548782723</v>
          </cell>
        </row>
        <row r="9309">
          <cell r="O9309">
            <v>49677</v>
          </cell>
          <cell r="P9309">
            <v>7.1462130559732859</v>
          </cell>
          <cell r="Q9309">
            <v>93.86358673468537</v>
          </cell>
        </row>
        <row r="9310">
          <cell r="O9310">
            <v>49678</v>
          </cell>
          <cell r="P9310">
            <v>7.1494579332778203</v>
          </cell>
          <cell r="Q9310">
            <v>93.906207325469879</v>
          </cell>
        </row>
        <row r="9311">
          <cell r="O9311">
            <v>49681</v>
          </cell>
          <cell r="P9311">
            <v>7.1527042839821346</v>
          </cell>
          <cell r="Q9311">
            <v>93.948847268964272</v>
          </cell>
        </row>
        <row r="9312">
          <cell r="O9312">
            <v>49682</v>
          </cell>
          <cell r="P9312">
            <v>7.1559521087552467</v>
          </cell>
          <cell r="Q9312">
            <v>93.991506573955931</v>
          </cell>
        </row>
        <row r="9313">
          <cell r="O9313">
            <v>49683</v>
          </cell>
          <cell r="P9313">
            <v>7.159201408266493</v>
          </cell>
          <cell r="Q9313">
            <v>94.034185249236387</v>
          </cell>
        </row>
        <row r="9314">
          <cell r="O9314">
            <v>49684</v>
          </cell>
          <cell r="P9314">
            <v>7.1624521831855041</v>
          </cell>
          <cell r="Q9314">
            <v>94.076883303601065</v>
          </cell>
        </row>
        <row r="9315">
          <cell r="O9315">
            <v>49685</v>
          </cell>
          <cell r="P9315">
            <v>7.1657044341822216</v>
          </cell>
          <cell r="Q9315">
            <v>94.119600745849468</v>
          </cell>
        </row>
        <row r="9316">
          <cell r="O9316">
            <v>49688</v>
          </cell>
          <cell r="P9316">
            <v>7.1689581619268825</v>
          </cell>
          <cell r="Q9316">
            <v>94.162337584784993</v>
          </cell>
        </row>
        <row r="9317">
          <cell r="O9317">
            <v>49689</v>
          </cell>
          <cell r="P9317">
            <v>7.172213367090035</v>
          </cell>
          <cell r="Q9317">
            <v>94.205093829215087</v>
          </cell>
        </row>
        <row r="9318">
          <cell r="O9318">
            <v>49690</v>
          </cell>
          <cell r="P9318">
            <v>7.1754700503425299</v>
          </cell>
          <cell r="Q9318">
            <v>94.24786948795122</v>
          </cell>
        </row>
        <row r="9319">
          <cell r="O9319">
            <v>49691</v>
          </cell>
          <cell r="P9319">
            <v>7.1787282123555238</v>
          </cell>
          <cell r="Q9319">
            <v>94.290664569808825</v>
          </cell>
        </row>
        <row r="9320">
          <cell r="O9320">
            <v>49692</v>
          </cell>
          <cell r="P9320">
            <v>7.1819878538004742</v>
          </cell>
          <cell r="Q9320">
            <v>94.333479083607344</v>
          </cell>
        </row>
        <row r="9321">
          <cell r="O9321">
            <v>49695</v>
          </cell>
          <cell r="P9321">
            <v>7.185248975349146</v>
          </cell>
          <cell r="Q9321">
            <v>94.376313038170196</v>
          </cell>
        </row>
        <row r="9322">
          <cell r="O9322">
            <v>49696</v>
          </cell>
          <cell r="P9322">
            <v>7.1885115776736095</v>
          </cell>
          <cell r="Q9322">
            <v>94.41916644232488</v>
          </cell>
        </row>
        <row r="9323">
          <cell r="O9323">
            <v>49697</v>
          </cell>
          <cell r="P9323">
            <v>7.1917756614462451</v>
          </cell>
          <cell r="Q9323">
            <v>94.462039304902916</v>
          </cell>
        </row>
        <row r="9324">
          <cell r="O9324">
            <v>49698</v>
          </cell>
          <cell r="P9324">
            <v>7.1950412273397246</v>
          </cell>
          <cell r="Q9324">
            <v>94.504931634739648</v>
          </cell>
        </row>
        <row r="9325">
          <cell r="O9325">
            <v>49699</v>
          </cell>
          <cell r="P9325">
            <v>7.1983082760270376</v>
          </cell>
          <cell r="Q9325">
            <v>94.54784344067464</v>
          </cell>
        </row>
        <row r="9326">
          <cell r="O9326">
            <v>49702</v>
          </cell>
          <cell r="P9326">
            <v>7.2015768081814793</v>
          </cell>
          <cell r="Q9326">
            <v>94.590774731551448</v>
          </cell>
        </row>
        <row r="9327">
          <cell r="O9327">
            <v>49703</v>
          </cell>
          <cell r="P9327">
            <v>7.2048468244766415</v>
          </cell>
          <cell r="Q9327">
            <v>94.633725516217481</v>
          </cell>
        </row>
        <row r="9328">
          <cell r="O9328">
            <v>49704</v>
          </cell>
          <cell r="P9328">
            <v>7.2081183255864261</v>
          </cell>
          <cell r="Q9328">
            <v>94.676695803524296</v>
          </cell>
        </row>
        <row r="9329">
          <cell r="O9329">
            <v>49705</v>
          </cell>
          <cell r="P9329">
            <v>7.2113913121850475</v>
          </cell>
          <cell r="Q9329">
            <v>94.719685602327516</v>
          </cell>
        </row>
        <row r="9330">
          <cell r="O9330">
            <v>49706</v>
          </cell>
          <cell r="P9330">
            <v>7.2146657849470222</v>
          </cell>
          <cell r="Q9330">
            <v>94.762694921486712</v>
          </cell>
        </row>
        <row r="9331">
          <cell r="O9331">
            <v>49709</v>
          </cell>
          <cell r="P9331">
            <v>7.2179417445471623</v>
          </cell>
          <cell r="Q9331">
            <v>94.805723769865367</v>
          </cell>
        </row>
        <row r="9332">
          <cell r="O9332">
            <v>49710</v>
          </cell>
          <cell r="P9332">
            <v>7.2212191916606026</v>
          </cell>
          <cell r="Q9332">
            <v>94.848772156331208</v>
          </cell>
        </row>
        <row r="9333">
          <cell r="O9333">
            <v>49711</v>
          </cell>
          <cell r="P9333">
            <v>7.2244981269627768</v>
          </cell>
          <cell r="Q9333">
            <v>94.89184008975586</v>
          </cell>
        </row>
        <row r="9334">
          <cell r="O9334">
            <v>49712</v>
          </cell>
          <cell r="P9334">
            <v>7.2277785511294264</v>
          </cell>
          <cell r="Q9334">
            <v>94.93492757901501</v>
          </cell>
        </row>
        <row r="9335">
          <cell r="O9335">
            <v>49713</v>
          </cell>
          <cell r="P9335">
            <v>7.231060464836597</v>
          </cell>
          <cell r="Q9335">
            <v>94.97803463298834</v>
          </cell>
        </row>
        <row r="9336">
          <cell r="O9336">
            <v>49716</v>
          </cell>
          <cell r="P9336">
            <v>7.2343438687606447</v>
          </cell>
          <cell r="Q9336">
            <v>95.021161260559609</v>
          </cell>
        </row>
        <row r="9337">
          <cell r="O9337">
            <v>49717</v>
          </cell>
          <cell r="P9337">
            <v>7.2376287635782317</v>
          </cell>
          <cell r="Q9337">
            <v>95.064307470616583</v>
          </cell>
        </row>
        <row r="9338">
          <cell r="O9338">
            <v>49718</v>
          </cell>
          <cell r="P9338">
            <v>7.2409151499663285</v>
          </cell>
          <cell r="Q9338">
            <v>95.107473272051081</v>
          </cell>
        </row>
        <row r="9339">
          <cell r="O9339">
            <v>49719</v>
          </cell>
          <cell r="P9339">
            <v>7.2442030286022092</v>
          </cell>
          <cell r="Q9339">
            <v>95.15065867375894</v>
          </cell>
        </row>
        <row r="9340">
          <cell r="O9340">
            <v>49720</v>
          </cell>
          <cell r="P9340">
            <v>7.2474924001634582</v>
          </cell>
          <cell r="Q9340">
            <v>95.193863684640021</v>
          </cell>
        </row>
        <row r="9341">
          <cell r="O9341">
            <v>49723</v>
          </cell>
          <cell r="P9341">
            <v>7.2507832653279678</v>
          </cell>
          <cell r="Q9341">
            <v>95.237088313598278</v>
          </cell>
        </row>
        <row r="9342">
          <cell r="O9342">
            <v>49724</v>
          </cell>
          <cell r="P9342">
            <v>7.2540756247739431</v>
          </cell>
          <cell r="Q9342">
            <v>95.280332569541756</v>
          </cell>
        </row>
        <row r="9343">
          <cell r="O9343">
            <v>49725</v>
          </cell>
          <cell r="P9343">
            <v>7.2573694791798831</v>
          </cell>
          <cell r="Q9343">
            <v>95.323596461382337</v>
          </cell>
        </row>
        <row r="9344">
          <cell r="O9344">
            <v>49726</v>
          </cell>
          <cell r="P9344">
            <v>7.2606648292246057</v>
          </cell>
          <cell r="Q9344">
            <v>95.366879998036111</v>
          </cell>
        </row>
        <row r="9345">
          <cell r="O9345">
            <v>49727</v>
          </cell>
          <cell r="P9345">
            <v>7.2639616755872378</v>
          </cell>
          <cell r="Q9345">
            <v>95.410183188423247</v>
          </cell>
        </row>
        <row r="9346">
          <cell r="O9346">
            <v>49732</v>
          </cell>
          <cell r="P9346">
            <v>7.2672600189472139</v>
          </cell>
          <cell r="Q9346">
            <v>95.453506041467932</v>
          </cell>
        </row>
        <row r="9347">
          <cell r="O9347">
            <v>49733</v>
          </cell>
          <cell r="P9347">
            <v>7.2705598599842665</v>
          </cell>
          <cell r="Q9347">
            <v>95.496848566098251</v>
          </cell>
        </row>
        <row r="9348">
          <cell r="O9348">
            <v>49734</v>
          </cell>
          <cell r="P9348">
            <v>7.2738611993784508</v>
          </cell>
          <cell r="Q9348">
            <v>95.540210771246564</v>
          </cell>
        </row>
        <row r="9349">
          <cell r="O9349">
            <v>49737</v>
          </cell>
          <cell r="P9349">
            <v>7.2771640378101239</v>
          </cell>
          <cell r="Q9349">
            <v>95.583592665849167</v>
          </cell>
        </row>
        <row r="9350">
          <cell r="O9350">
            <v>49738</v>
          </cell>
          <cell r="P9350">
            <v>7.2804683759599556</v>
          </cell>
          <cell r="Q9350">
            <v>95.62699425884648</v>
          </cell>
        </row>
        <row r="9351">
          <cell r="O9351">
            <v>49739</v>
          </cell>
          <cell r="P9351">
            <v>7.2837742145089175</v>
          </cell>
          <cell r="Q9351">
            <v>95.670415559182885</v>
          </cell>
        </row>
        <row r="9352">
          <cell r="O9352">
            <v>49740</v>
          </cell>
          <cell r="P9352">
            <v>7.2870815541382976</v>
          </cell>
          <cell r="Q9352">
            <v>95.713856575806915</v>
          </cell>
        </row>
        <row r="9353">
          <cell r="O9353">
            <v>49741</v>
          </cell>
          <cell r="P9353">
            <v>7.2903903955296903</v>
          </cell>
          <cell r="Q9353">
            <v>95.757317317671124</v>
          </cell>
        </row>
        <row r="9354">
          <cell r="O9354">
            <v>49744</v>
          </cell>
          <cell r="P9354">
            <v>7.2937007393650006</v>
          </cell>
          <cell r="Q9354">
            <v>95.800797793732158</v>
          </cell>
        </row>
        <row r="9355">
          <cell r="O9355">
            <v>49745</v>
          </cell>
          <cell r="P9355">
            <v>7.2970125863264412</v>
          </cell>
          <cell r="Q9355">
            <v>95.844298012950702</v>
          </cell>
        </row>
        <row r="9356">
          <cell r="O9356">
            <v>49746</v>
          </cell>
          <cell r="P9356">
            <v>7.3003259370965363</v>
          </cell>
          <cell r="Q9356">
            <v>95.887817984291502</v>
          </cell>
        </row>
        <row r="9357">
          <cell r="O9357">
            <v>49747</v>
          </cell>
          <cell r="P9357">
            <v>7.3036407923581175</v>
          </cell>
          <cell r="Q9357">
            <v>95.931357716723397</v>
          </cell>
        </row>
        <row r="9358">
          <cell r="O9358">
            <v>49748</v>
          </cell>
          <cell r="P9358">
            <v>7.306957152794336</v>
          </cell>
          <cell r="Q9358">
            <v>95.974917219219378</v>
          </cell>
        </row>
        <row r="9359">
          <cell r="O9359">
            <v>49751</v>
          </cell>
          <cell r="P9359">
            <v>7.3102750190886372</v>
          </cell>
          <cell r="Q9359">
            <v>96.018496500756314</v>
          </cell>
        </row>
        <row r="9360">
          <cell r="O9360">
            <v>49752</v>
          </cell>
          <cell r="P9360">
            <v>7.3135943919247861</v>
          </cell>
          <cell r="Q9360">
            <v>96.062095570315293</v>
          </cell>
        </row>
        <row r="9361">
          <cell r="O9361">
            <v>49753</v>
          </cell>
          <cell r="P9361">
            <v>7.3169152719868622</v>
          </cell>
          <cell r="Q9361">
            <v>96.105714436881499</v>
          </cell>
        </row>
        <row r="9362">
          <cell r="O9362">
            <v>49754</v>
          </cell>
          <cell r="P9362">
            <v>7.3202376599592505</v>
          </cell>
          <cell r="Q9362">
            <v>96.149353109444135</v>
          </cell>
        </row>
        <row r="9363">
          <cell r="O9363">
            <v>49755</v>
          </cell>
          <cell r="P9363">
            <v>7.3235615565266405</v>
          </cell>
          <cell r="Q9363">
            <v>96.193011596996442</v>
          </cell>
        </row>
        <row r="9364">
          <cell r="O9364">
            <v>49758</v>
          </cell>
          <cell r="P9364">
            <v>7.3268869623740454</v>
          </cell>
          <cell r="Q9364">
            <v>96.23668990853588</v>
          </cell>
        </row>
        <row r="9365">
          <cell r="O9365">
            <v>49759</v>
          </cell>
          <cell r="P9365">
            <v>7.3302138781867816</v>
          </cell>
          <cell r="Q9365">
            <v>96.280388053063874</v>
          </cell>
        </row>
        <row r="9366">
          <cell r="O9366">
            <v>49760</v>
          </cell>
          <cell r="P9366">
            <v>7.3335423046504786</v>
          </cell>
          <cell r="Q9366">
            <v>96.324106039585985</v>
          </cell>
        </row>
        <row r="9367">
          <cell r="O9367">
            <v>49761</v>
          </cell>
          <cell r="P9367">
            <v>7.3368722424510757</v>
          </cell>
          <cell r="Q9367">
            <v>96.367843877111866</v>
          </cell>
        </row>
        <row r="9368">
          <cell r="O9368">
            <v>49762</v>
          </cell>
          <cell r="P9368">
            <v>7.3402036922748248</v>
          </cell>
          <cell r="Q9368">
            <v>96.411601574655236</v>
          </cell>
        </row>
        <row r="9369">
          <cell r="O9369">
            <v>49765</v>
          </cell>
          <cell r="P9369">
            <v>7.3435366548082905</v>
          </cell>
          <cell r="Q9369">
            <v>96.455379141233919</v>
          </cell>
        </row>
        <row r="9370">
          <cell r="O9370">
            <v>49766</v>
          </cell>
          <cell r="P9370">
            <v>7.3468711307383492</v>
          </cell>
          <cell r="Q9370">
            <v>96.49917658586989</v>
          </cell>
        </row>
        <row r="9371">
          <cell r="O9371">
            <v>49767</v>
          </cell>
          <cell r="P9371">
            <v>7.3502071207521853</v>
          </cell>
          <cell r="Q9371">
            <v>96.542993917589101</v>
          </cell>
        </row>
        <row r="9372">
          <cell r="O9372">
            <v>49768</v>
          </cell>
          <cell r="P9372">
            <v>7.3535446255372987</v>
          </cell>
          <cell r="Q9372">
            <v>96.586831145421684</v>
          </cell>
        </row>
        <row r="9373">
          <cell r="O9373">
            <v>49769</v>
          </cell>
          <cell r="P9373">
            <v>7.356883645781501</v>
          </cell>
          <cell r="Q9373">
            <v>96.630688278401877</v>
          </cell>
        </row>
        <row r="9374">
          <cell r="O9374">
            <v>49772</v>
          </cell>
          <cell r="P9374">
            <v>7.3602241821729208</v>
          </cell>
          <cell r="Q9374">
            <v>96.674565325568039</v>
          </cell>
        </row>
        <row r="9375">
          <cell r="O9375">
            <v>49773</v>
          </cell>
          <cell r="P9375">
            <v>7.3635662353999871</v>
          </cell>
          <cell r="Q9375">
            <v>96.71846229596251</v>
          </cell>
        </row>
        <row r="9376">
          <cell r="O9376">
            <v>49774</v>
          </cell>
          <cell r="P9376">
            <v>7.3669098061514493</v>
          </cell>
          <cell r="Q9376">
            <v>96.762379198631834</v>
          </cell>
        </row>
        <row r="9377">
          <cell r="O9377">
            <v>49775</v>
          </cell>
          <cell r="P9377">
            <v>7.3702548951163731</v>
          </cell>
          <cell r="Q9377">
            <v>96.806316042626705</v>
          </cell>
        </row>
        <row r="9378">
          <cell r="O9378">
            <v>49779</v>
          </cell>
          <cell r="P9378">
            <v>7.3736015029841351</v>
          </cell>
          <cell r="Q9378">
            <v>96.850272837001881</v>
          </cell>
        </row>
        <row r="9379">
          <cell r="O9379">
            <v>49780</v>
          </cell>
          <cell r="P9379">
            <v>7.3769496304444129</v>
          </cell>
          <cell r="Q9379">
            <v>96.894249590816116</v>
          </cell>
        </row>
        <row r="9380">
          <cell r="O9380">
            <v>49781</v>
          </cell>
          <cell r="P9380">
            <v>7.3802992781872145</v>
          </cell>
          <cell r="Q9380">
            <v>96.938246313132467</v>
          </cell>
        </row>
        <row r="9381">
          <cell r="O9381">
            <v>49782</v>
          </cell>
          <cell r="P9381">
            <v>7.3836504469028528</v>
          </cell>
          <cell r="Q9381">
            <v>96.982263013017999</v>
          </cell>
        </row>
        <row r="9382">
          <cell r="O9382">
            <v>49783</v>
          </cell>
          <cell r="P9382">
            <v>7.3870031372819556</v>
          </cell>
          <cell r="Q9382">
            <v>97.026299699543941</v>
          </cell>
        </row>
        <row r="9383">
          <cell r="O9383">
            <v>49787</v>
          </cell>
          <cell r="P9383">
            <v>7.3903573500154609</v>
          </cell>
          <cell r="Q9383">
            <v>97.070356381785558</v>
          </cell>
        </row>
        <row r="9384">
          <cell r="O9384">
            <v>49788</v>
          </cell>
          <cell r="P9384">
            <v>7.3937130857946256</v>
          </cell>
          <cell r="Q9384">
            <v>97.114433068822336</v>
          </cell>
        </row>
        <row r="9385">
          <cell r="O9385">
            <v>49789</v>
          </cell>
          <cell r="P9385">
            <v>7.3970703453110183</v>
          </cell>
          <cell r="Q9385">
            <v>97.158529769737854</v>
          </cell>
        </row>
        <row r="9386">
          <cell r="O9386">
            <v>49790</v>
          </cell>
          <cell r="P9386">
            <v>7.4004291292565236</v>
          </cell>
          <cell r="Q9386">
            <v>97.20264649361981</v>
          </cell>
        </row>
        <row r="9387">
          <cell r="O9387">
            <v>49793</v>
          </cell>
          <cell r="P9387">
            <v>7.4037894383233303</v>
          </cell>
          <cell r="Q9387">
            <v>97.246783249559925</v>
          </cell>
        </row>
        <row r="9388">
          <cell r="O9388">
            <v>49794</v>
          </cell>
          <cell r="P9388">
            <v>7.4071512732039571</v>
          </cell>
          <cell r="Q9388">
            <v>97.290940046654242</v>
          </cell>
        </row>
        <row r="9389">
          <cell r="O9389">
            <v>49795</v>
          </cell>
          <cell r="P9389">
            <v>7.4105146345912321</v>
          </cell>
          <cell r="Q9389">
            <v>97.33511689400288</v>
          </cell>
        </row>
        <row r="9390">
          <cell r="O9390">
            <v>49797</v>
          </cell>
          <cell r="P9390">
            <v>7.4138795231782861</v>
          </cell>
          <cell r="Q9390">
            <v>97.379313800709923</v>
          </cell>
        </row>
        <row r="9391">
          <cell r="O9391">
            <v>49800</v>
          </cell>
          <cell r="P9391">
            <v>7.4172459396585788</v>
          </cell>
          <cell r="Q9391">
            <v>97.423530775883776</v>
          </cell>
        </row>
        <row r="9392">
          <cell r="O9392">
            <v>49801</v>
          </cell>
          <cell r="P9392">
            <v>7.4206138847258805</v>
          </cell>
          <cell r="Q9392">
            <v>97.467767828636923</v>
          </cell>
        </row>
        <row r="9393">
          <cell r="O9393">
            <v>49802</v>
          </cell>
          <cell r="P9393">
            <v>7.4239833590742741</v>
          </cell>
          <cell r="Q9393">
            <v>97.512024968085967</v>
          </cell>
        </row>
        <row r="9394">
          <cell r="O9394">
            <v>49803</v>
          </cell>
          <cell r="P9394">
            <v>7.4273543633981607</v>
          </cell>
          <cell r="Q9394">
            <v>97.556302203351663</v>
          </cell>
        </row>
        <row r="9395">
          <cell r="O9395">
            <v>49804</v>
          </cell>
          <cell r="P9395">
            <v>7.4307268983922548</v>
          </cell>
          <cell r="Q9395">
            <v>97.600599543558914</v>
          </cell>
        </row>
        <row r="9396">
          <cell r="O9396">
            <v>49807</v>
          </cell>
          <cell r="P9396">
            <v>7.4341009647515612</v>
          </cell>
          <cell r="Q9396">
            <v>97.644916997836404</v>
          </cell>
        </row>
        <row r="9397">
          <cell r="O9397">
            <v>49808</v>
          </cell>
          <cell r="P9397">
            <v>7.4374765631715087</v>
          </cell>
          <cell r="Q9397">
            <v>97.689254575318415</v>
          </cell>
        </row>
        <row r="9398">
          <cell r="O9398">
            <v>49809</v>
          </cell>
          <cell r="P9398">
            <v>7.4408536943476733</v>
          </cell>
          <cell r="Q9398">
            <v>97.733612285141163</v>
          </cell>
        </row>
        <row r="9399">
          <cell r="O9399">
            <v>49810</v>
          </cell>
          <cell r="P9399">
            <v>7.4442323589760591</v>
          </cell>
          <cell r="Q9399">
            <v>97.777990136446448</v>
          </cell>
        </row>
        <row r="9400">
          <cell r="O9400">
            <v>49811</v>
          </cell>
          <cell r="P9400">
            <v>7.4476125577529668</v>
          </cell>
          <cell r="Q9400">
            <v>97.82238813838002</v>
          </cell>
        </row>
        <row r="9401">
          <cell r="O9401">
            <v>49814</v>
          </cell>
          <cell r="P9401">
            <v>7.4509942913750056</v>
          </cell>
          <cell r="Q9401">
            <v>97.866806300091625</v>
          </cell>
        </row>
        <row r="9402">
          <cell r="O9402">
            <v>49815</v>
          </cell>
          <cell r="P9402">
            <v>7.4543775605390969</v>
          </cell>
          <cell r="Q9402">
            <v>97.911244630735155</v>
          </cell>
        </row>
        <row r="9403">
          <cell r="O9403">
            <v>49816</v>
          </cell>
          <cell r="P9403">
            <v>7.457762365942485</v>
          </cell>
          <cell r="Q9403">
            <v>97.955703139468724</v>
          </cell>
        </row>
        <row r="9404">
          <cell r="O9404">
            <v>49817</v>
          </cell>
          <cell r="P9404">
            <v>7.4611487082827042</v>
          </cell>
          <cell r="Q9404">
            <v>98.000181835454256</v>
          </cell>
        </row>
        <row r="9405">
          <cell r="O9405">
            <v>49818</v>
          </cell>
          <cell r="P9405">
            <v>7.464536588257686</v>
          </cell>
          <cell r="Q9405">
            <v>98.044680727858903</v>
          </cell>
        </row>
        <row r="9406">
          <cell r="O9406">
            <v>49821</v>
          </cell>
          <cell r="P9406">
            <v>7.4679260065655901</v>
          </cell>
          <cell r="Q9406">
            <v>98.089199825852802</v>
          </cell>
        </row>
        <row r="9407">
          <cell r="O9407">
            <v>49822</v>
          </cell>
          <cell r="P9407">
            <v>7.4713169639049548</v>
          </cell>
          <cell r="Q9407">
            <v>98.133739138611048</v>
          </cell>
        </row>
        <row r="9408">
          <cell r="O9408">
            <v>49823</v>
          </cell>
          <cell r="P9408">
            <v>7.4747094609745321</v>
          </cell>
          <cell r="Q9408">
            <v>98.178298675311567</v>
          </cell>
        </row>
        <row r="9409">
          <cell r="O9409">
            <v>49824</v>
          </cell>
          <cell r="P9409">
            <v>7.4781034984735477</v>
          </cell>
          <cell r="Q9409">
            <v>98.22287844513852</v>
          </cell>
        </row>
        <row r="9410">
          <cell r="O9410">
            <v>49825</v>
          </cell>
          <cell r="P9410">
            <v>7.4814990771014296</v>
          </cell>
          <cell r="Q9410">
            <v>98.267478457278685</v>
          </cell>
        </row>
        <row r="9411">
          <cell r="O9411">
            <v>49828</v>
          </cell>
          <cell r="P9411">
            <v>7.484896197557962</v>
          </cell>
          <cell r="Q9411">
            <v>98.312098720923558</v>
          </cell>
        </row>
        <row r="9412">
          <cell r="O9412">
            <v>49829</v>
          </cell>
          <cell r="P9412">
            <v>7.48829486054324</v>
          </cell>
          <cell r="Q9412">
            <v>98.35673924526867</v>
          </cell>
        </row>
        <row r="9413">
          <cell r="O9413">
            <v>49830</v>
          </cell>
          <cell r="P9413">
            <v>7.4916950667576838</v>
          </cell>
          <cell r="Q9413">
            <v>98.401400039513888</v>
          </cell>
        </row>
        <row r="9414">
          <cell r="O9414">
            <v>49831</v>
          </cell>
          <cell r="P9414">
            <v>7.4950968169020173</v>
          </cell>
          <cell r="Q9414">
            <v>98.446081112863013</v>
          </cell>
        </row>
        <row r="9415">
          <cell r="O9415">
            <v>49832</v>
          </cell>
          <cell r="P9415">
            <v>7.4985001116773002</v>
          </cell>
          <cell r="Q9415">
            <v>98.490782474524266</v>
          </cell>
        </row>
        <row r="9416">
          <cell r="O9416">
            <v>49835</v>
          </cell>
          <cell r="P9416">
            <v>7.5019049517848995</v>
          </cell>
          <cell r="Q9416">
            <v>98.535504133709935</v>
          </cell>
        </row>
        <row r="9417">
          <cell r="O9417">
            <v>49836</v>
          </cell>
          <cell r="P9417">
            <v>7.5053113379265071</v>
          </cell>
          <cell r="Q9417">
            <v>98.58024609963654</v>
          </cell>
        </row>
        <row r="9418">
          <cell r="O9418">
            <v>49837</v>
          </cell>
          <cell r="P9418">
            <v>7.5087192708041233</v>
          </cell>
          <cell r="Q9418">
            <v>98.625008381524665</v>
          </cell>
        </row>
        <row r="9419">
          <cell r="O9419">
            <v>49839</v>
          </cell>
          <cell r="P9419">
            <v>7.5121287511200769</v>
          </cell>
          <cell r="Q9419">
            <v>98.669790988599217</v>
          </cell>
        </row>
        <row r="9420">
          <cell r="O9420">
            <v>49842</v>
          </cell>
          <cell r="P9420">
            <v>7.5155397795770096</v>
          </cell>
          <cell r="Q9420">
            <v>98.714593930089208</v>
          </cell>
        </row>
        <row r="9421">
          <cell r="O9421">
            <v>49843</v>
          </cell>
          <cell r="P9421">
            <v>7.518952356877894</v>
          </cell>
          <cell r="Q9421">
            <v>98.759417215227998</v>
          </cell>
        </row>
        <row r="9422">
          <cell r="O9422">
            <v>49844</v>
          </cell>
          <cell r="P9422">
            <v>7.5223664837260031</v>
          </cell>
          <cell r="Q9422">
            <v>98.80426085325287</v>
          </cell>
        </row>
        <row r="9423">
          <cell r="O9423">
            <v>49845</v>
          </cell>
          <cell r="P9423">
            <v>7.5257821608249422</v>
          </cell>
          <cell r="Q9423">
            <v>98.849124853405499</v>
          </cell>
        </row>
        <row r="9424">
          <cell r="O9424">
            <v>49846</v>
          </cell>
          <cell r="P9424">
            <v>7.5291993888786344</v>
          </cell>
          <cell r="Q9424">
            <v>98.894009224931736</v>
          </cell>
        </row>
        <row r="9425">
          <cell r="O9425">
            <v>49849</v>
          </cell>
          <cell r="P9425">
            <v>7.5326181685913225</v>
          </cell>
          <cell r="Q9425">
            <v>98.938913977081612</v>
          </cell>
        </row>
        <row r="9426">
          <cell r="O9426">
            <v>49850</v>
          </cell>
          <cell r="P9426">
            <v>7.5360385006675585</v>
          </cell>
          <cell r="Q9426">
            <v>98.983839119109234</v>
          </cell>
        </row>
        <row r="9427">
          <cell r="O9427">
            <v>49851</v>
          </cell>
          <cell r="P9427">
            <v>7.5394603858122329</v>
          </cell>
          <cell r="Q9427">
            <v>99.028784660273132</v>
          </cell>
        </row>
        <row r="9428">
          <cell r="O9428">
            <v>49852</v>
          </cell>
          <cell r="P9428">
            <v>7.5428838247305432</v>
          </cell>
          <cell r="Q9428">
            <v>99.073750609835912</v>
          </cell>
        </row>
        <row r="9429">
          <cell r="O9429">
            <v>49853</v>
          </cell>
          <cell r="P9429">
            <v>7.5463088181280149</v>
          </cell>
          <cell r="Q9429">
            <v>99.11873697706443</v>
          </cell>
        </row>
        <row r="9430">
          <cell r="O9430">
            <v>49856</v>
          </cell>
          <cell r="P9430">
            <v>7.5497353667104816</v>
          </cell>
          <cell r="Q9430">
            <v>99.163743771229647</v>
          </cell>
        </row>
        <row r="9431">
          <cell r="O9431">
            <v>49857</v>
          </cell>
          <cell r="P9431">
            <v>7.5531634711841091</v>
          </cell>
          <cell r="Q9431">
            <v>99.208771001606863</v>
          </cell>
        </row>
        <row r="9432">
          <cell r="O9432">
            <v>49858</v>
          </cell>
          <cell r="P9432">
            <v>7.5565931322553803</v>
          </cell>
          <cell r="Q9432">
            <v>99.253818677475508</v>
          </cell>
        </row>
        <row r="9433">
          <cell r="O9433">
            <v>49859</v>
          </cell>
          <cell r="P9433">
            <v>7.5600243506310987</v>
          </cell>
          <cell r="Q9433">
            <v>99.298886808119292</v>
          </cell>
        </row>
        <row r="9434">
          <cell r="O9434">
            <v>49860</v>
          </cell>
          <cell r="P9434">
            <v>7.5634571270183892</v>
          </cell>
          <cell r="Q9434">
            <v>99.343975402826089</v>
          </cell>
        </row>
        <row r="9435">
          <cell r="O9435">
            <v>49863</v>
          </cell>
          <cell r="P9435">
            <v>7.5668914621246959</v>
          </cell>
          <cell r="Q9435">
            <v>99.389084470887994</v>
          </cell>
        </row>
        <row r="9436">
          <cell r="O9436">
            <v>49864</v>
          </cell>
          <cell r="P9436">
            <v>7.5703273566577876</v>
          </cell>
          <cell r="Q9436">
            <v>99.434214021601363</v>
          </cell>
        </row>
        <row r="9437">
          <cell r="O9437">
            <v>49865</v>
          </cell>
          <cell r="P9437">
            <v>7.5737648113257539</v>
          </cell>
          <cell r="Q9437">
            <v>99.479364064266761</v>
          </cell>
        </row>
        <row r="9438">
          <cell r="O9438">
            <v>49866</v>
          </cell>
          <cell r="P9438">
            <v>7.5772038268369988</v>
          </cell>
          <cell r="Q9438">
            <v>99.524534608188887</v>
          </cell>
        </row>
        <row r="9439">
          <cell r="O9439">
            <v>49867</v>
          </cell>
          <cell r="P9439">
            <v>7.5806444039002523</v>
          </cell>
          <cell r="Q9439">
            <v>99.569725662676703</v>
          </cell>
        </row>
        <row r="9440">
          <cell r="O9440">
            <v>49870</v>
          </cell>
          <cell r="P9440">
            <v>7.5840865432245765</v>
          </cell>
          <cell r="Q9440">
            <v>99.614937237043563</v>
          </cell>
        </row>
        <row r="9441">
          <cell r="O9441">
            <v>49871</v>
          </cell>
          <cell r="P9441">
            <v>7.5875302455193445</v>
          </cell>
          <cell r="Q9441">
            <v>99.660169340606899</v>
          </cell>
        </row>
        <row r="9442">
          <cell r="O9442">
            <v>49872</v>
          </cell>
          <cell r="P9442">
            <v>7.5909755114942472</v>
          </cell>
          <cell r="Q9442">
            <v>99.705421982688293</v>
          </cell>
        </row>
        <row r="9443">
          <cell r="O9443">
            <v>49873</v>
          </cell>
          <cell r="P9443">
            <v>7.5944223418593086</v>
          </cell>
          <cell r="Q9443">
            <v>99.750695172613717</v>
          </cell>
        </row>
        <row r="9444">
          <cell r="O9444">
            <v>49874</v>
          </cell>
          <cell r="P9444">
            <v>7.5978707373248691</v>
          </cell>
          <cell r="Q9444">
            <v>99.795988919713324</v>
          </cell>
        </row>
        <row r="9445">
          <cell r="O9445">
            <v>49877</v>
          </cell>
          <cell r="P9445">
            <v>7.6013206986015938</v>
          </cell>
          <cell r="Q9445">
            <v>99.841303233321497</v>
          </cell>
        </row>
        <row r="9446">
          <cell r="O9446">
            <v>49878</v>
          </cell>
          <cell r="P9446">
            <v>7.6047722264004687</v>
          </cell>
          <cell r="Q9446">
            <v>99.88663812277683</v>
          </cell>
        </row>
        <row r="9447">
          <cell r="O9447">
            <v>49879</v>
          </cell>
          <cell r="P9447">
            <v>7.6082253214328057</v>
          </cell>
          <cell r="Q9447">
            <v>99.931993597422235</v>
          </cell>
        </row>
        <row r="9448">
          <cell r="O9448">
            <v>49880</v>
          </cell>
          <cell r="P9448">
            <v>7.6116799844102356</v>
          </cell>
          <cell r="Q9448">
            <v>99.977369666604787</v>
          </cell>
        </row>
        <row r="9449">
          <cell r="O9449">
            <v>49881</v>
          </cell>
          <cell r="P9449">
            <v>7.6151362160447196</v>
          </cell>
          <cell r="Q9449">
            <v>100.02276633967591</v>
          </cell>
        </row>
        <row r="9450">
          <cell r="O9450">
            <v>49884</v>
          </cell>
          <cell r="P9450">
            <v>7.6185940170485287</v>
          </cell>
          <cell r="Q9450">
            <v>100.06818362599107</v>
          </cell>
        </row>
        <row r="9451">
          <cell r="O9451">
            <v>49885</v>
          </cell>
          <cell r="P9451">
            <v>7.6220533881342707</v>
          </cell>
          <cell r="Q9451">
            <v>100.11362153491021</v>
          </cell>
        </row>
        <row r="9452">
          <cell r="O9452">
            <v>49886</v>
          </cell>
          <cell r="P9452">
            <v>7.6255143300148696</v>
          </cell>
          <cell r="Q9452">
            <v>100.15908007579736</v>
          </cell>
        </row>
        <row r="9453">
          <cell r="O9453">
            <v>49887</v>
          </cell>
          <cell r="P9453">
            <v>7.6289768434035778</v>
          </cell>
          <cell r="Q9453">
            <v>100.20455925802092</v>
          </cell>
        </row>
        <row r="9454">
          <cell r="O9454">
            <v>49888</v>
          </cell>
          <cell r="P9454">
            <v>7.6324409290139679</v>
          </cell>
          <cell r="Q9454">
            <v>100.25005909095348</v>
          </cell>
        </row>
        <row r="9455">
          <cell r="O9455">
            <v>49891</v>
          </cell>
          <cell r="P9455">
            <v>7.6359065875599379</v>
          </cell>
          <cell r="Q9455">
            <v>100.29557958397189</v>
          </cell>
        </row>
        <row r="9456">
          <cell r="O9456">
            <v>49892</v>
          </cell>
          <cell r="P9456">
            <v>7.6393738197557131</v>
          </cell>
          <cell r="Q9456">
            <v>100.34112074645729</v>
          </cell>
        </row>
        <row r="9457">
          <cell r="O9457">
            <v>49893</v>
          </cell>
          <cell r="P9457">
            <v>7.6428426263158338</v>
          </cell>
          <cell r="Q9457">
            <v>100.38668258779501</v>
          </cell>
        </row>
        <row r="9458">
          <cell r="O9458">
            <v>49894</v>
          </cell>
          <cell r="P9458">
            <v>7.64631300795517</v>
          </cell>
          <cell r="Q9458">
            <v>100.43226511737464</v>
          </cell>
        </row>
        <row r="9459">
          <cell r="O9459">
            <v>49895</v>
          </cell>
          <cell r="P9459">
            <v>7.6497849653889247</v>
          </cell>
          <cell r="Q9459">
            <v>100.47786834459021</v>
          </cell>
        </row>
        <row r="9460">
          <cell r="O9460">
            <v>49898</v>
          </cell>
          <cell r="P9460">
            <v>7.6532584993326171</v>
          </cell>
          <cell r="Q9460">
            <v>100.52349227883984</v>
          </cell>
        </row>
        <row r="9461">
          <cell r="O9461">
            <v>49899</v>
          </cell>
          <cell r="P9461">
            <v>7.6567336105020862</v>
          </cell>
          <cell r="Q9461">
            <v>100.56913692952591</v>
          </cell>
        </row>
        <row r="9462">
          <cell r="O9462">
            <v>49900</v>
          </cell>
          <cell r="P9462">
            <v>7.6602102996135049</v>
          </cell>
          <cell r="Q9462">
            <v>100.61480230605515</v>
          </cell>
        </row>
        <row r="9463">
          <cell r="O9463">
            <v>49901</v>
          </cell>
          <cell r="P9463">
            <v>7.6636885673833692</v>
          </cell>
          <cell r="Q9463">
            <v>100.66048841783855</v>
          </cell>
        </row>
        <row r="9464">
          <cell r="O9464">
            <v>49902</v>
          </cell>
          <cell r="P9464">
            <v>7.6671684145284997</v>
          </cell>
          <cell r="Q9464">
            <v>100.70619527429133</v>
          </cell>
        </row>
        <row r="9465">
          <cell r="O9465">
            <v>49905</v>
          </cell>
          <cell r="P9465">
            <v>7.6706498417660418</v>
          </cell>
          <cell r="Q9465">
            <v>100.75192288483302</v>
          </cell>
        </row>
        <row r="9466">
          <cell r="O9466">
            <v>49906</v>
          </cell>
          <cell r="P9466">
            <v>7.6741328498134678</v>
          </cell>
          <cell r="Q9466">
            <v>100.79767125888743</v>
          </cell>
        </row>
        <row r="9467">
          <cell r="O9467">
            <v>49907</v>
          </cell>
          <cell r="P9467">
            <v>7.6776174393885759</v>
          </cell>
          <cell r="Q9467">
            <v>100.84344040588265</v>
          </cell>
        </row>
        <row r="9468">
          <cell r="O9468">
            <v>49908</v>
          </cell>
          <cell r="P9468">
            <v>7.6811036112094913</v>
          </cell>
          <cell r="Q9468">
            <v>100.88923033525104</v>
          </cell>
        </row>
        <row r="9469">
          <cell r="O9469">
            <v>49909</v>
          </cell>
          <cell r="P9469">
            <v>7.6845913659946579</v>
          </cell>
          <cell r="Q9469">
            <v>100.93504105642918</v>
          </cell>
        </row>
        <row r="9470">
          <cell r="O9470">
            <v>49912</v>
          </cell>
          <cell r="P9470">
            <v>7.688080704462851</v>
          </cell>
          <cell r="Q9470">
            <v>100.980872578858</v>
          </cell>
        </row>
        <row r="9471">
          <cell r="O9471">
            <v>49913</v>
          </cell>
          <cell r="P9471">
            <v>7.6915716273331798</v>
          </cell>
          <cell r="Q9471">
            <v>101.02672491198278</v>
          </cell>
        </row>
        <row r="9472">
          <cell r="O9472">
            <v>49914</v>
          </cell>
          <cell r="P9472">
            <v>7.6950641353250724</v>
          </cell>
          <cell r="Q9472">
            <v>101.07259806525305</v>
          </cell>
        </row>
        <row r="9473">
          <cell r="O9473">
            <v>49915</v>
          </cell>
          <cell r="P9473">
            <v>7.6985582291582784</v>
          </cell>
          <cell r="Q9473">
            <v>101.11849204812249</v>
          </cell>
        </row>
        <row r="9474">
          <cell r="O9474">
            <v>49916</v>
          </cell>
          <cell r="P9474">
            <v>7.702053909552883</v>
          </cell>
          <cell r="Q9474">
            <v>101.16440687004926</v>
          </cell>
        </row>
        <row r="9475">
          <cell r="O9475">
            <v>49919</v>
          </cell>
          <cell r="P9475">
            <v>7.7055511772292951</v>
          </cell>
          <cell r="Q9475">
            <v>101.2103425404957</v>
          </cell>
        </row>
        <row r="9476">
          <cell r="O9476">
            <v>49920</v>
          </cell>
          <cell r="P9476">
            <v>7.7090500329082507</v>
          </cell>
          <cell r="Q9476">
            <v>101.25629906892853</v>
          </cell>
        </row>
        <row r="9477">
          <cell r="O9477">
            <v>49921</v>
          </cell>
          <cell r="P9477">
            <v>7.7125504773108133</v>
          </cell>
          <cell r="Q9477">
            <v>101.30227646481868</v>
          </cell>
        </row>
        <row r="9478">
          <cell r="O9478">
            <v>49922</v>
          </cell>
          <cell r="P9478">
            <v>7.7160525111583746</v>
          </cell>
          <cell r="Q9478">
            <v>101.34827473764146</v>
          </cell>
        </row>
        <row r="9479">
          <cell r="O9479">
            <v>49923</v>
          </cell>
          <cell r="P9479">
            <v>7.7195561351726516</v>
          </cell>
          <cell r="Q9479">
            <v>101.39429389687642</v>
          </cell>
        </row>
        <row r="9480">
          <cell r="O9480">
            <v>49926</v>
          </cell>
          <cell r="P9480">
            <v>7.7230613500756959</v>
          </cell>
          <cell r="Q9480">
            <v>101.44033395200752</v>
          </cell>
        </row>
        <row r="9481">
          <cell r="O9481">
            <v>49927</v>
          </cell>
          <cell r="P9481">
            <v>7.7265681565898729</v>
          </cell>
          <cell r="Q9481">
            <v>101.48639491252284</v>
          </cell>
        </row>
        <row r="9482">
          <cell r="O9482">
            <v>49928</v>
          </cell>
          <cell r="P9482">
            <v>7.7300765554378899</v>
          </cell>
          <cell r="Q9482">
            <v>101.53247678791493</v>
          </cell>
        </row>
        <row r="9483">
          <cell r="O9483">
            <v>49929</v>
          </cell>
          <cell r="P9483">
            <v>7.7335865473427718</v>
          </cell>
          <cell r="Q9483">
            <v>101.57857958768055</v>
          </cell>
        </row>
        <row r="9484">
          <cell r="O9484">
            <v>49930</v>
          </cell>
          <cell r="P9484">
            <v>7.7370981330278878</v>
          </cell>
          <cell r="Q9484">
            <v>101.62470332132094</v>
          </cell>
        </row>
        <row r="9485">
          <cell r="O9485">
            <v>49933</v>
          </cell>
          <cell r="P9485">
            <v>7.7406113132169159</v>
          </cell>
          <cell r="Q9485">
            <v>101.67084799834142</v>
          </cell>
        </row>
        <row r="9486">
          <cell r="O9486">
            <v>49934</v>
          </cell>
          <cell r="P9486">
            <v>7.7441260886338741</v>
          </cell>
          <cell r="Q9486">
            <v>101.71701362825176</v>
          </cell>
        </row>
        <row r="9487">
          <cell r="O9487">
            <v>49935</v>
          </cell>
          <cell r="P9487">
            <v>7.7476424600031066</v>
          </cell>
          <cell r="Q9487">
            <v>101.76320022056606</v>
          </cell>
        </row>
        <row r="9488">
          <cell r="O9488">
            <v>49936</v>
          </cell>
          <cell r="P9488">
            <v>7.7511604280492898</v>
          </cell>
          <cell r="Q9488">
            <v>101.80940778480272</v>
          </cell>
        </row>
        <row r="9489">
          <cell r="O9489">
            <v>49937</v>
          </cell>
          <cell r="P9489">
            <v>7.7546799934974171</v>
          </cell>
          <cell r="Q9489">
            <v>101.85563633048434</v>
          </cell>
        </row>
        <row r="9490">
          <cell r="O9490">
            <v>49940</v>
          </cell>
          <cell r="P9490">
            <v>7.7582011570728291</v>
          </cell>
          <cell r="Q9490">
            <v>101.90188586713809</v>
          </cell>
        </row>
        <row r="9491">
          <cell r="O9491">
            <v>49941</v>
          </cell>
          <cell r="P9491">
            <v>7.7617239195011836</v>
          </cell>
          <cell r="Q9491">
            <v>101.94815640429528</v>
          </cell>
        </row>
        <row r="9492">
          <cell r="O9492">
            <v>49942</v>
          </cell>
          <cell r="P9492">
            <v>7.765248281508474</v>
          </cell>
          <cell r="Q9492">
            <v>101.99444795149162</v>
          </cell>
        </row>
        <row r="9493">
          <cell r="O9493">
            <v>49943</v>
          </cell>
          <cell r="P9493">
            <v>7.7687742438210137</v>
          </cell>
          <cell r="Q9493">
            <v>102.04076051826706</v>
          </cell>
        </row>
        <row r="9494">
          <cell r="O9494">
            <v>49944</v>
          </cell>
          <cell r="P9494">
            <v>7.772301807165455</v>
          </cell>
          <cell r="Q9494">
            <v>102.08709411416598</v>
          </cell>
        </row>
        <row r="9495">
          <cell r="O9495">
            <v>49947</v>
          </cell>
          <cell r="P9495">
            <v>7.7758309722687802</v>
          </cell>
          <cell r="Q9495">
            <v>102.1334487487371</v>
          </cell>
        </row>
        <row r="9496">
          <cell r="O9496">
            <v>49948</v>
          </cell>
          <cell r="P9496">
            <v>7.7793617398582962</v>
          </cell>
          <cell r="Q9496">
            <v>102.17982443153339</v>
          </cell>
        </row>
        <row r="9497">
          <cell r="O9497">
            <v>49949</v>
          </cell>
          <cell r="P9497">
            <v>7.7828941106616449</v>
          </cell>
          <cell r="Q9497">
            <v>102.22622117211225</v>
          </cell>
        </row>
        <row r="9498">
          <cell r="O9498">
            <v>49950</v>
          </cell>
          <cell r="P9498">
            <v>7.7864280854067962</v>
          </cell>
          <cell r="Q9498">
            <v>102.27263898003534</v>
          </cell>
        </row>
        <row r="9499">
          <cell r="O9499">
            <v>49951</v>
          </cell>
          <cell r="P9499">
            <v>7.7899636648220509</v>
          </cell>
          <cell r="Q9499">
            <v>102.31907786486872</v>
          </cell>
        </row>
        <row r="9500">
          <cell r="O9500">
            <v>49954</v>
          </cell>
          <cell r="P9500">
            <v>7.7935008496360449</v>
          </cell>
          <cell r="Q9500">
            <v>102.36553783618281</v>
          </cell>
        </row>
        <row r="9501">
          <cell r="O9501">
            <v>49955</v>
          </cell>
          <cell r="P9501">
            <v>7.7970396405777329</v>
          </cell>
          <cell r="Q9501">
            <v>102.41201890355225</v>
          </cell>
        </row>
        <row r="9502">
          <cell r="O9502">
            <v>49956</v>
          </cell>
          <cell r="P9502">
            <v>7.8005800383764097</v>
          </cell>
          <cell r="Q9502">
            <v>102.45852107655612</v>
          </cell>
        </row>
        <row r="9503">
          <cell r="O9503">
            <v>49957</v>
          </cell>
          <cell r="P9503">
            <v>7.8041220437617058</v>
          </cell>
          <cell r="Q9503">
            <v>102.50504436477793</v>
          </cell>
        </row>
        <row r="9504">
          <cell r="O9504">
            <v>49958</v>
          </cell>
          <cell r="P9504">
            <v>7.807665657463577</v>
          </cell>
          <cell r="Q9504">
            <v>102.55158877780543</v>
          </cell>
        </row>
        <row r="9505">
          <cell r="O9505">
            <v>49961</v>
          </cell>
          <cell r="P9505">
            <v>7.8112108802123057</v>
          </cell>
          <cell r="Q9505">
            <v>102.59815432523072</v>
          </cell>
        </row>
        <row r="9506">
          <cell r="O9506">
            <v>49962</v>
          </cell>
          <cell r="P9506">
            <v>7.8147577127385128</v>
          </cell>
          <cell r="Q9506">
            <v>102.64474101665027</v>
          </cell>
        </row>
        <row r="9507">
          <cell r="O9507">
            <v>49963</v>
          </cell>
          <cell r="P9507">
            <v>7.8183061557731497</v>
          </cell>
          <cell r="Q9507">
            <v>102.69134886166496</v>
          </cell>
        </row>
        <row r="9508">
          <cell r="O9508">
            <v>49964</v>
          </cell>
          <cell r="P9508">
            <v>7.8218562100474989</v>
          </cell>
          <cell r="Q9508">
            <v>102.73797786987997</v>
          </cell>
        </row>
        <row r="9509">
          <cell r="O9509">
            <v>49965</v>
          </cell>
          <cell r="P9509">
            <v>7.825407876293176</v>
          </cell>
          <cell r="Q9509">
            <v>102.78462805090489</v>
          </cell>
        </row>
        <row r="9510">
          <cell r="O9510">
            <v>49968</v>
          </cell>
          <cell r="P9510">
            <v>7.8289611552421263</v>
          </cell>
          <cell r="Q9510">
            <v>102.83129941435361</v>
          </cell>
        </row>
        <row r="9511">
          <cell r="O9511">
            <v>49969</v>
          </cell>
          <cell r="P9511">
            <v>7.8325160476266307</v>
          </cell>
          <cell r="Q9511">
            <v>102.87799196984446</v>
          </cell>
        </row>
        <row r="9512">
          <cell r="O9512">
            <v>49970</v>
          </cell>
          <cell r="P9512">
            <v>7.8360725541793039</v>
          </cell>
          <cell r="Q9512">
            <v>102.92470572700012</v>
          </cell>
        </row>
        <row r="9513">
          <cell r="O9513">
            <v>49971</v>
          </cell>
          <cell r="P9513">
            <v>7.8396306756330825</v>
          </cell>
          <cell r="Q9513">
            <v>102.97144069544751</v>
          </cell>
        </row>
        <row r="9514">
          <cell r="O9514">
            <v>49972</v>
          </cell>
          <cell r="P9514">
            <v>7.8431904127212482</v>
          </cell>
          <cell r="Q9514">
            <v>103.01819688481811</v>
          </cell>
        </row>
        <row r="9515">
          <cell r="O9515">
            <v>49975</v>
          </cell>
          <cell r="P9515">
            <v>7.846751766177416</v>
          </cell>
          <cell r="Q9515">
            <v>103.06497430474774</v>
          </cell>
        </row>
        <row r="9516">
          <cell r="O9516">
            <v>49976</v>
          </cell>
          <cell r="P9516">
            <v>7.8503147367355215</v>
          </cell>
          <cell r="Q9516">
            <v>103.11177296487645</v>
          </cell>
        </row>
        <row r="9517">
          <cell r="O9517">
            <v>49977</v>
          </cell>
          <cell r="P9517">
            <v>7.8538793251298449</v>
          </cell>
          <cell r="Q9517">
            <v>103.15859287484882</v>
          </cell>
        </row>
        <row r="9518">
          <cell r="O9518">
            <v>49978</v>
          </cell>
          <cell r="P9518">
            <v>7.8574455320949959</v>
          </cell>
          <cell r="Q9518">
            <v>103.20543404431373</v>
          </cell>
        </row>
        <row r="9519">
          <cell r="O9519">
            <v>49979</v>
          </cell>
          <cell r="P9519">
            <v>7.8610133583658941</v>
          </cell>
          <cell r="Q9519">
            <v>103.25229648292419</v>
          </cell>
        </row>
        <row r="9520">
          <cell r="O9520">
            <v>49982</v>
          </cell>
          <cell r="P9520">
            <v>7.8645828046778892</v>
          </cell>
          <cell r="Q9520">
            <v>103.29918020033878</v>
          </cell>
        </row>
        <row r="9521">
          <cell r="O9521">
            <v>49983</v>
          </cell>
          <cell r="P9521">
            <v>7.8681538717665207</v>
          </cell>
          <cell r="Q9521">
            <v>103.34608520621865</v>
          </cell>
        </row>
        <row r="9522">
          <cell r="O9522">
            <v>49984</v>
          </cell>
          <cell r="P9522">
            <v>7.871726560367728</v>
          </cell>
          <cell r="Q9522">
            <v>103.39301151023012</v>
          </cell>
        </row>
        <row r="9523">
          <cell r="O9523">
            <v>49985</v>
          </cell>
          <cell r="P9523">
            <v>7.8753008712178518</v>
          </cell>
          <cell r="Q9523">
            <v>103.43995912204488</v>
          </cell>
        </row>
        <row r="9524">
          <cell r="O9524">
            <v>49986</v>
          </cell>
          <cell r="P9524">
            <v>7.878876805053471</v>
          </cell>
          <cell r="Q9524">
            <v>103.48692805133766</v>
          </cell>
        </row>
        <row r="9525">
          <cell r="O9525">
            <v>49989</v>
          </cell>
          <cell r="P9525">
            <v>7.882454362611564</v>
          </cell>
          <cell r="Q9525">
            <v>103.53391830778848</v>
          </cell>
        </row>
        <row r="9526">
          <cell r="O9526">
            <v>49990</v>
          </cell>
          <cell r="P9526">
            <v>7.8860335446293295</v>
          </cell>
          <cell r="Q9526">
            <v>103.58092990108025</v>
          </cell>
        </row>
        <row r="9527">
          <cell r="O9527">
            <v>49991</v>
          </cell>
          <cell r="P9527">
            <v>7.8896143518444708</v>
          </cell>
          <cell r="Q9527">
            <v>103.6279628409025</v>
          </cell>
        </row>
        <row r="9528">
          <cell r="O9528">
            <v>49992</v>
          </cell>
          <cell r="P9528">
            <v>7.8931967849949389</v>
          </cell>
          <cell r="Q9528">
            <v>103.67501713694803</v>
          </cell>
        </row>
        <row r="9529">
          <cell r="O9529">
            <v>49993</v>
          </cell>
          <cell r="P9529">
            <v>7.8967808448189665</v>
          </cell>
          <cell r="Q9529">
            <v>103.72209279891331</v>
          </cell>
        </row>
        <row r="9530">
          <cell r="O9530">
            <v>49996</v>
          </cell>
          <cell r="P9530">
            <v>7.900366532055175</v>
          </cell>
          <cell r="Q9530">
            <v>103.76918983649996</v>
          </cell>
        </row>
        <row r="9531">
          <cell r="O9531">
            <v>49997</v>
          </cell>
          <cell r="P9531">
            <v>7.9039538474425841</v>
          </cell>
          <cell r="Q9531">
            <v>103.81630825941477</v>
          </cell>
        </row>
        <row r="9532">
          <cell r="O9532">
            <v>49998</v>
          </cell>
          <cell r="P9532">
            <v>7.9075427917204513</v>
          </cell>
          <cell r="Q9532">
            <v>103.86344807736772</v>
          </cell>
        </row>
        <row r="9533">
          <cell r="O9533">
            <v>49999</v>
          </cell>
          <cell r="P9533">
            <v>7.9111333656284089</v>
          </cell>
          <cell r="Q9533">
            <v>103.91060930007366</v>
          </cell>
        </row>
        <row r="9534">
          <cell r="O9534">
            <v>50000</v>
          </cell>
          <cell r="P9534">
            <v>7.9147255699064205</v>
          </cell>
          <cell r="Q9534">
            <v>103.95779193725183</v>
          </cell>
        </row>
        <row r="9535">
          <cell r="O9535">
            <v>50003</v>
          </cell>
          <cell r="P9535">
            <v>7.9183194052947963</v>
          </cell>
          <cell r="Q9535">
            <v>104.00499599862599</v>
          </cell>
        </row>
        <row r="9536">
          <cell r="O9536">
            <v>50004</v>
          </cell>
          <cell r="P9536">
            <v>7.9219148725341642</v>
          </cell>
          <cell r="Q9536">
            <v>104.05222149392409</v>
          </cell>
        </row>
        <row r="9537">
          <cell r="O9537">
            <v>50005</v>
          </cell>
          <cell r="P9537">
            <v>7.9255119723655012</v>
          </cell>
          <cell r="Q9537">
            <v>104.09946843287868</v>
          </cell>
        </row>
        <row r="9538">
          <cell r="O9538">
            <v>50006</v>
          </cell>
          <cell r="P9538">
            <v>7.9291107055301167</v>
          </cell>
          <cell r="Q9538">
            <v>104.14673682522664</v>
          </cell>
        </row>
        <row r="9539">
          <cell r="O9539">
            <v>50007</v>
          </cell>
          <cell r="P9539">
            <v>7.9327110727696626</v>
          </cell>
          <cell r="Q9539">
            <v>104.19402668070937</v>
          </cell>
        </row>
        <row r="9540">
          <cell r="O9540">
            <v>50010</v>
          </cell>
          <cell r="P9540">
            <v>7.9363130748261108</v>
          </cell>
          <cell r="Q9540">
            <v>104.24133800907249</v>
          </cell>
        </row>
        <row r="9541">
          <cell r="O9541">
            <v>50011</v>
          </cell>
          <cell r="P9541">
            <v>7.9399167124417929</v>
          </cell>
          <cell r="Q9541">
            <v>104.28867082006632</v>
          </cell>
        </row>
        <row r="9542">
          <cell r="O9542">
            <v>50012</v>
          </cell>
          <cell r="P9542">
            <v>7.9435219863593618</v>
          </cell>
          <cell r="Q9542">
            <v>104.33602512344538</v>
          </cell>
        </row>
        <row r="9543">
          <cell r="O9543">
            <v>50013</v>
          </cell>
          <cell r="P9543">
            <v>7.9471288973218179</v>
          </cell>
          <cell r="Q9543">
            <v>104.38340092896881</v>
          </cell>
        </row>
        <row r="9544">
          <cell r="O9544">
            <v>50014</v>
          </cell>
          <cell r="P9544">
            <v>7.950737446072484</v>
          </cell>
          <cell r="Q9544">
            <v>104.43079824639995</v>
          </cell>
        </row>
        <row r="9545">
          <cell r="O9545">
            <v>50017</v>
          </cell>
          <cell r="P9545">
            <v>7.9543476333550345</v>
          </cell>
          <cell r="Q9545">
            <v>104.47821708550676</v>
          </cell>
        </row>
        <row r="9546">
          <cell r="O9546">
            <v>50018</v>
          </cell>
          <cell r="P9546">
            <v>7.9579594599134733</v>
          </cell>
          <cell r="Q9546">
            <v>104.52565745606151</v>
          </cell>
        </row>
        <row r="9547">
          <cell r="O9547">
            <v>50019</v>
          </cell>
          <cell r="P9547">
            <v>7.9615729264921553</v>
          </cell>
          <cell r="Q9547">
            <v>104.57311936784114</v>
          </cell>
        </row>
        <row r="9548">
          <cell r="O9548">
            <v>50020</v>
          </cell>
          <cell r="P9548">
            <v>7.9651880338357541</v>
          </cell>
          <cell r="Q9548">
            <v>104.62060283062671</v>
          </cell>
        </row>
        <row r="9549">
          <cell r="O9549">
            <v>50021</v>
          </cell>
          <cell r="P9549">
            <v>7.9688047826892934</v>
          </cell>
          <cell r="Q9549">
            <v>104.66810785420392</v>
          </cell>
        </row>
        <row r="9550">
          <cell r="O9550">
            <v>50024</v>
          </cell>
          <cell r="P9550">
            <v>7.9724231737981341</v>
          </cell>
          <cell r="Q9550">
            <v>104.71563444836288</v>
          </cell>
        </row>
        <row r="9551">
          <cell r="O9551">
            <v>50025</v>
          </cell>
          <cell r="P9551">
            <v>7.9760432079079768</v>
          </cell>
          <cell r="Q9551">
            <v>104.76318262289816</v>
          </cell>
        </row>
        <row r="9552">
          <cell r="O9552">
            <v>50026</v>
          </cell>
          <cell r="P9552">
            <v>7.9796648857648478</v>
          </cell>
          <cell r="Q9552">
            <v>104.81075238760863</v>
          </cell>
        </row>
        <row r="9553">
          <cell r="O9553">
            <v>50027</v>
          </cell>
          <cell r="P9553">
            <v>7.9832882081151331</v>
          </cell>
          <cell r="Q9553">
            <v>104.85834375229786</v>
          </cell>
        </row>
        <row r="9554">
          <cell r="O9554">
            <v>50028</v>
          </cell>
          <cell r="P9554">
            <v>7.9869131757055429</v>
          </cell>
          <cell r="Q9554">
            <v>104.90595672677368</v>
          </cell>
        </row>
        <row r="9555">
          <cell r="O9555">
            <v>50031</v>
          </cell>
          <cell r="P9555">
            <v>7.9905397892831349</v>
          </cell>
          <cell r="Q9555">
            <v>104.9535913208485</v>
          </cell>
        </row>
        <row r="9556">
          <cell r="O9556">
            <v>50032</v>
          </cell>
          <cell r="P9556">
            <v>7.9941680495952943</v>
          </cell>
          <cell r="Q9556">
            <v>105.00124754433902</v>
          </cell>
        </row>
        <row r="9557">
          <cell r="O9557">
            <v>50033</v>
          </cell>
          <cell r="P9557">
            <v>7.9977979573897562</v>
          </cell>
          <cell r="Q9557">
            <v>105.04892540706656</v>
          </cell>
        </row>
        <row r="9558">
          <cell r="O9558">
            <v>50035</v>
          </cell>
          <cell r="P9558">
            <v>8.0014295134145925</v>
          </cell>
          <cell r="Q9558">
            <v>105.09662491885682</v>
          </cell>
        </row>
        <row r="9559">
          <cell r="O9559">
            <v>50038</v>
          </cell>
          <cell r="P9559">
            <v>8.0050627184182144</v>
          </cell>
          <cell r="Q9559">
            <v>105.14434608953998</v>
          </cell>
        </row>
        <row r="9560">
          <cell r="O9560">
            <v>50039</v>
          </cell>
          <cell r="P9560">
            <v>8.008697573149373</v>
          </cell>
          <cell r="Q9560">
            <v>105.1920889289507</v>
          </cell>
        </row>
        <row r="9561">
          <cell r="O9561">
            <v>50040</v>
          </cell>
          <cell r="P9561">
            <v>8.0123340783571582</v>
          </cell>
          <cell r="Q9561">
            <v>105.23985344692805</v>
          </cell>
        </row>
        <row r="9562">
          <cell r="O9562">
            <v>50042</v>
          </cell>
          <cell r="P9562">
            <v>8.0159722347910023</v>
          </cell>
          <cell r="Q9562">
            <v>105.28763965331565</v>
          </cell>
        </row>
        <row r="9563">
          <cell r="O9563">
            <v>50045</v>
          </cell>
          <cell r="P9563">
            <v>8.019612043200679</v>
          </cell>
          <cell r="Q9563">
            <v>105.33544755796156</v>
          </cell>
        </row>
        <row r="9564">
          <cell r="O9564">
            <v>50046</v>
          </cell>
          <cell r="P9564">
            <v>8.023253504336294</v>
          </cell>
          <cell r="Q9564">
            <v>105.38327717071822</v>
          </cell>
        </row>
        <row r="9565">
          <cell r="O9565">
            <v>50047</v>
          </cell>
          <cell r="P9565">
            <v>8.0268966189482995</v>
          </cell>
          <cell r="Q9565">
            <v>105.43112850144261</v>
          </cell>
        </row>
        <row r="9566">
          <cell r="O9566">
            <v>50048</v>
          </cell>
          <cell r="P9566">
            <v>8.0305413877874958</v>
          </cell>
          <cell r="Q9566">
            <v>105.47900155999631</v>
          </cell>
        </row>
        <row r="9567">
          <cell r="O9567">
            <v>50049</v>
          </cell>
          <cell r="P9567">
            <v>8.0341878116050172</v>
          </cell>
          <cell r="Q9567">
            <v>105.52689635624525</v>
          </cell>
        </row>
        <row r="9568">
          <cell r="O9568">
            <v>50052</v>
          </cell>
          <cell r="P9568">
            <v>8.0378358911523318</v>
          </cell>
          <cell r="Q9568">
            <v>105.57481290005977</v>
          </cell>
        </row>
        <row r="9569">
          <cell r="O9569">
            <v>50053</v>
          </cell>
          <cell r="P9569">
            <v>8.0414856271812578</v>
          </cell>
          <cell r="Q9569">
            <v>105.62275120131478</v>
          </cell>
        </row>
        <row r="9570">
          <cell r="O9570">
            <v>50054</v>
          </cell>
          <cell r="P9570">
            <v>8.0451370204439545</v>
          </cell>
          <cell r="Q9570">
            <v>105.67071126988972</v>
          </cell>
        </row>
        <row r="9571">
          <cell r="O9571">
            <v>50055</v>
          </cell>
          <cell r="P9571">
            <v>8.0487900716929222</v>
          </cell>
          <cell r="Q9571">
            <v>105.71869311566846</v>
          </cell>
        </row>
        <row r="9572">
          <cell r="O9572">
            <v>50056</v>
          </cell>
          <cell r="P9572">
            <v>8.0524447816809985</v>
          </cell>
          <cell r="Q9572">
            <v>105.76669674853932</v>
          </cell>
        </row>
        <row r="9573">
          <cell r="O9573">
            <v>50059</v>
          </cell>
          <cell r="P9573">
            <v>8.0561011511613714</v>
          </cell>
          <cell r="Q9573">
            <v>105.81472217839523</v>
          </cell>
        </row>
        <row r="9574">
          <cell r="O9574">
            <v>50060</v>
          </cell>
          <cell r="P9574">
            <v>8.0597591808875606</v>
          </cell>
          <cell r="Q9574">
            <v>105.86276941513347</v>
          </cell>
        </row>
        <row r="9575">
          <cell r="O9575">
            <v>50061</v>
          </cell>
          <cell r="P9575">
            <v>8.0634188716134396</v>
          </cell>
          <cell r="Q9575">
            <v>105.91083846865595</v>
          </cell>
        </row>
        <row r="9576">
          <cell r="O9576">
            <v>50062</v>
          </cell>
          <cell r="P9576">
            <v>8.0670802240932087</v>
          </cell>
          <cell r="Q9576">
            <v>105.95892934886891</v>
          </cell>
        </row>
        <row r="9577">
          <cell r="O9577">
            <v>50063</v>
          </cell>
          <cell r="P9577">
            <v>8.0707432390814215</v>
          </cell>
          <cell r="Q9577">
            <v>106.00704206568319</v>
          </cell>
        </row>
        <row r="9578">
          <cell r="O9578">
            <v>50066</v>
          </cell>
          <cell r="P9578">
            <v>8.0744079173329837</v>
          </cell>
          <cell r="Q9578">
            <v>106.05517662901428</v>
          </cell>
        </row>
        <row r="9579">
          <cell r="O9579">
            <v>50067</v>
          </cell>
          <cell r="P9579">
            <v>8.0780742596031185</v>
          </cell>
          <cell r="Q9579">
            <v>106.10333304878183</v>
          </cell>
        </row>
        <row r="9580">
          <cell r="O9580">
            <v>50068</v>
          </cell>
          <cell r="P9580">
            <v>8.0817422666474101</v>
          </cell>
          <cell r="Q9580">
            <v>106.15151133491025</v>
          </cell>
        </row>
        <row r="9581">
          <cell r="O9581">
            <v>50069</v>
          </cell>
          <cell r="P9581">
            <v>8.0854119392217854</v>
          </cell>
          <cell r="Q9581">
            <v>106.19971149732842</v>
          </cell>
        </row>
        <row r="9582">
          <cell r="O9582">
            <v>50070</v>
          </cell>
          <cell r="P9582">
            <v>8.0890832780825104</v>
          </cell>
          <cell r="Q9582">
            <v>106.2479335459697</v>
          </cell>
        </row>
        <row r="9583">
          <cell r="O9583">
            <v>50073</v>
          </cell>
          <cell r="P9583">
            <v>8.0927562839861853</v>
          </cell>
          <cell r="Q9583">
            <v>106.29617749077183</v>
          </cell>
        </row>
        <row r="9584">
          <cell r="O9584">
            <v>50074</v>
          </cell>
          <cell r="P9584">
            <v>8.0964309576897762</v>
          </cell>
          <cell r="Q9584">
            <v>106.34444334167735</v>
          </cell>
        </row>
        <row r="9585">
          <cell r="O9585">
            <v>50075</v>
          </cell>
          <cell r="P9585">
            <v>8.1001072999505723</v>
          </cell>
          <cell r="Q9585">
            <v>106.39273110863304</v>
          </cell>
        </row>
        <row r="9586">
          <cell r="O9586">
            <v>50076</v>
          </cell>
          <cell r="P9586">
            <v>8.1037853115262219</v>
          </cell>
          <cell r="Q9586">
            <v>106.44104080159045</v>
          </cell>
        </row>
        <row r="9587">
          <cell r="O9587">
            <v>50077</v>
          </cell>
          <cell r="P9587">
            <v>8.1074649931747018</v>
          </cell>
          <cell r="Q9587">
            <v>106.48937243050534</v>
          </cell>
        </row>
        <row r="9588">
          <cell r="O9588">
            <v>50080</v>
          </cell>
          <cell r="P9588">
            <v>8.111146345654344</v>
          </cell>
          <cell r="Q9588">
            <v>106.53772600533824</v>
          </cell>
        </row>
        <row r="9589">
          <cell r="O9589">
            <v>50081</v>
          </cell>
          <cell r="P9589">
            <v>8.1148293697238216</v>
          </cell>
          <cell r="Q9589">
            <v>106.5861015360541</v>
          </cell>
        </row>
        <row r="9590">
          <cell r="O9590">
            <v>50082</v>
          </cell>
          <cell r="P9590">
            <v>8.1185140661421542</v>
          </cell>
          <cell r="Q9590">
            <v>106.63449903262246</v>
          </cell>
        </row>
        <row r="9591">
          <cell r="O9591">
            <v>50083</v>
          </cell>
          <cell r="P9591">
            <v>8.1222004356687041</v>
          </cell>
          <cell r="Q9591">
            <v>106.6829185050173</v>
          </cell>
        </row>
        <row r="9592">
          <cell r="O9592">
            <v>50084</v>
          </cell>
          <cell r="P9592">
            <v>8.1258884790631765</v>
          </cell>
          <cell r="Q9592">
            <v>106.73135996321717</v>
          </cell>
        </row>
        <row r="9593">
          <cell r="O9593">
            <v>50089</v>
          </cell>
          <cell r="P9593">
            <v>8.1295781970856265</v>
          </cell>
          <cell r="Q9593">
            <v>106.77982341720519</v>
          </cell>
        </row>
        <row r="9594">
          <cell r="O9594">
            <v>50090</v>
          </cell>
          <cell r="P9594">
            <v>8.1332695904964538</v>
          </cell>
          <cell r="Q9594">
            <v>106.82830887696902</v>
          </cell>
        </row>
        <row r="9595">
          <cell r="O9595">
            <v>50091</v>
          </cell>
          <cell r="P9595">
            <v>8.136962660056394</v>
          </cell>
          <cell r="Q9595">
            <v>106.87681635250068</v>
          </cell>
        </row>
        <row r="9596">
          <cell r="O9596">
            <v>50094</v>
          </cell>
          <cell r="P9596">
            <v>8.1406574065265342</v>
          </cell>
          <cell r="Q9596">
            <v>106.92534585379687</v>
          </cell>
        </row>
        <row r="9597">
          <cell r="O9597">
            <v>50095</v>
          </cell>
          <cell r="P9597">
            <v>8.1443538306683187</v>
          </cell>
          <cell r="Q9597">
            <v>106.97389739085894</v>
          </cell>
        </row>
        <row r="9598">
          <cell r="O9598">
            <v>50096</v>
          </cell>
          <cell r="P9598">
            <v>8.1480519332435239</v>
          </cell>
          <cell r="Q9598">
            <v>107.02247097369263</v>
          </cell>
        </row>
        <row r="9599">
          <cell r="O9599">
            <v>50097</v>
          </cell>
          <cell r="P9599">
            <v>8.1517517150142673</v>
          </cell>
          <cell r="Q9599">
            <v>107.07106661230816</v>
          </cell>
        </row>
        <row r="9600">
          <cell r="O9600">
            <v>50098</v>
          </cell>
          <cell r="P9600">
            <v>8.1554531767430269</v>
          </cell>
          <cell r="Q9600">
            <v>107.11968431672044</v>
          </cell>
        </row>
        <row r="9601">
          <cell r="O9601">
            <v>50101</v>
          </cell>
          <cell r="P9601">
            <v>8.1591563191926202</v>
          </cell>
          <cell r="Q9601">
            <v>107.16832409694889</v>
          </cell>
        </row>
        <row r="9602">
          <cell r="O9602">
            <v>50102</v>
          </cell>
          <cell r="P9602">
            <v>8.162861143126209</v>
          </cell>
          <cell r="Q9602">
            <v>107.21698596301746</v>
          </cell>
        </row>
        <row r="9603">
          <cell r="O9603">
            <v>50103</v>
          </cell>
          <cell r="P9603">
            <v>8.1665676493073054</v>
          </cell>
          <cell r="Q9603">
            <v>107.26566992495464</v>
          </cell>
        </row>
        <row r="9604">
          <cell r="O9604">
            <v>50104</v>
          </cell>
          <cell r="P9604">
            <v>8.1702758384997658</v>
          </cell>
          <cell r="Q9604">
            <v>107.31437599279349</v>
          </cell>
        </row>
        <row r="9605">
          <cell r="O9605">
            <v>50105</v>
          </cell>
          <cell r="P9605">
            <v>8.173985711467795</v>
          </cell>
          <cell r="Q9605">
            <v>107.36310417657164</v>
          </cell>
        </row>
        <row r="9606">
          <cell r="O9606">
            <v>50108</v>
          </cell>
          <cell r="P9606">
            <v>8.1776972689759475</v>
          </cell>
          <cell r="Q9606">
            <v>107.41185448633131</v>
          </cell>
        </row>
        <row r="9607">
          <cell r="O9607">
            <v>50109</v>
          </cell>
          <cell r="P9607">
            <v>8.1814105117891138</v>
          </cell>
          <cell r="Q9607">
            <v>107.46062693211911</v>
          </cell>
        </row>
        <row r="9608">
          <cell r="O9608">
            <v>50110</v>
          </cell>
          <cell r="P9608">
            <v>8.1851254406725413</v>
          </cell>
          <cell r="Q9608">
            <v>107.50942152398639</v>
          </cell>
        </row>
        <row r="9609">
          <cell r="O9609">
            <v>50111</v>
          </cell>
          <cell r="P9609">
            <v>8.1888420563918292</v>
          </cell>
          <cell r="Q9609">
            <v>107.55823827198905</v>
          </cell>
        </row>
        <row r="9610">
          <cell r="O9610">
            <v>50112</v>
          </cell>
          <cell r="P9610">
            <v>8.1925603597129157</v>
          </cell>
          <cell r="Q9610">
            <v>107.60707718618752</v>
          </cell>
        </row>
        <row r="9611">
          <cell r="O9611">
            <v>50115</v>
          </cell>
          <cell r="P9611">
            <v>8.1962803514020859</v>
          </cell>
          <cell r="Q9611">
            <v>107.65593827664675</v>
          </cell>
        </row>
        <row r="9612">
          <cell r="O9612">
            <v>50116</v>
          </cell>
          <cell r="P9612">
            <v>8.2000020322259779</v>
          </cell>
          <cell r="Q9612">
            <v>107.70482155343629</v>
          </cell>
        </row>
        <row r="9613">
          <cell r="O9613">
            <v>50117</v>
          </cell>
          <cell r="P9613">
            <v>8.2037254029515783</v>
          </cell>
          <cell r="Q9613">
            <v>107.75372702663033</v>
          </cell>
        </row>
        <row r="9614">
          <cell r="O9614">
            <v>50118</v>
          </cell>
          <cell r="P9614">
            <v>8.2074504643462163</v>
          </cell>
          <cell r="Q9614">
            <v>107.80265470630752</v>
          </cell>
        </row>
        <row r="9615">
          <cell r="O9615">
            <v>50119</v>
          </cell>
          <cell r="P9615">
            <v>8.2111772171775765</v>
          </cell>
          <cell r="Q9615">
            <v>107.85160460255119</v>
          </cell>
        </row>
        <row r="9616">
          <cell r="O9616">
            <v>50122</v>
          </cell>
          <cell r="P9616">
            <v>8.2149056622136865</v>
          </cell>
          <cell r="Q9616">
            <v>107.9005767254492</v>
          </cell>
        </row>
        <row r="9617">
          <cell r="O9617">
            <v>50123</v>
          </cell>
          <cell r="P9617">
            <v>8.2186358002229252</v>
          </cell>
          <cell r="Q9617">
            <v>107.94957108509396</v>
          </cell>
        </row>
        <row r="9618">
          <cell r="O9618">
            <v>50124</v>
          </cell>
          <cell r="P9618">
            <v>8.2223676319740253</v>
          </cell>
          <cell r="Q9618">
            <v>107.99858769158261</v>
          </cell>
        </row>
        <row r="9619">
          <cell r="O9619">
            <v>50125</v>
          </cell>
          <cell r="P9619">
            <v>8.2261011582360535</v>
          </cell>
          <cell r="Q9619">
            <v>108.04762655501661</v>
          </cell>
        </row>
        <row r="9620">
          <cell r="O9620">
            <v>50126</v>
          </cell>
          <cell r="P9620">
            <v>8.2298363797784422</v>
          </cell>
          <cell r="Q9620">
            <v>108.09668768550225</v>
          </cell>
        </row>
        <row r="9621">
          <cell r="O9621">
            <v>50129</v>
          </cell>
          <cell r="P9621">
            <v>8.2335732973709597</v>
          </cell>
          <cell r="Q9621">
            <v>108.14577109315022</v>
          </cell>
        </row>
        <row r="9622">
          <cell r="O9622">
            <v>50130</v>
          </cell>
          <cell r="P9622">
            <v>8.2373119117837437</v>
          </cell>
          <cell r="Q9622">
            <v>108.19487678807609</v>
          </cell>
        </row>
        <row r="9623">
          <cell r="O9623">
            <v>50131</v>
          </cell>
          <cell r="P9623">
            <v>8.2410522237872552</v>
          </cell>
          <cell r="Q9623">
            <v>108.24400478039965</v>
          </cell>
        </row>
        <row r="9624">
          <cell r="O9624">
            <v>50132</v>
          </cell>
          <cell r="P9624">
            <v>8.2447942341523248</v>
          </cell>
          <cell r="Q9624">
            <v>108.29315508024555</v>
          </cell>
        </row>
        <row r="9625">
          <cell r="O9625">
            <v>50136</v>
          </cell>
          <cell r="P9625">
            <v>8.2485379436501258</v>
          </cell>
          <cell r="Q9625">
            <v>108.34232769774296</v>
          </cell>
        </row>
        <row r="9626">
          <cell r="O9626">
            <v>50137</v>
          </cell>
          <cell r="P9626">
            <v>8.2522833530521869</v>
          </cell>
          <cell r="Q9626">
            <v>108.39152264302568</v>
          </cell>
        </row>
        <row r="9627">
          <cell r="O9627">
            <v>50138</v>
          </cell>
          <cell r="P9627">
            <v>8.2560304631303687</v>
          </cell>
          <cell r="Q9627">
            <v>108.4407399262319</v>
          </cell>
        </row>
        <row r="9628">
          <cell r="O9628">
            <v>50139</v>
          </cell>
          <cell r="P9628">
            <v>8.2597792746569105</v>
          </cell>
          <cell r="Q9628">
            <v>108.48997955750478</v>
          </cell>
        </row>
        <row r="9629">
          <cell r="O9629">
            <v>50140</v>
          </cell>
          <cell r="P9629">
            <v>8.2635297884043837</v>
          </cell>
          <cell r="Q9629">
            <v>108.53924154699183</v>
          </cell>
        </row>
        <row r="9630">
          <cell r="O9630">
            <v>50143</v>
          </cell>
          <cell r="P9630">
            <v>8.2672820051457183</v>
          </cell>
          <cell r="Q9630">
            <v>108.58852590484528</v>
          </cell>
        </row>
        <row r="9631">
          <cell r="O9631">
            <v>50144</v>
          </cell>
          <cell r="P9631">
            <v>8.2710359256541839</v>
          </cell>
          <cell r="Q9631">
            <v>108.63783264122182</v>
          </cell>
        </row>
        <row r="9632">
          <cell r="O9632">
            <v>50145</v>
          </cell>
          <cell r="P9632">
            <v>8.2747915507034122</v>
          </cell>
          <cell r="Q9632">
            <v>108.6871617662829</v>
          </cell>
        </row>
        <row r="9633">
          <cell r="O9633">
            <v>50146</v>
          </cell>
          <cell r="P9633">
            <v>8.2785488810673815</v>
          </cell>
          <cell r="Q9633">
            <v>108.73651329019451</v>
          </cell>
        </row>
        <row r="9634">
          <cell r="O9634">
            <v>50147</v>
          </cell>
          <cell r="P9634">
            <v>8.2823079175204342</v>
          </cell>
          <cell r="Q9634">
            <v>108.78588722312742</v>
          </cell>
        </row>
        <row r="9635">
          <cell r="O9635">
            <v>50150</v>
          </cell>
          <cell r="P9635">
            <v>8.2860686608372411</v>
          </cell>
          <cell r="Q9635">
            <v>108.83528357525674</v>
          </cell>
        </row>
        <row r="9636">
          <cell r="O9636">
            <v>50152</v>
          </cell>
          <cell r="P9636">
            <v>8.2898311117928394</v>
          </cell>
          <cell r="Q9636">
            <v>108.88470235676236</v>
          </cell>
        </row>
        <row r="9637">
          <cell r="O9637">
            <v>50153</v>
          </cell>
          <cell r="P9637">
            <v>8.2935952711626193</v>
          </cell>
          <cell r="Q9637">
            <v>108.93414357782885</v>
          </cell>
        </row>
        <row r="9638">
          <cell r="O9638">
            <v>50154</v>
          </cell>
          <cell r="P9638">
            <v>8.2973611397223195</v>
          </cell>
          <cell r="Q9638">
            <v>108.98360724864528</v>
          </cell>
        </row>
        <row r="9639">
          <cell r="O9639">
            <v>50157</v>
          </cell>
          <cell r="P9639">
            <v>8.3011287182480231</v>
          </cell>
          <cell r="Q9639">
            <v>109.03309337940534</v>
          </cell>
        </row>
        <row r="9640">
          <cell r="O9640">
            <v>50158</v>
          </cell>
          <cell r="P9640">
            <v>8.3048980075161829</v>
          </cell>
          <cell r="Q9640">
            <v>109.08260198030752</v>
          </cell>
        </row>
        <row r="9641">
          <cell r="O9641">
            <v>50159</v>
          </cell>
          <cell r="P9641">
            <v>8.3086690083035943</v>
          </cell>
          <cell r="Q9641">
            <v>109.13213306155478</v>
          </cell>
        </row>
        <row r="9642">
          <cell r="O9642">
            <v>50160</v>
          </cell>
          <cell r="P9642">
            <v>8.3124417213873993</v>
          </cell>
          <cell r="Q9642">
            <v>109.18168663335473</v>
          </cell>
        </row>
        <row r="9643">
          <cell r="O9643">
            <v>50164</v>
          </cell>
          <cell r="P9643">
            <v>8.316216147545104</v>
          </cell>
          <cell r="Q9643">
            <v>109.23126270591965</v>
          </cell>
        </row>
        <row r="9644">
          <cell r="O9644">
            <v>50165</v>
          </cell>
          <cell r="P9644">
            <v>8.3199922875545287</v>
          </cell>
          <cell r="Q9644">
            <v>109.28086128946603</v>
          </cell>
        </row>
        <row r="9645">
          <cell r="O9645">
            <v>50166</v>
          </cell>
          <cell r="P9645">
            <v>8.3237701421939505</v>
          </cell>
          <cell r="Q9645">
            <v>109.33048239421633</v>
          </cell>
        </row>
        <row r="9646">
          <cell r="O9646">
            <v>50167</v>
          </cell>
          <cell r="P9646">
            <v>8.3275497122418933</v>
          </cell>
          <cell r="Q9646">
            <v>109.38012603039626</v>
          </cell>
        </row>
        <row r="9647">
          <cell r="O9647">
            <v>50168</v>
          </cell>
          <cell r="P9647">
            <v>8.3313309984773003</v>
          </cell>
          <cell r="Q9647">
            <v>109.42979220823699</v>
          </cell>
        </row>
        <row r="9648">
          <cell r="O9648">
            <v>50171</v>
          </cell>
          <cell r="P9648">
            <v>8.3351140016793526</v>
          </cell>
          <cell r="Q9648">
            <v>109.47948093797289</v>
          </cell>
        </row>
        <row r="9649">
          <cell r="O9649">
            <v>50172</v>
          </cell>
          <cell r="P9649">
            <v>8.3388987226278015</v>
          </cell>
          <cell r="Q9649">
            <v>109.52919222984578</v>
          </cell>
        </row>
        <row r="9650">
          <cell r="O9650">
            <v>50173</v>
          </cell>
          <cell r="P9650">
            <v>8.342685162102482</v>
          </cell>
          <cell r="Q9650">
            <v>109.57892609409858</v>
          </cell>
        </row>
        <row r="9651">
          <cell r="O9651">
            <v>50174</v>
          </cell>
          <cell r="P9651">
            <v>8.3464733208838666</v>
          </cell>
          <cell r="Q9651">
            <v>109.62868254098257</v>
          </cell>
        </row>
        <row r="9652">
          <cell r="O9652">
            <v>50175</v>
          </cell>
          <cell r="P9652">
            <v>8.3502631997525008</v>
          </cell>
          <cell r="Q9652">
            <v>109.67846158075002</v>
          </cell>
        </row>
        <row r="9653">
          <cell r="O9653">
            <v>50178</v>
          </cell>
          <cell r="P9653">
            <v>8.3540547994895284</v>
          </cell>
          <cell r="Q9653">
            <v>109.72826322366105</v>
          </cell>
        </row>
        <row r="9654">
          <cell r="O9654">
            <v>50179</v>
          </cell>
          <cell r="P9654">
            <v>8.3578481208763069</v>
          </cell>
          <cell r="Q9654">
            <v>109.77808747997857</v>
          </cell>
        </row>
        <row r="9655">
          <cell r="O9655">
            <v>50180</v>
          </cell>
          <cell r="P9655">
            <v>8.3616431646946197</v>
          </cell>
          <cell r="Q9655">
            <v>109.8279343599711</v>
          </cell>
        </row>
        <row r="9656">
          <cell r="O9656">
            <v>50181</v>
          </cell>
          <cell r="P9656">
            <v>8.3654399317264687</v>
          </cell>
          <cell r="Q9656">
            <v>109.87780387391001</v>
          </cell>
        </row>
        <row r="9657">
          <cell r="O9657">
            <v>50182</v>
          </cell>
          <cell r="P9657">
            <v>8.3692384227544174</v>
          </cell>
          <cell r="Q9657">
            <v>109.9276960320741</v>
          </cell>
        </row>
        <row r="9658">
          <cell r="O9658">
            <v>50185</v>
          </cell>
          <cell r="P9658">
            <v>8.3730386385612405</v>
          </cell>
          <cell r="Q9658">
            <v>109.97761084474486</v>
          </cell>
        </row>
        <row r="9659">
          <cell r="O9659">
            <v>50186</v>
          </cell>
          <cell r="P9659">
            <v>8.3768405799301089</v>
          </cell>
          <cell r="Q9659">
            <v>110.02754832220904</v>
          </cell>
        </row>
        <row r="9660">
          <cell r="O9660">
            <v>50187</v>
          </cell>
          <cell r="P9660">
            <v>8.3806442476445469</v>
          </cell>
          <cell r="Q9660">
            <v>110.07750847475805</v>
          </cell>
        </row>
        <row r="9661">
          <cell r="O9661">
            <v>50188</v>
          </cell>
          <cell r="P9661">
            <v>8.3844496424884429</v>
          </cell>
          <cell r="Q9661">
            <v>110.12749131268801</v>
          </cell>
        </row>
        <row r="9662">
          <cell r="O9662">
            <v>50189</v>
          </cell>
          <cell r="P9662">
            <v>8.3882567652460231</v>
          </cell>
          <cell r="Q9662">
            <v>110.17749684629956</v>
          </cell>
        </row>
        <row r="9663">
          <cell r="O9663">
            <v>50192</v>
          </cell>
          <cell r="P9663">
            <v>8.3920656167018866</v>
          </cell>
          <cell r="Q9663">
            <v>110.22752508589817</v>
          </cell>
        </row>
        <row r="9664">
          <cell r="O9664">
            <v>50193</v>
          </cell>
          <cell r="P9664">
            <v>8.3958761976409821</v>
          </cell>
          <cell r="Q9664">
            <v>110.27757604179395</v>
          </cell>
        </row>
        <row r="9665">
          <cell r="O9665">
            <v>50194</v>
          </cell>
          <cell r="P9665">
            <v>8.3996885088486124</v>
          </cell>
          <cell r="Q9665">
            <v>110.32764972430162</v>
          </cell>
        </row>
        <row r="9666">
          <cell r="O9666">
            <v>50196</v>
          </cell>
          <cell r="P9666">
            <v>8.4035025511104422</v>
          </cell>
          <cell r="Q9666">
            <v>110.37774614374069</v>
          </cell>
        </row>
        <row r="9667">
          <cell r="O9667">
            <v>50199</v>
          </cell>
          <cell r="P9667">
            <v>8.4073183252124881</v>
          </cell>
          <cell r="Q9667">
            <v>110.42786531043528</v>
          </cell>
        </row>
        <row r="9668">
          <cell r="O9668">
            <v>50200</v>
          </cell>
          <cell r="P9668">
            <v>8.4111358319411291</v>
          </cell>
          <cell r="Q9668">
            <v>110.47800723471425</v>
          </cell>
        </row>
        <row r="9669">
          <cell r="O9669">
            <v>50201</v>
          </cell>
          <cell r="P9669">
            <v>8.4149550720830995</v>
          </cell>
          <cell r="Q9669">
            <v>110.52817192691117</v>
          </cell>
        </row>
        <row r="9670">
          <cell r="O9670">
            <v>50202</v>
          </cell>
          <cell r="P9670">
            <v>8.4187760464254833</v>
          </cell>
          <cell r="Q9670">
            <v>110.57835939736414</v>
          </cell>
        </row>
        <row r="9671">
          <cell r="O9671">
            <v>50203</v>
          </cell>
          <cell r="P9671">
            <v>8.4225987557557307</v>
          </cell>
          <cell r="Q9671">
            <v>110.62856965641613</v>
          </cell>
        </row>
        <row r="9672">
          <cell r="O9672">
            <v>50206</v>
          </cell>
          <cell r="P9672">
            <v>8.4264232008616435</v>
          </cell>
          <cell r="Q9672">
            <v>110.67880271441472</v>
          </cell>
        </row>
        <row r="9673">
          <cell r="O9673">
            <v>50207</v>
          </cell>
          <cell r="P9673">
            <v>8.4302493825313949</v>
          </cell>
          <cell r="Q9673">
            <v>110.72905858171231</v>
          </cell>
        </row>
        <row r="9674">
          <cell r="O9674">
            <v>50208</v>
          </cell>
          <cell r="P9674">
            <v>8.4340773015534953</v>
          </cell>
          <cell r="Q9674">
            <v>110.77933726866581</v>
          </cell>
        </row>
        <row r="9675">
          <cell r="O9675">
            <v>50209</v>
          </cell>
          <cell r="P9675">
            <v>8.4379069587168249</v>
          </cell>
          <cell r="Q9675">
            <v>110.82963878563693</v>
          </cell>
        </row>
        <row r="9676">
          <cell r="O9676">
            <v>50210</v>
          </cell>
          <cell r="P9676">
            <v>8.4417383548106244</v>
          </cell>
          <cell r="Q9676">
            <v>110.87996314299215</v>
          </cell>
        </row>
        <row r="9677">
          <cell r="O9677">
            <v>50213</v>
          </cell>
          <cell r="P9677">
            <v>8.4455714906244914</v>
          </cell>
          <cell r="Q9677">
            <v>110.93031035110261</v>
          </cell>
        </row>
        <row r="9678">
          <cell r="O9678">
            <v>50214</v>
          </cell>
          <cell r="P9678">
            <v>8.4494063669483666</v>
          </cell>
          <cell r="Q9678">
            <v>110.98068042034396</v>
          </cell>
        </row>
        <row r="9679">
          <cell r="O9679">
            <v>50215</v>
          </cell>
          <cell r="P9679">
            <v>8.4532429845725758</v>
          </cell>
          <cell r="Q9679">
            <v>111.03107336109693</v>
          </cell>
        </row>
        <row r="9680">
          <cell r="O9680">
            <v>50216</v>
          </cell>
          <cell r="P9680">
            <v>8.4570813442877846</v>
          </cell>
          <cell r="Q9680">
            <v>111.0814891837467</v>
          </cell>
        </row>
        <row r="9681">
          <cell r="O9681">
            <v>50217</v>
          </cell>
          <cell r="P9681">
            <v>8.4609214468850293</v>
          </cell>
          <cell r="Q9681">
            <v>111.13192789868332</v>
          </cell>
        </row>
        <row r="9682">
          <cell r="O9682">
            <v>50220</v>
          </cell>
          <cell r="P9682">
            <v>8.4647632931556913</v>
          </cell>
          <cell r="Q9682">
            <v>111.18238951630137</v>
          </cell>
        </row>
        <row r="9683">
          <cell r="O9683">
            <v>50221</v>
          </cell>
          <cell r="P9683">
            <v>8.4686068838915229</v>
          </cell>
          <cell r="Q9683">
            <v>111.23287404700029</v>
          </cell>
        </row>
        <row r="9684">
          <cell r="O9684">
            <v>50222</v>
          </cell>
          <cell r="P9684">
            <v>8.4724522198846284</v>
          </cell>
          <cell r="Q9684">
            <v>111.28338150118418</v>
          </cell>
        </row>
        <row r="9685">
          <cell r="O9685">
            <v>50223</v>
          </cell>
          <cell r="P9685">
            <v>8.4762993019274884</v>
          </cell>
          <cell r="Q9685">
            <v>111.33391188926204</v>
          </cell>
        </row>
        <row r="9686">
          <cell r="O9686">
            <v>50224</v>
          </cell>
          <cell r="P9686">
            <v>8.4801481308129176</v>
          </cell>
          <cell r="Q9686">
            <v>111.38446522164729</v>
          </cell>
        </row>
        <row r="9687">
          <cell r="O9687">
            <v>50227</v>
          </cell>
          <cell r="P9687">
            <v>8.4839987073341092</v>
          </cell>
          <cell r="Q9687">
            <v>111.43504150875832</v>
          </cell>
        </row>
        <row r="9688">
          <cell r="O9688">
            <v>50228</v>
          </cell>
          <cell r="P9688">
            <v>8.4878510322846097</v>
          </cell>
          <cell r="Q9688">
            <v>111.48564076101812</v>
          </cell>
        </row>
        <row r="9689">
          <cell r="O9689">
            <v>50229</v>
          </cell>
          <cell r="P9689">
            <v>8.4917051064583351</v>
          </cell>
          <cell r="Q9689">
            <v>111.53626298885457</v>
          </cell>
        </row>
        <row r="9690">
          <cell r="O9690">
            <v>50230</v>
          </cell>
          <cell r="P9690">
            <v>8.495560930649539</v>
          </cell>
          <cell r="Q9690">
            <v>111.58690820270002</v>
          </cell>
        </row>
        <row r="9691">
          <cell r="O9691">
            <v>50231</v>
          </cell>
          <cell r="P9691">
            <v>8.4994185056528622</v>
          </cell>
          <cell r="Q9691">
            <v>111.63757641299181</v>
          </cell>
        </row>
        <row r="9692">
          <cell r="O9692">
            <v>50234</v>
          </cell>
          <cell r="P9692">
            <v>8.5032778322632936</v>
          </cell>
          <cell r="Q9692">
            <v>111.68826763017191</v>
          </cell>
        </row>
        <row r="9693">
          <cell r="O9693">
            <v>50235</v>
          </cell>
          <cell r="P9693">
            <v>8.5071389112761882</v>
          </cell>
          <cell r="Q9693">
            <v>111.73898186468712</v>
          </cell>
        </row>
        <row r="9694">
          <cell r="O9694">
            <v>50236</v>
          </cell>
          <cell r="P9694">
            <v>8.5110017434872489</v>
          </cell>
          <cell r="Q9694">
            <v>111.78971912698879</v>
          </cell>
        </row>
        <row r="9695">
          <cell r="O9695">
            <v>50237</v>
          </cell>
          <cell r="P9695">
            <v>8.5148663296925555</v>
          </cell>
          <cell r="Q9695">
            <v>111.84047942753317</v>
          </cell>
        </row>
        <row r="9696">
          <cell r="O9696">
            <v>50238</v>
          </cell>
          <cell r="P9696">
            <v>8.5187326706885429</v>
          </cell>
          <cell r="Q9696">
            <v>111.89126277678126</v>
          </cell>
        </row>
        <row r="9697">
          <cell r="O9697">
            <v>50241</v>
          </cell>
          <cell r="P9697">
            <v>8.5226007672720048</v>
          </cell>
          <cell r="Q9697">
            <v>111.94206918519872</v>
          </cell>
        </row>
        <row r="9698">
          <cell r="O9698">
            <v>50242</v>
          </cell>
          <cell r="P9698">
            <v>8.5264706202401044</v>
          </cell>
          <cell r="Q9698">
            <v>111.99289866325606</v>
          </cell>
        </row>
        <row r="9699">
          <cell r="O9699">
            <v>50243</v>
          </cell>
          <cell r="P9699">
            <v>8.5303422303903602</v>
          </cell>
          <cell r="Q9699">
            <v>112.04375122142848</v>
          </cell>
        </row>
        <row r="9700">
          <cell r="O9700">
            <v>50244</v>
          </cell>
          <cell r="P9700">
            <v>8.5342155985206549</v>
          </cell>
          <cell r="Q9700">
            <v>112.09462687019597</v>
          </cell>
        </row>
        <row r="9701">
          <cell r="O9701">
            <v>50245</v>
          </cell>
          <cell r="P9701">
            <v>8.5380907254292389</v>
          </cell>
          <cell r="Q9701">
            <v>112.1455256200433</v>
          </cell>
        </row>
        <row r="9702">
          <cell r="O9702">
            <v>50248</v>
          </cell>
          <cell r="P9702">
            <v>8.5419676119147052</v>
          </cell>
          <cell r="Q9702">
            <v>112.19644748145981</v>
          </cell>
        </row>
        <row r="9703">
          <cell r="O9703">
            <v>50249</v>
          </cell>
          <cell r="P9703">
            <v>8.545846258776038</v>
          </cell>
          <cell r="Q9703">
            <v>112.24739246493992</v>
          </cell>
        </row>
        <row r="9704">
          <cell r="O9704">
            <v>50250</v>
          </cell>
          <cell r="P9704">
            <v>8.5497266668125711</v>
          </cell>
          <cell r="Q9704">
            <v>112.29836058098267</v>
          </cell>
        </row>
        <row r="9705">
          <cell r="O9705">
            <v>50251</v>
          </cell>
          <cell r="P9705">
            <v>8.5536088368239902</v>
          </cell>
          <cell r="Q9705">
            <v>112.34935184009173</v>
          </cell>
        </row>
        <row r="9706">
          <cell r="O9706">
            <v>50252</v>
          </cell>
          <cell r="P9706">
            <v>8.5574927696103593</v>
          </cell>
          <cell r="Q9706">
            <v>112.40036625277571</v>
          </cell>
        </row>
        <row r="9707">
          <cell r="O9707">
            <v>50255</v>
          </cell>
          <cell r="P9707">
            <v>8.5613784659721013</v>
          </cell>
          <cell r="Q9707">
            <v>112.45140382954794</v>
          </cell>
        </row>
        <row r="9708">
          <cell r="O9708">
            <v>50256</v>
          </cell>
          <cell r="P9708">
            <v>8.5652659267099995</v>
          </cell>
          <cell r="Q9708">
            <v>112.50246458092653</v>
          </cell>
        </row>
        <row r="9709">
          <cell r="O9709">
            <v>50257</v>
          </cell>
          <cell r="P9709">
            <v>8.569155152625207</v>
          </cell>
          <cell r="Q9709">
            <v>112.55354851743436</v>
          </cell>
        </row>
        <row r="9710">
          <cell r="O9710">
            <v>50258</v>
          </cell>
          <cell r="P9710">
            <v>8.5730461445192354</v>
          </cell>
          <cell r="Q9710">
            <v>112.60465564959912</v>
          </cell>
        </row>
        <row r="9711">
          <cell r="O9711">
            <v>50259</v>
          </cell>
          <cell r="P9711">
            <v>8.5769389031939607</v>
          </cell>
          <cell r="Q9711">
            <v>112.65578598795319</v>
          </cell>
        </row>
        <row r="9712">
          <cell r="O9712">
            <v>50262</v>
          </cell>
          <cell r="P9712">
            <v>8.5808334294516282</v>
          </cell>
          <cell r="Q9712">
            <v>112.7069395430339</v>
          </cell>
        </row>
        <row r="9713">
          <cell r="O9713">
            <v>50263</v>
          </cell>
          <cell r="P9713">
            <v>8.5847297240948368</v>
          </cell>
          <cell r="Q9713">
            <v>112.75811632538311</v>
          </cell>
        </row>
        <row r="9714">
          <cell r="O9714">
            <v>50264</v>
          </cell>
          <cell r="P9714">
            <v>8.5886277879265602</v>
          </cell>
          <cell r="Q9714">
            <v>112.8093163455477</v>
          </cell>
        </row>
        <row r="9715">
          <cell r="O9715">
            <v>50265</v>
          </cell>
          <cell r="P9715">
            <v>8.5925276217501274</v>
          </cell>
          <cell r="Q9715">
            <v>112.86053961407919</v>
          </cell>
        </row>
        <row r="9716">
          <cell r="O9716">
            <v>50266</v>
          </cell>
          <cell r="P9716">
            <v>8.5964292263692528</v>
          </cell>
          <cell r="Q9716">
            <v>112.91178614153411</v>
          </cell>
        </row>
        <row r="9717">
          <cell r="O9717">
            <v>50269</v>
          </cell>
          <cell r="P9717">
            <v>8.6003326025879847</v>
          </cell>
          <cell r="Q9717">
            <v>112.96305593847346</v>
          </cell>
        </row>
        <row r="9718">
          <cell r="O9718">
            <v>50270</v>
          </cell>
          <cell r="P9718">
            <v>8.6042377512107588</v>
          </cell>
          <cell r="Q9718">
            <v>113.01434901546327</v>
          </cell>
        </row>
        <row r="9719">
          <cell r="O9719">
            <v>50271</v>
          </cell>
          <cell r="P9719">
            <v>8.6081446730423696</v>
          </cell>
          <cell r="Q9719">
            <v>113.06566538307429</v>
          </cell>
        </row>
        <row r="9720">
          <cell r="O9720">
            <v>50272</v>
          </cell>
          <cell r="P9720">
            <v>8.6120533688879792</v>
          </cell>
          <cell r="Q9720">
            <v>113.11700505188213</v>
          </cell>
        </row>
        <row r="9721">
          <cell r="O9721">
            <v>50273</v>
          </cell>
          <cell r="P9721">
            <v>8.6159638395531033</v>
          </cell>
          <cell r="Q9721">
            <v>113.168368032467</v>
          </cell>
        </row>
        <row r="9722">
          <cell r="O9722">
            <v>50276</v>
          </cell>
          <cell r="P9722">
            <v>8.6198760858436465</v>
          </cell>
          <cell r="Q9722">
            <v>113.21975433541425</v>
          </cell>
        </row>
        <row r="9723">
          <cell r="O9723">
            <v>50277</v>
          </cell>
          <cell r="P9723">
            <v>8.6237901085658581</v>
          </cell>
          <cell r="Q9723">
            <v>113.27116397131375</v>
          </cell>
        </row>
        <row r="9724">
          <cell r="O9724">
            <v>50278</v>
          </cell>
          <cell r="P9724">
            <v>8.6277059085263694</v>
          </cell>
          <cell r="Q9724">
            <v>113.32259695076038</v>
          </cell>
        </row>
        <row r="9725">
          <cell r="O9725">
            <v>50279</v>
          </cell>
          <cell r="P9725">
            <v>8.6316234865321597</v>
          </cell>
          <cell r="Q9725">
            <v>113.37405328435361</v>
          </cell>
        </row>
        <row r="9726">
          <cell r="O9726">
            <v>50280</v>
          </cell>
          <cell r="P9726">
            <v>8.6355428433905903</v>
          </cell>
          <cell r="Q9726">
            <v>113.42553298269789</v>
          </cell>
        </row>
        <row r="9727">
          <cell r="O9727">
            <v>50283</v>
          </cell>
          <cell r="P9727">
            <v>8.6394639799093795</v>
          </cell>
          <cell r="Q9727">
            <v>113.4770360564024</v>
          </cell>
        </row>
        <row r="9728">
          <cell r="O9728">
            <v>50284</v>
          </cell>
          <cell r="P9728">
            <v>8.6433868968966276</v>
          </cell>
          <cell r="Q9728">
            <v>113.52856251608131</v>
          </cell>
        </row>
        <row r="9729">
          <cell r="O9729">
            <v>50285</v>
          </cell>
          <cell r="P9729">
            <v>8.6473115951607813</v>
          </cell>
          <cell r="Q9729">
            <v>113.58011237235335</v>
          </cell>
        </row>
        <row r="9730">
          <cell r="O9730">
            <v>50286</v>
          </cell>
          <cell r="P9730">
            <v>8.6512380755106673</v>
          </cell>
          <cell r="Q9730">
            <v>113.63168563584226</v>
          </cell>
        </row>
        <row r="9731">
          <cell r="O9731">
            <v>50287</v>
          </cell>
          <cell r="P9731">
            <v>8.6551663387554747</v>
          </cell>
          <cell r="Q9731">
            <v>113.68328231717651</v>
          </cell>
        </row>
        <row r="9732">
          <cell r="O9732">
            <v>50291</v>
          </cell>
          <cell r="P9732">
            <v>8.6590963857047676</v>
          </cell>
          <cell r="Q9732">
            <v>113.73490242698949</v>
          </cell>
        </row>
        <row r="9733">
          <cell r="O9733">
            <v>50292</v>
          </cell>
          <cell r="P9733">
            <v>8.6630282171684598</v>
          </cell>
          <cell r="Q9733">
            <v>113.78654597591922</v>
          </cell>
        </row>
        <row r="9734">
          <cell r="O9734">
            <v>50293</v>
          </cell>
          <cell r="P9734">
            <v>8.6669618339568562</v>
          </cell>
          <cell r="Q9734">
            <v>113.83821297460884</v>
          </cell>
        </row>
        <row r="9735">
          <cell r="O9735">
            <v>50294</v>
          </cell>
          <cell r="P9735">
            <v>8.670897236880613</v>
          </cell>
          <cell r="Q9735">
            <v>113.88990343370608</v>
          </cell>
        </row>
        <row r="9736">
          <cell r="O9736">
            <v>50297</v>
          </cell>
          <cell r="P9736">
            <v>8.6748344267507651</v>
          </cell>
          <cell r="Q9736">
            <v>113.94161736386368</v>
          </cell>
        </row>
        <row r="9737">
          <cell r="O9737">
            <v>50298</v>
          </cell>
          <cell r="P9737">
            <v>8.6787734043787026</v>
          </cell>
          <cell r="Q9737">
            <v>113.99335477573904</v>
          </cell>
        </row>
        <row r="9738">
          <cell r="O9738">
            <v>50299</v>
          </cell>
          <cell r="P9738">
            <v>8.6827141705761974</v>
          </cell>
          <cell r="Q9738">
            <v>114.04511567999454</v>
          </cell>
        </row>
        <row r="9739">
          <cell r="O9739">
            <v>50300</v>
          </cell>
          <cell r="P9739">
            <v>8.6866567261553769</v>
          </cell>
          <cell r="Q9739">
            <v>114.09690008729727</v>
          </cell>
        </row>
        <row r="9740">
          <cell r="O9740">
            <v>50301</v>
          </cell>
          <cell r="P9740">
            <v>8.6906010719287572</v>
          </cell>
          <cell r="Q9740">
            <v>114.14870800831942</v>
          </cell>
        </row>
        <row r="9741">
          <cell r="O9741">
            <v>50304</v>
          </cell>
          <cell r="P9741">
            <v>8.6945472087092011</v>
          </cell>
          <cell r="Q9741">
            <v>114.20053945373769</v>
          </cell>
        </row>
        <row r="9742">
          <cell r="O9742">
            <v>50305</v>
          </cell>
          <cell r="P9742">
            <v>8.6984951373099531</v>
          </cell>
          <cell r="Q9742">
            <v>114.25239443423388</v>
          </cell>
        </row>
        <row r="9743">
          <cell r="O9743">
            <v>50306</v>
          </cell>
          <cell r="P9743">
            <v>8.7024448585446237</v>
          </cell>
          <cell r="Q9743">
            <v>114.3042729604945</v>
          </cell>
        </row>
        <row r="9744">
          <cell r="O9744">
            <v>50307</v>
          </cell>
          <cell r="P9744">
            <v>8.7063963732271983</v>
          </cell>
          <cell r="Q9744">
            <v>114.35617504321105</v>
          </cell>
        </row>
        <row r="9745">
          <cell r="O9745">
            <v>50308</v>
          </cell>
          <cell r="P9745">
            <v>8.7103496821720139</v>
          </cell>
          <cell r="Q9745">
            <v>114.40810069307963</v>
          </cell>
        </row>
        <row r="9746">
          <cell r="O9746">
            <v>50311</v>
          </cell>
          <cell r="P9746">
            <v>8.7143047861938019</v>
          </cell>
          <cell r="Q9746">
            <v>114.46004992080151</v>
          </cell>
        </row>
        <row r="9747">
          <cell r="O9747">
            <v>50312</v>
          </cell>
          <cell r="P9747">
            <v>8.718261686107649</v>
          </cell>
          <cell r="Q9747">
            <v>114.51202273708263</v>
          </cell>
        </row>
        <row r="9748">
          <cell r="O9748">
            <v>50313</v>
          </cell>
          <cell r="P9748">
            <v>8.7222203827290183</v>
          </cell>
          <cell r="Q9748">
            <v>114.56401915263388</v>
          </cell>
        </row>
        <row r="9749">
          <cell r="O9749">
            <v>50314</v>
          </cell>
          <cell r="P9749">
            <v>8.7261808768737321</v>
          </cell>
          <cell r="Q9749">
            <v>114.61603917817088</v>
          </cell>
        </row>
        <row r="9750">
          <cell r="O9750">
            <v>50315</v>
          </cell>
          <cell r="P9750">
            <v>8.7301431693579961</v>
          </cell>
          <cell r="Q9750">
            <v>114.66808282441426</v>
          </cell>
        </row>
        <row r="9751">
          <cell r="O9751">
            <v>50318</v>
          </cell>
          <cell r="P9751">
            <v>8.7341072609983801</v>
          </cell>
          <cell r="Q9751">
            <v>114.72015010208945</v>
          </cell>
        </row>
        <row r="9752">
          <cell r="O9752">
            <v>50319</v>
          </cell>
          <cell r="P9752">
            <v>8.7380731526118254</v>
          </cell>
          <cell r="Q9752">
            <v>114.77224102192675</v>
          </cell>
        </row>
        <row r="9753">
          <cell r="O9753">
            <v>50320</v>
          </cell>
          <cell r="P9753">
            <v>8.7420408450156462</v>
          </cell>
          <cell r="Q9753">
            <v>114.82435559466137</v>
          </cell>
        </row>
        <row r="9754">
          <cell r="O9754">
            <v>50321</v>
          </cell>
          <cell r="P9754">
            <v>8.7460103390275261</v>
          </cell>
          <cell r="Q9754">
            <v>114.87649383103336</v>
          </cell>
        </row>
        <row r="9755">
          <cell r="O9755">
            <v>50322</v>
          </cell>
          <cell r="P9755">
            <v>8.7499816354655202</v>
          </cell>
          <cell r="Q9755">
            <v>114.92865574178764</v>
          </cell>
        </row>
        <row r="9756">
          <cell r="O9756">
            <v>50326</v>
          </cell>
          <cell r="P9756">
            <v>8.75395473514806</v>
          </cell>
          <cell r="Q9756">
            <v>114.98084133767411</v>
          </cell>
        </row>
        <row r="9757">
          <cell r="O9757">
            <v>50327</v>
          </cell>
          <cell r="P9757">
            <v>8.7579296388939341</v>
          </cell>
          <cell r="Q9757">
            <v>115.03305062944733</v>
          </cell>
        </row>
        <row r="9758">
          <cell r="O9758">
            <v>50328</v>
          </cell>
          <cell r="P9758">
            <v>8.7619063475223129</v>
          </cell>
          <cell r="Q9758">
            <v>115.08528362786687</v>
          </cell>
        </row>
        <row r="9759">
          <cell r="O9759">
            <v>50329</v>
          </cell>
          <cell r="P9759">
            <v>8.7658848618527472</v>
          </cell>
          <cell r="Q9759">
            <v>115.13754034369734</v>
          </cell>
        </row>
        <row r="9760">
          <cell r="O9760">
            <v>50332</v>
          </cell>
          <cell r="P9760">
            <v>8.7698651827051517</v>
          </cell>
          <cell r="Q9760">
            <v>115.18982078770806</v>
          </cell>
        </row>
        <row r="9761">
          <cell r="O9761">
            <v>50333</v>
          </cell>
          <cell r="P9761">
            <v>8.7738473108998054</v>
          </cell>
          <cell r="Q9761">
            <v>115.2421249706732</v>
          </cell>
        </row>
        <row r="9762">
          <cell r="O9762">
            <v>50334</v>
          </cell>
          <cell r="P9762">
            <v>8.7778312472573674</v>
          </cell>
          <cell r="Q9762">
            <v>115.29445290337189</v>
          </cell>
        </row>
        <row r="9763">
          <cell r="O9763">
            <v>50335</v>
          </cell>
          <cell r="P9763">
            <v>8.7818169925988752</v>
          </cell>
          <cell r="Q9763">
            <v>115.34680459658824</v>
          </cell>
        </row>
        <row r="9764">
          <cell r="O9764">
            <v>50336</v>
          </cell>
          <cell r="P9764">
            <v>8.7858045477457285</v>
          </cell>
          <cell r="Q9764">
            <v>115.39918006111111</v>
          </cell>
        </row>
        <row r="9765">
          <cell r="O9765">
            <v>50339</v>
          </cell>
          <cell r="P9765">
            <v>8.7897939135197038</v>
          </cell>
          <cell r="Q9765">
            <v>115.45157930773432</v>
          </cell>
        </row>
        <row r="9766">
          <cell r="O9766">
            <v>50340</v>
          </cell>
          <cell r="P9766">
            <v>8.7937850907429596</v>
          </cell>
          <cell r="Q9766">
            <v>115.50400234725669</v>
          </cell>
        </row>
        <row r="9767">
          <cell r="O9767">
            <v>50341</v>
          </cell>
          <cell r="P9767">
            <v>8.7977780802380146</v>
          </cell>
          <cell r="Q9767">
            <v>115.55644919048179</v>
          </cell>
        </row>
        <row r="9768">
          <cell r="O9768">
            <v>50342</v>
          </cell>
          <cell r="P9768">
            <v>8.8017728828277626</v>
          </cell>
          <cell r="Q9768">
            <v>115.60891984821811</v>
          </cell>
        </row>
        <row r="9769">
          <cell r="O9769">
            <v>50343</v>
          </cell>
          <cell r="P9769">
            <v>8.8057694993354776</v>
          </cell>
          <cell r="Q9769">
            <v>115.66141433127912</v>
          </cell>
        </row>
        <row r="9770">
          <cell r="O9770">
            <v>50347</v>
          </cell>
          <cell r="P9770">
            <v>8.8097679305848011</v>
          </cell>
          <cell r="Q9770">
            <v>115.71393265048314</v>
          </cell>
        </row>
        <row r="9771">
          <cell r="O9771">
            <v>50348</v>
          </cell>
          <cell r="P9771">
            <v>8.8137681773997638</v>
          </cell>
          <cell r="Q9771">
            <v>115.7664748166536</v>
          </cell>
        </row>
        <row r="9772">
          <cell r="O9772">
            <v>50349</v>
          </cell>
          <cell r="P9772">
            <v>8.8177702406047445</v>
          </cell>
          <cell r="Q9772">
            <v>115.81904084061847</v>
          </cell>
        </row>
        <row r="9773">
          <cell r="O9773">
            <v>50350</v>
          </cell>
          <cell r="P9773">
            <v>8.821774121024518</v>
          </cell>
          <cell r="Q9773">
            <v>115.87163073321096</v>
          </cell>
        </row>
        <row r="9774">
          <cell r="O9774">
            <v>50353</v>
          </cell>
          <cell r="P9774">
            <v>8.8257798194842234</v>
          </cell>
          <cell r="Q9774">
            <v>115.92424450526906</v>
          </cell>
        </row>
        <row r="9775">
          <cell r="O9775">
            <v>50354</v>
          </cell>
          <cell r="P9775">
            <v>8.8297873368093818</v>
          </cell>
          <cell r="Q9775">
            <v>115.97688216763575</v>
          </cell>
        </row>
        <row r="9776">
          <cell r="O9776">
            <v>50355</v>
          </cell>
          <cell r="P9776">
            <v>8.8337966738258746</v>
          </cell>
          <cell r="Q9776">
            <v>116.02954373115877</v>
          </cell>
        </row>
        <row r="9777">
          <cell r="O9777">
            <v>50356</v>
          </cell>
          <cell r="P9777">
            <v>8.8378078313599762</v>
          </cell>
          <cell r="Q9777">
            <v>116.082229206691</v>
          </cell>
        </row>
        <row r="9778">
          <cell r="O9778">
            <v>50357</v>
          </cell>
          <cell r="P9778">
            <v>8.8418208102382962</v>
          </cell>
          <cell r="Q9778">
            <v>116.13493860508976</v>
          </cell>
        </row>
        <row r="9779">
          <cell r="O9779">
            <v>50360</v>
          </cell>
          <cell r="P9779">
            <v>8.8458356112879475</v>
          </cell>
          <cell r="Q9779">
            <v>116.18767193721892</v>
          </cell>
        </row>
        <row r="9780">
          <cell r="O9780">
            <v>50361</v>
          </cell>
          <cell r="P9780">
            <v>8.8498522353362201</v>
          </cell>
          <cell r="Q9780">
            <v>116.24042921394475</v>
          </cell>
        </row>
        <row r="9781">
          <cell r="O9781">
            <v>50362</v>
          </cell>
          <cell r="P9781">
            <v>8.8538706832109195</v>
          </cell>
          <cell r="Q9781">
            <v>116.29321044614022</v>
          </cell>
        </row>
        <row r="9782">
          <cell r="O9782">
            <v>50363</v>
          </cell>
          <cell r="P9782">
            <v>8.8578909557401531</v>
          </cell>
          <cell r="Q9782">
            <v>116.34601564468231</v>
          </cell>
        </row>
        <row r="9783">
          <cell r="O9783">
            <v>50364</v>
          </cell>
          <cell r="P9783">
            <v>8.8619130537525166</v>
          </cell>
          <cell r="Q9783">
            <v>116.39884482045441</v>
          </cell>
        </row>
        <row r="9784">
          <cell r="O9784">
            <v>50367</v>
          </cell>
          <cell r="P9784">
            <v>8.865936978076892</v>
          </cell>
          <cell r="Q9784">
            <v>116.45169798434367</v>
          </cell>
        </row>
        <row r="9785">
          <cell r="O9785">
            <v>50368</v>
          </cell>
          <cell r="P9785">
            <v>8.869962729542495</v>
          </cell>
          <cell r="Q9785">
            <v>116.50457514724158</v>
          </cell>
        </row>
        <row r="9786">
          <cell r="O9786">
            <v>50369</v>
          </cell>
          <cell r="P9786">
            <v>8.8739903089789696</v>
          </cell>
          <cell r="Q9786">
            <v>116.55747632004531</v>
          </cell>
        </row>
        <row r="9787">
          <cell r="O9787">
            <v>50370</v>
          </cell>
          <cell r="P9787">
            <v>8.8780197172164161</v>
          </cell>
          <cell r="Q9787">
            <v>116.61040151365802</v>
          </cell>
        </row>
        <row r="9788">
          <cell r="O9788">
            <v>50371</v>
          </cell>
          <cell r="P9788">
            <v>8.8820509550851963</v>
          </cell>
          <cell r="Q9788">
            <v>116.66335073898627</v>
          </cell>
        </row>
        <row r="9789">
          <cell r="O9789">
            <v>50374</v>
          </cell>
          <cell r="P9789">
            <v>8.8860840234161227</v>
          </cell>
          <cell r="Q9789">
            <v>116.71632400694256</v>
          </cell>
        </row>
        <row r="9790">
          <cell r="O9790">
            <v>50375</v>
          </cell>
          <cell r="P9790">
            <v>8.8901189230402586</v>
          </cell>
          <cell r="Q9790">
            <v>116.76932132844269</v>
          </cell>
        </row>
        <row r="9791">
          <cell r="O9791">
            <v>50376</v>
          </cell>
          <cell r="P9791">
            <v>8.8941556547892358</v>
          </cell>
          <cell r="Q9791">
            <v>116.82234271440991</v>
          </cell>
        </row>
        <row r="9792">
          <cell r="O9792">
            <v>50377</v>
          </cell>
          <cell r="P9792">
            <v>8.8981942194949255</v>
          </cell>
          <cell r="Q9792">
            <v>116.87538817577064</v>
          </cell>
        </row>
        <row r="9793">
          <cell r="O9793">
            <v>50378</v>
          </cell>
          <cell r="P9793">
            <v>8.9022346179896292</v>
          </cell>
          <cell r="Q9793">
            <v>116.92845772345692</v>
          </cell>
        </row>
        <row r="9794">
          <cell r="O9794">
            <v>50381</v>
          </cell>
          <cell r="P9794">
            <v>8.9062768511060071</v>
          </cell>
          <cell r="Q9794">
            <v>116.98155136840553</v>
          </cell>
        </row>
        <row r="9795">
          <cell r="O9795">
            <v>50382</v>
          </cell>
          <cell r="P9795">
            <v>8.9103209196771118</v>
          </cell>
          <cell r="Q9795">
            <v>117.03466912155838</v>
          </cell>
        </row>
        <row r="9796">
          <cell r="O9796">
            <v>50383</v>
          </cell>
          <cell r="P9796">
            <v>8.9143668245363603</v>
          </cell>
          <cell r="Q9796">
            <v>117.08781099386219</v>
          </cell>
        </row>
        <row r="9797">
          <cell r="O9797">
            <v>50384</v>
          </cell>
          <cell r="P9797">
            <v>8.9184145665175549</v>
          </cell>
          <cell r="Q9797">
            <v>117.14097699626873</v>
          </cell>
        </row>
        <row r="9798">
          <cell r="O9798">
            <v>50385</v>
          </cell>
          <cell r="P9798">
            <v>8.9224641464548764</v>
          </cell>
          <cell r="Q9798">
            <v>117.19416713973473</v>
          </cell>
        </row>
        <row r="9799">
          <cell r="O9799">
            <v>50388</v>
          </cell>
          <cell r="P9799">
            <v>8.9265155651828945</v>
          </cell>
          <cell r="Q9799">
            <v>117.24738143522204</v>
          </cell>
        </row>
        <row r="9800">
          <cell r="O9800">
            <v>50389</v>
          </cell>
          <cell r="P9800">
            <v>8.9305688235365377</v>
          </cell>
          <cell r="Q9800">
            <v>117.30061989369723</v>
          </cell>
        </row>
        <row r="9801">
          <cell r="O9801">
            <v>50390</v>
          </cell>
          <cell r="P9801">
            <v>8.9346239223511255</v>
          </cell>
          <cell r="Q9801">
            <v>117.35388252613198</v>
          </cell>
        </row>
        <row r="9802">
          <cell r="O9802">
            <v>50391</v>
          </cell>
          <cell r="P9802">
            <v>8.9386808624623573</v>
          </cell>
          <cell r="Q9802">
            <v>117.407169343503</v>
          </cell>
        </row>
        <row r="9803">
          <cell r="O9803">
            <v>50392</v>
          </cell>
          <cell r="P9803">
            <v>8.9427396447063128</v>
          </cell>
          <cell r="Q9803">
            <v>117.46048035679196</v>
          </cell>
        </row>
        <row r="9804">
          <cell r="O9804">
            <v>50395</v>
          </cell>
          <cell r="P9804">
            <v>8.9468002699194376</v>
          </cell>
          <cell r="Q9804">
            <v>117.51381557698535</v>
          </cell>
        </row>
        <row r="9805">
          <cell r="O9805">
            <v>50396</v>
          </cell>
          <cell r="P9805">
            <v>8.9508627389385769</v>
          </cell>
          <cell r="Q9805">
            <v>117.56717501507489</v>
          </cell>
        </row>
        <row r="9806">
          <cell r="O9806">
            <v>50397</v>
          </cell>
          <cell r="P9806">
            <v>8.9549270526009455</v>
          </cell>
          <cell r="Q9806">
            <v>117.62055868205721</v>
          </cell>
        </row>
        <row r="9807">
          <cell r="O9807">
            <v>50398</v>
          </cell>
          <cell r="P9807">
            <v>8.95899321174414</v>
          </cell>
          <cell r="Q9807">
            <v>117.67396658893388</v>
          </cell>
        </row>
        <row r="9808">
          <cell r="O9808">
            <v>50402</v>
          </cell>
          <cell r="P9808">
            <v>8.9630612172061337</v>
          </cell>
          <cell r="Q9808">
            <v>117.72739874671147</v>
          </cell>
        </row>
        <row r="9809">
          <cell r="O9809">
            <v>50403</v>
          </cell>
          <cell r="P9809">
            <v>8.9671310698252853</v>
          </cell>
          <cell r="Q9809">
            <v>117.78085516640159</v>
          </cell>
        </row>
        <row r="9810">
          <cell r="O9810">
            <v>50404</v>
          </cell>
          <cell r="P9810">
            <v>8.9712027704403319</v>
          </cell>
          <cell r="Q9810">
            <v>117.83433585902083</v>
          </cell>
        </row>
        <row r="9811">
          <cell r="O9811">
            <v>50405</v>
          </cell>
          <cell r="P9811">
            <v>8.9752763198903924</v>
          </cell>
          <cell r="Q9811">
            <v>117.88784083559078</v>
          </cell>
        </row>
        <row r="9812">
          <cell r="O9812">
            <v>50409</v>
          </cell>
          <cell r="P9812">
            <v>8.9793517190149661</v>
          </cell>
          <cell r="Q9812">
            <v>117.94137010713806</v>
          </cell>
        </row>
        <row r="9813">
          <cell r="O9813">
            <v>50410</v>
          </cell>
          <cell r="P9813">
            <v>8.9834289686539357</v>
          </cell>
          <cell r="Q9813">
            <v>117.99492368469429</v>
          </cell>
        </row>
        <row r="9814">
          <cell r="O9814">
            <v>50411</v>
          </cell>
          <cell r="P9814">
            <v>8.9875080696475607</v>
          </cell>
          <cell r="Q9814">
            <v>118.04850157929604</v>
          </cell>
        </row>
        <row r="9815">
          <cell r="O9815">
            <v>50412</v>
          </cell>
          <cell r="P9815">
            <v>8.9915890228364912</v>
          </cell>
          <cell r="Q9815">
            <v>118.10210380198505</v>
          </cell>
        </row>
        <row r="9816">
          <cell r="O9816">
            <v>50413</v>
          </cell>
          <cell r="P9816">
            <v>8.9956718290617381</v>
          </cell>
          <cell r="Q9816">
            <v>118.15573036380776</v>
          </cell>
        </row>
        <row r="9817">
          <cell r="O9817">
            <v>50416</v>
          </cell>
          <cell r="P9817">
            <v>8.9997564891647226</v>
          </cell>
          <cell r="Q9817">
            <v>118.20938127581601</v>
          </cell>
        </row>
        <row r="9818">
          <cell r="O9818">
            <v>50417</v>
          </cell>
          <cell r="P9818">
            <v>9.0038430039872299</v>
          </cell>
          <cell r="Q9818">
            <v>118.26305654906642</v>
          </cell>
        </row>
        <row r="9819">
          <cell r="O9819">
            <v>50418</v>
          </cell>
          <cell r="P9819">
            <v>9.0079313743714344</v>
          </cell>
          <cell r="Q9819">
            <v>118.31675619462072</v>
          </cell>
        </row>
        <row r="9820">
          <cell r="O9820">
            <v>50419</v>
          </cell>
          <cell r="P9820">
            <v>9.0120216011598835</v>
          </cell>
          <cell r="Q9820">
            <v>118.37048022354556</v>
          </cell>
        </row>
        <row r="9821">
          <cell r="O9821">
            <v>50420</v>
          </cell>
          <cell r="P9821">
            <v>9.0161136851955153</v>
          </cell>
          <cell r="Q9821">
            <v>118.42422864691268</v>
          </cell>
        </row>
        <row r="9822">
          <cell r="O9822">
            <v>50423</v>
          </cell>
          <cell r="P9822">
            <v>9.0202076273216516</v>
          </cell>
          <cell r="Q9822">
            <v>118.47800147579891</v>
          </cell>
        </row>
        <row r="9823">
          <cell r="O9823">
            <v>50424</v>
          </cell>
          <cell r="P9823">
            <v>9.0243034283819927</v>
          </cell>
          <cell r="Q9823">
            <v>118.53179872128601</v>
          </cell>
        </row>
        <row r="9824">
          <cell r="O9824">
            <v>50425</v>
          </cell>
          <cell r="P9824">
            <v>9.0284010892206261</v>
          </cell>
          <cell r="Q9824">
            <v>118.58562039446085</v>
          </cell>
        </row>
        <row r="9825">
          <cell r="O9825">
            <v>50426</v>
          </cell>
          <cell r="P9825">
            <v>9.0325006106820176</v>
          </cell>
          <cell r="Q9825">
            <v>118.63946650641526</v>
          </cell>
        </row>
        <row r="9826">
          <cell r="O9826">
            <v>50427</v>
          </cell>
          <cell r="P9826">
            <v>9.036601993611022</v>
          </cell>
          <cell r="Q9826">
            <v>118.69333706824619</v>
          </cell>
        </row>
        <row r="9827">
          <cell r="O9827">
            <v>50430</v>
          </cell>
          <cell r="P9827">
            <v>9.0407052388528779</v>
          </cell>
          <cell r="Q9827">
            <v>118.74723209105561</v>
          </cell>
        </row>
        <row r="9828">
          <cell r="O9828">
            <v>50431</v>
          </cell>
          <cell r="P9828">
            <v>9.0448103472531951</v>
          </cell>
          <cell r="Q9828">
            <v>118.80115158595036</v>
          </cell>
        </row>
        <row r="9829">
          <cell r="O9829">
            <v>50432</v>
          </cell>
          <cell r="P9829">
            <v>9.0489173196579795</v>
          </cell>
          <cell r="Q9829">
            <v>118.85509556404254</v>
          </cell>
        </row>
        <row r="9830">
          <cell r="O9830">
            <v>50433</v>
          </cell>
          <cell r="P9830">
            <v>9.0530261569136297</v>
          </cell>
          <cell r="Q9830">
            <v>118.90906403644935</v>
          </cell>
        </row>
        <row r="9831">
          <cell r="O9831">
            <v>50434</v>
          </cell>
          <cell r="P9831">
            <v>9.0571368598669046</v>
          </cell>
          <cell r="Q9831">
            <v>118.96305701429273</v>
          </cell>
        </row>
        <row r="9832">
          <cell r="O9832">
            <v>50437</v>
          </cell>
          <cell r="P9832">
            <v>9.061249429364965</v>
          </cell>
          <cell r="Q9832">
            <v>119.01707450869992</v>
          </cell>
        </row>
        <row r="9833">
          <cell r="O9833">
            <v>50438</v>
          </cell>
          <cell r="P9833">
            <v>9.0653638662553533</v>
          </cell>
          <cell r="Q9833">
            <v>119.07111653080315</v>
          </cell>
        </row>
        <row r="9834">
          <cell r="O9834">
            <v>50439</v>
          </cell>
          <cell r="P9834">
            <v>9.0694801713859956</v>
          </cell>
          <cell r="Q9834">
            <v>119.12518309173973</v>
          </cell>
        </row>
        <row r="9835">
          <cell r="O9835">
            <v>50440</v>
          </cell>
          <cell r="P9835">
            <v>9.0735983456052001</v>
          </cell>
          <cell r="Q9835">
            <v>119.17927420265192</v>
          </cell>
        </row>
        <row r="9836">
          <cell r="O9836">
            <v>50441</v>
          </cell>
          <cell r="P9836">
            <v>9.0777183897616638</v>
          </cell>
          <cell r="Q9836">
            <v>119.23338987468715</v>
          </cell>
        </row>
        <row r="9837">
          <cell r="O9837">
            <v>50444</v>
          </cell>
          <cell r="P9837">
            <v>9.0818403047044711</v>
          </cell>
          <cell r="Q9837">
            <v>119.28753011899792</v>
          </cell>
        </row>
        <row r="9838">
          <cell r="O9838">
            <v>50445</v>
          </cell>
          <cell r="P9838">
            <v>9.0859640912830884</v>
          </cell>
          <cell r="Q9838">
            <v>119.34169494674174</v>
          </cell>
        </row>
        <row r="9839">
          <cell r="O9839">
            <v>50446</v>
          </cell>
          <cell r="P9839">
            <v>9.0900897503473637</v>
          </cell>
          <cell r="Q9839">
            <v>119.39588436908112</v>
          </cell>
        </row>
        <row r="9840">
          <cell r="O9840">
            <v>50447</v>
          </cell>
          <cell r="P9840">
            <v>9.0942172827475396</v>
          </cell>
          <cell r="Q9840">
            <v>119.45009839718378</v>
          </cell>
        </row>
        <row r="9841">
          <cell r="O9841">
            <v>50448</v>
          </cell>
          <cell r="P9841">
            <v>9.0983466893342335</v>
          </cell>
          <cell r="Q9841">
            <v>119.50433704222235</v>
          </cell>
        </row>
        <row r="9842">
          <cell r="O9842">
            <v>50451</v>
          </cell>
          <cell r="P9842">
            <v>9.1024779709584713</v>
          </cell>
          <cell r="Q9842">
            <v>119.55860031537482</v>
          </cell>
        </row>
        <row r="9843">
          <cell r="O9843">
            <v>50452</v>
          </cell>
          <cell r="P9843">
            <v>9.1066111284716396</v>
          </cell>
          <cell r="Q9843">
            <v>119.61288822782393</v>
          </cell>
        </row>
        <row r="9844">
          <cell r="O9844">
            <v>50453</v>
          </cell>
          <cell r="P9844">
            <v>9.1107461627255226</v>
          </cell>
          <cell r="Q9844">
            <v>119.66720079075765</v>
          </cell>
        </row>
        <row r="9845">
          <cell r="O9845">
            <v>50454</v>
          </cell>
          <cell r="P9845">
            <v>9.1148830745722922</v>
          </cell>
          <cell r="Q9845">
            <v>119.72153801536899</v>
          </cell>
        </row>
        <row r="9846">
          <cell r="O9846">
            <v>50455</v>
          </cell>
          <cell r="P9846">
            <v>9.1190218648645125</v>
          </cell>
          <cell r="Q9846">
            <v>119.77589991285619</v>
          </cell>
        </row>
        <row r="9847">
          <cell r="O9847">
            <v>50458</v>
          </cell>
          <cell r="P9847">
            <v>9.1231625344551119</v>
          </cell>
          <cell r="Q9847">
            <v>119.83028649442223</v>
          </cell>
        </row>
        <row r="9848">
          <cell r="O9848">
            <v>50459</v>
          </cell>
          <cell r="P9848">
            <v>9.1273050841974381</v>
          </cell>
          <cell r="Q9848">
            <v>119.88469777127557</v>
          </cell>
        </row>
        <row r="9849">
          <cell r="O9849">
            <v>50460</v>
          </cell>
          <cell r="P9849">
            <v>9.1314495149452064</v>
          </cell>
          <cell r="Q9849">
            <v>119.93913375462957</v>
          </cell>
        </row>
        <row r="9850">
          <cell r="O9850">
            <v>50461</v>
          </cell>
          <cell r="P9850">
            <v>9.1355958275525264</v>
          </cell>
          <cell r="Q9850">
            <v>119.99359445570271</v>
          </cell>
        </row>
        <row r="9851">
          <cell r="O9851">
            <v>50462</v>
          </cell>
          <cell r="P9851">
            <v>9.1397440228738844</v>
          </cell>
          <cell r="Q9851">
            <v>120.04807988571842</v>
          </cell>
        </row>
        <row r="9852">
          <cell r="O9852">
            <v>50465</v>
          </cell>
          <cell r="P9852">
            <v>9.1438941017641699</v>
          </cell>
          <cell r="Q9852">
            <v>120.10259005590549</v>
          </cell>
        </row>
        <row r="9853">
          <cell r="O9853">
            <v>50466</v>
          </cell>
          <cell r="P9853">
            <v>9.148046065078649</v>
          </cell>
          <cell r="Q9853">
            <v>120.15712497749757</v>
          </cell>
        </row>
        <row r="9854">
          <cell r="O9854">
            <v>50467</v>
          </cell>
          <cell r="P9854">
            <v>9.1521999136729928</v>
          </cell>
          <cell r="Q9854">
            <v>120.2116846617337</v>
          </cell>
        </row>
        <row r="9855">
          <cell r="O9855">
            <v>50468</v>
          </cell>
          <cell r="P9855">
            <v>9.1563556484032382</v>
          </cell>
          <cell r="Q9855">
            <v>120.26626911985767</v>
          </cell>
        </row>
        <row r="9856">
          <cell r="O9856">
            <v>50469</v>
          </cell>
          <cell r="P9856">
            <v>9.1605132701258256</v>
          </cell>
          <cell r="Q9856">
            <v>120.3208783631186</v>
          </cell>
        </row>
        <row r="9857">
          <cell r="O9857">
            <v>50474</v>
          </cell>
          <cell r="P9857">
            <v>9.1646727796975789</v>
          </cell>
          <cell r="Q9857">
            <v>120.37551240277064</v>
          </cell>
        </row>
        <row r="9858">
          <cell r="O9858">
            <v>50475</v>
          </cell>
          <cell r="P9858">
            <v>9.1688341779757199</v>
          </cell>
          <cell r="Q9858">
            <v>120.43017125007319</v>
          </cell>
        </row>
        <row r="9859">
          <cell r="O9859">
            <v>50476</v>
          </cell>
          <cell r="P9859">
            <v>9.1729974658178381</v>
          </cell>
          <cell r="Q9859">
            <v>120.48485491629042</v>
          </cell>
        </row>
        <row r="9860">
          <cell r="O9860">
            <v>50479</v>
          </cell>
          <cell r="P9860">
            <v>9.1771626440819407</v>
          </cell>
          <cell r="Q9860">
            <v>120.53956341269205</v>
          </cell>
        </row>
        <row r="9861">
          <cell r="O9861">
            <v>50480</v>
          </cell>
          <cell r="P9861">
            <v>9.1813297136264058</v>
          </cell>
          <cell r="Q9861">
            <v>120.59429675055264</v>
          </cell>
        </row>
        <row r="9862">
          <cell r="O9862">
            <v>50481</v>
          </cell>
          <cell r="P9862">
            <v>9.1854986753100096</v>
          </cell>
          <cell r="Q9862">
            <v>120.64905494115199</v>
          </cell>
        </row>
        <row r="9863">
          <cell r="O9863">
            <v>50482</v>
          </cell>
          <cell r="P9863">
            <v>9.1896695299919067</v>
          </cell>
          <cell r="Q9863">
            <v>120.70383799577486</v>
          </cell>
        </row>
        <row r="9864">
          <cell r="O9864">
            <v>50483</v>
          </cell>
          <cell r="P9864">
            <v>9.1938422785316547</v>
          </cell>
          <cell r="Q9864">
            <v>120.75864592571131</v>
          </cell>
        </row>
        <row r="9865">
          <cell r="O9865">
            <v>50486</v>
          </cell>
          <cell r="P9865">
            <v>9.1980169217891916</v>
          </cell>
          <cell r="Q9865">
            <v>120.81347874225638</v>
          </cell>
        </row>
        <row r="9866">
          <cell r="O9866">
            <v>50487</v>
          </cell>
          <cell r="P9866">
            <v>9.2021934606248657</v>
          </cell>
          <cell r="Q9866">
            <v>120.86833645671052</v>
          </cell>
        </row>
        <row r="9867">
          <cell r="O9867">
            <v>50488</v>
          </cell>
          <cell r="P9867">
            <v>9.2063718958993856</v>
          </cell>
          <cell r="Q9867">
            <v>120.92321908037891</v>
          </cell>
        </row>
        <row r="9868">
          <cell r="O9868">
            <v>50489</v>
          </cell>
          <cell r="P9868">
            <v>9.2105522284738726</v>
          </cell>
          <cell r="Q9868">
            <v>120.97812662457216</v>
          </cell>
        </row>
        <row r="9869">
          <cell r="O9869">
            <v>50490</v>
          </cell>
          <cell r="P9869">
            <v>9.214734459209831</v>
          </cell>
          <cell r="Q9869">
            <v>121.03305910060588</v>
          </cell>
        </row>
        <row r="9870">
          <cell r="O9870">
            <v>50493</v>
          </cell>
          <cell r="P9870">
            <v>9.2189185889691636</v>
          </cell>
          <cell r="Q9870">
            <v>121.08801651980093</v>
          </cell>
        </row>
        <row r="9871">
          <cell r="O9871">
            <v>50494</v>
          </cell>
          <cell r="P9871">
            <v>9.2231046186141459</v>
          </cell>
          <cell r="Q9871">
            <v>121.14299889348308</v>
          </cell>
        </row>
        <row r="9872">
          <cell r="O9872">
            <v>50495</v>
          </cell>
          <cell r="P9872">
            <v>9.2272925490074709</v>
          </cell>
          <cell r="Q9872">
            <v>121.19800623298356</v>
          </cell>
        </row>
        <row r="9873">
          <cell r="O9873">
            <v>50496</v>
          </cell>
          <cell r="P9873">
            <v>9.2314823810122064</v>
          </cell>
          <cell r="Q9873">
            <v>121.25303854963853</v>
          </cell>
        </row>
        <row r="9874">
          <cell r="O9874">
            <v>50497</v>
          </cell>
          <cell r="P9874">
            <v>9.2356741154918183</v>
          </cell>
          <cell r="Q9874">
            <v>121.3080958547894</v>
          </cell>
        </row>
        <row r="9875">
          <cell r="O9875">
            <v>50500</v>
          </cell>
          <cell r="P9875">
            <v>9.2398677533101576</v>
          </cell>
          <cell r="Q9875">
            <v>121.36317815978261</v>
          </cell>
        </row>
        <row r="9876">
          <cell r="O9876">
            <v>50501</v>
          </cell>
          <cell r="P9876">
            <v>9.2440632953314736</v>
          </cell>
          <cell r="Q9876">
            <v>121.41828547596984</v>
          </cell>
        </row>
        <row r="9877">
          <cell r="O9877">
            <v>50502</v>
          </cell>
          <cell r="P9877">
            <v>9.2482607424204044</v>
          </cell>
          <cell r="Q9877">
            <v>121.47341781470787</v>
          </cell>
        </row>
        <row r="9878">
          <cell r="O9878">
            <v>50503</v>
          </cell>
          <cell r="P9878">
            <v>9.2524600954419931</v>
          </cell>
          <cell r="Q9878">
            <v>121.52857518735883</v>
          </cell>
        </row>
        <row r="9879">
          <cell r="O9879">
            <v>50504</v>
          </cell>
          <cell r="P9879">
            <v>9.2566613552616559</v>
          </cell>
          <cell r="Q9879">
            <v>121.58375760528972</v>
          </cell>
        </row>
        <row r="9880">
          <cell r="O9880">
            <v>50507</v>
          </cell>
          <cell r="P9880">
            <v>9.260864522745214</v>
          </cell>
          <cell r="Q9880">
            <v>121.63896507987286</v>
          </cell>
        </row>
        <row r="9881">
          <cell r="O9881">
            <v>50508</v>
          </cell>
          <cell r="P9881">
            <v>9.2650695987588811</v>
          </cell>
          <cell r="Q9881">
            <v>121.69419762248575</v>
          </cell>
        </row>
        <row r="9882">
          <cell r="O9882">
            <v>50509</v>
          </cell>
          <cell r="P9882">
            <v>9.2692765841692655</v>
          </cell>
          <cell r="Q9882">
            <v>121.74945524451103</v>
          </cell>
        </row>
        <row r="9883">
          <cell r="O9883">
            <v>50510</v>
          </cell>
          <cell r="P9883">
            <v>9.2734854798433517</v>
          </cell>
          <cell r="Q9883">
            <v>121.80473795733634</v>
          </cell>
        </row>
        <row r="9884">
          <cell r="O9884">
            <v>50511</v>
          </cell>
          <cell r="P9884">
            <v>9.2776962866485473</v>
          </cell>
          <cell r="Q9884">
            <v>121.86004577235482</v>
          </cell>
        </row>
        <row r="9885">
          <cell r="O9885">
            <v>50514</v>
          </cell>
          <cell r="P9885">
            <v>9.2819090054526345</v>
          </cell>
          <cell r="Q9885">
            <v>121.91537870096458</v>
          </cell>
        </row>
        <row r="9886">
          <cell r="O9886">
            <v>50515</v>
          </cell>
          <cell r="P9886">
            <v>9.2861236371237972</v>
          </cell>
          <cell r="Q9886">
            <v>121.97073675456897</v>
          </cell>
        </row>
        <row r="9887">
          <cell r="O9887">
            <v>50517</v>
          </cell>
          <cell r="P9887">
            <v>9.2903401825305991</v>
          </cell>
          <cell r="Q9887">
            <v>122.02611994457634</v>
          </cell>
        </row>
        <row r="9888">
          <cell r="O9888">
            <v>50521</v>
          </cell>
          <cell r="P9888">
            <v>9.2945586425420181</v>
          </cell>
          <cell r="Q9888">
            <v>122.08152828240047</v>
          </cell>
        </row>
        <row r="9889">
          <cell r="O9889">
            <v>50522</v>
          </cell>
          <cell r="P9889">
            <v>9.2987790180274139</v>
          </cell>
          <cell r="Q9889">
            <v>122.13696177946019</v>
          </cell>
        </row>
        <row r="9890">
          <cell r="O9890">
            <v>50523</v>
          </cell>
          <cell r="P9890">
            <v>9.3030013098565458</v>
          </cell>
          <cell r="Q9890">
            <v>122.19242044717953</v>
          </cell>
        </row>
        <row r="9891">
          <cell r="O9891">
            <v>50524</v>
          </cell>
          <cell r="P9891">
            <v>9.3072255188995694</v>
          </cell>
          <cell r="Q9891">
            <v>122.24790429698777</v>
          </cell>
        </row>
        <row r="9892">
          <cell r="O9892">
            <v>50525</v>
          </cell>
          <cell r="P9892">
            <v>9.3114516460270291</v>
          </cell>
          <cell r="Q9892">
            <v>122.30341334031927</v>
          </cell>
        </row>
        <row r="9893">
          <cell r="O9893">
            <v>50528</v>
          </cell>
          <cell r="P9893">
            <v>9.3156796921098746</v>
          </cell>
          <cell r="Q9893">
            <v>122.35894758861372</v>
          </cell>
        </row>
        <row r="9894">
          <cell r="O9894">
            <v>50529</v>
          </cell>
          <cell r="P9894">
            <v>9.3199096580194372</v>
          </cell>
          <cell r="Q9894">
            <v>122.4145070533158</v>
          </cell>
        </row>
        <row r="9895">
          <cell r="O9895">
            <v>50530</v>
          </cell>
          <cell r="P9895">
            <v>9.3241415446274516</v>
          </cell>
          <cell r="Q9895">
            <v>122.47009174587555</v>
          </cell>
        </row>
        <row r="9896">
          <cell r="O9896">
            <v>50531</v>
          </cell>
          <cell r="P9896">
            <v>9.3283753528060558</v>
          </cell>
          <cell r="Q9896">
            <v>122.52570167774824</v>
          </cell>
        </row>
        <row r="9897">
          <cell r="O9897">
            <v>50532</v>
          </cell>
          <cell r="P9897">
            <v>9.3326110834277767</v>
          </cell>
          <cell r="Q9897">
            <v>122.5813368603943</v>
          </cell>
        </row>
        <row r="9898">
          <cell r="O9898">
            <v>50535</v>
          </cell>
          <cell r="P9898">
            <v>9.3368487373655285</v>
          </cell>
          <cell r="Q9898">
            <v>122.63699730527919</v>
          </cell>
        </row>
        <row r="9899">
          <cell r="O9899">
            <v>50536</v>
          </cell>
          <cell r="P9899">
            <v>9.3410883154926356</v>
          </cell>
          <cell r="Q9899">
            <v>122.69268302387383</v>
          </cell>
        </row>
        <row r="9900">
          <cell r="O9900">
            <v>50537</v>
          </cell>
          <cell r="P9900">
            <v>9.3453298186828118</v>
          </cell>
          <cell r="Q9900">
            <v>122.74839402765417</v>
          </cell>
        </row>
        <row r="9901">
          <cell r="O9901">
            <v>50538</v>
          </cell>
          <cell r="P9901">
            <v>9.3495732478101718</v>
          </cell>
          <cell r="Q9901">
            <v>122.80413032810152</v>
          </cell>
        </row>
        <row r="9902">
          <cell r="O9902">
            <v>50539</v>
          </cell>
          <cell r="P9902">
            <v>9.3538186037492217</v>
          </cell>
          <cell r="Q9902">
            <v>122.85989193670225</v>
          </cell>
        </row>
        <row r="9903">
          <cell r="O9903">
            <v>50542</v>
          </cell>
          <cell r="P9903">
            <v>9.3580658873748721</v>
          </cell>
          <cell r="Q9903">
            <v>122.91567886494809</v>
          </cell>
        </row>
        <row r="9904">
          <cell r="O9904">
            <v>50543</v>
          </cell>
          <cell r="P9904">
            <v>9.3623150995624229</v>
          </cell>
          <cell r="Q9904">
            <v>122.97149112433586</v>
          </cell>
        </row>
        <row r="9905">
          <cell r="O9905">
            <v>50544</v>
          </cell>
          <cell r="P9905">
            <v>9.3665662411875807</v>
          </cell>
          <cell r="Q9905">
            <v>123.02732872636774</v>
          </cell>
        </row>
        <row r="9906">
          <cell r="O9906">
            <v>50545</v>
          </cell>
          <cell r="P9906">
            <v>9.3708193131264377</v>
          </cell>
          <cell r="Q9906">
            <v>123.08319168255095</v>
          </cell>
        </row>
        <row r="9907">
          <cell r="O9907">
            <v>50546</v>
          </cell>
          <cell r="P9907">
            <v>9.3750743162554908</v>
          </cell>
          <cell r="Q9907">
            <v>123.13908000439805</v>
          </cell>
        </row>
        <row r="9908">
          <cell r="O9908">
            <v>50549</v>
          </cell>
          <cell r="P9908">
            <v>9.3793312514516352</v>
          </cell>
          <cell r="Q9908">
            <v>123.19499370342685</v>
          </cell>
        </row>
        <row r="9909">
          <cell r="O9909">
            <v>50550</v>
          </cell>
          <cell r="P9909">
            <v>9.3835901195921707</v>
          </cell>
          <cell r="Q9909">
            <v>123.25093279116039</v>
          </cell>
        </row>
        <row r="9910">
          <cell r="O9910">
            <v>50551</v>
          </cell>
          <cell r="P9910">
            <v>9.3878509215547812</v>
          </cell>
          <cell r="Q9910">
            <v>123.30689727912686</v>
          </cell>
        </row>
        <row r="9911">
          <cell r="O9911">
            <v>50552</v>
          </cell>
          <cell r="P9911">
            <v>9.3921136582175571</v>
          </cell>
          <cell r="Q9911">
            <v>123.36288717885971</v>
          </cell>
        </row>
        <row r="9912">
          <cell r="O9912">
            <v>50553</v>
          </cell>
          <cell r="P9912">
            <v>9.3963783304589867</v>
          </cell>
          <cell r="Q9912">
            <v>123.41890250189768</v>
          </cell>
        </row>
        <row r="9913">
          <cell r="O9913">
            <v>50556</v>
          </cell>
          <cell r="P9913">
            <v>9.4006449391579601</v>
          </cell>
          <cell r="Q9913">
            <v>123.47494325978472</v>
          </cell>
        </row>
        <row r="9914">
          <cell r="O9914">
            <v>50557</v>
          </cell>
          <cell r="P9914">
            <v>9.4049134851937595</v>
          </cell>
          <cell r="Q9914">
            <v>123.53100946407</v>
          </cell>
        </row>
        <row r="9915">
          <cell r="O9915">
            <v>50558</v>
          </cell>
          <cell r="P9915">
            <v>9.4091839694460742</v>
          </cell>
          <cell r="Q9915">
            <v>123.58710112630796</v>
          </cell>
        </row>
        <row r="9916">
          <cell r="O9916">
            <v>50559</v>
          </cell>
          <cell r="P9916">
            <v>9.4134563927949859</v>
          </cell>
          <cell r="Q9916">
            <v>123.64321825805828</v>
          </cell>
        </row>
        <row r="9917">
          <cell r="O9917">
            <v>50560</v>
          </cell>
          <cell r="P9917">
            <v>9.4177307561209851</v>
          </cell>
          <cell r="Q9917">
            <v>123.69936087088594</v>
          </cell>
        </row>
        <row r="9918">
          <cell r="O9918">
            <v>50563</v>
          </cell>
          <cell r="P9918">
            <v>9.4220070603049493</v>
          </cell>
          <cell r="Q9918">
            <v>123.75552897636103</v>
          </cell>
        </row>
        <row r="9919">
          <cell r="O9919">
            <v>50564</v>
          </cell>
          <cell r="P9919">
            <v>9.4262853062281646</v>
          </cell>
          <cell r="Q9919">
            <v>123.81172258605902</v>
          </cell>
        </row>
        <row r="9920">
          <cell r="O9920">
            <v>50565</v>
          </cell>
          <cell r="P9920">
            <v>9.4305654947723117</v>
          </cell>
          <cell r="Q9920">
            <v>123.86794171156055</v>
          </cell>
        </row>
        <row r="9921">
          <cell r="O9921">
            <v>50566</v>
          </cell>
          <cell r="P9921">
            <v>9.4348476268194901</v>
          </cell>
          <cell r="Q9921">
            <v>123.92418636445173</v>
          </cell>
        </row>
        <row r="9922">
          <cell r="O9922">
            <v>50567</v>
          </cell>
          <cell r="P9922">
            <v>9.4391317032521318</v>
          </cell>
          <cell r="Q9922">
            <v>123.98045655632311</v>
          </cell>
        </row>
        <row r="9923">
          <cell r="O9923">
            <v>50570</v>
          </cell>
          <cell r="P9923">
            <v>9.4434177249532425</v>
          </cell>
          <cell r="Q9923">
            <v>124.03675229877268</v>
          </cell>
        </row>
        <row r="9924">
          <cell r="O9924">
            <v>50571</v>
          </cell>
          <cell r="P9924">
            <v>9.4477056928059575</v>
          </cell>
          <cell r="Q9924">
            <v>124.09307360340024</v>
          </cell>
        </row>
        <row r="9925">
          <cell r="O9925">
            <v>50572</v>
          </cell>
          <cell r="P9925">
            <v>9.4519956076940836</v>
          </cell>
          <cell r="Q9925">
            <v>124.14942048181432</v>
          </cell>
        </row>
        <row r="9926">
          <cell r="O9926">
            <v>50573</v>
          </cell>
          <cell r="P9926">
            <v>9.4562874705016622</v>
          </cell>
          <cell r="Q9926">
            <v>124.20579294562657</v>
          </cell>
        </row>
        <row r="9927">
          <cell r="O9927">
            <v>50574</v>
          </cell>
          <cell r="P9927">
            <v>9.4605812821132229</v>
          </cell>
          <cell r="Q9927">
            <v>124.26219100645507</v>
          </cell>
        </row>
        <row r="9928">
          <cell r="O9928">
            <v>50577</v>
          </cell>
          <cell r="P9928">
            <v>9.4648770434135514</v>
          </cell>
          <cell r="Q9928">
            <v>124.31861467592121</v>
          </cell>
        </row>
        <row r="9929">
          <cell r="O9929">
            <v>50578</v>
          </cell>
          <cell r="P9929">
            <v>9.4691747552880958</v>
          </cell>
          <cell r="Q9929">
            <v>124.37506396565513</v>
          </cell>
        </row>
        <row r="9930">
          <cell r="O9930">
            <v>50579</v>
          </cell>
          <cell r="P9930">
            <v>9.4734744186223914</v>
          </cell>
          <cell r="Q9930">
            <v>124.4315388872881</v>
          </cell>
        </row>
        <row r="9931">
          <cell r="O9931">
            <v>50581</v>
          </cell>
          <cell r="P9931">
            <v>9.4777760343026927</v>
          </cell>
          <cell r="Q9931">
            <v>124.48803945246084</v>
          </cell>
        </row>
        <row r="9932">
          <cell r="O9932">
            <v>50584</v>
          </cell>
          <cell r="P9932">
            <v>9.4820796032153485</v>
          </cell>
          <cell r="Q9932">
            <v>124.54456567281528</v>
          </cell>
        </row>
        <row r="9933">
          <cell r="O9933">
            <v>50585</v>
          </cell>
          <cell r="P9933">
            <v>9.4863851262473791</v>
          </cell>
          <cell r="Q9933">
            <v>124.60111756000221</v>
          </cell>
        </row>
        <row r="9934">
          <cell r="O9934">
            <v>50586</v>
          </cell>
          <cell r="P9934">
            <v>9.4906926042860409</v>
          </cell>
          <cell r="Q9934">
            <v>124.65769512567552</v>
          </cell>
        </row>
        <row r="9935">
          <cell r="O9935">
            <v>50587</v>
          </cell>
          <cell r="P9935">
            <v>9.4950020382190914</v>
          </cell>
          <cell r="Q9935">
            <v>124.71429838149562</v>
          </cell>
        </row>
        <row r="9936">
          <cell r="O9936">
            <v>50588</v>
          </cell>
          <cell r="P9936">
            <v>9.4993134289345278</v>
          </cell>
          <cell r="Q9936">
            <v>124.77092733912616</v>
          </cell>
        </row>
        <row r="9937">
          <cell r="O9937">
            <v>50591</v>
          </cell>
          <cell r="P9937">
            <v>9.5036267773209815</v>
          </cell>
          <cell r="Q9937">
            <v>124.82758201023904</v>
          </cell>
        </row>
        <row r="9938">
          <cell r="O9938">
            <v>50592</v>
          </cell>
          <cell r="P9938">
            <v>9.5079420842673255</v>
          </cell>
          <cell r="Q9938">
            <v>124.88426240650941</v>
          </cell>
        </row>
        <row r="9939">
          <cell r="O9939">
            <v>50593</v>
          </cell>
          <cell r="P9939">
            <v>9.5122593506628856</v>
          </cell>
          <cell r="Q9939">
            <v>124.94096853961828</v>
          </cell>
        </row>
        <row r="9940">
          <cell r="O9940">
            <v>50594</v>
          </cell>
          <cell r="P9940">
            <v>9.5165785773973841</v>
          </cell>
          <cell r="Q9940">
            <v>124.99770042125193</v>
          </cell>
        </row>
        <row r="9941">
          <cell r="O9941">
            <v>50595</v>
          </cell>
          <cell r="P9941">
            <v>9.5208997653609639</v>
          </cell>
          <cell r="Q9941">
            <v>125.05445806310216</v>
          </cell>
        </row>
        <row r="9942">
          <cell r="O9942">
            <v>50598</v>
          </cell>
          <cell r="P9942">
            <v>9.5252229154441448</v>
          </cell>
          <cell r="Q9942">
            <v>125.1112414768657</v>
          </cell>
        </row>
        <row r="9943">
          <cell r="O9943">
            <v>50599</v>
          </cell>
          <cell r="P9943">
            <v>9.5295480285378726</v>
          </cell>
          <cell r="Q9943">
            <v>125.16805067424488</v>
          </cell>
        </row>
        <row r="9944">
          <cell r="O9944">
            <v>50600</v>
          </cell>
          <cell r="P9944">
            <v>9.5338751055334878</v>
          </cell>
          <cell r="Q9944">
            <v>125.22488566694722</v>
          </cell>
        </row>
        <row r="9945">
          <cell r="O9945">
            <v>50601</v>
          </cell>
          <cell r="P9945">
            <v>9.5382041473227446</v>
          </cell>
          <cell r="Q9945">
            <v>125.28174646668566</v>
          </cell>
        </row>
        <row r="9946">
          <cell r="O9946">
            <v>50602</v>
          </cell>
          <cell r="P9946">
            <v>9.5425351547977826</v>
          </cell>
          <cell r="Q9946">
            <v>125.33863308517823</v>
          </cell>
        </row>
        <row r="9947">
          <cell r="O9947">
            <v>50605</v>
          </cell>
          <cell r="P9947">
            <v>9.5468681288511714</v>
          </cell>
          <cell r="Q9947">
            <v>125.3955455341486</v>
          </cell>
        </row>
        <row r="9948">
          <cell r="O9948">
            <v>50606</v>
          </cell>
          <cell r="P9948">
            <v>9.5512030703758715</v>
          </cell>
          <cell r="Q9948">
            <v>125.45248382532553</v>
          </cell>
        </row>
        <row r="9949">
          <cell r="O9949">
            <v>50607</v>
          </cell>
          <cell r="P9949">
            <v>9.5555399802652552</v>
          </cell>
          <cell r="Q9949">
            <v>125.50944797044326</v>
          </cell>
        </row>
        <row r="9950">
          <cell r="O9950">
            <v>50608</v>
          </cell>
          <cell r="P9950">
            <v>9.5598788594130877</v>
          </cell>
          <cell r="Q9950">
            <v>125.56643798124115</v>
          </cell>
        </row>
        <row r="9951">
          <cell r="O9951">
            <v>50609</v>
          </cell>
          <cell r="P9951">
            <v>9.564219708713555</v>
          </cell>
          <cell r="Q9951">
            <v>125.62345386946409</v>
          </cell>
        </row>
        <row r="9952">
          <cell r="O9952">
            <v>50612</v>
          </cell>
          <cell r="P9952">
            <v>9.5685625290612375</v>
          </cell>
          <cell r="Q9952">
            <v>125.68049564686213</v>
          </cell>
        </row>
        <row r="9953">
          <cell r="O9953">
            <v>50613</v>
          </cell>
          <cell r="P9953">
            <v>9.5729073213511402</v>
          </cell>
          <cell r="Q9953">
            <v>125.73756332519095</v>
          </cell>
        </row>
        <row r="9954">
          <cell r="O9954">
            <v>50614</v>
          </cell>
          <cell r="P9954">
            <v>9.57725408647865</v>
          </cell>
          <cell r="Q9954">
            <v>125.7946569162112</v>
          </cell>
        </row>
        <row r="9955">
          <cell r="O9955">
            <v>50615</v>
          </cell>
          <cell r="P9955">
            <v>9.5816028253395764</v>
          </cell>
          <cell r="Q9955">
            <v>125.8517764316891</v>
          </cell>
        </row>
        <row r="9956">
          <cell r="O9956">
            <v>50616</v>
          </cell>
          <cell r="P9956">
            <v>9.585953538830136</v>
          </cell>
          <cell r="Q9956">
            <v>125.90892188339622</v>
          </cell>
        </row>
        <row r="9957">
          <cell r="O9957">
            <v>50619</v>
          </cell>
          <cell r="P9957">
            <v>9.5903062278469395</v>
          </cell>
          <cell r="Q9957">
            <v>125.9660932831093</v>
          </cell>
        </row>
        <row r="9958">
          <cell r="O9958">
            <v>50620</v>
          </cell>
          <cell r="P9958">
            <v>9.5946608932870134</v>
          </cell>
          <cell r="Q9958">
            <v>126.02329064261053</v>
          </cell>
        </row>
        <row r="9959">
          <cell r="O9959">
            <v>50621</v>
          </cell>
          <cell r="P9959">
            <v>9.5990175360477963</v>
          </cell>
          <cell r="Q9959">
            <v>126.08051397368753</v>
          </cell>
        </row>
        <row r="9960">
          <cell r="O9960">
            <v>50622</v>
          </cell>
          <cell r="P9960">
            <v>9.6033761570271334</v>
          </cell>
          <cell r="Q9960">
            <v>126.13776328813327</v>
          </cell>
        </row>
        <row r="9961">
          <cell r="O9961">
            <v>50623</v>
          </cell>
          <cell r="P9961">
            <v>9.6077367571232646</v>
          </cell>
          <cell r="Q9961">
            <v>126.19503859774588</v>
          </cell>
        </row>
        <row r="9962">
          <cell r="O9962">
            <v>50626</v>
          </cell>
          <cell r="P9962">
            <v>9.6120993372348487</v>
          </cell>
          <cell r="Q9962">
            <v>126.25233991432899</v>
          </cell>
        </row>
        <row r="9963">
          <cell r="O9963">
            <v>50627</v>
          </cell>
          <cell r="P9963">
            <v>9.6164638982609496</v>
          </cell>
          <cell r="Q9963">
            <v>126.30966724969157</v>
          </cell>
        </row>
        <row r="9964">
          <cell r="O9964">
            <v>50628</v>
          </cell>
          <cell r="P9964">
            <v>9.6208304411010435</v>
          </cell>
          <cell r="Q9964">
            <v>126.367020615648</v>
          </cell>
        </row>
        <row r="9965">
          <cell r="O9965">
            <v>50629</v>
          </cell>
          <cell r="P9965">
            <v>9.6251989666550095</v>
          </cell>
          <cell r="Q9965">
            <v>126.42440002401796</v>
          </cell>
        </row>
        <row r="9966">
          <cell r="O9966">
            <v>50630</v>
          </cell>
          <cell r="P9966">
            <v>9.6295694758231374</v>
          </cell>
          <cell r="Q9966">
            <v>126.48180548662648</v>
          </cell>
        </row>
        <row r="9967">
          <cell r="O9967">
            <v>50633</v>
          </cell>
          <cell r="P9967">
            <v>9.6339419695061252</v>
          </cell>
          <cell r="Q9967">
            <v>126.53923701530404</v>
          </cell>
        </row>
        <row r="9968">
          <cell r="O9968">
            <v>50634</v>
          </cell>
          <cell r="P9968">
            <v>9.638316448605087</v>
          </cell>
          <cell r="Q9968">
            <v>126.59669462188648</v>
          </cell>
        </row>
        <row r="9969">
          <cell r="O9969">
            <v>50635</v>
          </cell>
          <cell r="P9969">
            <v>9.6426929140215289</v>
          </cell>
          <cell r="Q9969">
            <v>126.65417831821487</v>
          </cell>
        </row>
        <row r="9970">
          <cell r="O9970">
            <v>50636</v>
          </cell>
          <cell r="P9970">
            <v>9.6470713666573804</v>
          </cell>
          <cell r="Q9970">
            <v>126.7116881161358</v>
          </cell>
        </row>
        <row r="9971">
          <cell r="O9971">
            <v>50637</v>
          </cell>
          <cell r="P9971">
            <v>9.6514518074149809</v>
          </cell>
          <cell r="Q9971">
            <v>126.76922402750127</v>
          </cell>
        </row>
        <row r="9972">
          <cell r="O9972">
            <v>50640</v>
          </cell>
          <cell r="P9972">
            <v>9.6558342371970802</v>
          </cell>
          <cell r="Q9972">
            <v>126.82678606416863</v>
          </cell>
        </row>
        <row r="9973">
          <cell r="O9973">
            <v>50641</v>
          </cell>
          <cell r="P9973">
            <v>9.6602186569068209</v>
          </cell>
          <cell r="Q9973">
            <v>126.88437423800043</v>
          </cell>
        </row>
        <row r="9974">
          <cell r="O9974">
            <v>50642</v>
          </cell>
          <cell r="P9974">
            <v>9.664605067447777</v>
          </cell>
          <cell r="Q9974">
            <v>126.94198856086489</v>
          </cell>
        </row>
        <row r="9975">
          <cell r="O9975">
            <v>50643</v>
          </cell>
          <cell r="P9975">
            <v>9.6689934697239224</v>
          </cell>
          <cell r="Q9975">
            <v>126.99962904463543</v>
          </cell>
        </row>
        <row r="9976">
          <cell r="O9976">
            <v>50644</v>
          </cell>
          <cell r="P9976">
            <v>9.6733838646396428</v>
          </cell>
          <cell r="Q9976">
            <v>127.05729570119092</v>
          </cell>
        </row>
        <row r="9977">
          <cell r="O9977">
            <v>50647</v>
          </cell>
          <cell r="P9977">
            <v>9.6777762530997347</v>
          </cell>
          <cell r="Q9977">
            <v>127.11498854241565</v>
          </cell>
        </row>
        <row r="9978">
          <cell r="O9978">
            <v>50648</v>
          </cell>
          <cell r="P9978">
            <v>9.6821706360094062</v>
          </cell>
          <cell r="Q9978">
            <v>127.17270758019924</v>
          </cell>
        </row>
        <row r="9979">
          <cell r="O9979">
            <v>50649</v>
          </cell>
          <cell r="P9979">
            <v>9.6865670142742761</v>
          </cell>
          <cell r="Q9979">
            <v>127.23045282643679</v>
          </cell>
        </row>
        <row r="9980">
          <cell r="O9980">
            <v>50650</v>
          </cell>
          <cell r="P9980">
            <v>9.6909653888003806</v>
          </cell>
          <cell r="Q9980">
            <v>127.2882242930288</v>
          </cell>
        </row>
        <row r="9981">
          <cell r="O9981">
            <v>50651</v>
          </cell>
          <cell r="P9981">
            <v>9.6953657604941483</v>
          </cell>
          <cell r="Q9981">
            <v>127.34602199188102</v>
          </cell>
        </row>
        <row r="9982">
          <cell r="O9982">
            <v>50654</v>
          </cell>
          <cell r="P9982">
            <v>9.6997681302624361</v>
          </cell>
          <cell r="Q9982">
            <v>127.40384593490471</v>
          </cell>
        </row>
        <row r="9983">
          <cell r="O9983">
            <v>50656</v>
          </cell>
          <cell r="P9983">
            <v>9.7041724990125147</v>
          </cell>
          <cell r="Q9983">
            <v>127.46169613401668</v>
          </cell>
        </row>
        <row r="9984">
          <cell r="O9984">
            <v>50657</v>
          </cell>
          <cell r="P9984">
            <v>9.7085788676520615</v>
          </cell>
          <cell r="Q9984">
            <v>127.51957260113899</v>
          </cell>
        </row>
        <row r="9985">
          <cell r="O9985">
            <v>50658</v>
          </cell>
          <cell r="P9985">
            <v>9.7129872370891572</v>
          </cell>
          <cell r="Q9985">
            <v>127.57747534819906</v>
          </cell>
        </row>
        <row r="9986">
          <cell r="O9986">
            <v>50661</v>
          </cell>
          <cell r="P9986">
            <v>9.7173976082323072</v>
          </cell>
          <cell r="Q9986">
            <v>127.63540438712985</v>
          </cell>
        </row>
        <row r="9987">
          <cell r="O9987">
            <v>50662</v>
          </cell>
          <cell r="P9987">
            <v>9.7218099819904236</v>
          </cell>
          <cell r="Q9987">
            <v>127.69335972986968</v>
          </cell>
        </row>
        <row r="9988">
          <cell r="O9988">
            <v>50663</v>
          </cell>
          <cell r="P9988">
            <v>9.7262243592728339</v>
          </cell>
          <cell r="Q9988">
            <v>127.75134138836233</v>
          </cell>
        </row>
        <row r="9989">
          <cell r="O9989">
            <v>50664</v>
          </cell>
          <cell r="P9989">
            <v>9.7306407409892781</v>
          </cell>
          <cell r="Q9989">
            <v>127.80934937455699</v>
          </cell>
        </row>
        <row r="9990">
          <cell r="O9990">
            <v>50665</v>
          </cell>
          <cell r="P9990">
            <v>9.7350591280499081</v>
          </cell>
          <cell r="Q9990">
            <v>127.86738370040824</v>
          </cell>
        </row>
        <row r="9991">
          <cell r="O9991">
            <v>50668</v>
          </cell>
          <cell r="P9991">
            <v>9.7394795213652881</v>
          </cell>
          <cell r="Q9991">
            <v>127.92544437787612</v>
          </cell>
        </row>
        <row r="9992">
          <cell r="O9992">
            <v>50669</v>
          </cell>
          <cell r="P9992">
            <v>9.7439019218464029</v>
          </cell>
          <cell r="Q9992">
            <v>127.98353141892615</v>
          </cell>
        </row>
        <row r="9993">
          <cell r="O9993">
            <v>50670</v>
          </cell>
          <cell r="P9993">
            <v>9.7483263304046357</v>
          </cell>
          <cell r="Q9993">
            <v>128.04164483552913</v>
          </cell>
        </row>
        <row r="9994">
          <cell r="O9994">
            <v>50671</v>
          </cell>
          <cell r="P9994">
            <v>9.7527527479517939</v>
          </cell>
          <cell r="Q9994">
            <v>128.09978463966138</v>
          </cell>
        </row>
        <row r="9995">
          <cell r="O9995">
            <v>50672</v>
          </cell>
          <cell r="P9995">
            <v>9.7571811754001079</v>
          </cell>
          <cell r="Q9995">
            <v>128.1579508433048</v>
          </cell>
        </row>
        <row r="9996">
          <cell r="O9996">
            <v>50675</v>
          </cell>
          <cell r="P9996">
            <v>9.7616116136622093</v>
          </cell>
          <cell r="Q9996">
            <v>128.2161434584466</v>
          </cell>
        </row>
        <row r="9997">
          <cell r="O9997">
            <v>50676</v>
          </cell>
          <cell r="P9997">
            <v>9.7660440636511403</v>
          </cell>
          <cell r="Q9997">
            <v>128.27436249707927</v>
          </cell>
        </row>
        <row r="9998">
          <cell r="O9998">
            <v>50677</v>
          </cell>
          <cell r="P9998">
            <v>9.7704785262803711</v>
          </cell>
          <cell r="Q9998">
            <v>128.33260797120107</v>
          </cell>
        </row>
        <row r="9999">
          <cell r="O9999">
            <v>50678</v>
          </cell>
          <cell r="P9999">
            <v>9.774915002463775</v>
          </cell>
          <cell r="Q9999">
            <v>128.39087989281546</v>
          </cell>
        </row>
        <row r="10000">
          <cell r="O10000">
            <v>50679</v>
          </cell>
          <cell r="P10000">
            <v>9.7793534931156501</v>
          </cell>
          <cell r="Q10000">
            <v>128.44917827393147</v>
          </cell>
        </row>
        <row r="10001">
          <cell r="O10001">
            <v>50682</v>
          </cell>
          <cell r="P10001">
            <v>9.7837939991507046</v>
          </cell>
          <cell r="Q10001">
            <v>128.50750312656356</v>
          </cell>
        </row>
        <row r="10002">
          <cell r="O10002">
            <v>50683</v>
          </cell>
          <cell r="P10002">
            <v>9.7882365214840608</v>
          </cell>
          <cell r="Q10002">
            <v>128.56585446273164</v>
          </cell>
        </row>
        <row r="10003">
          <cell r="O10003">
            <v>50684</v>
          </cell>
          <cell r="P10003">
            <v>9.7926810610312582</v>
          </cell>
          <cell r="Q10003">
            <v>128.62423229446105</v>
          </cell>
        </row>
        <row r="10004">
          <cell r="O10004">
            <v>50685</v>
          </cell>
          <cell r="P10004">
            <v>9.7971276187082594</v>
          </cell>
          <cell r="Q10004">
            <v>128.68263663378272</v>
          </cell>
        </row>
        <row r="10005">
          <cell r="O10005">
            <v>50686</v>
          </cell>
          <cell r="P10005">
            <v>9.8015761954314229</v>
          </cell>
          <cell r="Q10005">
            <v>128.74106749273275</v>
          </cell>
        </row>
        <row r="10006">
          <cell r="O10006">
            <v>50689</v>
          </cell>
          <cell r="P10006">
            <v>9.8060267921175388</v>
          </cell>
          <cell r="Q10006">
            <v>128.79952488335297</v>
          </cell>
        </row>
        <row r="10007">
          <cell r="O10007">
            <v>50691</v>
          </cell>
          <cell r="P10007">
            <v>9.8104794096838166</v>
          </cell>
          <cell r="Q10007">
            <v>128.85800881769066</v>
          </cell>
        </row>
        <row r="10008">
          <cell r="O10008">
            <v>50692</v>
          </cell>
          <cell r="P10008">
            <v>9.8149340490478796</v>
          </cell>
          <cell r="Q10008">
            <v>128.91651930779858</v>
          </cell>
        </row>
        <row r="10009">
          <cell r="O10009">
            <v>50693</v>
          </cell>
          <cell r="P10009">
            <v>9.8193907111277525</v>
          </cell>
          <cell r="Q10009">
            <v>128.97505636573467</v>
          </cell>
        </row>
      </sheetData>
      <sheetData sheetId="5"/>
      <sheetData sheetId="6"/>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TA"/>
      <sheetName val="DTREE"/>
      <sheetName val="HELP"/>
      <sheetName val="TORNADO"/>
      <sheetName val="SPIDER"/>
      <sheetName val="RECORD"/>
    </sheetNames>
    <sheetDataSet>
      <sheetData sheetId="0"/>
      <sheetData sheetId="1"/>
      <sheetData sheetId="2"/>
      <sheetData sheetId="3">
        <row r="2">
          <cell r="B2" t="str">
            <v>Value</v>
          </cell>
        </row>
        <row r="39">
          <cell r="B39">
            <v>4</v>
          </cell>
        </row>
        <row r="40">
          <cell r="J40" t="str">
            <v>Descending</v>
          </cell>
          <cell r="L40" t="str">
            <v>Downside Δ NPV %</v>
          </cell>
          <cell r="M40" t="str">
            <v>Upside Δ NPV %</v>
          </cell>
        </row>
      </sheetData>
      <sheetData sheetId="4"/>
      <sheetData sheetId="5">
        <row r="1">
          <cell r="C1">
            <v>1</v>
          </cell>
        </row>
        <row r="2">
          <cell r="C2">
            <v>1</v>
          </cell>
        </row>
        <row r="3">
          <cell r="C3">
            <v>4</v>
          </cell>
        </row>
        <row r="4">
          <cell r="C4">
            <v>6</v>
          </cell>
        </row>
        <row r="5">
          <cell r="C5" t="str">
            <v>Node Type</v>
          </cell>
          <cell r="D5" t="str">
            <v>Node Name</v>
          </cell>
          <cell r="H5" t="str">
            <v>No of Branches</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monstração da atualização"/>
      <sheetName val="DADOS"/>
      <sheetName val="PARÂMETROS"/>
      <sheetName val="igpm"/>
      <sheetName val="ipca"/>
      <sheetName val="inpc"/>
      <sheetName val="Demonstração_da_atualização"/>
    </sheetNames>
    <sheetDataSet>
      <sheetData sheetId="0"/>
      <sheetData sheetId="1">
        <row r="2">
          <cell r="A2">
            <v>1</v>
          </cell>
          <cell r="B2" t="str">
            <v>Sr. Linaldo C. Rosa</v>
          </cell>
          <cell r="C2">
            <v>3994</v>
          </cell>
          <cell r="D2" t="str">
            <v>IGP-M</v>
          </cell>
          <cell r="E2">
            <v>0.1</v>
          </cell>
          <cell r="F2">
            <v>0.01</v>
          </cell>
          <cell r="G2" t="str">
            <v>C</v>
          </cell>
          <cell r="H2" t="str">
            <v>linaldo.cr@gmail.com</v>
          </cell>
          <cell r="I2">
            <v>43221</v>
          </cell>
          <cell r="J2" t="str">
            <v>(208) BANCO BTG PACTUAL S A</v>
          </cell>
          <cell r="K2" t="str">
            <v>0001</v>
          </cell>
          <cell r="L2" t="str">
            <v>19582-9</v>
          </cell>
          <cell r="M2"/>
          <cell r="N2" t="str">
            <v>BANCO SISTEMA S A CNPJ: 76.543.115/0001-94</v>
          </cell>
        </row>
        <row r="3">
          <cell r="A3">
            <v>2</v>
          </cell>
          <cell r="B3" t="str">
            <v>Sr. Uladismir Caetano</v>
          </cell>
          <cell r="C3">
            <v>3982</v>
          </cell>
          <cell r="D3" t="str">
            <v>IGP-M</v>
          </cell>
          <cell r="E3">
            <v>0.1</v>
          </cell>
          <cell r="F3">
            <v>0.01</v>
          </cell>
          <cell r="G3" t="str">
            <v>C</v>
          </cell>
          <cell r="H3" t="str">
            <v>fabric_fut@live.com</v>
          </cell>
          <cell r="I3">
            <v>43160</v>
          </cell>
          <cell r="J3" t="str">
            <v>(208) BANCO BTG PACTUAL S A</v>
          </cell>
          <cell r="K3" t="str">
            <v>0001</v>
          </cell>
          <cell r="L3" t="str">
            <v>19582-9</v>
          </cell>
          <cell r="M3" t="str">
            <v>MG20855</v>
          </cell>
          <cell r="N3" t="str">
            <v>BANCO SISTEMA S A CNPJ: 76.543.115/0001-94</v>
          </cell>
        </row>
        <row r="4">
          <cell r="A4">
            <v>3</v>
          </cell>
          <cell r="B4" t="str">
            <v>Sra. Meris Sasso</v>
          </cell>
          <cell r="C4">
            <v>3199</v>
          </cell>
          <cell r="D4" t="str">
            <v>IGP-M</v>
          </cell>
          <cell r="E4">
            <v>0.1</v>
          </cell>
          <cell r="F4">
            <v>0.01</v>
          </cell>
          <cell r="G4" t="str">
            <v>C</v>
          </cell>
          <cell r="H4" t="str">
            <v>mrs.soares@ibest.com.br</v>
          </cell>
          <cell r="I4">
            <v>42917</v>
          </cell>
          <cell r="J4" t="str">
            <v>(208) BANCO BTG PACTUAL S A</v>
          </cell>
          <cell r="K4" t="str">
            <v>0001</v>
          </cell>
          <cell r="L4" t="str">
            <v>19582-9</v>
          </cell>
          <cell r="M4" t="str">
            <v>RS20427</v>
          </cell>
          <cell r="N4" t="str">
            <v>BANCO SISTEMA S A CNPJ: 76.543.115/0001-94</v>
          </cell>
        </row>
        <row r="5">
          <cell r="A5">
            <v>4</v>
          </cell>
          <cell r="B5" t="str">
            <v>Sra. Ticiana Reis de Andrade</v>
          </cell>
          <cell r="C5">
            <v>4000</v>
          </cell>
          <cell r="D5" t="str">
            <v>REAL</v>
          </cell>
          <cell r="E5">
            <v>0.1</v>
          </cell>
          <cell r="F5">
            <v>0.01</v>
          </cell>
          <cell r="G5" t="str">
            <v>c</v>
          </cell>
          <cell r="H5" t="str">
            <v>financeiro@postoaliancatb.com.br</v>
          </cell>
          <cell r="I5">
            <v>43040</v>
          </cell>
          <cell r="J5" t="str">
            <v>(208) BANCO BTG PACTUAL S A</v>
          </cell>
          <cell r="K5" t="str">
            <v>0001</v>
          </cell>
          <cell r="L5" t="str">
            <v>19582-9</v>
          </cell>
          <cell r="M5" t="str">
            <v>PR18311</v>
          </cell>
          <cell r="N5" t="str">
            <v>BANCO SISTEMA S A CNPJ: 76.543.115/0001-94</v>
          </cell>
        </row>
        <row r="6">
          <cell r="A6">
            <v>5</v>
          </cell>
          <cell r="B6" t="str">
            <v>Sr. Mateus Da Silva Rezende</v>
          </cell>
          <cell r="C6">
            <v>3995</v>
          </cell>
          <cell r="D6" t="str">
            <v>IGP-M</v>
          </cell>
          <cell r="E6">
            <v>0.1</v>
          </cell>
          <cell r="F6">
            <v>0.01</v>
          </cell>
          <cell r="G6" t="str">
            <v>c</v>
          </cell>
          <cell r="H6" t="str">
            <v>mateusrezende.mr@gmail.com</v>
          </cell>
          <cell r="I6">
            <v>43252</v>
          </cell>
          <cell r="J6" t="str">
            <v>(208) BANCO BTG PACTUAL S A</v>
          </cell>
          <cell r="K6" t="str">
            <v>0001</v>
          </cell>
          <cell r="L6" t="str">
            <v>19582-9</v>
          </cell>
          <cell r="M6" t="str">
            <v>MT13179</v>
          </cell>
          <cell r="N6" t="str">
            <v>BANCO SISTEMA S A CNPJ: 76.543.115/0001-94</v>
          </cell>
        </row>
        <row r="7">
          <cell r="A7">
            <v>6</v>
          </cell>
          <cell r="B7" t="str">
            <v>Sr. Andre Luis Cerqueira Duarte</v>
          </cell>
          <cell r="C7">
            <v>3989</v>
          </cell>
          <cell r="D7" t="str">
            <v>IGP-M</v>
          </cell>
          <cell r="E7">
            <v>0.1</v>
          </cell>
          <cell r="F7">
            <v>0.01</v>
          </cell>
          <cell r="G7" t="str">
            <v>c</v>
          </cell>
          <cell r="H7" t="str">
            <v>alcduarteoficial@gmail.com</v>
          </cell>
          <cell r="I7">
            <v>43221</v>
          </cell>
          <cell r="J7" t="str">
            <v>(208) BANCO BTG PACTUAL S A</v>
          </cell>
          <cell r="K7" t="str">
            <v>0001</v>
          </cell>
          <cell r="L7" t="str">
            <v>9300</v>
          </cell>
          <cell r="M7" t="str">
            <v>RJ22759</v>
          </cell>
          <cell r="N7" t="str">
            <v>BANCO BTG PACTUAL S.A. CNPJ: 30.306.294/0001-45</v>
          </cell>
        </row>
        <row r="8">
          <cell r="A8">
            <v>7</v>
          </cell>
          <cell r="B8" t="str">
            <v xml:space="preserve">Sra. Camila Arão Del Aguila Silva </v>
          </cell>
          <cell r="C8">
            <v>4044</v>
          </cell>
          <cell r="D8" t="str">
            <v>REAL</v>
          </cell>
          <cell r="E8">
            <v>0.1</v>
          </cell>
          <cell r="F8">
            <v>0.01</v>
          </cell>
          <cell r="G8" t="str">
            <v>c</v>
          </cell>
          <cell r="H8" t="str">
            <v>camilaarao@hotmail.com</v>
          </cell>
          <cell r="I8">
            <v>43313</v>
          </cell>
          <cell r="J8" t="str">
            <v>(208) BANCO BTG PACTUAL S A</v>
          </cell>
          <cell r="K8" t="str">
            <v>0001</v>
          </cell>
          <cell r="L8" t="str">
            <v>9300</v>
          </cell>
          <cell r="M8"/>
          <cell r="N8" t="str">
            <v>BANCO BTG PACTUAL S.A. CNPJ: 30.306.294/0001-45</v>
          </cell>
        </row>
        <row r="9">
          <cell r="A9">
            <v>8</v>
          </cell>
          <cell r="B9" t="str">
            <v>Sr. Irimar Traporti</v>
          </cell>
          <cell r="C9">
            <v>3998</v>
          </cell>
          <cell r="D9" t="str">
            <v>IGP-M</v>
          </cell>
          <cell r="E9">
            <v>0.1</v>
          </cell>
          <cell r="F9">
            <v>0.01</v>
          </cell>
          <cell r="G9" t="str">
            <v>c</v>
          </cell>
          <cell r="H9" t="str">
            <v>irimar.1@hotmail.com</v>
          </cell>
          <cell r="I9">
            <v>43101</v>
          </cell>
          <cell r="J9" t="str">
            <v>(208) BANCO BTG PACTUAL S A</v>
          </cell>
          <cell r="K9" t="str">
            <v>0001</v>
          </cell>
          <cell r="L9" t="str">
            <v>19582-9</v>
          </cell>
          <cell r="M9" t="str">
            <v>RS26705</v>
          </cell>
          <cell r="N9" t="str">
            <v>BANCO SISTEMA S A CNPJ: 76.543.115/0001-94</v>
          </cell>
        </row>
        <row r="10">
          <cell r="A10">
            <v>9</v>
          </cell>
          <cell r="B10" t="str">
            <v>Sra. Katia Lagos</v>
          </cell>
          <cell r="C10">
            <v>4000</v>
          </cell>
          <cell r="D10" t="str">
            <v>REAL</v>
          </cell>
          <cell r="E10">
            <v>0.1</v>
          </cell>
          <cell r="F10">
            <v>0.01</v>
          </cell>
          <cell r="G10" t="str">
            <v>c</v>
          </cell>
          <cell r="H10" t="str">
            <v>financeiro@postoaliancatb.com.br</v>
          </cell>
          <cell r="I10">
            <v>43040</v>
          </cell>
          <cell r="J10" t="str">
            <v>(208) BANCO BTG PACTUAL S A</v>
          </cell>
          <cell r="K10" t="str">
            <v>0001</v>
          </cell>
          <cell r="L10" t="str">
            <v>19582-9</v>
          </cell>
          <cell r="M10" t="str">
            <v>PR18311</v>
          </cell>
          <cell r="N10" t="str">
            <v>BANCO SISTEMA S A CNPJ: 76.543.115/0001-94</v>
          </cell>
        </row>
        <row r="11">
          <cell r="A11">
            <v>10</v>
          </cell>
          <cell r="B11" t="str">
            <v>Sr. Marcelo Marcelino Pedro</v>
          </cell>
          <cell r="C11">
            <v>3999</v>
          </cell>
          <cell r="D11" t="str">
            <v>IGP-M</v>
          </cell>
          <cell r="E11">
            <v>0.1</v>
          </cell>
          <cell r="F11">
            <v>0.01</v>
          </cell>
          <cell r="G11" t="str">
            <v>c</v>
          </cell>
          <cell r="H11" t="str">
            <v>vendas@reallacto.com.br; contabilidade@reallacto.com.br</v>
          </cell>
          <cell r="I11">
            <v>43101</v>
          </cell>
          <cell r="J11" t="str">
            <v>(208) BANCO BTG PACTUAL S A</v>
          </cell>
          <cell r="K11" t="str">
            <v>0001</v>
          </cell>
          <cell r="L11" t="str">
            <v>19582-9</v>
          </cell>
          <cell r="M11" t="str">
            <v>PR7940</v>
          </cell>
          <cell r="N11" t="str">
            <v>BANCO SISTEMA S A CNPJ: 76.543.115/0001-94</v>
          </cell>
        </row>
        <row r="12">
          <cell r="A12">
            <v>11</v>
          </cell>
          <cell r="B12" t="str">
            <v>Sra. Silvia Helena Amaro</v>
          </cell>
          <cell r="C12">
            <v>4001</v>
          </cell>
          <cell r="D12" t="str">
            <v>IGP-M</v>
          </cell>
          <cell r="E12">
            <v>0.1</v>
          </cell>
          <cell r="F12">
            <v>0.01</v>
          </cell>
          <cell r="G12" t="str">
            <v>c</v>
          </cell>
          <cell r="H12" t="str">
            <v>ivp.lourival@gmail.com</v>
          </cell>
          <cell r="I12">
            <v>43101</v>
          </cell>
          <cell r="J12" t="str">
            <v>(208) BANCO BTG PACTUAL S A</v>
          </cell>
          <cell r="K12" t="str">
            <v>0001</v>
          </cell>
          <cell r="L12" t="str">
            <v>19582-9</v>
          </cell>
          <cell r="M12" t="str">
            <v>SP15303</v>
          </cell>
          <cell r="N12" t="str">
            <v>BANCO SISTEMA S A CNPJ: 76.543.115/0001-94</v>
          </cell>
        </row>
        <row r="13">
          <cell r="A13">
            <v>12</v>
          </cell>
          <cell r="B13" t="str">
            <v>Sra. Tamy Toloi</v>
          </cell>
          <cell r="C13">
            <v>4009</v>
          </cell>
          <cell r="D13" t="str">
            <v>IGP-M</v>
          </cell>
          <cell r="E13">
            <v>0.1</v>
          </cell>
          <cell r="F13">
            <v>0.01</v>
          </cell>
          <cell r="G13" t="str">
            <v>c</v>
          </cell>
          <cell r="H13" t="str">
            <v>rocenil52@gmail.com; tamydiedrich@yahoo.com.br</v>
          </cell>
          <cell r="I13">
            <v>43252</v>
          </cell>
          <cell r="J13" t="str">
            <v>(208) BANCO BTG PACTUAL S A</v>
          </cell>
          <cell r="K13" t="str">
            <v>0001</v>
          </cell>
          <cell r="L13" t="str">
            <v>19582-9</v>
          </cell>
          <cell r="M13" t="str">
            <v>SP4593</v>
          </cell>
          <cell r="N13" t="str">
            <v>BANCO SISTEMA S A CNPJ: 76.543.115/0001-94</v>
          </cell>
        </row>
        <row r="14">
          <cell r="A14">
            <v>13</v>
          </cell>
          <cell r="B14" t="str">
            <v>Sr. Wilson Pinto da Silva</v>
          </cell>
          <cell r="C14">
            <v>3993</v>
          </cell>
          <cell r="D14" t="str">
            <v>IGP-M</v>
          </cell>
          <cell r="E14">
            <v>0.1</v>
          </cell>
          <cell r="F14">
            <v>0.01</v>
          </cell>
          <cell r="G14" t="str">
            <v>c</v>
          </cell>
          <cell r="H14" t="str">
            <v>sac@druneshop.com.br</v>
          </cell>
          <cell r="I14">
            <v>43101</v>
          </cell>
          <cell r="J14" t="str">
            <v>(208) BANCO BTG PACTUAL S A</v>
          </cell>
          <cell r="K14" t="str">
            <v>0001</v>
          </cell>
          <cell r="L14" t="str">
            <v>19582-9</v>
          </cell>
          <cell r="M14" t="str">
            <v>GO990</v>
          </cell>
          <cell r="N14" t="str">
            <v>BANCO SISTEMA S A CNPJ: 76.543.115/0001-94</v>
          </cell>
        </row>
        <row r="15">
          <cell r="A15">
            <v>14</v>
          </cell>
          <cell r="B15" t="str">
            <v>Sr. Geraldo Reis Cotia</v>
          </cell>
          <cell r="C15">
            <v>3232</v>
          </cell>
          <cell r="D15" t="str">
            <v>IGP-M</v>
          </cell>
          <cell r="E15">
            <v>0.1</v>
          </cell>
          <cell r="F15">
            <v>0.01</v>
          </cell>
          <cell r="G15" t="str">
            <v>c</v>
          </cell>
          <cell r="H15" t="str">
            <v>geraldocaminhoesfsa@hotmail.com</v>
          </cell>
          <cell r="I15">
            <v>43040</v>
          </cell>
          <cell r="J15" t="str">
            <v>(104) CAIXA ECONÔMICA FEDERAL</v>
          </cell>
          <cell r="K15" t="str">
            <v>0369</v>
          </cell>
          <cell r="L15" t="str">
            <v>2100-0</v>
          </cell>
          <cell r="M15" t="str">
            <v>BA23895</v>
          </cell>
          <cell r="N15"/>
        </row>
        <row r="16">
          <cell r="A16">
            <v>15</v>
          </cell>
          <cell r="B16" t="str">
            <v>Sr. Heverton José De Arantes Silva</v>
          </cell>
          <cell r="C16">
            <v>2903</v>
          </cell>
          <cell r="D16" t="str">
            <v>IGP-M</v>
          </cell>
          <cell r="E16">
            <v>0.1</v>
          </cell>
          <cell r="F16">
            <v>0.01</v>
          </cell>
          <cell r="G16" t="str">
            <v>C</v>
          </cell>
          <cell r="H16" t="str">
            <v>draleixo@hotmail.com</v>
          </cell>
          <cell r="I16">
            <v>42917</v>
          </cell>
          <cell r="J16" t="str">
            <v>(208) BANCO BTG PACTUAL S A</v>
          </cell>
          <cell r="K16" t="str">
            <v>0001</v>
          </cell>
          <cell r="L16" t="str">
            <v>19582-9</v>
          </cell>
          <cell r="M16" t="str">
            <v>SP95533</v>
          </cell>
          <cell r="N16" t="str">
            <v>BANCO SISTEMA S A CNPJ: 76.543.115/0001-94</v>
          </cell>
        </row>
        <row r="17">
          <cell r="A17">
            <v>16</v>
          </cell>
          <cell r="B17" t="str">
            <v>Sr. Luis Cláudio Souza Santos</v>
          </cell>
          <cell r="C17">
            <v>3988</v>
          </cell>
          <cell r="D17" t="str">
            <v>IGP-M</v>
          </cell>
          <cell r="E17">
            <v>0.1</v>
          </cell>
          <cell r="F17">
            <v>0.01</v>
          </cell>
          <cell r="G17" t="str">
            <v>c</v>
          </cell>
          <cell r="H17" t="str">
            <v>luisclaudiolci@gmail.com</v>
          </cell>
          <cell r="I17">
            <v>43132</v>
          </cell>
          <cell r="J17" t="str">
            <v>(208) BANCO BTG PACTUAL S A</v>
          </cell>
          <cell r="K17" t="str">
            <v>0001</v>
          </cell>
          <cell r="L17" t="str">
            <v>9300</v>
          </cell>
          <cell r="M17" t="str">
            <v>RJ190179</v>
          </cell>
          <cell r="N17" t="str">
            <v>BANCO BTG PACTUAL S.A. CNPJ: 30.306.294/0001-45</v>
          </cell>
        </row>
        <row r="18">
          <cell r="A18">
            <v>17</v>
          </cell>
          <cell r="B18" t="str">
            <v>Sr. Ivan Carlos Machado de Aragão</v>
          </cell>
          <cell r="C18">
            <v>3991</v>
          </cell>
          <cell r="D18" t="str">
            <v>IGP-M</v>
          </cell>
          <cell r="E18">
            <v>0.1</v>
          </cell>
          <cell r="F18">
            <v>0.01</v>
          </cell>
          <cell r="G18" t="str">
            <v>c</v>
          </cell>
          <cell r="H18" t="str">
            <v>rodrigo@grossiadvogados.com.br</v>
          </cell>
          <cell r="I18">
            <v>43282</v>
          </cell>
          <cell r="J18" t="str">
            <v>(208) BANCO BTG PACTUAL S A</v>
          </cell>
          <cell r="K18" t="str">
            <v>0001</v>
          </cell>
          <cell r="L18" t="str">
            <v>9300</v>
          </cell>
          <cell r="M18" t="str">
            <v>RJ190308</v>
          </cell>
          <cell r="N18" t="str">
            <v>BANCO BTG PACTUAL S.A. CNPJ: 30.306.294/0001-45</v>
          </cell>
        </row>
        <row r="19">
          <cell r="A19">
            <v>18</v>
          </cell>
          <cell r="B19" t="str">
            <v>Sr. José Gontijo De Souza</v>
          </cell>
          <cell r="C19">
            <v>1798</v>
          </cell>
          <cell r="D19" t="str">
            <v>REAL</v>
          </cell>
          <cell r="E19">
            <v>0.1</v>
          </cell>
          <cell r="F19">
            <v>0.01</v>
          </cell>
          <cell r="G19" t="str">
            <v>c</v>
          </cell>
          <cell r="H19" t="str">
            <v>josegontijomarra1@hotmail.com</v>
          </cell>
          <cell r="I19">
            <v>42552</v>
          </cell>
          <cell r="J19" t="str">
            <v>(208) BANCO BTG PACTUAL S A</v>
          </cell>
          <cell r="K19" t="str">
            <v>0001</v>
          </cell>
          <cell r="L19" t="str">
            <v>19582-9</v>
          </cell>
          <cell r="M19" t="str">
            <v>MG3097</v>
          </cell>
          <cell r="N19" t="str">
            <v>BANCO SISTEMA S A CNPJ: 76.543.115/0001-94</v>
          </cell>
        </row>
        <row r="20">
          <cell r="A20">
            <v>19</v>
          </cell>
          <cell r="B20" t="str">
            <v>Sr. Paulo Sérgio Fávaro</v>
          </cell>
          <cell r="C20">
            <v>4021</v>
          </cell>
          <cell r="D20" t="str">
            <v>REAL</v>
          </cell>
          <cell r="E20">
            <v>0.1</v>
          </cell>
          <cell r="F20">
            <v>0.01</v>
          </cell>
          <cell r="G20" t="str">
            <v>c</v>
          </cell>
          <cell r="H20" t="str">
            <v>guifavaro@hotmail.com</v>
          </cell>
          <cell r="I20">
            <v>43160</v>
          </cell>
          <cell r="J20" t="str">
            <v>(208) BANCO BTG PACTUAL S A</v>
          </cell>
          <cell r="K20" t="str">
            <v>0001</v>
          </cell>
          <cell r="L20" t="str">
            <v>19582-9</v>
          </cell>
          <cell r="M20" t="str">
            <v>MT497</v>
          </cell>
          <cell r="N20" t="str">
            <v>BANCO SISTEMA S A CNPJ: 76.543.115/0001-94</v>
          </cell>
        </row>
        <row r="21">
          <cell r="A21">
            <v>20</v>
          </cell>
          <cell r="B21" t="str">
            <v>Sr. Marco Antonio Cardassi Filho</v>
          </cell>
          <cell r="C21">
            <v>2664</v>
          </cell>
          <cell r="D21" t="str">
            <v>IGP-M</v>
          </cell>
          <cell r="E21">
            <v>0.1</v>
          </cell>
          <cell r="F21">
            <v>0.01</v>
          </cell>
          <cell r="G21" t="str">
            <v>c</v>
          </cell>
          <cell r="H21" t="str">
            <v>g_cardassi@hotmail.com; ramudiveneza@hotmail.com; mauricioparizotto@moveisveneza.net</v>
          </cell>
          <cell r="I21">
            <v>42795</v>
          </cell>
          <cell r="J21" t="str">
            <v>(208) BANCO BTG PACTUAL S A</v>
          </cell>
          <cell r="K21" t="str">
            <v>0001</v>
          </cell>
          <cell r="L21" t="str">
            <v>19582-9</v>
          </cell>
          <cell r="M21" t="str">
            <v>SP8020</v>
          </cell>
          <cell r="N21" t="str">
            <v>BANCO SISTEMA S A CNPJ: 76.543.115/0001-94</v>
          </cell>
        </row>
        <row r="22">
          <cell r="A22">
            <v>21</v>
          </cell>
          <cell r="B22" t="str">
            <v>Sr. Vicente Mateos</v>
          </cell>
          <cell r="C22">
            <v>4012</v>
          </cell>
          <cell r="D22" t="str">
            <v>INPC</v>
          </cell>
          <cell r="H22" t="str">
            <v>vicente.mateos@hotmail.com</v>
          </cell>
          <cell r="I22">
            <v>43252</v>
          </cell>
          <cell r="J22" t="str">
            <v>(208) BANCO BTG PACTUAL S A</v>
          </cell>
          <cell r="K22" t="str">
            <v>0001</v>
          </cell>
          <cell r="L22" t="str">
            <v>19582-9</v>
          </cell>
          <cell r="M22" t="str">
            <v>NPL</v>
          </cell>
          <cell r="N22" t="str">
            <v>BANCO SISTEMA S A CNPJ: 76.543.115/0001-94</v>
          </cell>
        </row>
        <row r="23">
          <cell r="A23">
            <v>22</v>
          </cell>
          <cell r="C23">
            <v>3986</v>
          </cell>
          <cell r="D23" t="str">
            <v>IGP-M</v>
          </cell>
          <cell r="E23">
            <v>0.1</v>
          </cell>
          <cell r="F23">
            <v>0.01</v>
          </cell>
          <cell r="G23" t="str">
            <v>c</v>
          </cell>
          <cell r="H23" t="str">
            <v>juridico@lugano.com.br</v>
          </cell>
          <cell r="I23">
            <v>43040</v>
          </cell>
          <cell r="J23" t="str">
            <v>(208) BANCO BTG PACTUAL S A</v>
          </cell>
          <cell r="K23" t="str">
            <v>0001</v>
          </cell>
          <cell r="L23" t="str">
            <v>19582-9</v>
          </cell>
          <cell r="M23"/>
          <cell r="N23" t="str">
            <v>BANCO SISTEMA S A CNPJ: 76.543.115/0001-94</v>
          </cell>
        </row>
        <row r="24">
          <cell r="A24">
            <v>23</v>
          </cell>
          <cell r="B24" t="str">
            <v>Sr. Carlos Lavagnoli</v>
          </cell>
          <cell r="C24">
            <v>4118</v>
          </cell>
          <cell r="D24" t="str">
            <v>IGP-M</v>
          </cell>
          <cell r="E24">
            <v>0.1</v>
          </cell>
          <cell r="F24">
            <v>0.01</v>
          </cell>
          <cell r="G24" t="str">
            <v>c</v>
          </cell>
          <cell r="H24" t="str">
            <v>clavagnoli@gmail.com</v>
          </cell>
          <cell r="I24">
            <v>43374</v>
          </cell>
          <cell r="J24" t="str">
            <v>(208) BANCO BTG PACTUAL S A</v>
          </cell>
          <cell r="K24" t="str">
            <v>0001</v>
          </cell>
          <cell r="L24" t="str">
            <v>36916-6</v>
          </cell>
          <cell r="M24" t="str">
            <v>CT.SP25947</v>
          </cell>
          <cell r="N24" t="str">
            <v xml:space="preserve"> NOVAPORTIFOLIO PARTICIPACOES S.
A CNPJ: 27.025.181/0001-67</v>
          </cell>
        </row>
        <row r="25">
          <cell r="A25">
            <v>24</v>
          </cell>
          <cell r="B25" t="str">
            <v>Sr. Aldo Zanfrili Abbruzzese</v>
          </cell>
          <cell r="C25">
            <v>4151</v>
          </cell>
          <cell r="D25" t="str">
            <v>IGP-M</v>
          </cell>
          <cell r="E25">
            <v>0.1</v>
          </cell>
          <cell r="F25">
            <v>0.01</v>
          </cell>
          <cell r="G25" t="str">
            <v>c</v>
          </cell>
          <cell r="H25" t="str">
            <v>aldo@rracontabil.com.br</v>
          </cell>
          <cell r="I25">
            <v>43405</v>
          </cell>
          <cell r="J25" t="str">
            <v>(208) BANCO BTG PACTUAL S A</v>
          </cell>
          <cell r="K25" t="str">
            <v>0001</v>
          </cell>
          <cell r="L25" t="str">
            <v>36916-6</v>
          </cell>
          <cell r="M25" t="str">
            <v>CT.SP25972</v>
          </cell>
          <cell r="N25" t="str">
            <v xml:space="preserve"> NOVAPORTIFOLIO PARTICIPACOES S.
A CNPJ: 27.025.181/0001-67</v>
          </cell>
        </row>
        <row r="26">
          <cell r="A26">
            <v>25</v>
          </cell>
          <cell r="B26" t="str">
            <v>Sra. Angela Nardone Di Raimo</v>
          </cell>
          <cell r="C26">
            <v>4007</v>
          </cell>
          <cell r="D26" t="str">
            <v>INPC</v>
          </cell>
          <cell r="F26">
            <v>0.01</v>
          </cell>
          <cell r="G26" t="str">
            <v>c</v>
          </cell>
          <cell r="H26" t="str">
            <v xml:space="preserve">emerson@nslink.net.br; </v>
          </cell>
          <cell r="I26">
            <v>43070</v>
          </cell>
          <cell r="J26" t="str">
            <v>(208) BANCO BTG PACTUAL S A</v>
          </cell>
          <cell r="K26" t="str">
            <v>0001</v>
          </cell>
          <cell r="L26" t="str">
            <v>19582-9</v>
          </cell>
          <cell r="M26"/>
          <cell r="N26" t="str">
            <v>BANCO SISTEMA S A CNPJ: 76.543.115/0001-94</v>
          </cell>
        </row>
        <row r="27">
          <cell r="A27">
            <v>26</v>
          </cell>
          <cell r="B27" t="str">
            <v>Sr. João dias Barbosa Neto</v>
          </cell>
          <cell r="C27">
            <v>4002</v>
          </cell>
          <cell r="D27" t="str">
            <v>REAL</v>
          </cell>
          <cell r="H27" t="str">
            <v>diretoria@grupointimusfashion.com.br</v>
          </cell>
          <cell r="I27">
            <v>43070</v>
          </cell>
          <cell r="J27" t="str">
            <v>(208) BANCO BTG PACTUAL S A</v>
          </cell>
          <cell r="K27" t="str">
            <v>0001</v>
          </cell>
          <cell r="L27" t="str">
            <v>19582-9</v>
          </cell>
          <cell r="M27"/>
          <cell r="N27" t="str">
            <v>BANCO BTG PACTUAL S.A. CNPJ: 30.306.294/0001-45</v>
          </cell>
        </row>
        <row r="28">
          <cell r="A28">
            <v>27</v>
          </cell>
          <cell r="B28" t="str">
            <v>Sr.Luiz Fernando Silva Guerreiro</v>
          </cell>
          <cell r="C28">
            <v>4199</v>
          </cell>
          <cell r="D28" t="str">
            <v>REAL</v>
          </cell>
          <cell r="E28">
            <v>0.1</v>
          </cell>
          <cell r="F28">
            <v>0.01</v>
          </cell>
          <cell r="G28" t="str">
            <v>c</v>
          </cell>
          <cell r="H28" t="str">
            <v>luizfernando@lguerreiro.com.br;andreia@lguerreiro.com.br</v>
          </cell>
          <cell r="I28">
            <v>43435</v>
          </cell>
          <cell r="J28" t="str">
            <v>(208) BANCO BTG PACTUAL S A</v>
          </cell>
          <cell r="K28" t="str">
            <v>0001</v>
          </cell>
          <cell r="L28">
            <v>244098</v>
          </cell>
          <cell r="N28" t="str">
            <v>FUNDO DE INVESTIMENTO EM DIREITOS CREDITÓRIOS NÃO PADRONIZADOS ALTERNATIVE ASSETS I CNPJ:24.194.675/0001-87</v>
          </cell>
        </row>
        <row r="29">
          <cell r="A29">
            <v>28</v>
          </cell>
          <cell r="B29" t="str">
            <v>Sr. Carlos Eduardo Rabelo Rebouças</v>
          </cell>
          <cell r="C29">
            <v>4246</v>
          </cell>
          <cell r="D29" t="str">
            <v>REAL</v>
          </cell>
          <cell r="E29">
            <v>0.1</v>
          </cell>
          <cell r="F29">
            <v>0.01</v>
          </cell>
          <cell r="G29" t="str">
            <v>c</v>
          </cell>
          <cell r="H29" t="str">
            <v>eduardo@statusxconsultoria.com.br</v>
          </cell>
          <cell r="I29">
            <v>43405</v>
          </cell>
          <cell r="J29" t="str">
            <v>(208) BANCO BTG PACTUAL S A</v>
          </cell>
          <cell r="K29" t="str">
            <v>0001</v>
          </cell>
          <cell r="L29">
            <v>9300</v>
          </cell>
          <cell r="N29" t="str">
            <v>BANCO BTG PACTUAL S.A. CNPJ: 30.306.294/0001-45</v>
          </cell>
        </row>
        <row r="30">
          <cell r="A30">
            <v>29</v>
          </cell>
          <cell r="B30" t="str">
            <v>Sr. José Carlos Naitzel</v>
          </cell>
          <cell r="C30">
            <v>4074</v>
          </cell>
          <cell r="D30" t="str">
            <v>REAL</v>
          </cell>
          <cell r="G30" t="str">
            <v>c</v>
          </cell>
          <cell r="H30" t="str">
            <v>marciasupcalifornia@hotmail.com</v>
          </cell>
          <cell r="I30">
            <v>43101</v>
          </cell>
          <cell r="J30" t="str">
            <v>(208) BANCO BTG PACTUAL S A</v>
          </cell>
          <cell r="K30" t="str">
            <v>0001</v>
          </cell>
          <cell r="L30" t="str">
            <v>19582-9</v>
          </cell>
          <cell r="N30" t="str">
            <v>BANCO SISTEMA S A CNPJ: 76.543.115/0001-94</v>
          </cell>
        </row>
        <row r="31">
          <cell r="A31">
            <v>30</v>
          </cell>
          <cell r="B31" t="str">
            <v>Sr. Christian Barzaghi</v>
          </cell>
          <cell r="C31">
            <v>1234</v>
          </cell>
          <cell r="D31" t="str">
            <v>IGP-M</v>
          </cell>
          <cell r="E31">
            <v>0.1</v>
          </cell>
          <cell r="F31">
            <v>0.01</v>
          </cell>
          <cell r="G31" t="str">
            <v>c</v>
          </cell>
          <cell r="H31" t="str">
            <v>christian.barzaghi@hotmail.com</v>
          </cell>
          <cell r="I31">
            <v>43435</v>
          </cell>
          <cell r="J31" t="str">
            <v>(208) BANCO BTG PACTUAL S A</v>
          </cell>
          <cell r="K31" t="str">
            <v>0001</v>
          </cell>
          <cell r="L31">
            <v>9300</v>
          </cell>
          <cell r="M31" t="str">
            <v>SP-217769</v>
          </cell>
          <cell r="N31" t="str">
            <v>BANCO BTG PACTUAL S.A. CNPJ: 30.306.294/0001-45</v>
          </cell>
        </row>
        <row r="32">
          <cell r="A32">
            <v>31</v>
          </cell>
          <cell r="B32" t="str">
            <v>Srs,</v>
          </cell>
          <cell r="C32">
            <v>4053</v>
          </cell>
          <cell r="D32" t="str">
            <v>REAL</v>
          </cell>
          <cell r="H32" t="str">
            <v>financeiro@hospitalfreigalvao.com.b</v>
          </cell>
          <cell r="I32">
            <v>43313</v>
          </cell>
          <cell r="N32"/>
        </row>
        <row r="33">
          <cell r="A33">
            <v>32</v>
          </cell>
          <cell r="C33">
            <v>456</v>
          </cell>
          <cell r="D33" t="str">
            <v>IGP-M</v>
          </cell>
          <cell r="E33">
            <v>0.1</v>
          </cell>
          <cell r="F33">
            <v>0.01</v>
          </cell>
          <cell r="G33" t="str">
            <v>c</v>
          </cell>
          <cell r="I33">
            <v>43040</v>
          </cell>
          <cell r="N33"/>
        </row>
        <row r="34">
          <cell r="I34"/>
          <cell r="N34"/>
        </row>
        <row r="35">
          <cell r="I35"/>
          <cell r="N35"/>
        </row>
        <row r="36">
          <cell r="I36"/>
          <cell r="N36"/>
        </row>
        <row r="37">
          <cell r="I37"/>
          <cell r="N37"/>
        </row>
        <row r="38">
          <cell r="I38"/>
          <cell r="N38"/>
        </row>
        <row r="39">
          <cell r="I39"/>
          <cell r="N39"/>
        </row>
        <row r="40">
          <cell r="I40"/>
          <cell r="N40"/>
        </row>
        <row r="41">
          <cell r="I41"/>
          <cell r="N41"/>
        </row>
        <row r="42">
          <cell r="I42"/>
          <cell r="N42"/>
        </row>
        <row r="43">
          <cell r="I43"/>
          <cell r="N43"/>
        </row>
        <row r="44">
          <cell r="I44"/>
          <cell r="N44"/>
        </row>
        <row r="45">
          <cell r="I45"/>
          <cell r="N45"/>
        </row>
        <row r="46">
          <cell r="I46"/>
          <cell r="N46"/>
        </row>
        <row r="47">
          <cell r="I47"/>
          <cell r="N47"/>
        </row>
        <row r="48">
          <cell r="I48"/>
          <cell r="N48"/>
        </row>
        <row r="49">
          <cell r="I49"/>
          <cell r="N49"/>
        </row>
        <row r="50">
          <cell r="I50"/>
          <cell r="N50"/>
        </row>
        <row r="51">
          <cell r="I51"/>
          <cell r="N51"/>
        </row>
        <row r="52">
          <cell r="I52"/>
          <cell r="N52"/>
        </row>
        <row r="53">
          <cell r="I53"/>
          <cell r="N53"/>
        </row>
        <row r="54">
          <cell r="I54"/>
          <cell r="N54"/>
        </row>
        <row r="55">
          <cell r="I55"/>
          <cell r="N55"/>
        </row>
        <row r="56">
          <cell r="I56"/>
          <cell r="N56"/>
        </row>
        <row r="57">
          <cell r="I57"/>
          <cell r="N57"/>
        </row>
        <row r="58">
          <cell r="I58"/>
          <cell r="N58"/>
        </row>
        <row r="59">
          <cell r="I59"/>
          <cell r="N59"/>
        </row>
        <row r="60">
          <cell r="I60"/>
          <cell r="N60"/>
        </row>
        <row r="61">
          <cell r="I61"/>
          <cell r="N61"/>
        </row>
        <row r="62">
          <cell r="I62"/>
          <cell r="N62"/>
        </row>
        <row r="63">
          <cell r="N63"/>
        </row>
      </sheetData>
      <sheetData sheetId="2"/>
      <sheetData sheetId="3"/>
      <sheetData sheetId="4"/>
      <sheetData sheetId="5"/>
      <sheetData sheetId="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RVORE "/>
      <sheetName val="NPV "/>
      <sheetName val="ERV  "/>
      <sheetName val="PATRIMONIAL"/>
      <sheetName val="PRC"/>
      <sheetName val="PESA"/>
      <sheetName val="Internalização"/>
      <sheetName val="ARREMATAÇÃO 3OS"/>
      <sheetName val=" FATURAMENTO"/>
      <sheetName val="ARVORE_"/>
      <sheetName val="NPV_"/>
      <sheetName val="ERV__"/>
      <sheetName val="ARREMATAÇÃO_3OS"/>
      <sheetName val="_FATURAMENTO"/>
      <sheetName val="ARVORE_1"/>
      <sheetName val="NPV_1"/>
      <sheetName val="ERV__1"/>
      <sheetName val="ARREMATAÇÃO_3OS1"/>
      <sheetName val="_FATURAMENTO1"/>
      <sheetName val="ARVORE_3"/>
      <sheetName val="NPV_3"/>
      <sheetName val="ERV__3"/>
      <sheetName val="ARREMATAÇÃO_3OS3"/>
      <sheetName val="_FATURAMENTO3"/>
      <sheetName val="ARVORE_2"/>
      <sheetName val="NPV_2"/>
      <sheetName val="ERV__2"/>
      <sheetName val="ARREMATAÇÃO_3OS2"/>
      <sheetName val="_FATURAMENTO2"/>
    </sheetNames>
    <sheetDataSet>
      <sheetData sheetId="0" refreshError="1"/>
      <sheetData sheetId="1" refreshError="1"/>
      <sheetData sheetId="2" refreshError="1"/>
      <sheetData sheetId="3"/>
      <sheetData sheetId="4" refreshError="1"/>
      <sheetData sheetId="5">
        <row r="1">
          <cell r="C1">
            <v>43893</v>
          </cell>
          <cell r="F1">
            <v>1.0353783700000001</v>
          </cell>
        </row>
        <row r="2">
          <cell r="F2">
            <v>1.1640123935000002</v>
          </cell>
        </row>
      </sheetData>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 val="FINAL CASO"/>
      <sheetName val="Partes"/>
      <sheetName val="Div PM"/>
      <sheetName val="MTM"/>
      <sheetName val="MTM_total_CERTO"/>
      <sheetName val="ERV"/>
      <sheetName val="ACOMPANHAMENTO"/>
      <sheetName val="Inteligência"/>
      <sheetName val="Comercial"/>
      <sheetName val="meta"/>
      <sheetName val="Pulse"/>
      <sheetName val="SQL"/>
      <sheetName val="tração"/>
      <sheetName val="priorização"/>
      <sheetName val="score"/>
      <sheetName val="De para Comercial"/>
      <sheetName val="comer"/>
      <sheetName val="base prime"/>
      <sheetName val="Atualização"/>
      <sheetName val="Ind TRT 2001"/>
      <sheetName val="Ind TRT 14 2.000"/>
      <sheetName val="IRRF"/>
      <sheetName val="Ind_TRT_2001"/>
      <sheetName val="Ind_TRT_20011"/>
      <sheetName val="Ind_TRT_20012"/>
      <sheetName val="Ind_TRT_14_2_0001"/>
      <sheetName val="FINAL_CASO1"/>
      <sheetName val="Div_PM1"/>
      <sheetName val="De_para_Comercial1"/>
      <sheetName val="base_prime1"/>
      <sheetName val="Ind_TRT_14_2_000"/>
      <sheetName val="FINAL_CASO"/>
      <sheetName val="Div_PM"/>
      <sheetName val="De_para_Comercial"/>
      <sheetName val="base_prime"/>
      <sheetName val="FINAL_CASO2"/>
      <sheetName val="Div_PM2"/>
      <sheetName val="De_para_Comercial2"/>
      <sheetName val="base_prime2"/>
      <sheetName val="Ind_TRT_20013"/>
      <sheetName val="Ind_TRT_14_2_0002"/>
    </sheetNames>
    <sheetDataSet>
      <sheetData sheetId="0">
        <row r="16">
          <cell r="G16">
            <v>6095249.75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5">
          <cell r="BJ5">
            <v>2.2578000000000001E-2</v>
          </cell>
        </row>
        <row r="6">
          <cell r="BJ6">
            <v>2.2578000000000001E-2</v>
          </cell>
        </row>
        <row r="7">
          <cell r="BJ7">
            <v>2.2578000000000001E-2</v>
          </cell>
        </row>
        <row r="8">
          <cell r="BJ8">
            <v>1.9E-2</v>
          </cell>
        </row>
        <row r="9">
          <cell r="BJ9">
            <v>1.9E-2</v>
          </cell>
        </row>
        <row r="10">
          <cell r="BJ10">
            <v>1.9E-2</v>
          </cell>
        </row>
        <row r="11">
          <cell r="BJ11">
            <v>1.5950000000000002E-2</v>
          </cell>
        </row>
        <row r="12">
          <cell r="BJ12">
            <v>1.5950000000000002E-2</v>
          </cell>
        </row>
        <row r="13">
          <cell r="BJ13">
            <v>1.5950000000000002E-2</v>
          </cell>
        </row>
        <row r="14">
          <cell r="BJ14">
            <v>1.3453E-2</v>
          </cell>
        </row>
        <row r="15">
          <cell r="BJ15">
            <v>1.3453E-2</v>
          </cell>
        </row>
        <row r="16">
          <cell r="BJ16">
            <v>1.3453E-2</v>
          </cell>
        </row>
        <row r="17">
          <cell r="BJ17">
            <v>1.1472E-2</v>
          </cell>
        </row>
        <row r="18">
          <cell r="BJ18">
            <v>1.1472E-2</v>
          </cell>
        </row>
        <row r="19">
          <cell r="BJ19">
            <v>1.1472E-2</v>
          </cell>
        </row>
        <row r="20">
          <cell r="BJ20">
            <v>9.9079999999999984E-3</v>
          </cell>
        </row>
        <row r="21">
          <cell r="BJ21">
            <v>9.9079999999999984E-3</v>
          </cell>
        </row>
        <row r="22">
          <cell r="BJ22">
            <v>9.9079999999999984E-3</v>
          </cell>
        </row>
        <row r="23">
          <cell r="BJ23">
            <v>8.4429999999999991E-3</v>
          </cell>
        </row>
        <row r="24">
          <cell r="BJ24">
            <v>8.4429999999999991E-3</v>
          </cell>
        </row>
        <row r="25">
          <cell r="BJ25">
            <v>8.4429999999999991E-3</v>
          </cell>
        </row>
        <row r="26">
          <cell r="BJ26">
            <v>6.953E-3</v>
          </cell>
        </row>
        <row r="27">
          <cell r="BJ27">
            <v>6.953E-3</v>
          </cell>
        </row>
        <row r="28">
          <cell r="BJ28">
            <v>6.953E-3</v>
          </cell>
        </row>
        <row r="29">
          <cell r="BJ29">
            <v>5.7330000000000002E-3</v>
          </cell>
        </row>
        <row r="30">
          <cell r="BJ30">
            <v>5.7330000000000002E-3</v>
          </cell>
        </row>
        <row r="31">
          <cell r="BJ31">
            <v>5.7330000000000002E-3</v>
          </cell>
        </row>
        <row r="32">
          <cell r="BJ32">
            <v>4.646E-3</v>
          </cell>
        </row>
        <row r="33">
          <cell r="BJ33">
            <v>4.646E-3</v>
          </cell>
        </row>
        <row r="34">
          <cell r="BJ34">
            <v>4.646E-3</v>
          </cell>
        </row>
        <row r="35">
          <cell r="BJ35">
            <v>3.6600000000000001E-3</v>
          </cell>
        </row>
        <row r="36">
          <cell r="BJ36">
            <v>3.6600000000000001E-3</v>
          </cell>
        </row>
        <row r="37">
          <cell r="BJ37">
            <v>3.6600000000000001E-3</v>
          </cell>
        </row>
        <row r="38">
          <cell r="BJ38">
            <v>2.8250000000000003E-3</v>
          </cell>
        </row>
        <row r="39">
          <cell r="BJ39">
            <v>2.8250000000000003E-3</v>
          </cell>
        </row>
        <row r="40">
          <cell r="BJ40">
            <v>2.8250000000000003E-3</v>
          </cell>
        </row>
        <row r="41">
          <cell r="BJ41">
            <v>2.2100000000000002E-3</v>
          </cell>
        </row>
        <row r="42">
          <cell r="BJ42">
            <v>2.2100000000000002E-3</v>
          </cell>
        </row>
        <row r="43">
          <cell r="BJ43">
            <v>2.2100000000000002E-3</v>
          </cell>
        </row>
        <row r="44">
          <cell r="BJ44">
            <v>1.6279999999999999E-3</v>
          </cell>
        </row>
        <row r="45">
          <cell r="BJ45">
            <v>1.6279999999999999E-3</v>
          </cell>
        </row>
        <row r="46">
          <cell r="BJ46">
            <v>1.6279999999999999E-3</v>
          </cell>
        </row>
        <row r="47">
          <cell r="BJ47">
            <v>1.2569999999999999E-3</v>
          </cell>
        </row>
        <row r="48">
          <cell r="BJ48">
            <v>1.2569999999999999E-3</v>
          </cell>
        </row>
        <row r="49">
          <cell r="BJ49">
            <v>1.2569999999999999E-3</v>
          </cell>
        </row>
        <row r="50">
          <cell r="BJ50">
            <v>9.3599999999999998E-4</v>
          </cell>
        </row>
        <row r="51">
          <cell r="BJ51">
            <v>9.3599999999999998E-4</v>
          </cell>
        </row>
        <row r="52">
          <cell r="BJ52">
            <v>9.3599999999999998E-4</v>
          </cell>
        </row>
        <row r="53">
          <cell r="BJ53">
            <v>6.8500000000000006E-4</v>
          </cell>
        </row>
        <row r="54">
          <cell r="BJ54">
            <v>6.8500000000000006E-4</v>
          </cell>
        </row>
        <row r="55">
          <cell r="BJ55">
            <v>6.8500000000000006E-4</v>
          </cell>
        </row>
        <row r="56">
          <cell r="BJ56">
            <v>4.8200000000000001E-4</v>
          </cell>
        </row>
        <row r="57">
          <cell r="BJ57">
            <v>4.8200000000000001E-4</v>
          </cell>
        </row>
        <row r="58">
          <cell r="BJ58">
            <v>4.8200000000000001E-4</v>
          </cell>
        </row>
        <row r="59">
          <cell r="BJ59">
            <v>3.6700000000000003E-4</v>
          </cell>
        </row>
        <row r="60">
          <cell r="BJ60">
            <v>3.6700000000000003E-4</v>
          </cell>
        </row>
        <row r="61">
          <cell r="BJ61">
            <v>3.6700000000000003E-4</v>
          </cell>
        </row>
        <row r="62">
          <cell r="BJ62">
            <v>2.8800000000000001E-4</v>
          </cell>
        </row>
        <row r="63">
          <cell r="BJ63">
            <v>2.8800000000000001E-4</v>
          </cell>
        </row>
        <row r="64">
          <cell r="BJ64">
            <v>2.8800000000000001E-4</v>
          </cell>
        </row>
        <row r="65">
          <cell r="BJ65">
            <v>2.0599999999999999E-4</v>
          </cell>
        </row>
        <row r="66">
          <cell r="BJ66">
            <v>2.0599999999999999E-4</v>
          </cell>
        </row>
        <row r="67">
          <cell r="BJ67">
            <v>0.15674299999999999</v>
          </cell>
        </row>
        <row r="68">
          <cell r="BJ68">
            <v>0.15690599999999999</v>
          </cell>
        </row>
        <row r="69">
          <cell r="BJ69">
            <v>0.155692</v>
          </cell>
        </row>
        <row r="70">
          <cell r="BJ70">
            <v>0.15354100000000001</v>
          </cell>
        </row>
        <row r="71">
          <cell r="BJ71">
            <v>0.151611</v>
          </cell>
        </row>
        <row r="72">
          <cell r="BJ72">
            <v>0.14982899999999999</v>
          </cell>
        </row>
        <row r="73">
          <cell r="BJ73">
            <v>0.14734700000000001</v>
          </cell>
        </row>
        <row r="74">
          <cell r="BJ74">
            <v>0.14485600000000001</v>
          </cell>
        </row>
        <row r="75">
          <cell r="BJ75">
            <v>0.14216699999999999</v>
          </cell>
        </row>
        <row r="76">
          <cell r="BJ76">
            <v>0.13763300000000001</v>
          </cell>
        </row>
        <row r="77">
          <cell r="BJ77">
            <v>0.128305</v>
          </cell>
        </row>
        <row r="78">
          <cell r="BJ78">
            <v>0.10982699999999999</v>
          </cell>
        </row>
        <row r="79">
          <cell r="BJ79">
            <v>9.1825000000000004E-2</v>
          </cell>
        </row>
        <row r="80">
          <cell r="BJ80">
            <v>8.0189999999999997E-2</v>
          </cell>
        </row>
        <row r="81">
          <cell r="BJ81">
            <v>6.6284999999999997E-2</v>
          </cell>
        </row>
        <row r="82">
          <cell r="BJ82">
            <v>5.3702E-2</v>
          </cell>
        </row>
        <row r="83">
          <cell r="BJ83">
            <v>4.5498999999999998E-2</v>
          </cell>
        </row>
        <row r="84">
          <cell r="BJ84">
            <v>4.4148E-2</v>
          </cell>
        </row>
        <row r="85">
          <cell r="BJ85">
            <v>4.1513000000000001E-2</v>
          </cell>
        </row>
        <row r="86">
          <cell r="BJ86">
            <v>3.9285E-2</v>
          </cell>
        </row>
        <row r="87">
          <cell r="BJ87">
            <v>3.5976000000000001E-2</v>
          </cell>
        </row>
        <row r="88">
          <cell r="BJ88">
            <v>3.1885999999999998E-2</v>
          </cell>
        </row>
        <row r="89">
          <cell r="BJ89">
            <v>2.7944E-2</v>
          </cell>
        </row>
        <row r="90">
          <cell r="BJ90">
            <v>2.3976000000000001E-2</v>
          </cell>
        </row>
        <row r="91">
          <cell r="BJ91">
            <v>2.0324000000000002E-2</v>
          </cell>
        </row>
        <row r="92">
          <cell r="BJ92">
            <v>1.7517000000000001E-2</v>
          </cell>
        </row>
        <row r="93">
          <cell r="BJ93">
            <v>1.4688999999999999E-2</v>
          </cell>
        </row>
        <row r="94">
          <cell r="BJ94">
            <v>1.2473E-2</v>
          </cell>
        </row>
        <row r="95">
          <cell r="BJ95">
            <v>1.0430999999999999E-2</v>
          </cell>
        </row>
        <row r="96">
          <cell r="BJ96">
            <v>8.4169999999999991E-3</v>
          </cell>
        </row>
        <row r="97">
          <cell r="BJ97">
            <v>6.9709999999999998E-3</v>
          </cell>
        </row>
        <row r="98">
          <cell r="BJ98">
            <v>5.62E-3</v>
          </cell>
        </row>
        <row r="99">
          <cell r="BJ99">
            <v>4.4210000000000005E-3</v>
          </cell>
        </row>
        <row r="100">
          <cell r="BJ100">
            <v>3.4790000000000003E-3</v>
          </cell>
        </row>
        <row r="101">
          <cell r="BJ101">
            <v>2.7030080000000001</v>
          </cell>
        </row>
        <row r="102">
          <cell r="BJ102">
            <v>2.2087530000000002</v>
          </cell>
        </row>
        <row r="103">
          <cell r="BJ103">
            <v>1.866622</v>
          </cell>
        </row>
        <row r="104">
          <cell r="BJ104">
            <v>1.557555</v>
          </cell>
        </row>
        <row r="105">
          <cell r="BJ105">
            <v>1.4030959999999999</v>
          </cell>
        </row>
        <row r="106">
          <cell r="BJ106">
            <v>1.2767709999999999</v>
          </cell>
        </row>
        <row r="107">
          <cell r="BJ107">
            <v>1.0227769999999998</v>
          </cell>
        </row>
        <row r="108">
          <cell r="BJ108">
            <v>0.79435600000000006</v>
          </cell>
        </row>
        <row r="109">
          <cell r="BJ109">
            <v>0.61418499999999998</v>
          </cell>
        </row>
        <row r="110">
          <cell r="BJ110">
            <v>0.45177499999999998</v>
          </cell>
        </row>
        <row r="111">
          <cell r="BJ111">
            <v>0.32828299999999999</v>
          </cell>
        </row>
        <row r="112">
          <cell r="BJ112">
            <v>0.232131</v>
          </cell>
        </row>
        <row r="113">
          <cell r="BJ113">
            <v>0.15118300000000001</v>
          </cell>
        </row>
        <row r="114">
          <cell r="BJ114">
            <v>9.6838999999999995E-2</v>
          </cell>
        </row>
        <row r="115">
          <cell r="BJ115">
            <v>5.6052999999999999E-2</v>
          </cell>
        </row>
        <row r="116">
          <cell r="BJ116">
            <v>3.0405000000000001E-2</v>
          </cell>
        </row>
        <row r="117">
          <cell r="BJ117">
            <v>3.0405000000000001E-2</v>
          </cell>
        </row>
        <row r="118">
          <cell r="BJ118">
            <v>2.8864000000000001E-2</v>
          </cell>
        </row>
        <row r="119">
          <cell r="BJ119">
            <v>2.6324E-2</v>
          </cell>
        </row>
        <row r="120">
          <cell r="BJ120">
            <v>2.3761000000000001E-2</v>
          </cell>
        </row>
        <row r="121">
          <cell r="BJ121">
            <v>2.1492000000000001E-2</v>
          </cell>
        </row>
        <row r="122">
          <cell r="BJ122">
            <v>1.9037999999999999E-2</v>
          </cell>
        </row>
        <row r="123">
          <cell r="BJ123">
            <v>1.6749E-2</v>
          </cell>
        </row>
        <row r="124">
          <cell r="BJ124">
            <v>1.4350999999999999E-2</v>
          </cell>
        </row>
        <row r="125">
          <cell r="BJ125">
            <v>1.2024E-2</v>
          </cell>
        </row>
        <row r="126">
          <cell r="BJ126">
            <v>1.0003E-2</v>
          </cell>
        </row>
        <row r="127">
          <cell r="BJ127">
            <v>9.3539999999999995E-3</v>
          </cell>
        </row>
        <row r="128">
          <cell r="BJ128">
            <v>8.6119999999999999E-3</v>
          </cell>
        </row>
        <row r="129">
          <cell r="BJ129">
            <v>7.9089999999999994E-3</v>
          </cell>
        </row>
        <row r="130">
          <cell r="BJ130">
            <v>7.2560000000000003E-3</v>
          </cell>
        </row>
        <row r="131">
          <cell r="BJ131">
            <v>6.6360000000000004E-3</v>
          </cell>
        </row>
        <row r="132">
          <cell r="BJ132">
            <v>6.0309999999999999E-3</v>
          </cell>
        </row>
        <row r="133">
          <cell r="BJ133">
            <v>5.378E-3</v>
          </cell>
        </row>
        <row r="134">
          <cell r="BJ134">
            <v>4.6080000000000001E-3</v>
          </cell>
        </row>
        <row r="135">
          <cell r="BJ135">
            <v>3.852E-3</v>
          </cell>
        </row>
        <row r="136">
          <cell r="BJ136">
            <v>2.9499999999999999E-3</v>
          </cell>
        </row>
        <row r="137">
          <cell r="BJ137">
            <v>2.297E-3</v>
          </cell>
        </row>
        <row r="138">
          <cell r="BJ138">
            <v>1.828E-3</v>
          </cell>
        </row>
        <row r="139">
          <cell r="BJ139">
            <v>1.457E-3</v>
          </cell>
        </row>
        <row r="140">
          <cell r="BJ140">
            <v>1.173E-3</v>
          </cell>
        </row>
        <row r="141">
          <cell r="BJ141">
            <v>9.68E-4</v>
          </cell>
        </row>
        <row r="142">
          <cell r="BJ142">
            <v>8.0400000000000003E-4</v>
          </cell>
        </row>
        <row r="143">
          <cell r="BJ143">
            <v>6.7200000000000007E-4</v>
          </cell>
        </row>
        <row r="144">
          <cell r="BJ144">
            <v>5.4100000000000003E-4</v>
          </cell>
        </row>
        <row r="145">
          <cell r="BJ145">
            <v>4.3800000000000002E-4</v>
          </cell>
        </row>
        <row r="146">
          <cell r="BJ146">
            <v>3.5200000000000005E-4</v>
          </cell>
        </row>
        <row r="147">
          <cell r="BJ147">
            <v>2.7700000000000001E-4</v>
          </cell>
        </row>
        <row r="148">
          <cell r="BJ148">
            <v>2.2100000000000001E-4</v>
          </cell>
        </row>
        <row r="149">
          <cell r="BJ149">
            <v>1.8100000000000001E-4</v>
          </cell>
        </row>
        <row r="150">
          <cell r="BJ150">
            <v>1.4799999999999999E-4</v>
          </cell>
        </row>
        <row r="151">
          <cell r="BJ151">
            <v>1.15E-4</v>
          </cell>
        </row>
        <row r="152">
          <cell r="BJ152">
            <v>8.1000000000000004E-5</v>
          </cell>
        </row>
        <row r="153">
          <cell r="BJ153">
            <v>5.5999999999999999E-5</v>
          </cell>
        </row>
        <row r="154">
          <cell r="BJ154">
            <v>4.7999999999999994E-5</v>
          </cell>
        </row>
        <row r="155">
          <cell r="BJ155">
            <v>3.1000000000000001E-5</v>
          </cell>
        </row>
        <row r="156">
          <cell r="BJ156">
            <v>3.2416E-2</v>
          </cell>
        </row>
        <row r="157">
          <cell r="BJ157">
            <v>2.4314000000000002E-2</v>
          </cell>
        </row>
        <row r="158">
          <cell r="BJ158">
            <v>1.8051000000000001E-2</v>
          </cell>
        </row>
        <row r="159">
          <cell r="BJ159">
            <v>1.3226999999999999E-2</v>
          </cell>
        </row>
        <row r="160">
          <cell r="BJ160">
            <v>9.7109999999999991E-3</v>
          </cell>
        </row>
        <row r="161">
          <cell r="BJ161">
            <v>7.1019999999999998E-3</v>
          </cell>
        </row>
        <row r="162">
          <cell r="BJ162">
            <v>5.0270000000000002E-3</v>
          </cell>
        </row>
        <row r="163">
          <cell r="BJ163">
            <v>3.5950000000000001E-3</v>
          </cell>
        </row>
        <row r="164">
          <cell r="BJ164">
            <v>2.5310000000000003E-3</v>
          </cell>
        </row>
        <row r="165">
          <cell r="BJ165">
            <v>1.7359999999999999E-3</v>
          </cell>
        </row>
        <row r="166">
          <cell r="BJ166">
            <v>1.1819999999999999E-3</v>
          </cell>
        </row>
        <row r="167">
          <cell r="BJ167">
            <v>2.2167090000000003</v>
          </cell>
        </row>
        <row r="168">
          <cell r="BJ168">
            <v>2.1106240000000001</v>
          </cell>
        </row>
        <row r="169">
          <cell r="BJ169">
            <v>2.0665840000000002</v>
          </cell>
        </row>
        <row r="170">
          <cell r="BJ170">
            <v>2.0173740000000002</v>
          </cell>
        </row>
        <row r="171">
          <cell r="BJ171">
            <v>1.9671109999999998</v>
          </cell>
        </row>
        <row r="172">
          <cell r="BJ172">
            <v>1.911289</v>
          </cell>
        </row>
        <row r="173">
          <cell r="BJ173">
            <v>1.857901</v>
          </cell>
        </row>
        <row r="174">
          <cell r="BJ174">
            <v>1.8196679999999998</v>
          </cell>
        </row>
        <row r="175">
          <cell r="BJ175">
            <v>1.7865639999999998</v>
          </cell>
        </row>
        <row r="176">
          <cell r="BJ176">
            <v>1.7464009999999999</v>
          </cell>
        </row>
        <row r="177">
          <cell r="BJ177">
            <v>1.6878799999999998</v>
          </cell>
        </row>
        <row r="178">
          <cell r="BJ178">
            <v>1.6348049999999998</v>
          </cell>
        </row>
        <row r="179">
          <cell r="BJ179">
            <v>1.588943</v>
          </cell>
        </row>
        <row r="180">
          <cell r="BJ180">
            <v>1.542808</v>
          </cell>
        </row>
        <row r="181">
          <cell r="BJ181">
            <v>1.5036449999999999</v>
          </cell>
        </row>
        <row r="182">
          <cell r="BJ182">
            <v>1.4750409999999998</v>
          </cell>
        </row>
        <row r="183">
          <cell r="BJ183">
            <v>1.4510319999999999</v>
          </cell>
        </row>
        <row r="184">
          <cell r="BJ184">
            <v>1.4304589999999999</v>
          </cell>
        </row>
        <row r="185">
          <cell r="BJ185">
            <v>1.4115409999999999</v>
          </cell>
        </row>
        <row r="186">
          <cell r="BJ186">
            <v>1.3940819999999998</v>
          </cell>
        </row>
        <row r="187">
          <cell r="BJ187">
            <v>1.380792</v>
          </cell>
        </row>
        <row r="188">
          <cell r="BJ188">
            <v>1.369642</v>
          </cell>
        </row>
        <row r="189">
          <cell r="BJ189">
            <v>1.3606669999999998</v>
          </cell>
        </row>
        <row r="190">
          <cell r="BJ190">
            <v>1.3526959999999999</v>
          </cell>
        </row>
        <row r="191">
          <cell r="BJ191">
            <v>1.344503</v>
          </cell>
        </row>
        <row r="192">
          <cell r="BJ192">
            <v>1.336679</v>
          </cell>
        </row>
        <row r="193">
          <cell r="BJ193">
            <v>1.328344</v>
          </cell>
        </row>
        <row r="194">
          <cell r="BJ194">
            <v>1.3196079999999999</v>
          </cell>
        </row>
        <row r="195">
          <cell r="BJ195">
            <v>1.30989</v>
          </cell>
        </row>
        <row r="196">
          <cell r="BJ196">
            <v>1.299304</v>
          </cell>
        </row>
        <row r="197">
          <cell r="BJ197">
            <v>1.2880829999999999</v>
          </cell>
        </row>
        <row r="198">
          <cell r="BJ198">
            <v>1.2785679999999999</v>
          </cell>
        </row>
        <row r="199">
          <cell r="BJ199">
            <v>1.2701609999999999</v>
          </cell>
        </row>
        <row r="200">
          <cell r="BJ200">
            <v>1.2621849999999999</v>
          </cell>
        </row>
        <row r="201">
          <cell r="BJ201">
            <v>1.2543989999999998</v>
          </cell>
        </row>
        <row r="202">
          <cell r="BJ202">
            <v>1.246481</v>
          </cell>
        </row>
        <row r="203">
          <cell r="BJ203">
            <v>1.2383869999999999</v>
          </cell>
        </row>
        <row r="204">
          <cell r="BJ204">
            <v>1.2302899999999999</v>
          </cell>
        </row>
        <row r="205">
          <cell r="BJ205">
            <v>1.222623</v>
          </cell>
        </row>
        <row r="206">
          <cell r="BJ206">
            <v>1.214764</v>
          </cell>
        </row>
        <row r="207">
          <cell r="BJ207">
            <v>1.20685</v>
          </cell>
        </row>
        <row r="208">
          <cell r="BJ208">
            <v>1.1886239999999999</v>
          </cell>
        </row>
        <row r="209">
          <cell r="BJ209">
            <v>1.173276</v>
          </cell>
        </row>
        <row r="210">
          <cell r="BJ210">
            <v>1.1599809999999999</v>
          </cell>
        </row>
        <row r="211">
          <cell r="BJ211">
            <v>1.1548269999999998</v>
          </cell>
        </row>
        <row r="212">
          <cell r="BJ212">
            <v>1.1445349999999999</v>
          </cell>
        </row>
        <row r="213">
          <cell r="BJ213">
            <v>1.1391579999999999</v>
          </cell>
        </row>
        <row r="214">
          <cell r="BJ214">
            <v>1.134004</v>
          </cell>
        </row>
        <row r="215">
          <cell r="BJ215">
            <v>1.1284649999999998</v>
          </cell>
        </row>
        <row r="216">
          <cell r="BJ216">
            <v>1.1222859999999999</v>
          </cell>
        </row>
        <row r="217">
          <cell r="BJ217">
            <v>1.1180919999999999</v>
          </cell>
        </row>
        <row r="218">
          <cell r="BJ218">
            <v>1.1130709999999999</v>
          </cell>
        </row>
        <row r="219">
          <cell r="BJ219">
            <v>1.1032609999999998</v>
          </cell>
        </row>
        <row r="220">
          <cell r="BJ220">
            <v>1.096533</v>
          </cell>
        </row>
        <row r="221">
          <cell r="BJ221">
            <v>1.0884399999999999</v>
          </cell>
        </row>
        <row r="222">
          <cell r="BJ222">
            <v>1.082851</v>
          </cell>
        </row>
        <row r="223">
          <cell r="BJ223">
            <v>1.073939</v>
          </cell>
        </row>
        <row r="224">
          <cell r="BJ224">
            <v>1.0616099999999999</v>
          </cell>
        </row>
        <row r="225">
          <cell r="BJ225">
            <v>1.0551809999999999</v>
          </cell>
        </row>
        <row r="226">
          <cell r="BJ226">
            <v>1.049137</v>
          </cell>
        </row>
        <row r="227">
          <cell r="BJ227">
            <v>1.0458879999999999</v>
          </cell>
        </row>
        <row r="228">
          <cell r="BJ228">
            <v>1.042829</v>
          </cell>
        </row>
        <row r="229">
          <cell r="BJ229">
            <v>1.039766</v>
          </cell>
        </row>
        <row r="230">
          <cell r="BJ230">
            <v>1.036951</v>
          </cell>
        </row>
        <row r="231">
          <cell r="BJ231">
            <v>1.034608</v>
          </cell>
        </row>
        <row r="232">
          <cell r="BJ232">
            <v>1.0325439999999999</v>
          </cell>
        </row>
        <row r="233">
          <cell r="BJ233">
            <v>1.0294589999999999</v>
          </cell>
        </row>
        <row r="234">
          <cell r="BJ234">
            <v>1.0272509999999999</v>
          </cell>
        </row>
        <row r="235">
          <cell r="BJ235">
            <v>1.0248649999999999</v>
          </cell>
        </row>
        <row r="236">
          <cell r="BJ236">
            <v>1.0225709999999999</v>
          </cell>
        </row>
        <row r="237">
          <cell r="BJ237">
            <v>1.0212439999999998</v>
          </cell>
        </row>
        <row r="238">
          <cell r="BJ238">
            <v>1.0187039999999998</v>
          </cell>
        </row>
        <row r="239">
          <cell r="BJ239">
            <v>1.016529</v>
          </cell>
        </row>
        <row r="240">
          <cell r="BJ240">
            <v>1.0149589999999999</v>
          </cell>
        </row>
        <row r="241">
          <cell r="BJ241">
            <v>1.0129079999999999</v>
          </cell>
        </row>
        <row r="242">
          <cell r="BJ242">
            <v>1.0118579999999999</v>
          </cell>
        </row>
        <row r="243">
          <cell r="BJ243">
            <v>1.0105279999999999</v>
          </cell>
        </row>
        <row r="244">
          <cell r="BJ244">
            <v>1.00932</v>
          </cell>
        </row>
        <row r="245">
          <cell r="BJ245">
            <v>1.008321</v>
          </cell>
        </row>
        <row r="246">
          <cell r="BJ246">
            <v>1.006942</v>
          </cell>
        </row>
        <row r="247">
          <cell r="BJ247">
            <v>1.006572</v>
          </cell>
        </row>
        <row r="248">
          <cell r="BJ248">
            <v>1.0048389999999998</v>
          </cell>
        </row>
        <row r="249">
          <cell r="BJ249">
            <v>1.003288</v>
          </cell>
        </row>
        <row r="250">
          <cell r="BJ250">
            <v>1.001458</v>
          </cell>
        </row>
        <row r="251">
          <cell r="BJ251">
            <v>1</v>
          </cell>
        </row>
      </sheetData>
      <sheetData sheetId="21"/>
      <sheetData sheetId="22">
        <row r="16">
          <cell r="G16" t="str">
            <v>-0.225,00</v>
          </cell>
        </row>
      </sheetData>
      <sheetData sheetId="23" refreshError="1"/>
      <sheetData sheetId="24" refreshError="1"/>
      <sheetData sheetId="25">
        <row r="5">
          <cell r="BJ5">
            <v>2.2578000000000001E-2</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5">
          <cell r="BJ5">
            <v>2.2578000000000001E-2</v>
          </cell>
        </row>
      </sheetData>
      <sheetData sheetId="4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ACAL"/>
      <sheetName val="EMPREIT"/>
      <sheetName val="TMED"/>
      <sheetName val="TTRAC"/>
      <sheetName val="TSUPER"/>
      <sheetName val="GUINCHO."/>
      <sheetName val="CLHDRAS"/>
      <sheetName val="KMCAM"/>
      <sheetName val="MAQCONT"/>
      <sheetName val="FRETCONT"/>
      <sheetName val="VEICTRATS"/>
      <sheetName val="MENSALISTAS"/>
      <sheetName val="MATDIV"/>
      <sheetName val="REFEICS"/>
      <sheetName val="Plan1"/>
      <sheetName val="Plan2"/>
      <sheetName val="Plan3"/>
      <sheetName val="GUINCHO_"/>
      <sheetName val="GUINCHO_1"/>
      <sheetName val="GUINCHO_2"/>
      <sheetName val="GUINCHO_3"/>
      <sheetName val="GUINCHO_4"/>
      <sheetName val="GUINCHO_5"/>
      <sheetName val="GUINCHO_6"/>
      <sheetName val="GUINCHO_16"/>
      <sheetName val="GUINCHO_7"/>
      <sheetName val="GUINCHO_8"/>
      <sheetName val="GUINCHO_9"/>
      <sheetName val="GUINCHO_10"/>
      <sheetName val="GUINCHO_11"/>
      <sheetName val="GUINCHO_12"/>
      <sheetName val="GUINCHO_13"/>
      <sheetName val="GUINCHO_14"/>
      <sheetName val="GUINCHO_15"/>
      <sheetName val="GUINCHO_17"/>
      <sheetName val="GUINCHO_29"/>
      <sheetName val="GUINCHO_18"/>
      <sheetName val="GUINCHO_20"/>
      <sheetName val="GUINCHO_19"/>
      <sheetName val="GUINCHO_21"/>
      <sheetName val="GUINCHO_22"/>
      <sheetName val="GUINCHO_23"/>
      <sheetName val="GUINCHO_24"/>
      <sheetName val="GUINCHO_25"/>
      <sheetName val="GUINCHO_26"/>
      <sheetName val="GUINCHO_27"/>
      <sheetName val="GUINCHO_28"/>
      <sheetName val="GUINCHO_30"/>
      <sheetName val="GUINCHO_31"/>
      <sheetName val="GUINCHO_3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de dados"/>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TA"/>
      <sheetName val="DTREE"/>
      <sheetName val="Cenário Fazenda"/>
      <sheetName val="Dívida atualizada (parcelas)"/>
      <sheetName val="Dívida original (parcelas)"/>
      <sheetName val="HELP"/>
      <sheetName val="TORNADO"/>
      <sheetName val="SPIDER"/>
      <sheetName val="RECORD"/>
      <sheetName val="Cenário_Fazenda1"/>
      <sheetName val="Dívida_atualizada_(parcelas)1"/>
      <sheetName val="Dívida_original_(parcelas)1"/>
      <sheetName val="Cenário_Fazenda"/>
      <sheetName val="Dívida_atualizada_(parcelas)"/>
      <sheetName val="Dívida_original_(parcelas)"/>
      <sheetName val="Cenário_Fazenda2"/>
      <sheetName val="Dívida_atualizada_(parcelas)2"/>
      <sheetName val="Dívida_original_(parcelas)2"/>
      <sheetName val="Cenário_Fazenda3"/>
      <sheetName val="Dívida_atualizada_(parcelas)3"/>
      <sheetName val="Dívida_original_(parcelas)3"/>
      <sheetName val="Cenário_Fazenda4"/>
      <sheetName val="Dívida_atualizada_(parcelas)4"/>
      <sheetName val="Dívida_original_(parcelas)4"/>
      <sheetName val="Cenário_Fazenda5"/>
      <sheetName val="Dívida_atualizada_(parcelas)5"/>
      <sheetName val="Dívida_original_(parcelas)5"/>
      <sheetName val="Cenário_Fazenda6"/>
      <sheetName val="Dívida_atualizada_(parcelas)6"/>
      <sheetName val="Dívida_original_(parcelas)6"/>
      <sheetName val="Cenário_Fazenda9"/>
      <sheetName val="Dívida_atualizada_(parcelas)9"/>
      <sheetName val="Dívida_original_(parcelas)9"/>
      <sheetName val="Cenário_Fazenda7"/>
      <sheetName val="Dívida_atualizada_(parcelas)7"/>
      <sheetName val="Dívida_original_(parcelas)7"/>
      <sheetName val="Cenário_Fazenda8"/>
      <sheetName val="Dívida_atualizada_(parcelas)8"/>
      <sheetName val="Dívida_original_(parcelas)8"/>
      <sheetName val="Cenário_Fazenda10"/>
      <sheetName val="Dívida_atualizada_(parcelas)10"/>
      <sheetName val="Dívida_original_(parcelas)10"/>
      <sheetName val="Cenário_Fazenda12"/>
      <sheetName val="Dívida_atualizada_(parcelas)12"/>
      <sheetName val="Dívida_original_(parcelas)12"/>
      <sheetName val="Cenário_Fazenda11"/>
      <sheetName val="Dívida_atualizada_(parcelas)11"/>
      <sheetName val="Dívida_original_(parcelas)11"/>
      <sheetName val="Cenário_Fazenda20"/>
      <sheetName val="Dívida_atualizada_(parcelas)20"/>
      <sheetName val="Dívida_original_(parcelas)20"/>
      <sheetName val="Cenário_Fazenda14"/>
      <sheetName val="Dívida_atualizada_(parcelas)14"/>
      <sheetName val="Dívida_original_(parcelas)14"/>
      <sheetName val="Cenário_Fazenda13"/>
      <sheetName val="Dívida_atualizada_(parcelas)13"/>
      <sheetName val="Dívida_original_(parcelas)13"/>
      <sheetName val="Cenário_Fazenda15"/>
      <sheetName val="Dívida_atualizada_(parcelas)15"/>
      <sheetName val="Dívida_original_(parcelas)15"/>
      <sheetName val="Cenário_Fazenda16"/>
      <sheetName val="Dívida_atualizada_(parcelas)16"/>
      <sheetName val="Dívida_original_(parcelas)16"/>
      <sheetName val="Cenário_Fazenda17"/>
      <sheetName val="Dívida_atualizada_(parcelas)17"/>
      <sheetName val="Dívida_original_(parcelas)17"/>
      <sheetName val="Cenário_Fazenda18"/>
      <sheetName val="Dívida_atualizada_(parcelas)18"/>
      <sheetName val="Dívida_original_(parcelas)18"/>
      <sheetName val="Cenário_Fazenda19"/>
      <sheetName val="Dívida_atualizada_(parcelas)19"/>
      <sheetName val="Dívida_original_(parcelas)19"/>
      <sheetName val="Cenário_Fazenda21"/>
      <sheetName val="Dívida_atualizada_(parcelas)21"/>
      <sheetName val="Dívida_original_(parcelas)21"/>
      <sheetName val="Cenário_Fazenda23"/>
      <sheetName val="Dívida_atualizada_(parcelas)23"/>
      <sheetName val="Dívida_original_(parcelas)23"/>
      <sheetName val="Cenário_Fazenda22"/>
      <sheetName val="Dívida_atualizada_(parcelas)22"/>
      <sheetName val="Dívida_original_(parcelas)22"/>
      <sheetName val="Cenário_Fazenda24"/>
      <sheetName val="Dívida_atualizada_(parcelas)24"/>
      <sheetName val="Dívida_original_(parcelas)24"/>
      <sheetName val="Cenário_Fazenda25"/>
      <sheetName val="Dívida_atualizada_(parcelas)25"/>
      <sheetName val="Dívida_original_(parcelas)25"/>
      <sheetName val="Cenário_Fazenda26"/>
      <sheetName val="Dívida_atualizada_(parcelas)26"/>
      <sheetName val="Dívida_original_(parcelas)26"/>
    </sheetNames>
    <sheetDataSet>
      <sheetData sheetId="0"/>
      <sheetData sheetId="1">
        <row r="16">
          <cell r="O16">
            <v>5.0625639414055579</v>
          </cell>
        </row>
        <row r="22">
          <cell r="O22">
            <v>5.1921004247082578</v>
          </cell>
        </row>
        <row r="25">
          <cell r="O25">
            <v>16.106911406592442</v>
          </cell>
        </row>
        <row r="31">
          <cell r="O31">
            <v>15.977374923289743</v>
          </cell>
        </row>
      </sheetData>
      <sheetData sheetId="2"/>
      <sheetData sheetId="3"/>
      <sheetData sheetId="4"/>
      <sheetData sheetId="5"/>
      <sheetData sheetId="6">
        <row r="2">
          <cell r="B2" t="str">
            <v>Value</v>
          </cell>
        </row>
      </sheetData>
      <sheetData sheetId="7"/>
      <sheetData sheetId="8">
        <row r="1">
          <cell r="C1">
            <v>1</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ometro"/>
      <sheetName val="Termometro (2)"/>
      <sheetName val="Termometro (3)"/>
      <sheetName val="Empilhamento"/>
      <sheetName val="Mensagem"/>
      <sheetName val="Termometro_(2)"/>
      <sheetName val="Termometro_(3)"/>
      <sheetName val="Termometro_(2)1"/>
      <sheetName val="Termometro_(3)1"/>
      <sheetName val="Termometro_(2)2"/>
      <sheetName val="Termometro_(3)2"/>
      <sheetName val="Termometro_(2)3"/>
      <sheetName val="Termometro_(3)3"/>
      <sheetName val="Termometro_(2)4"/>
      <sheetName val="Termometro_(3)4"/>
      <sheetName val="Termometro_(2)5"/>
      <sheetName val="Termometro_(3)5"/>
      <sheetName val="Termometro_(2)6"/>
      <sheetName val="Termometro_(3)6"/>
      <sheetName val="Termometro_(2)17"/>
      <sheetName val="Termometro_(3)17"/>
      <sheetName val="Termometro_(2)7"/>
      <sheetName val="Termometro_(3)7"/>
      <sheetName val="Termometro_(2)8"/>
      <sheetName val="Termometro_(3)8"/>
      <sheetName val="Termometro_(2)9"/>
      <sheetName val="Termometro_(3)9"/>
      <sheetName val="Termometro_(2)10"/>
      <sheetName val="Termometro_(3)10"/>
      <sheetName val="Termometro_(2)11"/>
      <sheetName val="Termometro_(3)11"/>
      <sheetName val="Termometro_(2)12"/>
      <sheetName val="Termometro_(3)12"/>
      <sheetName val="Termometro_(2)13"/>
      <sheetName val="Termometro_(3)13"/>
      <sheetName val="Termometro_(2)14"/>
      <sheetName val="Termometro_(3)14"/>
      <sheetName val="Termometro_(2)15"/>
      <sheetName val="Termometro_(3)15"/>
      <sheetName val="Termometro_(2)16"/>
      <sheetName val="Termometro_(3)16"/>
      <sheetName val="Termometro_(2)18"/>
      <sheetName val="Termometro_(3)18"/>
      <sheetName val="Termometro_(2)30"/>
      <sheetName val="Termometro_(3)30"/>
      <sheetName val="Termometro_(2)19"/>
      <sheetName val="Termometro_(3)19"/>
      <sheetName val="Termometro_(2)21"/>
      <sheetName val="Termometro_(3)21"/>
      <sheetName val="Termometro_(2)20"/>
      <sheetName val="Termometro_(3)20"/>
      <sheetName val="Termometro_(2)22"/>
      <sheetName val="Termometro_(3)22"/>
      <sheetName val="Termometro_(2)23"/>
      <sheetName val="Termometro_(3)23"/>
      <sheetName val="Termometro_(2)24"/>
      <sheetName val="Termometro_(3)24"/>
      <sheetName val="Termometro_(2)25"/>
      <sheetName val="Termometro_(3)25"/>
      <sheetName val="Termometro_(2)26"/>
      <sheetName val="Termometro_(3)26"/>
      <sheetName val="Termometro_(2)27"/>
      <sheetName val="Termometro_(3)27"/>
      <sheetName val="Termometro_(2)28"/>
      <sheetName val="Termometro_(3)28"/>
      <sheetName val="Termometro_(2)29"/>
      <sheetName val="Termometro_(3)29"/>
      <sheetName val="Termometro_(2)31"/>
      <sheetName val="Termometro_(3)31"/>
      <sheetName val="Termometro_(2)32"/>
      <sheetName val="Termometro_(3)32"/>
      <sheetName val="Termometro_(2)33"/>
      <sheetName val="Termometro_(3)33"/>
    </sheetNames>
    <sheetDataSet>
      <sheetData sheetId="0"/>
      <sheetData sheetId="1"/>
      <sheetData sheetId="2"/>
      <sheetData sheetId="3"/>
      <sheetData sheetId="4" refreshError="1">
        <row r="3">
          <cell r="C3">
            <v>1000</v>
          </cell>
        </row>
        <row r="4">
          <cell r="C4">
            <v>1000</v>
          </cell>
        </row>
        <row r="5">
          <cell r="C5" t="str">
            <v>Meta Cumprida!</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móveis petição"/>
      <sheetName val="Resumo Imóveis"/>
      <sheetName val="Planilha1"/>
      <sheetName val="Listagem Imobiliária-20250611"/>
      <sheetName val="Listagem Imobiliária(em andam.)"/>
      <sheetName val="Listagem(CANCELADAS)"/>
      <sheetName val="Análise Ativos"/>
      <sheetName val="Ativos FCC"/>
      <sheetName val="Análise Imóveis da Massa (2)"/>
      <sheetName val="Novos Ativos"/>
      <sheetName val="Base_Avaliação_FCC_2023"/>
      <sheetName val="Base Avaliação_jul23"/>
    </sheetNames>
    <sheetDataSet>
      <sheetData sheetId="0" refreshError="1"/>
      <sheetData sheetId="1" refreshError="1"/>
      <sheetData sheetId="2">
        <row r="6">
          <cell r="M6" t="str">
            <v>Matrícula</v>
          </cell>
          <cell r="N6" t="str">
            <v>FCC</v>
          </cell>
        </row>
        <row r="7">
          <cell r="M7">
            <v>23299</v>
          </cell>
          <cell r="N7">
            <v>6683000</v>
          </cell>
        </row>
        <row r="8">
          <cell r="M8">
            <v>6660</v>
          </cell>
          <cell r="N8">
            <v>4316000</v>
          </cell>
        </row>
        <row r="9">
          <cell r="M9">
            <v>11055</v>
          </cell>
          <cell r="N9">
            <v>0</v>
          </cell>
        </row>
        <row r="10">
          <cell r="M10">
            <v>11054</v>
          </cell>
          <cell r="N10">
            <v>0</v>
          </cell>
        </row>
        <row r="11">
          <cell r="M11">
            <v>48207</v>
          </cell>
          <cell r="N11">
            <v>2725000</v>
          </cell>
        </row>
        <row r="12">
          <cell r="M12">
            <v>72157</v>
          </cell>
          <cell r="N12">
            <v>1704000</v>
          </cell>
        </row>
        <row r="13">
          <cell r="M13">
            <v>32744</v>
          </cell>
          <cell r="N13">
            <v>1026000</v>
          </cell>
        </row>
        <row r="14">
          <cell r="M14">
            <v>5104</v>
          </cell>
          <cell r="N14">
            <v>717000</v>
          </cell>
        </row>
        <row r="15">
          <cell r="M15">
            <v>76858</v>
          </cell>
          <cell r="N15">
            <v>778000</v>
          </cell>
        </row>
        <row r="16">
          <cell r="M16">
            <v>62872</v>
          </cell>
          <cell r="N16">
            <v>501000</v>
          </cell>
        </row>
        <row r="17">
          <cell r="M17">
            <v>3417</v>
          </cell>
          <cell r="N17">
            <v>835000</v>
          </cell>
        </row>
        <row r="18">
          <cell r="M18">
            <v>5103</v>
          </cell>
          <cell r="N18">
            <v>637000</v>
          </cell>
        </row>
        <row r="19">
          <cell r="M19">
            <v>52218</v>
          </cell>
          <cell r="N19">
            <v>608000</v>
          </cell>
        </row>
        <row r="20">
          <cell r="M20">
            <v>149</v>
          </cell>
          <cell r="N20">
            <v>322000</v>
          </cell>
        </row>
        <row r="21">
          <cell r="M21">
            <v>6529</v>
          </cell>
          <cell r="N21">
            <v>269000</v>
          </cell>
        </row>
        <row r="22">
          <cell r="M22">
            <v>53194</v>
          </cell>
          <cell r="N22">
            <v>265000</v>
          </cell>
        </row>
        <row r="23">
          <cell r="M23">
            <v>78782</v>
          </cell>
          <cell r="N23">
            <v>177625</v>
          </cell>
        </row>
        <row r="24">
          <cell r="M24">
            <v>59250</v>
          </cell>
          <cell r="N24">
            <v>247000</v>
          </cell>
        </row>
        <row r="25">
          <cell r="M25">
            <v>78780</v>
          </cell>
          <cell r="N25">
            <v>177625</v>
          </cell>
        </row>
        <row r="26">
          <cell r="M26">
            <v>78781</v>
          </cell>
          <cell r="N26">
            <v>177625</v>
          </cell>
        </row>
        <row r="27">
          <cell r="M27">
            <v>78783</v>
          </cell>
          <cell r="N27">
            <v>177625</v>
          </cell>
        </row>
        <row r="28">
          <cell r="M28">
            <v>78784</v>
          </cell>
          <cell r="N28">
            <v>177625</v>
          </cell>
        </row>
        <row r="29">
          <cell r="M29">
            <v>78785</v>
          </cell>
          <cell r="N29">
            <v>177625</v>
          </cell>
        </row>
        <row r="30">
          <cell r="M30">
            <v>78786</v>
          </cell>
          <cell r="N30">
            <v>177625</v>
          </cell>
        </row>
        <row r="31">
          <cell r="M31">
            <v>78787</v>
          </cell>
          <cell r="N31">
            <v>177625</v>
          </cell>
        </row>
        <row r="32">
          <cell r="M32">
            <v>59252</v>
          </cell>
          <cell r="N32">
            <v>186500</v>
          </cell>
        </row>
        <row r="33">
          <cell r="M33">
            <v>59251</v>
          </cell>
          <cell r="N33">
            <v>186500</v>
          </cell>
        </row>
        <row r="34">
          <cell r="M34">
            <v>102753</v>
          </cell>
          <cell r="N34">
            <v>123500</v>
          </cell>
        </row>
        <row r="35">
          <cell r="M35">
            <v>102754</v>
          </cell>
          <cell r="N35">
            <v>123500</v>
          </cell>
        </row>
        <row r="36">
          <cell r="M36">
            <v>36052</v>
          </cell>
          <cell r="N36">
            <v>132500</v>
          </cell>
        </row>
        <row r="37">
          <cell r="M37">
            <v>36053</v>
          </cell>
          <cell r="N37">
            <v>132500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icing"/>
      <sheetName val="Base"/>
      <sheetName val="Versao"/>
    </sheetNames>
    <definedNames>
      <definedName name="CalculateDICetip"/>
      <definedName name="CalculateINPC"/>
    </definedNames>
    <sheetDataSet>
      <sheetData sheetId="0"/>
      <sheetData sheetId="1"/>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fael Mendes" refreshedDate="45985.702041203702" createdVersion="8" refreshedVersion="8" minRefreshableVersion="3" recordCount="542" xr:uid="{96BB1BA4-3BEB-4727-B975-9694DFBEEF36}">
  <cacheSource type="worksheet">
    <worksheetSource ref="A3:X545" sheet="Despesas - SPE"/>
  </cacheSource>
  <cacheFields count="22">
    <cacheField name="Tipo de baixa" numFmtId="0">
      <sharedItems/>
    </cacheField>
    <cacheField name="Pagamento" numFmtId="166">
      <sharedItems containsSemiMixedTypes="0" containsNonDate="0" containsDate="1" containsString="0" minDate="2025-04-23T00:00:00" maxDate="2025-11-15T00:00:00"/>
    </cacheField>
    <cacheField name="Emissão" numFmtId="166">
      <sharedItems containsSemiMixedTypes="0" containsNonDate="0" containsDate="1" containsString="0" minDate="2025-04-08T00:00:00" maxDate="2025-11-14T00:00:00"/>
    </cacheField>
    <cacheField name="Total Título" numFmtId="167">
      <sharedItems containsSemiMixedTypes="0" containsString="0" containsNumber="1" minValue="9.2200000000000006" maxValue="333502.15000000002"/>
    </cacheField>
    <cacheField name="Bruto" numFmtId="167">
      <sharedItems containsSemiMixedTypes="0" containsString="0" containsNumber="1" minValue="-72.95" maxValue="263933.59000000003"/>
    </cacheField>
    <cacheField name="Líquido" numFmtId="167">
      <sharedItems containsSemiMixedTypes="0" containsString="0" containsNumber="1" minValue="-72.95" maxValue="263933.59000000003"/>
    </cacheField>
    <cacheField name="Data atual" numFmtId="15">
      <sharedItems containsSemiMixedTypes="0" containsNonDate="0" containsDate="1" containsString="0" minDate="2025-11-17T00:00:00" maxDate="2025-11-18T00:00:00"/>
    </cacheField>
    <cacheField name="Vl At. INPC" numFmtId="4">
      <sharedItems containsSemiMixedTypes="0" containsString="0" containsNumber="1" minValue="-72.971836852999999" maxValue="264012.5958808306"/>
    </cacheField>
    <cacheField name="Vl At. 30%" numFmtId="4">
      <sharedItems containsSemiMixedTypes="0" containsString="0" containsNumber="1" minValue="-75.217464084279086" maxValue="268590.64894687588"/>
    </cacheField>
    <cacheField name="Título" numFmtId="0">
      <sharedItems containsSemiMixedTypes="0" containsString="0" containsNumber="1" containsInteger="1" minValue="251227" maxValue="280320"/>
    </cacheField>
    <cacheField name="Credor" numFmtId="0">
      <sharedItems count="21">
        <s v="OPERADOR NACIONAL DO SISTEMA DE REGISTRO ELETRONICO DE IMOVEIS ( ONR )"/>
        <s v="CONTACTUS SERVIÇOS CONTABEIS LTDA"/>
        <s v="CONTACTUS ACESSORIA CONTÁBIL LTDA"/>
        <s v="PREFEITURA MUNICIPAL DE RIBEIRÃO PRETO"/>
        <s v="LIBARINO ENGENHARIA LTDA"/>
        <s v="SOFTPLAN PLANEJAMENTO E SISTEMAS LTDA."/>
        <s v="CLAUDIO JESUS"/>
        <s v="SAO PAULO TRIBUNAL DE JUSTIÇA"/>
        <s v="MINISTERIO DA ECONOMIA"/>
        <s v="MENEGUIT &amp; SANTOS ADVOGADOS ASSOCIADOS"/>
        <s v="NALINI E VILLELA SOCIEDADE DE ADVOGADOS"/>
        <s v="SECRETARIA DE AGUA E ESGOTO DE RIBEIRAO PRETO"/>
        <s v="ARIANE MARTINS SOCIEDADE INDIVIDUAL DE ADVOCACIA"/>
        <s v="APOIO JUS ADMINISTRATIVOS DE LIMEIRA LTDA"/>
        <s v="REAVIVARE - SOLUÇÕES EM MEIO AMBIENTE LTDA EPP"/>
        <s v="MUNICIPIO DE ILHA COMPRIDA"/>
        <s v="D&amp;E ENGENHARIA CONSULTIVA LTDA"/>
        <s v="KARINA REIS DA SILVEIRA 35961827860"/>
        <s v="PEDRO HENRIQUE FERREIRA LIMA - MEI"/>
        <s v="COMPANHIA PAULISTA DE FORCA E LUZ"/>
        <s v="R.P.D. - DOCUMENTOS, APOIO EMPRESARIAL E NEGOCIOS LTDA"/>
      </sharedItems>
    </cacheField>
    <cacheField name="Cod. P.F." numFmtId="0">
      <sharedItems/>
    </cacheField>
    <cacheField name="Descrição P.F" numFmtId="0">
      <sharedItems count="22">
        <s v="MATRÍCULAS E CERTIDÕES"/>
        <s v="HONORARIOS CONTABILIDADE"/>
        <s v="IPTU E TAXA DE LIXO"/>
        <s v="REGISTROS E AVERBAÇÕES"/>
        <s v="LAUDOS DE AVALIAÇÃO"/>
        <s v="ITBI"/>
        <s v="DESPESAS DE SOFTWARE _ LICENÇA"/>
        <s v="ALIMENTAÇÃO"/>
        <s v="HOSPEDAGEM"/>
        <s v="QUILOMETRAGEM"/>
        <s v="PEDAGIO"/>
        <s v="CUSTAS JUDICIAIS"/>
        <s v="IR FONTE - GUIA DE PAGAMENTO"/>
        <s v="CSRF - GUIA DE PAGAMENTO"/>
        <s v="DESPACHANTES E DILIGENTES"/>
        <s v="CONTAS CONSUMO (ÁGUA, ENERGIA, GAS, TEL, INTERNET)"/>
        <s v="IPTU - CUSTO REGULARIZACAO"/>
        <s v="HONORÁRIOS"/>
        <s v="ANALISE URBANISTICA E AMBIENTAL (REGULATORIO)"/>
        <s v="REGISTROS E AVERBAÇÕES CUSTO INTERNALIZAÇÃO"/>
        <s v="MANUTENÇÕES, DEMOLIÇÕES E REFORMAS"/>
        <s v="ESTUDOS TÉCNICOS E RELATÓRIOS"/>
      </sharedItems>
    </cacheField>
    <cacheField name="Cod. C.C." numFmtId="0">
      <sharedItems containsSemiMixedTypes="0" containsString="0" containsNumber="1" containsInteger="1" minValue="27143" maxValue="29661"/>
    </cacheField>
    <cacheField name="Descrição C.C." numFmtId="0">
      <sharedItems count="42">
        <s v="818247_COZAC_MAT_23299 - Ribeirão Preto, SP"/>
        <s v="790175_COZAC_MAT_76858 - Ribeirão Preto, SP"/>
        <s v="GENÉRICO_COZAC"/>
        <s v="790201_COZAC_MAT_96158 - Ribeirão Preto, SP"/>
        <s v="818257_COZAC_MAT_83398 - Ribeirão Preto, SP"/>
        <s v="790204_COZAC_MAT_5104 - Ribeirão Preto, SP"/>
        <s v="818232_COZAC_MAT_72157 - Ribeirão Preto, SP"/>
        <s v="818255_COZAC_MAT_62872 - Ribeirão Preto, SP"/>
        <s v="818258_COZAC_MAT_6660 - Ribeirão Preto, SP"/>
        <s v="790169_COZAC_MAT_11054 - Ribeirão Preto, SP"/>
        <s v="818252_COZAC_MAT_11055 - Ribeirão Preto, SP"/>
        <s v="790238_COZAC_MAT_5103 - Ribeirão Preto, SP"/>
        <s v="818227_COZAC_MAT_36052 - Ribeirão Preto, SP"/>
        <s v="822567_COZAC_MAT_36053 - Ribeirão Preto, SP"/>
        <s v="790191_COZAC_MAT_116945 - Ilha Comprida, SP"/>
        <s v="818208_COZAC_MAT_48207 - Ribeirão Preto, SP"/>
        <s v="790192_COZAC_MAT_116946 - Ilha Comprida, SP"/>
        <s v="791307_COZAC_MAT_102754 - Ribeirão Preto, SP"/>
        <s v="790217_COZAC_MAT_96156 - Ribeirão Preto, SP"/>
        <s v="818246_COZAC_MAT_78781 - Ribeirão Preto, SP"/>
        <s v="818238_COZAC_MAT_78783 - Ribeirão Preto, SP"/>
        <s v="818224_COZAC_MAT_59251 - Ribeirão Preto, SP"/>
        <s v="818243_COZAC_MAT_78787 - Ribeirão Preto, SP"/>
        <s v="818249_COZAC_MAT_53194 - Ribeirão Preto, SP"/>
        <s v="818235_COZAC_MAT_78786 - Ribeirão Preto, SP"/>
        <s v="790237_COZAC_MAT_96157 - Ribeirão Preto, SP"/>
        <s v="818241_COZAC_MAT_78785 - Ribeirão Preto, SP"/>
        <s v="818233_COZAC_MAT_78784 - Ribeirão Preto, SP"/>
        <s v="818237_COZAC_MAT_59252 - Ribeirão Preto, SP"/>
        <s v="818328_COZAC_MAT_78780 - Ribeirão Preto, SP"/>
        <s v="818253_COZAC_MAT_6529 - Ribeirão Preto, SP"/>
        <s v="790214_COZAC_MAT_96154 - Ribeirão Preto, SP"/>
        <s v="791309_COZAC_MAT_102753 - Ribeirão Preto, SP"/>
        <s v="822568_COZAC_MAT_59250 - Ribeirão Preto, SP"/>
        <s v="790176_COZAC_MAT_32744 - Ribeirão Preto, SP"/>
        <s v="790218_COZAC_MAT_96153 - Ribeirão Preto, SP"/>
        <s v="790210_COZAC_MAT_3417 - Ribeirão Preto, SP"/>
        <s v="790216_COZAC_MAT_96155 - Ribeirão Preto, SP"/>
        <s v="790240_COZAC_MAT_149 - Ribeirão Preto, SP"/>
        <s v="790236_COZAC_MAT_6549 - Ribeirão Preto, SP"/>
        <s v="790174_COZAC_MAT_52218 - Ribeirão Preto, SP"/>
        <s v="818244_COZAC_MAT_78782 - Ribeirão Preto, SP"/>
      </sharedItems>
    </cacheField>
    <cacheField name="Cod. A.N." numFmtId="0">
      <sharedItems containsSemiMixedTypes="0" containsString="0" containsNumber="1" containsInteger="1" minValue="4" maxValue="4"/>
    </cacheField>
    <cacheField name="Descrição A.N." numFmtId="0">
      <sharedItems/>
    </cacheField>
    <cacheField name="Observação" numFmtId="0">
      <sharedItems count="153" longText="1">
        <s v="PRESTACAO DE CONTAS ARISP - TIME REGULATORIOBAIXAR SOMENTE COM DATA DE SETEMBROTITULO REPLICADO PAGO PELO TITULO 268183"/>
        <s v="HONORARIO REFERENTE 08/2025 - BASE DE CALCULO ESTOQUE 31/07/2025 - 428 UNIDADES"/>
        <s v="HONORARIO MENSAL 08/2025"/>
        <s v="HONORARIO REFERENTE 09/2025 - BASE DE CALCULO ESTOQUE 31/08/2025 - 414 UNIDADES"/>
        <s v="HONORARIO MENSAL 09/2025"/>
        <s v="HONORARIO MENSAL 10/2025"/>
        <s v="IPTU 2025 - 790201_COZAC_MAT_96158 - Ribeirao Preto, SP"/>
        <s v="HONORARIO REFERENTE 10/2025 - BASE DE CALCULO ESTOQUE 30/09/2025 - 411 UNIDADES"/>
        <s v="IPTU 2025 - 818247_COZAC_MAT_23299 - Ribeirao Preto, SP"/>
        <s v="PAGAMENTO REF. A CUSTAS PARA REGISTRO DA CARTE DE ADJUDICACAO - 818257_COZAC_MAT_83398 - Ribeirao Preto, SP - CARTEIRA COZAC - JESTOR 33083"/>
        <s v="PAGAMENTO REF. A CUSTAS PARA REGISTRO DA CARTE DE ADJUDICACAO - 790204_COZAC_MAT_5104 - Ribeirao Preto, SP - CARTEIRA COZAC - JESTOR 33175"/>
        <s v="PAGAMENTO REF. A CUSTAS PARA REGISTRO DA CARTE DE ADJUDICACAO - 818232_COZAC_MAT_72157 - Ribeirao Preto, SP - CARTEIRA COZAC - JESTOR 33075"/>
        <s v="PAGAMENTO REF. A CUSTAS PARA REGISTRO DA CARTE DE ADJUDICACAO - 818232_COZAC_MAT_72157 - Ribeirao Preto, SP - CARTEIRA COZAC - JESTOR 33076"/>
        <s v="REEMBOLSAVEIS - 30445 JESTORAvaliacoes N2/N3, contratadas entre 21/06 e 20/07RETENCAO OKTITULO REPLICADO PAGO ATRAVES DO TITULO 264616"/>
        <s v="REEMBOLSAVEIS: 31515 JESTOR Trata-se das custos de registro da Carta de Adjudicacao da Mat. 96.158 do 1. RI de Ribeirao Preto/SP, de Cozac.TITULO REPLICADO PAGO PELO TITULO 269721"/>
        <s v="IPTU 2025 - 790175_COZAC_MAT_76858 - Ribeirao Preto, SP"/>
        <s v="REEMBOLSAVEIS - 31391 JESTORAvaliacao remota de imoveis urbanos no periodo de 10/06/2025 a 20/08/2025.E-mail com ciencia das areas solicitantes e planilha geral com resumo dos prestadores, tarefas por nivel e complexidade em anexo.RETENCAO OKTITULO REPLICADO PAGO PELO TITULO 269861"/>
        <s v="REEMBOLSAVEIS: 31655 JESTORTrata-se dos custos de registro da Carta de Adjudicacao das 76.858 e 96.158 do 1. RI de Ribeirao Preto/SP, referente ao caso Cozac, matricula 15292.TITULO REPLICADO PAGO PELO TITULO 270284"/>
        <s v="PAGAMENTO DE ITBI - 818258_COZAC_MAT_6660 - Ribeirao Preto, SP - JESTOR 33425"/>
        <s v="PAGAMENTO DE ITBI - 790169_COZAC_MAT_11054 - Ribeirao Preto, SP"/>
        <s v="PAGAMENTO REF. A ITBI - 818252_COZAC_MAT_11055 - Ribeirao Preto, SP - JESTOR 33427"/>
        <s v="PAGAMENTO REF. A ITBI - 790238_COZAC_MAT_5103 - Ribeirao Preto, SP - JESTOR 33423"/>
        <s v="REEMBOLSAVEL- 31995 JESTOR SUPORTE TECNICO, MANUTENCAO E OUTROS SERVICOS EM TECNOLOGIAREF 09/2025RETENCAO OK - TITULO REPLICADO - PAGO PELO TITULO 272217"/>
        <s v="REEMBOLSAVEIS - 31685 JESTORREEMBOLSO DE DESPESAS COM VIAGEM A RIBEIRAO PRETO - IMOVEIS COZACTITULO REPLICADO PAGO PELO TITULO 270603"/>
        <s v="ADM - 31175 jestor 14 licencas compradas + manutencao da base + data center + skyline (conector do Nexxera)REF. 07/225RETENCAO OKTITULO REPLICADO PAGO PELO TITULO 267692"/>
        <s v="REEMBOLSAVEIS - 30924 JESTOR - APROVACOES EM ANEXOReferente ao caso Cozac, trata-se de um pagamento de Guia no valor de R$ 1.554,84, para fins de expedicao dos mandados de imissao na posse dos ativos ocupados irregularmente.TITULO REPLICADO PAGO ATRAVES DO TITULO 266029"/>
        <s v="ADM - 30926 jestor14 licencas compradas + manutencao da base + data center + skyline (conector do Nexxera)REF. 06/225RETENCAO OKTITULO REPLICADO PAGO ATRAVES DO TITULO 263534"/>
        <s v="REEMBOLSAVEIS - ABRIR CARDDCTF FORNECEDORESREF. 09/2025 - TITULO REPLICADO - PAGO PELO TITULO 276054"/>
        <s v="PAGAMENTO REF. A GUIA DE ITBI - 790201_COZAC_MAT_96158 - Ribeirao Preto, SP - JESTOR 30076"/>
        <s v="PAGAMENTO REF. A GUIA DE ITBI - 790204_COZAC_MAT_5104 - Ribeirao Preto, SP - JESTOR 30051"/>
        <s v="REEMBOLSAVEL- 31529 JESTOR Analise PRC de processos relacionados a carteira Cozac.REF 09/2025RETENCAO OKTITULO REPLICADO PAGO PELO TITULO 271265"/>
        <s v="REEMBOLSAVEIS - 31754 JESTORTrata-se da segunda parcela referente a diligencia junto a prefeitura de Ribeirao Preto ao caso de Cozac. (COMERCIAL COZAC)RETENCAO OKTITULO REPLICADO PAGO PELO TITULO 270735"/>
        <s v="REEMBOLSAVEIS - 32803 JESTORPAGAMENTO DE PENDENCIA DE IMOVEL QUE ESTA COM PROCESSO JUDICIAL EM CURSO."/>
        <s v="REEMBOLSAVEIS - 31875 JESTORTrata-se do custos de registro da carta de adjudicacao das M. 23.299, 6660, 11055, 11054 e 83398 do 2. CRI Ribeirao Preto SP, referente ao caso de cozac.TITULO REPLICADO PAGO PELO TITULO 272039"/>
        <s v="PAGAMENTO DE DEBITOS IPTU COZAC_ PAGINAS 1 A 4 - 818255_COZAC_MAT_62872 - Ribeirao Preto, SP - JESTOR 32665"/>
        <s v="PAGAMENTO DE DEBITOS IPTU COZAC_ PAGINAS 1 A 4 - 790204_COZAC_MAT_5104 - Ribeirao Preto, SP - JESTOR 32663"/>
        <s v="DCTF COMPLEMENTAR - REF. 08/2025 - TITULO REPLICADO - PAGO PELO TITULO 275892"/>
        <s v="PAGAMENTO DE DEBITOS IPTU COZAC_ PAGINAS 1 A 4 - 818258_COZAC_MAT_6660 - Ribeirao Preto, SP - JESTOR 32674"/>
        <s v="PAGAMENTO DE DEBITOS IPTU COZAC_ PAGINAS 1 A 4 - 818252_COZAC_MAT_11055 - Ribeirao Preto, SP - JESTOR 32661"/>
        <s v="PAGAMENTO DE DEBITOS IPTU COZAC_ PAGINAS 1 A 4 - 790169_COZAC_MAT_11054 - Ribeirao Preto, SP - JESTOR 32668"/>
        <s v="REEMBOLSAVEIS - 32794 JESTORITBI M83398 - INSCRICAO 243832 - Adjudicacao"/>
        <s v="PAGAMENTO DE DEBITOS IPTU COZAC_ PAGINAS 1 A 4 - 818247_COZAC_MAT_23299 - Ribeirao Preto, SP"/>
        <s v="PAGAMENTO REF. A DEBITOS COZAC - 790238_COZAC_MAT_5103 - Ribeirao Preto, SP - JESTOR 32669"/>
        <s v="PAGAMENTO DE ITBI -  818247_COZAC_MAT_23299 - Ribeirao Preto, SP - JESTOR 30990"/>
        <s v="PAGAMENTO DE ITBI - 790175_COZAC_MAT_76858 - Ribeirao Preto, SP - JESTOR 30994"/>
        <s v="PAGAMENTO DE ITBI - 818232_COZAC_MAT_72157 - Ribeirao Preto, SP - JESTOR 30993"/>
        <s v="PAGAMENTO DE ITBI - 818255_COZAC_MAT_62872 - Ribeirao Preto, SP - JESTOR 30992"/>
        <s v="REEMBOLSAVEIS - 31160 JESTORTrata-se da primeira parcela referente a diligencia junto a prefeitura de Ribeirao Preto ao caso de Cozac.RETENCAO OKTITULO REPLICADO PAGO ATRAVES DO TITULO 267707"/>
        <s v="PAGAMENTO REF. A REFIS IPTU - 790201_COZAC_MAT_96158 - Ribeirao Preto, SP - JESTOR 32861"/>
        <s v="PAGAMENTO REF. A REFIS IPTU COZAC_MAT_72157 - JESTOR 32861"/>
        <s v="PAGAMENTO REF. A REFIS IPTU COZAC_MAT 96159 - JESTOR 32861"/>
        <s v="PAGAMENTO REF. REFIS IPTU - 818227_COZAC_MAT_36052 - Ribeirao Preto, SP - JESTOR 32861 - JESTOR 32861"/>
        <s v="PAGAMENTO REF. A REFIS IPTU - 822567_COZAC_MAT_36053 - Ribeirao Preto, SP"/>
        <s v="Carteira: COZAC CC: 27143 Caso: Debitos SAERP - 1046043-22.2017.8.26.0506 - M. 23299 Descricao: Carrego agua - conta relacionada a instalacao realizada Fatal: 30.10.2025 *** CARD JESTOR 32811 ***"/>
        <s v="HONORARIOS ADVOCATICIOS - Processo Administrativo SAERP - Pedido de migracao do debito para o antigo proprietario.Adequacao dados cadastrais SAERP - Imovel Mat. 23.299 2. CRI - outubro 2025 *** CARD JESTOR 32762 ***"/>
        <s v="REEMBOLSAVEIS - 30303 JESTORTrata-se dos servicos prestados no mes de julho, como emissao de valor venal, emissao de certidao, mapeamento e escritura de venda e compra, descritos no rateio anexo. BANCO INTER - 077 ARIANE MARTINS SOCIEDADE INDIVIDUAL PIX CNPJ: 59.604.582/0001-68RETENCAO OK - TITULO REPLICADO - PAGO PELO TITULO 262725"/>
        <s v="REEMBOLSAVEIS - 32384 JESTORTrata-se da terceira parcela referente a diligencia junto a prefeitura de Ribeirao Preto ao caso de Cozac.RETENCAO OK - TITULO REPLICADO - PAGO PELO TITULO 277416"/>
        <s v="REEMBOLSAVEIS - 31238 JESTORTrata-se dos custos de registro da Carta de Adjudicacao das Mats. 116945 e 116946 do CRI de Iguape/SP, referente ao caso de Cozac.TITULO REPLICADO PAGO PELO TITULO 268378"/>
        <s v="REEMBOLSAVEL- 31999 JESTOR Trata-se dos trabalhos realizados referente a diligencias no mes de agosto, casos descritos em planilha anexa.RETENCAO OK - TITULO REPLICADO - PAGO PELO TITULO 272827"/>
        <s v="IPTU 2025 - 790192_COZAC_MAT_116946 - Ilha Comprida, SP"/>
        <s v="IPTU 2025 - 790191_COZAC_MAT_116945 - Ilha Comprida, SP"/>
        <s v="HONORARIO REFERENTE 08/2025 - BASE DE CALCULO ESTOQUE 31/07/2025 - 44 UNIDADES"/>
        <s v="HONORARIO REFERENTE 09/2025 - BASE DE CALCULO ESTOQUE 31/08/2025 - 43 UNIDADES"/>
        <s v="HONORARIO MENSAL 09/2025."/>
        <s v="IPTU 2025 - 790217_COZAC_MAT_96156 - Ribeirao Preto, SP"/>
        <s v="IPTU 2025 - 818246_COZAC_MAT_78781 - Ribeirao Preto, SP"/>
        <s v="IPTU 2025 - 818238_COZAC_MAT_78783 - Ribeirao Preto, SP"/>
        <s v="IPTU 2025 - 818224_COZAC_MAT_59251 - Ribeirao Preto, SP"/>
        <s v="IPTU 2025 - 818243_COZAC_MAT_78787 - Ribeirao Preto, SP"/>
        <s v="IPTU 2025 - 818249_COZAC_MAT_53194 - Ribeirao Preto, SP"/>
        <s v="IPTU 2025 - 818235_COZAC_MAT_78786 - Ribeirao Preto, SP"/>
        <s v="IPTU 2025 - 790237_COZAC_MAT_96157 - Ribeirao Preto, SP"/>
        <s v="IPTU 2025 - 818241_COZAC_MAT_78785 - Ribeirao Preto, SP"/>
        <s v="IPTU 2025 - 818233_COZAC_MAT_78784 - Ribeirao Preto, SP"/>
        <s v="IPTU 2025 - 818237_COZAC_MAT_59252 - Ribeirao Preto, SP"/>
        <s v="HONORARIO REFERENTE 10/2025 - BASE DE CALCULO ESTOQUE 30/09/2025 - 43 UNIDADES."/>
        <s v="IPTU 2025 - 818208_COZAC_MAT_48207 - Ribeirao Preto, SP"/>
        <s v="IPTU 2025 - 818328_COZAC_MAT_78780 - Ribeirao Preto, SP"/>
        <s v="IPTU 2025 - 818253_COZAC_MAT_6529 - Ribeirao Preto, SP"/>
        <s v="IPTU 2025 - 790214_COZAC_MAT_96154 - Ribeirao Preto, SP"/>
        <s v="REEMBOLSAVEIS - 31996 JESTORTrata-se do reembolso das custas cartorarias e de diligencias incorridas no mes de agosto dos casos descritos na planilha anexa. - TITULO REPLICADO - PAGO PELO TITULO 273984"/>
        <s v="PAGAMENTO REF. A CUSTAS PARA REGISTRO DA CARTE DE ADJUDICACAO - 791309_COZAC_MAT_102753 - Ribeirao Preto, SP  - 791307_COZAC_MAT_102754 - Ribeirao Preto, SP - CARTEIRA COZAC - JESTOR 33174"/>
        <s v="PAGAMENTO REF. A CUSTAS PARA REGISTRO DA CARTE DE ADJUDICACAO - 822568_COZAC_MAT_59250 - Ribeirao Preto, SP - CARTEIRA COZAC - JESTOR 33176"/>
        <s v="REEMBOLSAVEIS-  27956 JESTOR - APROVACAO EM ANEXOAnalises socioambientais da segunda quinzena de marco, casos descritos em planilha anexa.Total de 322 analises, anexo rateio e planilha de medicao.REF. 03/2025RETENCAO OK - TITULO REPLICADO - PAGO PELO TITULO 250628"/>
        <s v="REEMBOLSAVEIS:30571 JESTOR Trata-se da guia de ITBI da matricula 116946, referente ao casoCozac."/>
        <s v="REEMBOLSAVEIS:30570 JESTOR Trata-se da guia de ITBI da matricula 116945, referente ao casoCozac."/>
        <s v="REEMBOLSAVEIS - 31514 JESTORTrata-se das custos de registro da Carta de Adjudicacao das Mats. 96.154, 96.155, 96.156, 96.157 do 1. RI de Ribeirao Preto/SP de cozac.TITULO REPLICADO PAGO PELO TITULO 269795"/>
        <s v="REEBOLSAVEL- 31434 JESTOR Trata-se dos servicos prestados no mes de agosto, **LANCAMENTO CONFERIDO***RETENCAO OKTITULO REPLICADO PAGO PELO TITULO 269612"/>
        <s v="REEMBOLSAVEIS - 31384 JESTORAvaliacao remota de imoveis urbanos no periodo de 21/0672025 a 20/08/2025.E-mail com ciencia das areas solicitantes e planilha geral com resumo dos prestadores, tarefas por nivel e complexidade em anexo.RETENCAO OKTITULO REPLICADO PAGO PELO TITULO 269885"/>
        <s v="REEMBOLSAVEIS: 32444  JESTOR Trata-se dos custos de registro da carta de adjudicacao de Cozac na matricula 78782 do 2 CRI de Ribeirao Preto. Assim que aprovado emitimos o boleto para seguir com o pagamento. - TITULO REPLICADO - PAGO PELO TITULO 274839"/>
        <s v="REEMBOLSAVEIS - 30480 JESTORTrata-se dos valores referentes a 21 analises de debitos realizadas no mes de julho.RETENCAO OKTITULO REPLICADO PAGO ATRAVES DO TITULO 265039"/>
        <s v="REEMBOLSAVEIS: 31664 JESTOR Trata-se dos custos de cancelamento de R.18, 31, 34 e 36 da Matricula n. 48.207 do 2. CRI Ribeirao Preto SP, referente a Cozac.TITULO REPLICADO PAGO PELO TITULO 270286"/>
        <s v="PAGAMENTO REF. A ROCADA E LIMPEZA - 818208_COZAC_MAT_48207 - Ribeirao Preto, SP - CARTEIRA COZAC"/>
        <s v="PAGAMENTO REF. A LIMPEZA DE TERRENO - 818208_COZAC_MAT_48207 - Ribeirao Preto, SP - CARTEIRA COZAC"/>
        <s v="PAGAMENTO DE CONTA CONSUMO (ENERGIA) REF 10/2025 DOS APARTAMENTOS 11,22,32,41, E 42 - RUA MARINO PARTELINI"/>
        <s v="PAGAMENTO DE CONTA CONSUMO (AGUA) REF 10/2025 DOS APARTAMENTOS 11,22,32,41, E 42 - RUA MARINO PARTELINI"/>
        <s v="PAGAMENTO DE ITBI - 790210_COZAC_MAT_3417 - Ribeirao Preto, SP - JESTOR 33422"/>
        <s v="PAGAMENTO REF. A ITBI - 790236_COZAC_MAT_6549 - Ribeirao Preto, SP - JESTOR 33424"/>
        <s v="DARM REF. A DIRETRIZES DE CONSTRUCAO - CARTEIRA COZAC - 818208_COZAC_MAT_48207 - Ribeirao Preto, SP"/>
        <s v="ADM | REEMBOLSAVEIS - 30910 jestorGUIA DCTF - INSS | IR | CSRF FORNECEDORESREF. 07/2025TITULO REPLICADO PAGO ATRAVES DO TITULO 265957"/>
        <s v="PAGAMENTO DE GUIA DE ITBI - 818224_COZAC_MAT_59251 - Ribeirao Preto, SP - JESTOR 30057"/>
        <s v="PAGAMENTO DE GUIA DE ITBI - 818238_COZAC_MAT_78783 - Ribeirao Preto, SP - JESTOR 30067"/>
        <s v="PAGAMENTO DE GUIA DE ITBI - 818328_COZAC_MAT_78780 - Ribeirao Preto, SP - JESTOR 30059"/>
        <s v="PAGAMENTO DE GUIA DE ITBI - 818233_COZAC_MAT_78784 - Ribeirao Preto, SP - JESTOR 30068"/>
        <s v="PAGAMENTO REF. A GUIA DE ITBI - 790214_COZAC_MAT_96154 - Ribeirao Preto, SP - JESTOR 30072"/>
        <s v="PAGAMENTO DE GUIA DE ITBI - 818243_COZAC_MAT_78787 - Ribeirao Preto, SP - JESTOR 30071"/>
        <s v="PAGAMENTO REF. A GUIA DE ITBI - 790216_COZAC_MAT_96155 - Ribeirao Preto, SP - JESTOR 30073"/>
        <s v="PAGAMENTO REFERENTE A GUIA DE ITBI - 818241_COZAC_MAT_78785 - Ribeirao Preto, SP - JESTOR 30069"/>
        <s v="PAGAMENTO REF. A GUIA DE ITBI - 818208_COZAC_MAT_48207 - Ribeirao Preto, SP - JESTOR 30053"/>
        <s v="PAGAMENTO DA GUIA DE ITBI - 818249_COZAC_MAT_53194 - Ribeirao Preto, SP - JESTOR 30055"/>
        <s v="PAGAMENTO DA GUIA DE ITBI - 790174_COZAC_MAT_52218 - Ribeirao Preto, SP - JESTOR 30054"/>
        <s v="PAGAMENTO REF. A GUIA DE ITBI - 790237_COZAC_MAT_96157 - Ribeirao Preto, SP - JESTOR 30075"/>
        <s v="PAGAMENTO REF. A GUIA DE ITBI - 791309_COZAC_MAT_102753 - Ribeirao Preto, SP"/>
        <s v="PAGAMENTO REF. A GUIA DE ITBI - 791307_COZAC_MAT_102754 - Ribeirao Preto, SP - JESTOR 30078"/>
        <s v="PAGAMENTO DA GUIA DE ITBI  - 818253_COZAC_MAT_6529 - Ribeirao Preto, SP - JESTOR 30052"/>
        <s v="PAGAMENTO REF. A GUIA DE ITBI - 790217_COZAC_MAT_96156 - Ribeirao Preto, SP - JESTOR 30074"/>
        <s v="PAGAMENTO DA GUIA DE ITBI - 818235_COZAC_MAT_78786 - Ribeirao Preto, SP - JESTOR 30070"/>
        <s v="REEMBOLSAVEL- 31749 JESTOR Trata-se das 299 analises da primeira quinzena de agostoref ao caso que esta na planilha em anexo RETENCAO OKTITULO REPLICADO PAGO PELO TITULO 271278"/>
        <s v="REEMBOLSAVEIS - 27750 JESTORAnalises socioambientais da primeira quinzena de marco, casos descritos em planilha anexa. Total de 270 analises, anexo rateio e planilha de medicao.REF. 03/2025RETENCAO OK - TITULO REPLICADO - PAGO PELO TITULO 249526"/>
        <s v="PAGAMENTO REF. A GUIA DE ITBI - 818246_COZAC_MAT_78781 - Ribeirao Preto, SP - JESTOR 30060"/>
        <s v="PAGAMENTO REF. A GUIA DE ITBI - 818244_COZAC_MAT_78782 - Ribeirao Preto, SP - JESTOR 30061"/>
        <s v="PAGAMENTO DE DEBITOS IPTU COZAC_ PAGINAS 1 A 4 - 790210_COZAC_MAT_3417 - Ribeirao Preto, SP - JESTOR 32676"/>
        <s v="PAGAMENTO DE DEBITOS IPTU COZAC_ PAGINAS 1 A 2 - MAT. 6549 E 32744 - JESTOR 32659"/>
        <s v="PAGAMENTO REF. A DEBITOS COZAC 2024 - MAT. 6549 E 32744 - JESTOR 32660"/>
        <s v="PAGAMENTO DE DEBITOS IPTU COZAC_ PAGINAS 1 A 4 - 818208_COZAC_MAT_48207 - Ribeirao Preto, SP - JESTOR 32672"/>
        <s v="PAGAMENTO DE ITBI - 822568_COZAC_MAT_59250 - Ribeirao Preto, SP - JESTOR 30991"/>
        <s v="PAGAMENTO DE ITBI - JESTOR 30996"/>
        <s v="PAGAMENTO DE ITBI - 790240_COZAC_MAT_149 - Ribeirao Preto, SP - JESTOR 30995"/>
        <s v="REEMBOLSAVEIS - 27652 JESTORReferente ao uso da plataforma Docket para analise e gestao de documento, rateio dos casos em anexo - REGULATORIOREF. 03/2025RETENCAO OK - TITULO REPLICADO - PAGO PELO TITULO 250159"/>
        <s v="REEMBOLSAVEIS - 27651 JESTORLicenca da plataforma docket do mes de marco, utilizada para analise e gestao de documento, referente aos casos em anexo.REF. 03/2025RETENCAO OK - TITULO REPLICADO - PAGO PELO TITULO 250151"/>
        <s v="REEMBOLSAVEIS: 31187 JESTOR  (RATEAR NA RESIDENCIAL CONFORME RATEIO EM ANEXO) Trata-se dos custos de registro da Carta de Adjudicacao das Mats. 48.207, 6.529, 53.194, 78.780, 78.781, 78.783, 78.784, 78.785, 78.786, 78.787, 59.252 e 59.251 do 2. CRI de Ribeirao Preto/SP, referente ao caso Cozac.TITULO REPLICADO PAGO ATRAVES DO TITULO 267816"/>
        <s v="PAGAMENTO REF. A REFIS IPTU COZAC_MAT_102753 - JESTOR 32861"/>
        <s v="PAGAMENTO REF. A REFIS IPTU - 818244_COZAC_MAT_78782 - Ribeirao Preto, SP - JESTOR 32861"/>
        <s v="PAGAMENTO REF. A REFIS IPTU COZAC_MAT_78784 - JESTOR 32861"/>
        <s v="PAGAMENTO REF. A REFIS IPTU COZAC_MAT_52218 - JESTOR 32861"/>
        <s v="PAGAMENTO REF. A REFIS IPTU COZAC_MAT_78786 - JESTOR 32861"/>
        <s v="PAGAMENTO REF. A REFIS IPTU - 818246_COZAC_MAT_78781 - Ribeirao Preto, SP - JESTOR 32861"/>
        <s v="PAGAMENTO REF. A REFIS IPTU COZAC_MAT_78785 - JESTOR 32861"/>
        <s v="PAGAMENTO REF. A REFIS IPTU COZAC_MAT_96154 - JESTOR 32861"/>
        <s v="PAGAMENTO REF. A REFIS IPTU COZAC_MAT_59251 - JESTOR 32861"/>
        <s v="PAGAMENTO REF. A REFIS IPTU COZAC_MAT_78787 - JESTOR 32861"/>
        <s v="PAGAMENTO REF. A REFIS IPTU - 790237_COZAC_MAT_96157 - Ribeirao Preto, SP - JESTOR 32861"/>
        <s v="PAGAMENTO REF. A REFIS IPTU COZAC - JESTOR 32861"/>
        <s v="PAGAMENTO REF. A REFIS IPTU COZAC_MAT_102754 - JESTOR 32861"/>
        <s v="PAGAMENTO REF. A REFIS IPTU COZAC_MAT_53194 - JESTOR 32861"/>
        <s v="PAGAMENTO REF. A REFIS IPTU COZAC_MAT_96156 - JESTOR 32861"/>
        <s v="PAGAMENTO REF. A REFIS IPTU COZAC_MAT_59252 - JESTOR 32861"/>
        <s v="PAGAMENTO REF. A REFIS IPTU COZAC_MAT_96153 - JESTOR 32861"/>
        <s v="PAGAMENTO REF. A REFIS IPTU COZAC_MAT_78780 - JESTOR 32861"/>
        <s v="PAGAMENTO REF. A REFIS IPTU COZAC_MAT_6529 - JESTOR 32861"/>
        <s v="IPTU 2025 - 790216_COZAC_MAT_96155 - Ribeirao Preto, SP"/>
        <s v="PAGAMENTO REF. A GUIA DE ITBI COZAC - JESTOR 30058 - 818237_COZAC_MAT_59252 - Ribeirao Preto, SP"/>
        <s v="PAGAMENTO REF. A REFIS IPTU - 822568_COZAC_MAT_59250 - Ribeirao Preto, SP - JESTOR 32990"/>
      </sharedItems>
    </cacheField>
    <cacheField name="Cod. Banco" numFmtId="0">
      <sharedItems/>
    </cacheField>
    <cacheField name="Nome Banco" numFmtId="0">
      <sharedItems/>
    </cacheField>
    <cacheField name="Descrição Doc." numFmtId="0">
      <sharedItems/>
    </cacheField>
    <cacheField name="Número Doc."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fael Mendes" refreshedDate="45985.708151620369" createdVersion="8" refreshedVersion="8" minRefreshableVersion="3" recordCount="330" xr:uid="{C0A1DB60-9EA6-41F3-A805-182697FD77D8}">
  <cacheSource type="worksheet">
    <worksheetSource ref="B5:Y335" sheet="Despesas - NPL"/>
  </cacheSource>
  <cacheFields count="23">
    <cacheField name="Tipo de baixa" numFmtId="0">
      <sharedItems/>
    </cacheField>
    <cacheField name="Tipo" numFmtId="0">
      <sharedItems count="2">
        <s v="Despesa"/>
        <s v="Investimento"/>
      </sharedItems>
    </cacheField>
    <cacheField name="Pagamento" numFmtId="166">
      <sharedItems containsSemiMixedTypes="0" containsNonDate="0" containsDate="1" containsString="0" minDate="2019-07-08T00:00:00" maxDate="2025-11-01T00:00:00"/>
    </cacheField>
    <cacheField name="Emissão" numFmtId="166">
      <sharedItems containsSemiMixedTypes="0" containsNonDate="0" containsDate="1" containsString="0" minDate="2019-06-18T00:00:00" maxDate="2025-10-28T00:00:00"/>
    </cacheField>
    <cacheField name="Total Título" numFmtId="167">
      <sharedItems containsSemiMixedTypes="0" containsString="0" containsNumber="1" minValue="29.34" maxValue="2260608.11"/>
    </cacheField>
    <cacheField name="Bruto" numFmtId="167">
      <sharedItems containsSemiMixedTypes="0" containsString="0" containsNumber="1" minValue="-254.54999999998799" maxValue="1105423.32"/>
    </cacheField>
    <cacheField name="Líquido" numFmtId="167">
      <sharedItems containsSemiMixedTypes="0" containsString="0" containsNumber="1" minValue="-254.54999999998799" maxValue="1105423.32"/>
    </cacheField>
    <cacheField name="Data atual" numFmtId="15">
      <sharedItems containsSemiMixedTypes="0" containsNonDate="0" containsDate="1" containsString="0" minDate="2025-11-17T00:00:00" maxDate="2025-11-18T00:00:00"/>
    </cacheField>
    <cacheField name="Vl At. INPC" numFmtId="167">
      <sharedItems containsSemiMixedTypes="0" containsString="0" containsNumber="1" minValue="-290.17049497798632" maxValue="1550553.2258983238"/>
    </cacheField>
    <cacheField name="Vl At. 30%" numFmtId="167">
      <sharedItems containsSemiMixedTypes="0" containsString="0" containsNumber="1" minValue="-676.27068456620316" maxValue="7446140.5160916625"/>
    </cacheField>
    <cacheField name="Título" numFmtId="0">
      <sharedItems containsSemiMixedTypes="0" containsString="0" containsNumber="1" containsInteger="1" minValue="75532" maxValue="277917"/>
    </cacheField>
    <cacheField name="Credor" numFmtId="0">
      <sharedItems/>
    </cacheField>
    <cacheField name="Cod. P.F." numFmtId="0">
      <sharedItems/>
    </cacheField>
    <cacheField name="Descrição P.F" numFmtId="0">
      <sharedItems count="40">
        <s v="REEMBOLSOS DE ADVOGADOS"/>
        <s v="CUSTAS JUDICIAIS"/>
        <s v="REGISTROS E AVERBAÇÕES"/>
        <s v="MATRÍCULAS E CERTIDÕES REGULATORIAS"/>
        <s v="OUTRAS DESPESAS REGULATORIAS"/>
        <s v="PROCURAÇÕES E ESCRITURAS"/>
        <s v="ANALISE DE DOCUMENTOS (ELIOT)"/>
        <s v="TAXI / UBER"/>
        <s v="SISTEMAS DE BUSCA (SERASA, UPMINER, API, DIGESTO)"/>
        <s v="DESPACHANTES E DILIGENTES"/>
        <s v="DESPACHANTES E DILIGENTE (REGULATORIO)"/>
        <s v="OUTRAS DESPESAS COM PESQUISA DE BENS"/>
        <s v="LOCALIZAÇÃO DE IMOVEIS"/>
        <s v="PERICIAS E AVALIAÇÕES"/>
        <s v="PRESTAÇÃO DE SERVIÇOS CONTRATOS"/>
        <s v="ANALISE URBANISTICA E AMBIENTAL (REGULATORIO)"/>
        <s v="MATRÍCULAS E CERTIDÕES"/>
        <s v="ISS RETIDO - GUIA DE PAGAMENTO"/>
        <s v="OUTRAS DESPESAS COM VIAGENS"/>
        <s v="HONORÁRIOS"/>
        <s v="LAUDOS DE AVALIAÇÃO"/>
        <s v="IPTU - CUSTO REGULARIZACAO"/>
        <s v="OUTRAS DESPESAS COM ATIVOS"/>
        <s v="PEDAGIO"/>
        <s v="QUILOMETRAGEM"/>
        <s v="IPTU E TAXA DE LIXO"/>
        <s v="CSRF - GUIA DE PAGAMENTO"/>
        <s v="IR FONTE - GUIA DE PAGAMENTO"/>
        <s v="REEMBOLSO DE ADVOGADOS"/>
        <s v="INSS - GUIA DE PAGAMENTO"/>
        <s v="ESTACIONAMENTO"/>
        <s v="OBTENÇÃO DE CÓPIAS DE PROCESSOS"/>
        <s v="OUTRAS DESPESAS LEGAIS"/>
        <s v="ALIMENTAÇÃO"/>
        <s v="COMBUSTIVEL"/>
        <s v="ALUGUEL DE CARRO"/>
        <s v="HOSPEDAGEM"/>
        <s v="PERICIA / LAUDO JUDICIAL / ASSISTÊNCIA TECNICA"/>
        <s v="DESPESAS E TARIFAS BANCÁRIAS"/>
        <s v="HONORÁRIOS (OUTROS TIPOS)"/>
      </sharedItems>
    </cacheField>
    <cacheField name="Cod. C.C." numFmtId="0">
      <sharedItems containsSemiMixedTypes="0" containsString="0" containsNumber="1" containsInteger="1" minValue="10027" maxValue="18799"/>
    </cacheField>
    <cacheField name="Descrição C.C." numFmtId="0">
      <sharedItems/>
    </cacheField>
    <cacheField name="Cod. A.N." numFmtId="0">
      <sharedItems containsSemiMixedTypes="0" containsString="0" containsNumber="1" containsInteger="1" minValue="44" maxValue="243"/>
    </cacheField>
    <cacheField name="Descrição A.N." numFmtId="0">
      <sharedItems/>
    </cacheField>
    <cacheField name="Observação" numFmtId="0">
      <sharedItems count="300" longText="1">
        <s v="REEMBOLSO DE DESPESA APROVADAS NO PIPEFY CARD 4185 REF. AO CASO: COZAC_FALENCIA"/>
        <s v="REEMBOLSO DE DESPESAS APROVADAS NO PIPEFY CARD 4060 REF. AO CASO COZAC_FALENCIA"/>
        <s v="CUSTAS DE PREPARO DE APELACAO QUE SERA INTERPOSTA CONTRA A SENTENCA PROFERIDA NOS AUTOS DO INCIDENTE DE HABILIDACAO DE CREDITO ENVOLVENDO O SINDICO E A MASSA FALIDA DA COZAC N. 0006293-25.2020.8.26.0506 - 548663201 PIPEFY"/>
        <s v="Averbacao da cessao de credito do BB para Travessia VIII do caso Cozac - Mat 72157 - 571667779 - Pipefy"/>
        <s v="REEMBOLSAVEIS: 30877 JESTOR Trata-se do pagamento referente a licenca da plataforma docket do mes de julho, utilizada para analise e gestao de documento, referente aos casos em anexo.RETENCAO OK"/>
        <s v="REFERENTE SERVICO DE MOTO BOY  - REF: A JAN / FEV -2020"/>
        <s v="Lavratura Escritura da Cessao de Credito do caso COZAC - 571693725 PIPEFY"/>
        <s v="Averbacao da cessao de credito do BB para Travessia VIII do caso Cozac - Mat 5103 - 572358901 PIPEFY"/>
        <s v="REEMBOLSAVEIS: 30876 JESTORTrata-se do pagamento referente a licenca da plataforma docket do mes de julho, utilizada para analise e gestao de documento, referente aos casos em anexo.RETENCAO OK"/>
        <s v="REMBOLSAVEIS - 28638 JESTORNF referente a servicos de analise registral.REF. 04/2025RETENCAO OK"/>
        <s v="ADM | REEMBOLSAVEIS - 28432 JESTORFatura mensal da Uber - Abril25"/>
        <s v="Maio/23 - 63.000,00 (mensalidade) + 23.989,25 (48.865 consultas) = 86.989,25 - 730600837 PIPEFY - RETENCAO OK"/>
        <s v="REEMBOLSAVEIS: 31199 JESTOR Trata-se de pagamento referente a 40 analises urbanas e Fundiarias, Suporte de Localizacao e servicos de dominial realizadas pelo ARTHUR EDUARDO BUAVA RIBEIRO SOCIEDADE INDIVIDUAL DE ADVOCACIA, referente a julho casos no rateio anexo.RETENCAO OK"/>
        <s v="CONTRATACAO DE CORRESPONDENTE PARA COPIAS E DILIGENCIAS SEMANAIS, DENTRO DO MES DE JANEIRO DE 2021, PARA O ACOMPANHAMENTO DO PROCESSO FISICO DA FALENCIA DA COZAC"/>
        <s v="REEMBOLSAVEIS - 28873 JESTORDiligencias incorridas no mes de abril dos casos descritos na planilha anexa.REF. 04/2025RETENCAO OK"/>
        <s v="Pagamento referente a prestacao de servico de abertura de investigacao para Nathalia Rambelli - ME. Periodo: 1. quinzena de junho. Casos: 41 Total: R$ 30.765,00 - 737013902 - Pipefy"/>
        <s v="R DIAS - JULHO 2023 - 775857610 - Pipefy"/>
        <s v="REEMBOLSAVEIS - 30351 JESTORNF referente ao BONUS TRIMESTRAL do novo contrato punitivo. O valor representa 10% da soma do valor das notas do trimestre. Aqui, este valor foi rateado por todos os casos que ele trabalhou neste tri - Ja alinhado com financeiro e diretoria."/>
        <s v="CARTORIOS E REGISTROS PERIODO 20/02/2022 A 19/03/2022 - 550964565 - Pipefy"/>
        <s v="Levantamento de debitos/emissao de certidoes dos casos descritos em planilha anexa - 667319122 - Pipefy - RETENCAO OK"/>
        <s v="REEMBOLSO DE DESPESAS APROVADAS NO JESTOR CARD 9161 - REFERENTE AO CASO 15292 COZAC"/>
        <s v="REEMBOLSO DE DESPESAS APROVADAS NO PEPIFY CARD 4115 REF. AO CASO: COZAC_FALENCIA"/>
        <s v="Diligencia referente a levantamento de debitos - PIPEFY 720840174"/>
        <s v="Reembolso ao escritorio sobre contratacao de correspondente em Ribeirao Preto, referente servicos prestados no acompanhamento in loco dos autos da falencia da Cozac (autos fisicos) no periodo de fevereiro de 2022 - 549683547 - Pipefy"/>
        <s v="Localizacoes referentes ao mes de Junho/2022. - 561484690 PIPEFY RETENCAO OK"/>
        <s v="PRESTACAO DE SERVICO - DESPESAS DE CARTORIO 08/2019 - BUFFER"/>
        <s v="PREPARACAO DE MATERIAL REFERENTE A LOCALIZACAO DE IMOVEIS; REF.: AGOSTO DE 2022 - 570140809 - Pipefy RETENCAO OK"/>
        <s v="Avaliacao de imoveis urbanos. - 572136323 Pipefy RETENCAO OK"/>
        <s v="R DIAS - SETEMBRO 2023 - 812280482 PIPEFY"/>
        <s v="Avaliacao remota de imoveis urbanos no periodo de abril/maio 2023. E-mail com ciencia das areas solicitantes e planilha geral com resumo dos prestadores, tarefas por nivel e complexidade em anexo. - 723772532 - Pipefy"/>
        <s v="Analises Urbanas/fundiarias do caso GSP Loteadora mat 16899  http://app.pipefy.com/pipes/301656781#cards/723570752"/>
        <s v="R DIAS - JUNHO/JULHO 2023 - OK HEADS EM ANEXO"/>
        <s v="REEMBOLSAVEIS - 30399 JESTORTrata-se de pagamento referente a analises urbanas e Fundiarias, Suporte de Localizacao e servicos de dominial realizadas pelo ARTHUR EDUARDO BUAVA RIBEIRO SOCIEDADE INDIVIDUAL DE ADVOCACIA, referente a maio casos no rateio anexo.RETENCAO OK"/>
        <s v="R DIAS - AGOSTO 2023 - 791683120 pipefy"/>
        <s v="[Tipo de tarefa] [nivel] de imoveis [tipos de imovel] no periodo de [data de inicio]/[data de fim]. E-mail com ciencia das areas solicitantes e planilha geral com resumo dos prestadores, tarefas por nivel e complexidade em anexo. - 788228872 - Pipefy"/>
        <s v="REEMBOLSAVEIS -PRESTACAO DE CONTAS DE ARISP - TIME REGULATORIO"/>
        <s v="REEMBOLSAVEIS/ ADM  - Mensalidade de R$ 63.000,00 contratuais para manutencao e evolucao do projeto. Foram realizadas 40.469 consultas, que totalizam o montante de R$ 20.211,05 - Desenvolvimento de sistema de coleta de dados online referente ao mes de Janeiro/24 - 17603 JESTOR - RETENCAO OK"/>
        <s v="ADIANTAMENTO REFERENTE A CUSTAS COM CAPTACAO DE DOCUMENTOS - 538837231 PIPEFY"/>
        <s v="Localizacao remota de imoveis urbanos e rurais no periodo de abril/maio 2023. E-mail com ciencia das areas solicitantes e planilha geral com resumo dos prestadores, tarefas por nivel e complexidade em anexo.723772256 - PIPEFY"/>
        <s v="Analise Registral dos casos descritos em planilha anexa - 737846689 - Pipefy"/>
        <s v="GUIA DE ISS DE RPA- REF. 06/2023 - 738269743 - Pipefy"/>
        <s v="Prestacao de servico de avaliacao dos imoveis do caso Cozac."/>
        <s v="REEMBOLSAVEIS - #21922 JESTORCustos para locomocao do escritorio SP  Ribeirao Preto, para participacao na audiencia de gestao democratica - A fatura em anexo se trata de ANTECIPACAO DE CUSTOS via fatura de antecipacao para que seja possivel a contratacao do prestador de servico - CASO 15292: COZAC"/>
        <s v="Referente a analises socioambientais, realizadas no mes de Setembro, vide os casos em anexo -RETENCAO OK - 586468468 - Pipefy"/>
        <s v="R DIAS - OUTUBRO 2023 - 821317229 - Pipefy"/>
        <s v="TRANSPORTE DE DOCUMENTOS 12.2022 - RETENCAO OK"/>
        <s v="Localizacao remota de imoveis urbanos e rurais no periodo de marco/abril 2023. E-mail com ciencia das areas solicitantes e planilha geral em anexo. - 692621866 - Pipefy"/>
        <s v="Avaliacao remota de imoveis urbanos no periodo de marco/abril 2023. E-mail com ciencia das areas solicitantes e planilha geral em anexo. - 691900292 - Pipefy"/>
        <s v="Localizacao remota de imoveis urbanos e rurais no periodo de marco 2023. E-mail com ciencia das areas solicitantes e planilha geral em anexo. - 692620282 - Pipefy"/>
        <s v="REEMBOLSO DE DESPESAS REF. CARTEIRA COZAC_FALENCIA"/>
        <s v="Avaliacao - 550480225 - Pipefy"/>
        <s v="GUIA DE ISS SOBRE RPA - REF. 07.2023 - 768705905 - Pipefy"/>
        <s v="Tentativa de localizacao in loco do caso COZAC, matriculas 6660, 11054 e 11055.Cidade: Ribeirao Preto-SP.Aprovacoes do Guilherme Marques, Acacio e Otavio em anexo.  http://app.pipefy.com/pipes/301656781#cards/767847760"/>
        <s v="DESPESAS COM HONORARIOS ADVOCATICIOS - JUNHO/20 -  RETENCAO OK"/>
        <s v="REEMBOLSAVEIS - 28959 JESTORAvaliacoes N2/N3, contratadas entre 21/04 e 20/05RETENCAO OK"/>
        <s v="Referente as avaliacoes N2/N3 contratadas entre 21/06 e 20/07 - 767846342 - Pipefy"/>
        <s v="Referente as avaliacoes N2/N3 contratadas entre 21/06 e 20/07 - 767473778 - Pipefy"/>
        <s v="Referente as avaliacoes N2/N3 contratadas entre 21/06 e 20/07 - 767846522 - Pipefy"/>
        <s v="GUIA DE ISS SOBRE RPA - REF. 07/2022"/>
        <s v="REEMBOLSAVEIS - 31394 JESTORLocalizacao remota de imoveis urbanos e rurais no periodo de 21/07/2025 a 20/08/2025.E-mail com ciencia das areas solicitantes e planilha geral com resumo dos prestadores, tarefas por nivel e complexidade em anexo.RETENCAO OK"/>
        <s v="REEMBOLSAVEIS - #24823 JESTORTrata-se do reembolso das prenotacoes solicitadas pelo prestador, referente ao mes de novembro."/>
        <s v="Retencao de ISS do credor NOGARA, NOGARA E RONDINONI ADVOGADOS ASS referente ao(s) doc(s) NF/51."/>
        <s v="BOLETO REFERENTE A SOLICITACAO DE CERTIDOES - CASOS:44 - DESPESAS REEMBOLSAVEIS - (BUFFER)."/>
        <s v="ARISP - 550963746 - Pipefy"/>
        <s v="ARISP - MARCO 2023 - 671372344 Pipefy"/>
        <s v="PRESTACAO DE CONTAS ARISP - TIME REGULATORIO"/>
        <s v="REEMBOLSAVEIS - 27466 jestorAvaliacao remota de imoveis urbanos no periodo de 21/02/2025 a 21/03/2025. E-mail com ciencia das areas solicitantes e planilha geral com resumo dos prestadores, tarefas por nivel e complexidade em anexo.RETENCAO OK"/>
        <s v="REEMBOLSAVEIS -#27460Localizacao remota de imoveis urbanos e rurais no periodo de 21/02/2025 a 20/03/2025. E-mail com ciencia das areas solicitantes e planilha geral com resumo dos prestadores, tarefas por nivel e complexidade em anexo.REF. 03.2025RETENCAO OK"/>
        <s v="BOLETOS REFERENTE AO PAGAMENTO DE PROTESTO DE IPTU DO CASO COZAC  - 541108318 PIPEFY"/>
        <s v="PAGAMENTO DOS PROTESTOS DE IPTU DOS IMOVEIS QUE ESTAO DENTRO DAS NOSSAS NEGOCIACAO QUE A PREFEITURA DE RIBEIRAO PRETO COMECOU A FAZER DO ANO DE 2020 - 541108206 PIPEFY"/>
        <s v="BOLETO REFERENTE AO PROTESTO DE IPTU REFERENTE AO CASO COZAC - 541108715 PIPEFY"/>
        <s v="BOLETO REFERENTE AO PROTESTO  DE IPTU REFERENTE AO CASO COZAC -  541108414 PIPEFY"/>
        <s v="BOLETO REFERENTE AO PROTESTO DE IPTU REFERENTE AO CASO COZAC - 541108594 PIPEFY"/>
        <s v="Retencao de ISS do credor NOGARA, NOGARA E RONDINONI ADVOGADOS ASS referente ao(s) doc(s) NF/59."/>
        <s v="ARISP 08 -2022 -"/>
        <s v="GUIA DE ISS - SERVICOS PRESTADOS  - REF. 07/2022"/>
        <s v="BUSCA DE BENS ARISP - REF. 09/2019"/>
        <s v="REEMBOLSAVEIS - 22613 JESTORTRATA-SE DAS ANALISES REGISTRAIS DOS CASOS DESCRITOS EM PLANILHA ANEXA.COMPETENCIA: 08/2024RETENCAO OK"/>
        <s v="REEMBOLSAVEIS - 23401 JESTORNF referente a servicos de dossies da 2. quinzena de setembro/2024COMPETENCIA: 09/2024RETENCAO OK"/>
        <s v="BOLETO REFERENTE A PESQUISA DE BENS E MATRICULAS NO SITE ARISP"/>
        <s v="BOLETO REFERENTE A PESQUISA DE BENS E MATRICULAS NO SITE ARISP."/>
        <s v="GUIA DE ISS SOBRE RPA - REF. 08.2023  - 788756003 - Pipefy"/>
        <s v="GUIA DE ISS - REF. 10/2019 - GESTAO NA POSSE - FALTA RATEIO"/>
        <s v="Boleto protesto IPTU Cozac - 599771525 - Pipefy"/>
        <s v="Analise ambiental realizadas outubro dos casos descritos em anexo - 596363793 - Pipefy"/>
        <s v="Pagamento da 3. parcela dos honorarios periciais do caso COZAC.Segue em anexo o OK do Plinio. - 671929877 - Pipefy"/>
        <s v="REEMBOLSAVEIS - 28212 JESTORLocalizacao remota de imoveis urbanos e rurais.Periodo de 21/03/2025 a 20/04/2025RETENCAO OK"/>
        <s v="ARISP MAIO 2023 - 727499012 - Pipefy"/>
        <s v="CONTRATO DE PRESTACAO DE SERVICOS DE CORREIOS E TELEGRAFOS - REF. 07/2019"/>
        <s v="Analises registrais dos casos descritos em planilha anexa - 563061807 - Pipefy"/>
        <s v="ANALISE SOCIOAMBIENTAL DOS CASOS DESCRITOS EM PLANILHA ANEXA - 624641877 - Pipefy"/>
        <s v="Pagamento da 2. parcela dos honorarios periciais do caso COZAC.Segue em anexo o OK do Plinio. - 672733805 - Pipefy"/>
        <s v="Localizacao remota de imoveis urbanos e rurais no periodo de abril 2023. E-mail com ciencia das areas solicitantes e planilha geral com resumo dos prestadores, tarefas por nivel e complexidade em anexo. - 724505736 - Pipefy"/>
        <s v="Analises Urbanas/fundiarias dos casos descritos em planilha anexa723570494 - PIPEFY"/>
        <s v="PAGAMENTO PROTESTO COZAC -  552555954 PIPEFY"/>
        <s v="PAGAMENTO PROTESTO COZAC -  552559090 PIPEFY"/>
        <s v="PAGAMENTO PROTESTO COZAC -  552559157 PIPEFY"/>
        <s v="PAGAMENTO PROTESTO COZAC -  552559245 PIPEFY"/>
        <s v="PAGAMENTO DE HONORARIOS"/>
        <s v="REEMBOLSAVEIS: 30717 JESTOR Viagem a Ribeirao Preto"/>
        <s v="Diligencia referente a levantamento de debitos dos casos descritos em planilha anexa - 575970542 Pipefy  - RETENCAO OK"/>
        <s v="QUITACAO DE DEBITOS DE IPTU - DAM: 201900222356 - IMOVEL: 185552 - CASO: COZAC - PAGAMENTO PELO ADIANTAMENTO REALIZADO PELO FIDC"/>
        <s v="QUITACAO DE DEBITOS DE IPTU - DAM: 201900222354 - IMOVEL: 176881 - CASO: COZAC - PAGAMENTO PELO ADIANTAMENTO REALIZADO PELO FIDC"/>
        <s v="QUITACAO DE DEBITOS DE IPTU - DAM: 201900222331 - IMOVEL: 96154 - CASO: COZAC - PAGAMENTO PELO ADIANTAMENTO REALIZADO PELO FIDC"/>
        <s v="QUITACAO DE DEBITOS DE IPTU - DAM: 201900222334 - IMOVEL: 102843 - CASO: COZAC - PAGAMENTO PELO ADIANTAMENTO REALIZADO PELO FIDC"/>
        <s v="QUITACAO DE DEBITOS DE IPTU - DAM: 201900222350 - IMOVEL: 176878 - CASO: COZAC - PAGAMENTO PELO ADIANTAMENTO REALIZADO PELO FIDC"/>
        <s v="QUITACAO DE DEBITOS DE IPTU - DAM: 201900222323 - IMOVEL: 64341 - CASO: COZAC - PAGAMENTO PELO ADIANTAMENTO REALIZADO PELO FIDC"/>
        <s v="QUITACAO DE DEBITOS DE IPTU - DAM: 201900222311 - IMOVEL:4195 - CASO: COZAC - PAGAMENTO PELO ADIANTAMENTO REALIZADO PELO FIDC"/>
        <s v="QUITACAO DE DEBITOS DE IPTU - DAM: 201900222316 - IMOVEL:9178 - CASO: COZAC - PAGAMENTO PELO ADIANTAMENTO REALIZADO PELO FIDC"/>
        <s v="QUITACAO DE DEBITOS DE IPTU - DAM: 201900222338 - IMOVEL: 109077 - CASO: COZAC - PAGAMENTO PELO ADIANTAMENTO REALIZADO PELO FIDC"/>
        <s v="QUITACAO DE DEBITOS DE IPTU - DAM: 201900222340 - IMOVEL: 119265 - CASO: COZAC - PAGAMENTO PELO ADIANTAMENTO REALIZADO PELO FIDC"/>
        <s v="QUITACAO DE DEBITOS DE IPTU - DAM: 201900222361 - IMOVEL: 185555 - CASO: COZAC - PAGAMENTO PELO ADIANTAMENTO REALIZADO PELO FIDC"/>
        <s v="QUITACAO DE DEBITOS DE IPTU - DAM: 201900222315 - IMOVEL:6992 - CASO: COZAC - PAGAMENTO PELO ADIANTAMENTO REALIZADO PELO FIDC"/>
        <s v="QUITACAO DE DEBITOS DE IPTU - DAM: 201900222359 - IMOVEL: 185553 - CASO: COZAC - PAGAMENTO PELO ADIANTAMENTO REALIZADO PELO FIDC"/>
        <s v="QUITACAO DE DEBITOS DE IPTU - DAM: 201900222360 - IMOVEL: 185554 - CASO: COZAC - PAGAMENTO PELO ADIANTAMENTO REALIZADO PELO FIDC"/>
        <s v="QUITACAO DE DEBITOS DE IPTU - DAM: 201900222349 - IMOVEL: 176875 - CASO: COZAC - PAGAMENTO PELO ADIANTAMENTO REALIZADO PELO FIDC"/>
        <s v="QUITACAO DE DEBITOS DE IPTU - DAM: 201900222355 - IMOVEL: 185551 - CASO: COZAC - PAGAMENTO PELO ADIANTAMENTO REALIZADO PELO FIDC"/>
        <s v="QUITACAO DE DEBITOS DE IPTU - DAM: 201900222317 - IMOVEL: 8179 - CASO: COZAC - PAGAMENTO PELO ADIANTAMENTO REALIZADO PELO FIDC"/>
        <s v="QUITACAO DE DEBITOS DE IPTU - DAM: 201900222329 - IMOVEL: 89369 - CASO: COZAC - PAGAMENTO PELO ADIANTAMENTO REALIZADO PELO FIDC"/>
        <s v="QUITACAO DE DEBITOS DE IPTU - DAM: 201900222347 - IMOVEL: 175408 - CASO: COZAC - PAGAMENTO PELO ADIANTAMENTO REALIZADO PELO FIDC"/>
        <s v="QUITACAO DE DEBITOS DE IPTU - DAM: 201900222366 - IMOVEL: 67832 - CASO: COZAC - PAGAMENTO PELO ADIANTAMENTO REALIZADO PELO FIDC"/>
        <s v="QUITACAO DE DEBITOS DE IPTU - DAM: 2019002223612- IMOVEL: 185556 - CASO: COZAC - PAGAMENTO PELO ADIANTAMENTO REALIZADO PELO FIDC"/>
        <s v="QUITACAO DE DEBITOS DE IPTU - DAM: 201900222313 - IMOVEL: 3991 - CASO: COZAC - PAGAMENTO PELO ADIANTAMENTO REALIZADO PELO FIDC"/>
        <s v="QUITACAO DE DEBITOS DE IPTU - DAM: 201900222364 - IMOVEL: 185557 - CASO: COZAC - PAGAMENTO PELO ADIANTAMENTO REALIZADO PELO FIDC"/>
        <s v="QUITACAO DE DEBITOS DE IPTU - DAM: 201900222320- IMOVEL: 10628 - CASO: COZAC - PAGAMENTO PELO ADIANTAMENTO REALIZADO PELO FIDC"/>
        <s v="QUITACAO DE DEBITOS DE IPTU - DAM: 201900222322 - IMOVEL: 64340 - CASO: COZAC - PAGAMENTO PELO ADIANTAMENTO REALIZADO PELO FIDC"/>
        <s v="QUITACAO DE DEBITOS DE IPTU - DAM: 201900222306 - IMOVEL: 3692 - CASO: COZAC - PAGAMENTO PELO ADIANTAMENTO REALIZADO PELO FIDC"/>
        <s v="REEMBOLSAVEIS - Flat Full Service - Agro-  #18815 JESTOR - RETENCAO OK - Competencia: JANEIRO/24"/>
        <s v="REEMBOLSAVEIS - 27515 JESTORTrata-se de 118 analises registrais dos casos descritos na planilha em anexo.REF. 03/2025RETENCAO OK"/>
        <s v="REEMBOLSAVEIS - ANALISES SOCIOAMBIENTAIS DE MAIO, CASOS DESCRITOS EM PLANILHA ANEXA - #20508 JESTOR - RETENCAO OKCONTRATO ANEXO"/>
        <s v="RATEIO SERASA - PESQUISAS DATASELF - REF. 01/06/2023 A 31/06/2023 - RATEIO OK - RETENCAO OK - 746903386 - Pipefy"/>
        <s v="PAGAMENTO DE DILIGENCIAS"/>
        <s v="DUAS DILIGENCIAS DE CORRESPONDENTE EXTERNO NA CIDADE DE RIBEIRAO PRETO, REFERENTE SERVICOS PRESTADOS NO ACOMPANHAMENTO EM CARTORIO E OBTENCAO DE COPIAS DO PROCESSO DE FALENCIA DA COZAC - PROCESSO FISICO, NO PERIODO DE NOVEMBRO/2021 - PIPEFY #468541678"/>
        <s v="CONSULTA DATASELF SERASA - REF. 01/2023"/>
        <s v="HONORARIOS REFENTES A PRESTACAO DE SERVICO COM ANALISE DOCUMENTOS - 538836228 PIPEFY RETENCAO OK"/>
        <s v="HONORARIOS REFENTES A PRESTACAO DE SERVICO COM CAPTACAO DE DOCUMENTOS - 538836563 PIPEFY RETENCAO OK"/>
        <s v="SERASA REF A MAIO 2023 - 728521279 - PIPEFYSENHA PARA ABRIR A FATURA 2537097115"/>
        <s v="Pagamento protestos Cozac - 553542051 PIPEFY"/>
        <s v="SERVICOS DE AVALIACAO - 551253809 - Pipefy  RETENCAO OK"/>
        <s v="Pagamento protestos Cozac - 553543837 PIPEFY"/>
        <s v="Pagamento protestos Cozac - 553538611 PIPEFY"/>
        <s v="SERVICOS DE AVALIACAO - 552970836 PIPEFY RETENCAO OK"/>
        <s v="Pagamento protestos Cozac - 553541810 PIPEFY"/>
        <s v="Lavratura de Escritura de Cessao de Creditos de aquisicao do NPL da Cozac - Lavratura prevista para sexta (12) ou segunda (15), o recibo sera encaminhado apos lavratura - 564831490 PIPEFY"/>
        <s v="Analises socioambiental dos casos descritos em planilha anexa - 772139668 - Pipefy"/>
        <s v="Diligencia referente a levantamento de debitos dos casos descritos em planilha anexa - 792872137 PIPEFY - RETENCAO OK"/>
        <s v="Analise de debitos dos casos descritos em planilha anexa - 626280457 - PIPEFY - RETENCAO OK"/>
        <s v="Mensalidade - 4MTI - Robos de Internet - 647131318 - Pipefy - RETENCAO OK"/>
        <s v="CORRESPONDENTE: PROFISSIONAL EXTERNO NA CIDADE DE RIBEIRAO PRETO/SP REFERENTE SERVICOS PRESTADOS DE ACOMPANHAMENTO PROCESSUAL DOS AUTOS FISICOS DA FALENCIA DA COZAC NO PERIODO DE DEZEMBRO/2021 E JANEIRO/2022 - 504799572 PIPEFY"/>
        <s v="Retencao de CSRF do credor 4MTI SOLUCOES LTDA ME referente ao(s) doc(s) NF/2023/22."/>
        <s v="Retencao de IR do credor 4MTI SOLUCOES LTDA ME referente ao(s) doc(s) NF/2023/22."/>
        <s v="PRESTACAO DE CONTAS ARISP"/>
        <s v="JESTOR - 29225Despesa com Passagens Aereas - Passagens Aereas - SP/Ribeirao Preto/ SP para visita ao cartorio do Forum de Ribeirao Preto para assinaturas de cartas de adjudicacao. | Voo ida - Latam - Localizador: HWMJEF | Voo volta - GOL - Localizador: UJDNWNCaso:  000001 - Falencia CozacBanco: Banco Itau S/AAgencia: 0367Conta N.: 16546-1Favorecido: FELSBERG ADVOGADOSCNPJ N.: 52.566.122/0001-43 (Chave PIX)"/>
        <s v="HONORARIOS REFENTES A PRESTACAO DE SERVICO COM ANALISE DOCUMENTOS - 562277189 - Pipefy RETENCAO OK"/>
        <s v="REEMBOLSO DE DESPESAS APROVADAS NO JESTOR CARD 7728 REF. AO CASO:  COZAC_FALENCIA"/>
        <s v="HONORARIOS FELSBERG CASO COZAC - PIPEFY 459368335"/>
        <s v="**PIX** Pagamento protesto IPTU caso Cozac. Dados para PIX:Banco Itau (341)Ag.: 8975-3Cc.: 11.204-9CNPJ: 07.441.656/0001-992. Tabeliao de Protesto de Letras e Titulos de Ribeirao Preto  http://app.pipefy.com/pipes/301656781#cards/600221428"/>
        <s v="Pagamento protesto IPTU caso Cozac.  http://app.pipefy.com/pipes/301656781#cards/600221268"/>
        <s v="Retencao de CSRF do credor LEME INTELIGENCIA FORENSE E CONS. EMPRES referente ao(s) doc(s) NF/1584."/>
        <s v="QUITACAO DE DEBITOS DE IPTU - DAM: 201900222326 - IMOVEL: 82001 - CASO: COZAC - PAGAMENTO PELO ADIANTAMENTO REALIZADO PELO FIDC"/>
        <s v="QUITACAO DE DEBITOS DE IPTU - IMOVEL: 147124 - CASO: COZAC - PAGAMENTO PELO ADIANTAMENTO REALIZADO PELO FIDC"/>
        <s v="Retencao de CSRF do credor T.C. IMOVEIS S/S LTDA referente ao(s) doc(s) NF/896."/>
        <s v="DILIGENCIA DE CORRESPONDENTE AO FORUM DE RIBEIRAO PRETO PARA OBTENCAO DE COPIA PROCESSUAL (MOVIMENTACAO NO PROCESSO DE FALENCIA DE COZAC, CUJOS AUTOS SAO FISICOS)"/>
        <s v="REEMBOLSO DE DESPESAS APROVADAS NO JESTOR CARD 8499 REF. AO CASO: COZAC_FALENCIA"/>
        <s v="REEMBOLSO DE DESPESA COM RECONHECIMENTO DE FIRMA, CUSTAS JUDICIAIS, UBER, SEDEX E CARTORIO"/>
        <s v="REEMBOLSAVEIS - Diligencia referente a levantamento de debitos dos casos descritos em planilha anexa - #19436 JESTOR"/>
        <s v="GUIA DE INSS FUNCIONARIO/ RPA/ FORNECEDOR - IRRF FUNCIONARIO/RPA - REF. 07/2023 - PIPEFY 776487074"/>
        <s v="Retencao de CSRF do credor SERASA S.A referente ao(s) doc(s) NF/2165624."/>
        <s v="Retencao de IR do credor SERASA S.A referente ao(s) doc(s) NF/2165624."/>
        <s v="Pagamento IPTU Cozac imovel cadastro n. 64.341 - 601864091 - Pipefy"/>
        <s v="Pagamento IPTU Cozac - imovel cadastro n. 102.843 - 601866391 - Pipefy"/>
        <s v="Servicos de avaliacoes imobiliarias prestados do periodo entre 21/09 e 20/10 - avaliacoes N2/N3, - 825525261 - Pipefy"/>
        <s v="QUITACAO DE DEBITOS DE IPTU - IMOVEL: 147125 - CASO: COZAC - PAGAMENTO PELO ADIANTAMENTO REALIZADO PELO FIDC"/>
        <s v="QUITACAO DE DEBITOS DE IPTU - DAM: 201900223744 - IMOVEL: 55993711000104 - CASO: COZAC - PAGAMENTO PELO ADIANTAMENTO REALIZADO PELO FIDC"/>
        <s v="QUITACAO DE DEBITOS DE IPTU - DAM: 201900223761 - IMOVEL: 1540890872 - CASO: COZAC - PAGAMENTO PELO ADIANTAMENTO REALIZADO PELO FIDC"/>
        <s v="QUITACAO DE DEBITOS DE IPTU - IMOVEL: 147127 - CASO: COZAC - PAGAMENTO PELO ADIANTAMENTO REALIZADO PELO FIDC"/>
        <s v="QUITACAO DE DEBITOS DE IPTU - DAM: 201900223751 - IMOVEL: 6263562889 - CASO: COZAC - PAGAMENTO PELO ADIANTAMENTO REALIZADO PELO FIDC"/>
        <s v="REEMBOLSAVEIS - 26975 JESTORREEMBOLSO DE DESPESA COM PEDAGIO, ESTACIONAMENTO, QUILOMETRAGEM - COZAC AUDIENCIA"/>
        <s v="REEMBOLSAVEIS - 26976 JESTORREEMBOLSO DE DESPESA COM PEDAGIO, ESTACIONAMENTO, QUILOMETRAGEM - COZAC"/>
        <s v="REEMBOLSAVEIS - 27002 JESTORDespacho presencial em Ribeirao Preto - Caso 0015292_COZAC_FALENCIA"/>
        <s v="ANALISE SOCIOAMBIENTAIS, FUNDIARIAS E URBANAS DOS CASOS DESCRITOS EM ANEXO (CC ALOCADO DENTRO DA SPE V - 4990) - 554135774 - Pipefy   - RETENCAO OK"/>
        <s v="SERVICOS DE AVALIACAO - 550811779 - Pipefy RETENCAO OK"/>
        <s v="GUIA DE INSS SOBRE SALARIO- FORNECEDOR E RPA -REF. 06/2023 - 744893158 - Pipefy"/>
        <s v="GUIA DE INSS FUNCIONARIO/ IRRF FUNCIONARIOS - INSS SERVICOS TOMADOS/ INSS E IR SOBRE RPA - CARD 794096875"/>
        <s v="REEMBOLSAVEIS - #22686 JESTORTrata-se das diligencias referente a levantamento de debitos dos casos descritos em planilha anexa no mes de agosto.COMPETENCIA: 08/2024RETENCAO OK"/>
        <s v="REEMBOLSAVEIS - PRESTACAO DE CONTAS DE ARISP REGULATORIOVALIDADO JULIANA RAMOS"/>
        <s v="AVALIACOES DO MES DE SETEMBRO - 2019 - BUFFER"/>
        <s v="Retencao de IR do credor T.C. IMOVEIS S/S LTDA referente ao(s) doc(s) NF/896."/>
        <s v="REEMBOLSAVEISGUIA DCTF - FUNCIONARIO - RPA - FORNECEDOR - REF 10/2024"/>
        <s v="REEMBOLSO DE DESPESAS APROVADAS NO JESTOR CARD 8621 REFERENTE AO CASO 15292 COZAC"/>
        <s v="Retencao de IR do credor AGROFFICIO ENGENHARIA LTDA ME referente ao(s) doc(s) NF/608."/>
        <s v="Retencao de CSRF do credor SERASA S.A referente ao(s) doc(s) NF/2027523."/>
        <s v="Retencao de CSRF do credor AGROFFICIO ENGENHARIA LTDA ME referente ao(s) doc(s) NF/608."/>
        <s v="Retencao de IR do credor SERASA S.A referente ao(s) doc(s) NF/2027523."/>
        <s v="GUIA DE INSS - PRESTACAO DE SERVICO + RPA + FOLHA - REF. 08.2022 - 578604457 PIPEFY"/>
        <s v="Retencao de CSRF do credor VALIDAR ENGENHARIA DE AVALIACOES LTDA referente ao(s) doc(s) NF/2370."/>
        <s v="Retencao de IR do credor AHEAD ARQUITETURA E ENGENHARIA DE AVALIA referente ao(s) doc(s) NF/284."/>
        <s v="Retencao de CSRF do credor AHEAD ARQUITETURA E ENGENHARIA DE AVALIA referente ao(s) doc(s) NF/284."/>
        <s v="Retencao de IR do credor VALIDAR ENGENHARIA DE AVALIACOES LTDA referente ao(s) doc(s) NF/2370."/>
        <s v="REEMBOLSAVEIS - 28337 JESTORReembolso de despesas de viagemPeriodo: 0705/2025 a 12/05/2025"/>
        <s v="Contratacao de profissional externo na cidade de Ribeirao Preto/SP, referente servicos prestados na obtencao de copias e acompanhamento presencial dos autos da falencia da Cozac (autos fisicos) nos periodos de marco e abril de 2022 - 542756235 - Pipefy"/>
        <s v="Retencao de CSRF do credor AGROFFICIO ENGENHARIA LTDA ME referente ao(s) doc(s) NF/594."/>
        <s v="Retencao de IR do credor AGROFFICIO ENGENHARIA LTDA ME referente ao(s) doc(s) NF/594."/>
        <s v="HONORARIOS ADVOCATICIOS"/>
        <s v="Retencao de IR do credor AHEAD ARQUITETURA E ENGENHARIA DE AVALIA referente ao(s) doc(s) NF/280."/>
        <s v="Retencao de IR do credor AGROFFICIO ENGENHARIA LTDA ME referente ao(s) doc(s) NF/637."/>
        <s v="Retencao de CSRF do credor MK AVALIACOES IMOBILIARIAS LTDA referente ao(s) doc(s) NF/16165."/>
        <s v="Retencao de IR do credor MK AVALIACOES IMOBILIARIAS LTDA referente ao(s) doc(s) NF/16165."/>
        <s v="Retencao de CSRF do credor AGROFFICIO ENGENHARIA LTDA ME referente ao(s) doc(s) NF/637."/>
        <s v="Retencao de CSRF do credor AHEAD ARQUITETURA E ENGENHARIA DE AVALIA referente ao(s) doc(s) NF/280."/>
        <s v="Retencao de IR do credor VALIDAR ENGENHARIA DE AVALIACOES LTDA referente ao(s) doc(s) NF/2286."/>
        <s v="Retencao de CSRF do credor VALIDAR ENGENHARIA DE AVALIACOES LTDA referente ao(s) doc(s) NF/2286."/>
        <s v="PRESTACAO DE SERVICO - DESPESAS DE CARTORIO 08/2019"/>
        <s v="PRESTACAO DE CONTAS ARISP - TIME DE REGULATORIO"/>
        <s v="REEMBOLSAVEIS - 28446 JESTORTrata-se das analises socioambientais da primeira quinzena de abril, casos descritos em planilha anexa. Total de 131 analises, anexo rateio e planilha de medicao.REF. 04/2025RETENCAO OK"/>
        <s v="REEMBOLSO DE DESPESAS - FALENCIA DA COZAC"/>
        <s v="Reembolso, via PIX, dos gastos arcados com o pagamento do PROTESTO de IPTU dos imoveis que estao em negociacao. - 541805685 - Pipefy"/>
        <s v="REEMBOLSO DOS CUSTOS DE ADVOGADOS"/>
        <s v="DESPESAS DIVERSAS COM: REEMBOLSO DE PAGAMENTOS DE GUIAS; CUSTAS CARTORARIAS COM RECONHECIMENTO DE FIRMA E CERTIDOES; SEDEX PARA ENVIO DE DOCUMENTOS; E DESPESAS COM VIAGEM"/>
        <s v="Reembolso de viagem - 793309164 Pipefy"/>
        <s v="REEMBOLSAVEIS - 28512 JESTORTrata-se de 22 analises registrais dos casos descritos na planilha em anexo, referente ao mes de abril.REF. 04/2025RETENCAO OK"/>
        <s v="Analises Urbanas/fundiarias dos casos descritos em planilha anexa728066845 PIPEFY"/>
        <s v="FATURA REFERENTE AO ADIANTAMENTO DE R$ 3.951,70 PARA CONTRATACAO DE PROFISSIONAIS EXTERNOS - PIPEFY 580300714"/>
        <s v="HONORARIOS REFERENTES A PRESTACAO DE SERVICO COM ANALISE DE DOCUMENTOS NO ELIOT NO MES DE AGOSTO. - 809413681 - Pipefy"/>
        <s v="REEMBOLSAVEIS - VALIDADO GUILHERME MARQUESPRESTACAO DE CONTAS ARISP (RJ FALENCIA)"/>
        <s v="REEMBOLSO DE DESPESAS DILIGENCIAS DA CORRESPONDENCIA PARA ATUALIZACAO DE COPIAS DO PROCESSO DE FALENCIA DA COZAC"/>
        <s v="Referente a avaliacoes N2/N3 contratadas entre 21/09 a 20/10 - 825145987 - Pipefy - NF CORRETA ANEXADA"/>
        <s v="QUITACAO DE DEBITOS DE IPTU - DAM: 201900230427- IMOVEL:  CASO: COZAC - PAGAMENTO PELO ADIANTAMENTO REALIZADO PELO FIDC"/>
        <s v="REEMBOLSAVEIS - #25623 JESTORTrata-se da averbacao de cessao dos diversos casos na planilha em anexo, no mes de dezembro.REF. 12/2024RETENCAO OK"/>
        <s v="REEMBOLSO DE DESPESAS APROVADAS NO PIPEFY CARD 4062 REF. AO CASO: COZAC_FALENCIA"/>
        <s v="REEMBOLSO DE DESPESAS APROVADAS NO PIPEFY CARD 4057 REF. AO CASO: COZAC_FALENCIA"/>
        <s v="REEMBOLSO DE DESPESAS APROVADAS NO PIPEFY CARD 4059 REF. AO CASO: COZAC_FALENCIA"/>
        <s v="REEMBOLSO DE DESPESAS APROVADAS NO PIPEFY CARD 4061 REF. AO CASO: COZAC_FALENCIA"/>
        <s v="REEMBOLSO DE DESPESAS APROVADAS NO PIPEFY CARD 4058 REF. AO CASO: COZAC_FALENCIA"/>
        <s v="SERVICOS DE LOCALIZACOES - 548379316 - Pipefy RETENCAO OK"/>
        <s v="ARISP - 2. PARTE - MES 07 - RATEIO OK - OK HEADS EM ANEXO - 752846955 - Pipefy"/>
        <s v="REEMBOLSO DE DESPESAS APROVADAS NO PIPEFY CARD 5151 REF AO CASO: COZAC_FALENCIA"/>
        <s v="Depto: NPL, pagamento referente a passagem aerea e hospedagem. - 802897900 - Pipefy ** CTT VIGENTE**"/>
        <s v="REEMBOLSO DE DESPESAS APROVADAS NO PIPEFY CARD 5152 REF AO CASO: COZAC_FALENCIA"/>
        <s v="HONORARIOS REFERENTES A PRESTACAO DE SERVICO COM ANALISE DE DOCUMENTOS NO ELIOT NO MES DE AGOSTO.- 809413613 - Pipefy - RETENCAO OK"/>
        <s v="HONORARIOS REFERENTE A PRESTACAO DE SERVICO ADVOCATICIOS NO PROJETO COZAC PARA RETIRAR DAS MULTAS NO PROCESO DE FALENCIA - BUFFER - PAGAMENTO SERA REALIZADO VIA CHEQUE"/>
        <s v="TRANSPORTE DE DOCUMENTOS REF A OUTUBRO - APROVACOES POR E-MAIL EM ANEXO - 631134784 - Pipefy - RETENCAO OK"/>
        <s v="ARISP ABRIL/MAIO - 2023 - 716073740 - PIPEFYCUSTO DE R$ 29,59 APROPRIADO NO CC 6142 (INATIVO - CLARION) COM AUTORIZACAO DO RENAN. TRATA-SE DE PROTOCOLO DE REGISTRO DE COMPRA DE ATIVO CLARION JA REEMBOLSADO PELO DEVODOR AO BTG - EVIDENCIA ANEXADA (E-MAIL FERNANDA OLIVEIRA REGULATORIO)"/>
        <s v="REEMBOLSO DE DESPESAS APROVADAS NO JESTOR CARD 9845  - REFERENTE AO CASO 0015292_COZAC_FALENCIA"/>
        <s v="REEMBOLSAVEIS - CARD ABERTO 23926 JESTOR - *BOLETO VENCE 26/10 (28/10)**Trata-se da averbacao da cessao das garantias contratuais do 1 RGI de Ribeirao Preto (SP) do BB para o Travessia VIII referente ao caso COZAC."/>
        <s v="Pagamento referente aos honorarios periciais. Segue em anexo OK do Leopoldo   http://app.pipefy.com/pipes/301656781#cards/631730354"/>
        <s v="REEMBOLSAVEIS - 27181 JESTORExpedicao das cartas de adjudicacao referente aos imoveis de COZAC.Caso Cozac (0007791-94.1999.8.26)"/>
        <s v="REEMBOLSAVEIS - 28461 JESTORTrata-se do pagamento referente a licenca da plataforma docket do mes de abril, utilizada para analise e gestao de documento, referente aos casos em anexo.REF. 04/2025RETENCAO OK"/>
        <s v="REEMBOLSAVEIS - 28460 JESTORTrata-se do pagamento referente a licenca da plataforma docket do mes de abril, utilizada para analise e gestao de documento, referente aos casos em anexo.REF. 04/2025RETENCAO OK"/>
        <s v="Pagamento IPTU Cozac - 557589461 - Pipefy"/>
        <s v="Pagamento IPTU Cozac - 557581822 - Pipefy"/>
        <s v="despesas reembolsaveis Junho 2022 - 555913670 PIPEFY"/>
        <s v="REEMBOLSO DE DESPESAS APROVADAS NO JESTOR CARD 6953 REF. AO CASO:  COZAC_FALENCIA"/>
        <s v="REEMBOLSO DE DESPESAS COM PASSAGENS AEREAS, CUSTAS JUDICIAIS  E CODUCAO"/>
        <s v="REEMBOLSO DE DESPESAS COM CORRESPONDENTE AO FORUM DE RIBEIRAO PRETO - 10027 - COZAC_FALENCIA"/>
        <s v="PAGAMENTO REFERENTE A PRESTACAO DE SERVICO DE CAPTACAO DE DOCUMENTOS (CERTIDOES) PARA LEME INTELIGENCIA FORENSE E CONSULTORIA EMPRESARIAL LTDA (01 A 15/09). TOTAL A APROVAR: R$ 15.505,00 - 813073198 - Pipefy ** CTT VIGENTE**"/>
        <s v="REEMBOLSAVEIS - VALIDACAO ISADORA EM ANEXO PRESTACAO DE CONTAS ARISP - INTELIGENCIA"/>
        <s v="GUIA DE RECOLHIMENTO DE DEBITOS TRIBUTARIOS  COZAC IMOVEIS -PAGAMENTO PELO ADIANTAMENTO REALIZADO PELO FIDC"/>
        <s v="GUIA DE RECOLHIMENTO DE DEBITOS RESCISORIOS  COZAC IMOVEIS -PAGAMENTO PELO ADIANTAMENTO REALIZADO PELO FIDC"/>
        <s v="GUIA DE RECOLHIMENTO DE DEBITOS TRIBUTARIOS  COZAC ENGENHARIA -PAGAMENTO PELO ADIANTAMENTO REALIZADO PELO FIDC"/>
        <s v="GUIA DE RECOLHIMENTO DE DEBITOS TRIBUTARIOS DE FGTS  COZAC ENGENHARIA -PAGAMENTO PELO ADIANTAMENTO REALIZADO PELO FIDC"/>
        <s v="GUIA DE RECOLHIMENTO DE DEBITOS TRIBUTARIOS COZAC ENGENHARIA-  PAGAMENTO PELO ADIANTAMENTO REALIZADO PELO FIDC"/>
        <s v="REEMBOLSAVEIS - Viagens Comercial e negociacao fev 2024 - #18595 JESTOR"/>
        <s v="REEMBOLSAVEIS - 28504 JESTORNF referente a analise registral de abr/25RETENCAO OK"/>
        <s v="ADM | REEMBOLSAVEIS - 29467 JESTORVIAGENS DEPTO. GESTAO IMOBILIARIAREF. 05/2025"/>
        <s v="PRESTACAO DE CONTAS DE ARISP (REGULATORIO) - VALIDADO JULIANA RAMOS"/>
        <s v="REEMBOLSAVEIS: 31125 JESTOR Visita apto Campinas"/>
        <s v="REEMBOLSAVEIS - 23105 JESTORviagem sorocaba"/>
        <s v="REEMBOLSAVEIS - 23105 JESTORviagem ribeirao preto"/>
        <s v="REEMBOLSAVEIS - 23078 JESTORVisita a ativos Cozac"/>
        <s v="Retencao de IR do credor LEME INTELIGENCIA FORENSE E CONS. EMPRES referente ao(s) doc(s) NF/1584."/>
        <s v="DIGESTO PESQUISA E BANCO DE DADOS S.A. - Busca de processos via Digesto - 645856388 - PIPEFY"/>
        <s v="REEMBOLSAVEIS - 27217 JESTORREEMBOLSO DE DESPESAS COM VIAGEM A RIBEIRAO PRETOPERIODO: 19/03/2025"/>
        <s v="Pagamento da 4. parcela dos honorarios periciais do caso COZAC.Segue em anexo o OK do Plinio.  http://app.pipefy.com/pipes/301656781#cards/683101376"/>
        <s v="REEMBOLSAVEIS - 28626 JESTORTrata-se do reembolso das custas cartorarias e de diligencias incorridas no mes de abril dos casos descritos na planilha anexa."/>
        <s v="REEMBOLSO DE DESPESAS APROVADAS NO PIPEFY CARD 4670 REF. AO CASO: COZAC_FALENCIA"/>
        <s v="REEMBOLSO DE DESPESAS APROVADAS NO JESTOR CARD 10360 - REFERENTE AO CASO 15292 - COZAC"/>
        <s v="REEMBOLSO DE DESPESAS REFERENTES A CUSTAS CARTORARIAS_EMOLUMENTOS (CERTIDOES) PARA LEME INTELIGENCIA FORENSE E CONSULTORIA EMPRESARIAL LTDA (01 A 15/09). - 813075325 PIPEFY * COMPROVANTES VALIDADO X CTT VIGENTE **"/>
        <s v="REEMBOLSAVEIS - #24663 JESTORTrata-se da averbacao da cessao de credito no 2 RGI de Ribeirao Preto - SP, referente ao caso Cozac."/>
        <s v="SALDO REMANESCENTE DOS DEBITOS JUNTO A PROCURADORIA FEDERAL - MP CONTRIBUINTE LEGAL"/>
        <s v="REEMBOLSO DE DESPESA APROVADAS NO PIPEFY CARD 4186 REF. AO CASO: COZAC_FALENCIA"/>
        <s v="ADM | REEMBOLSAVEIS - 28800 JESTORDesenvolvimento de sistema de coleta de dados online.Mensalidade de R$ 66.735,60 contratuais para manutencao e evolucao do projeto.Foram realizadas 199.642 consultas, que totalizam o montante de R$ 65.410,20.REF. 04/2025RETENCAO OK"/>
        <s v="REEMBOLSO DE DESPESAS APROVADAS NO PIPEFY CARD 4285 REF. AO CASO: COZAC_FALENCIA"/>
        <s v="REEMBOLSAVEIS - 23811 JESTORTRATA-SE DAS ANALISES SOCIOAMBIENTAIS DA 2 QUINZENA DE SETEMBRO, CASOS DESCRITOS EM PLANILHA ANEXA.RETENCAO OK"/>
        <s v="Prestacao de servicos para despacho com magistrado, referente ao processo de falencia do Grupo COZAC. - Em anexo, OK do Marlon. - 606262699 - Pipefy"/>
        <s v="REEMBOLSO DE DESPESAS APROVADAS NO PIPEFY 2631 REF AO CASO: COZAC_FALENCIA."/>
        <s v="REEMBOLSAVEIS - #25484 JESTORPASSAGENS AEREAS E LOCACAO DE VEICULOS - COMERCIAL NPLREF. 12/2024"/>
        <s v="Tarifas reembolsaveis 06/2020"/>
        <s v="Desenvolvimento de sistema de coleta de dados online referente ao mes de Junho/23. - Com a quantia de 520 horas gastas nos projetos DataSelf, Ingestao de Dados e Robos.  - 784557913 - Pipefy"/>
        <s v="PRESTACAO DE CONTAS REGULATORIO"/>
        <s v="Pagamento IPTU imovel Cozac - imovel cadastro 10628 - Rua Olavo Bilac, 1380 - 606698193 - Pipefy"/>
        <s v="Pagamento IPTU imovel Cozac - imovel cadastro 10628 - Rua Olavo Bilac, 1380 (IPTU 2021) - 606701428 - Pipefy"/>
        <s v="Tarifas bancarias 01/2020"/>
        <s v="REEMBOLSAVEIS - PRESTACAO DE CONTAS ARISP - RJ E FALENCIA"/>
        <s v="REEMBOLSO DE DESPESAS APROVADAS NO PIPEFY CARD 3665 REF AO CASO: COZAC_FALENCIA."/>
        <s v="TRABALHOS REALIZADOS NO MES FEVEREIRO DOS CASOS DESCRITOS EM PLANILHA ANEXA - 666850698 - Pipefy - RETENCAO OK"/>
        <s v="ADM - PRESTACAO DE CONTAS DO ARISP - TIME REGULATORIO"/>
        <s v="Rateio tarifas bancarias 12/2019."/>
        <s v="HONORARIOS ADVOCATICIOS REFERENTE A ELABORACAO DE PARECER JURIDICO E DESPACHO NO CASO COZAC. CONTRATO ASSINADO POR TODAS AS PARTES. (MARLENE TOCANDO O PGTO)APROVACAO DO CAMARA ANEXA AO CARD."/>
        <s v="Pagamento devido a titulo de honorarios de Exito para o Escritorio FELSBERG conforme aprovado em comite com OC (ATA anexo), com base nos 17MM da avaliacao interna (Enforce) dos imoveis, descontando eventuais debitos (contrato anexo).Pagamento Submetido. Numero de Solicitacao CAPG_299913"/>
      </sharedItems>
    </cacheField>
    <cacheField name="Cod. Banco" numFmtId="0">
      <sharedItems/>
    </cacheField>
    <cacheField name="Nome Banco" numFmtId="0">
      <sharedItems/>
    </cacheField>
    <cacheField name="Descrição Doc." numFmtId="0">
      <sharedItems/>
    </cacheField>
    <cacheField name="Número Doc."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2">
  <r>
    <s v="*** Pagamento ***"/>
    <d v="2025-09-01T00:00:00"/>
    <d v="2025-08-01T00:00:00"/>
    <n v="192.3"/>
    <n v="77.2"/>
    <n v="77.2"/>
    <d v="2025-11-17T00:00:00"/>
    <n v="77.624702675999998"/>
    <n v="81.656078139981915"/>
    <n v="273258"/>
    <x v="0"/>
    <s v="2.20.05.01"/>
    <x v="0"/>
    <n v="27143"/>
    <x v="0"/>
    <n v="4"/>
    <s v="COZAC - SPE COMERCIAL"/>
    <x v="0"/>
    <s v="CAIXA"/>
    <s v="CAIXA"/>
    <s v="PRESTAÇÃO DE CONTAS"/>
    <s v="ARISP - SPE.02"/>
  </r>
  <r>
    <s v="*** Pagamento ***"/>
    <d v="2025-09-01T00:00:00"/>
    <d v="2025-08-01T00:00:00"/>
    <n v="192.3"/>
    <n v="77.2"/>
    <n v="77.2"/>
    <d v="2025-11-17T00:00:00"/>
    <n v="77.624702675999998"/>
    <n v="81.656078139981915"/>
    <n v="273258"/>
    <x v="0"/>
    <s v="2.20.05.01"/>
    <x v="0"/>
    <n v="27159"/>
    <x v="1"/>
    <n v="4"/>
    <s v="COZAC - SPE COMERCIAL"/>
    <x v="0"/>
    <s v="CAIXA"/>
    <s v="CAIXA"/>
    <s v="PRESTAÇÃO DE CONTAS"/>
    <s v="ARISP - SPE.02"/>
  </r>
  <r>
    <s v="*** Pagamento ***"/>
    <d v="2025-09-03T00:00:00"/>
    <d v="2025-08-27T00:00:00"/>
    <n v="20261.52"/>
    <n v="18.235368000000001"/>
    <n v="18.235368000000001"/>
    <d v="2025-11-17T00:00:00"/>
    <n v="18.335686777039442"/>
    <n v="19.259842461967249"/>
    <n v="268023"/>
    <x v="1"/>
    <s v="2.20.03.19"/>
    <x v="1"/>
    <n v="29661"/>
    <x v="2"/>
    <n v="4"/>
    <s v="COZAC - SPE COMERCIAL"/>
    <x v="1"/>
    <s v="13016842-2"/>
    <s v="SANTANDER - SPE COMERCIAL"/>
    <s v="NOTA FISCAL DE SERVIÇOS"/>
    <s v="10230"/>
  </r>
  <r>
    <s v="*** Pagamento ***"/>
    <d v="2025-09-03T00:00:00"/>
    <d v="2025-08-28T00:00:00"/>
    <n v="6191.74"/>
    <n v="5.5725660000000001"/>
    <n v="5.5725660000000001"/>
    <d v="2025-11-17T00:00:00"/>
    <n v="5.6032225245127796"/>
    <n v="5.8856362684271017"/>
    <n v="267044"/>
    <x v="2"/>
    <s v="2.20.03.19"/>
    <x v="1"/>
    <n v="29661"/>
    <x v="2"/>
    <n v="4"/>
    <s v="COZAC - SPE COMERCIAL"/>
    <x v="2"/>
    <s v="13016842-2"/>
    <s v="SANTANDER - SPE COMERCIAL"/>
    <s v="NOTA FISCAL DE SERVIÇOS"/>
    <s v="11463"/>
  </r>
  <r>
    <s v="*** Pagamento ***"/>
    <d v="2025-10-03T00:00:00"/>
    <d v="2025-09-22T00:00:00"/>
    <n v="19598.759999999998"/>
    <n v="84.274668000000005"/>
    <n v="84.274668000000005"/>
    <d v="2025-11-17T00:00:00"/>
    <n v="84.299894779119128"/>
    <n v="87.084320870556027"/>
    <n v="272962"/>
    <x v="1"/>
    <s v="2.20.03.19"/>
    <x v="1"/>
    <n v="29661"/>
    <x v="2"/>
    <n v="4"/>
    <s v="COZAC - SPE COMERCIAL"/>
    <x v="3"/>
    <s v="13016842-2"/>
    <s v="SANTANDER - SPE COMERCIAL"/>
    <s v="NOTA FISCAL DE SERVIÇOS"/>
    <s v="10328"/>
  </r>
  <r>
    <s v="*** Pagamento ***"/>
    <d v="2025-10-03T00:00:00"/>
    <d v="2025-09-25T00:00:00"/>
    <n v="6191.74"/>
    <n v="26.624482"/>
    <n v="26.624482"/>
    <d v="2025-11-17T00:00:00"/>
    <n v="26.632451772441879"/>
    <n v="27.512121833578071"/>
    <n v="272990"/>
    <x v="2"/>
    <s v="2.20.03.19"/>
    <x v="1"/>
    <n v="29661"/>
    <x v="2"/>
    <n v="4"/>
    <s v="COZAC - SPE COMERCIAL"/>
    <x v="4"/>
    <s v="13016842-2"/>
    <s v="SANTANDER - SPE COMERCIAL"/>
    <s v="NOTA FISCAL DE SERVIÇOS"/>
    <s v="11516"/>
  </r>
  <r>
    <s v="*** Pagamento ***"/>
    <d v="2025-11-05T00:00:00"/>
    <d v="2025-10-24T00:00:00"/>
    <n v="6191.74"/>
    <n v="27.862829999999999"/>
    <n v="27.862829999999999"/>
    <d v="2025-11-17T00:00:00"/>
    <n v="27.862829999999999"/>
    <n v="28.107572330767074"/>
    <n v="276951"/>
    <x v="2"/>
    <s v="2.20.03.19"/>
    <x v="1"/>
    <n v="29661"/>
    <x v="2"/>
    <n v="4"/>
    <s v="COZAC - SPE COMERCIAL"/>
    <x v="5"/>
    <s v="13016842-2"/>
    <s v="SANTANDER - SPE COMERCIAL"/>
    <s v="NOTA FISCAL DE SERVIÇOS"/>
    <s v="11645"/>
  </r>
  <r>
    <s v="*** Pagamento ***"/>
    <d v="2025-11-05T00:00:00"/>
    <d v="2025-09-25T00:00:00"/>
    <n v="273.39999999999998"/>
    <n v="20.88"/>
    <n v="20.88"/>
    <d v="2025-11-17T00:00:00"/>
    <n v="20.88"/>
    <n v="21.063406346965348"/>
    <n v="272410"/>
    <x v="3"/>
    <s v="2.20.03.02"/>
    <x v="2"/>
    <n v="27162"/>
    <x v="3"/>
    <n v="4"/>
    <s v="COZAC - SPE COMERCIAL"/>
    <x v="6"/>
    <s v="13016842-2"/>
    <s v="SANTANDER - SPE COMERCIAL"/>
    <s v="GUIA PARA RECOLHIMENTO DE IMPOSTOS"/>
    <s v="79839_2025"/>
  </r>
  <r>
    <s v="*** Pagamento ***"/>
    <d v="2025-11-05T00:00:00"/>
    <d v="2025-10-24T00:00:00"/>
    <n v="19958.16"/>
    <n v="89.811719999999994"/>
    <n v="89.811719999999994"/>
    <d v="2025-11-17T00:00:00"/>
    <n v="89.811719999999994"/>
    <n v="90.600610779687472"/>
    <n v="276989"/>
    <x v="1"/>
    <s v="2.20.03.19"/>
    <x v="1"/>
    <n v="29661"/>
    <x v="2"/>
    <n v="4"/>
    <s v="COZAC - SPE COMERCIAL"/>
    <x v="7"/>
    <s v="13016842-2"/>
    <s v="SANTANDER - SPE COMERCIAL"/>
    <s v="NOTA FISCAL DE SERVIÇOS"/>
    <s v="10579"/>
  </r>
  <r>
    <s v="*** Pagamento ***"/>
    <d v="2025-11-06T00:00:00"/>
    <d v="2025-11-06T00:00:00"/>
    <n v="35684.879999999997"/>
    <n v="30403.82"/>
    <n v="30403.82"/>
    <d v="2025-11-17T00:00:00"/>
    <n v="30403.82"/>
    <n v="30648.537474796562"/>
    <n v="278941"/>
    <x v="3"/>
    <s v="2.20.03.02"/>
    <x v="2"/>
    <n v="27143"/>
    <x v="0"/>
    <n v="4"/>
    <s v="COZAC - SPE COMERCIAL"/>
    <x v="8"/>
    <s v="13016842-2"/>
    <s v="SANTANDER - SPE COMERCIAL"/>
    <s v="GUIA PARA RECOLHIMENTO DE IMPOSTOS"/>
    <s v="109077_2025"/>
  </r>
  <r>
    <s v="*** Pagamento ***"/>
    <d v="2025-11-06T00:00:00"/>
    <d v="2025-11-06T00:00:00"/>
    <n v="3330.33"/>
    <n v="3330.33"/>
    <n v="3330.33"/>
    <d v="2025-11-17T00:00:00"/>
    <n v="3330.33"/>
    <n v="3357.1355115389852"/>
    <n v="278997"/>
    <x v="0"/>
    <s v="2.20.02.03"/>
    <x v="3"/>
    <n v="27156"/>
    <x v="4"/>
    <n v="4"/>
    <s v="COZAC - SPE COMERCIAL"/>
    <x v="9"/>
    <s v="13016842-2"/>
    <s v="SANTANDER - SPE COMERCIAL"/>
    <s v="BOLETO"/>
    <s v="Mat. 83398"/>
  </r>
  <r>
    <s v="*** Pagamento ***"/>
    <d v="2025-11-06T00:00:00"/>
    <d v="2025-11-06T00:00:00"/>
    <n v="3863.26"/>
    <n v="3863.26"/>
    <n v="3863.26"/>
    <d v="2025-11-17T00:00:00"/>
    <n v="3863.26"/>
    <n v="3894.3550147607298"/>
    <n v="278990"/>
    <x v="0"/>
    <s v="2.20.02.03"/>
    <x v="3"/>
    <n v="27154"/>
    <x v="5"/>
    <n v="4"/>
    <s v="COZAC - SPE COMERCIAL"/>
    <x v="10"/>
    <s v="13016842-2"/>
    <s v="SANTANDER - SPE COMERCIAL"/>
    <s v="RECIBO"/>
    <s v="mat. 5104"/>
  </r>
  <r>
    <s v="*** Pagamento ***"/>
    <d v="2025-11-06T00:00:00"/>
    <d v="2025-11-06T00:00:00"/>
    <n v="7217.43"/>
    <n v="7217.43"/>
    <n v="7217.43"/>
    <d v="2025-11-17T00:00:00"/>
    <n v="7217.43"/>
    <n v="7275.5224122074451"/>
    <n v="278992"/>
    <x v="0"/>
    <s v="2.20.02.03"/>
    <x v="3"/>
    <n v="27149"/>
    <x v="6"/>
    <n v="4"/>
    <s v="COZAC - SPE COMERCIAL"/>
    <x v="11"/>
    <s v="13016842-2"/>
    <s v="SANTANDER - SPE COMERCIAL"/>
    <s v="BOLETO"/>
    <s v="mat. 72157"/>
  </r>
  <r>
    <s v="*** Pagamento ***"/>
    <d v="2025-11-06T00:00:00"/>
    <d v="2025-11-06T00:00:00"/>
    <n v="3824.66"/>
    <n v="3824.66"/>
    <n v="3824.66"/>
    <d v="2025-11-17T00:00:00"/>
    <n v="3824.66"/>
    <n v="3855.4443270074421"/>
    <n v="278995"/>
    <x v="0"/>
    <s v="2.20.02.03"/>
    <x v="3"/>
    <n v="27149"/>
    <x v="6"/>
    <n v="4"/>
    <s v="COZAC - SPE COMERCIAL"/>
    <x v="12"/>
    <s v="13016842-2"/>
    <s v="SANTANDER - SPE COMERCIAL"/>
    <s v="BOLETO"/>
    <s v="Mat. 62872"/>
  </r>
  <r>
    <s v="*** Pagamento ***"/>
    <d v="2025-08-07T00:00:00"/>
    <d v="2025-08-01T00:00:00"/>
    <n v="5930"/>
    <n v="309.99999999998403"/>
    <n v="309.99999999998403"/>
    <d v="2025-11-17T00:00:00"/>
    <n v="311.05067059998402"/>
    <n v="333.92246959776264"/>
    <n v="267268"/>
    <x v="4"/>
    <s v="2.20.06.03"/>
    <x v="4"/>
    <n v="27156"/>
    <x v="4"/>
    <n v="4"/>
    <s v="COZAC - SPE COMERCIAL"/>
    <x v="13"/>
    <s v="CAIXA"/>
    <s v="CAIXA"/>
    <s v="NOTA FISCAL DE SERVIÇOS"/>
    <s v="39.02"/>
  </r>
  <r>
    <s v="*** Pagamento ***"/>
    <d v="2025-08-07T00:00:00"/>
    <d v="2025-08-01T00:00:00"/>
    <n v="5930"/>
    <n v="310.00000000004297"/>
    <n v="310.00000000004297"/>
    <d v="2025-11-17T00:00:00"/>
    <n v="311.05067060004313"/>
    <n v="333.92246959782614"/>
    <n v="267268"/>
    <x v="4"/>
    <s v="2.20.06.03"/>
    <x v="4"/>
    <n v="27162"/>
    <x v="3"/>
    <n v="4"/>
    <s v="COZAC - SPE COMERCIAL"/>
    <x v="13"/>
    <s v="CAIXA"/>
    <s v="CAIXA"/>
    <s v="NOTA FISCAL DE SERVIÇOS"/>
    <s v="39.02"/>
  </r>
  <r>
    <s v="*** Pagamento ***"/>
    <d v="2025-08-07T00:00:00"/>
    <d v="2025-08-01T00:00:00"/>
    <n v="5930"/>
    <n v="309.99999999998403"/>
    <n v="309.99999999998403"/>
    <d v="2025-11-17T00:00:00"/>
    <n v="311.05067059998402"/>
    <n v="333.92246959776264"/>
    <n v="267268"/>
    <x v="4"/>
    <s v="2.20.06.03"/>
    <x v="4"/>
    <n v="27159"/>
    <x v="1"/>
    <n v="4"/>
    <s v="COZAC - SPE COMERCIAL"/>
    <x v="13"/>
    <s v="CAIXA"/>
    <s v="CAIXA"/>
    <s v="NOTA FISCAL DE SERVIÇOS"/>
    <s v="39.02"/>
  </r>
  <r>
    <s v="*** Pagamento ***"/>
    <d v="2025-09-08T00:00:00"/>
    <d v="2025-09-01T00:00:00"/>
    <n v="1526.34"/>
    <n v="1526.34"/>
    <n v="1526.34"/>
    <d v="2025-11-17T00:00:00"/>
    <n v="1534.7369000321999"/>
    <n v="1606.2270576907406"/>
    <n v="273265"/>
    <x v="0"/>
    <s v="2.20.02.03"/>
    <x v="3"/>
    <n v="27162"/>
    <x v="3"/>
    <n v="4"/>
    <s v="COZAC - SPE COMERCIAL"/>
    <x v="14"/>
    <s v="CAIXA"/>
    <s v="CAIXA"/>
    <s v="BOLETO"/>
    <s v="05092.02"/>
  </r>
  <r>
    <s v="*** Pagamento ***"/>
    <d v="2025-10-08T00:00:00"/>
    <d v="2025-09-25T00:00:00"/>
    <n v="273.39999999999998"/>
    <n v="20.88"/>
    <n v="20.88"/>
    <d v="2025-11-17T00:00:00"/>
    <n v="20.886250219199997"/>
    <n v="21.497644004761337"/>
    <n v="272410"/>
    <x v="3"/>
    <s v="2.20.03.02"/>
    <x v="2"/>
    <n v="27162"/>
    <x v="3"/>
    <n v="4"/>
    <s v="COZAC - SPE COMERCIAL"/>
    <x v="6"/>
    <s v="13016842-2"/>
    <s v="SANTANDER - SPE COMERCIAL"/>
    <s v="GUIA PARA RECOLHIMENTO DE IMPOSTOS"/>
    <s v="79839_2025"/>
  </r>
  <r>
    <s v="*** Pagamento ***"/>
    <d v="2025-10-08T00:00:00"/>
    <d v="2025-09-25T00:00:00"/>
    <n v="932.8"/>
    <n v="232.04"/>
    <n v="232.04"/>
    <d v="2025-11-17T00:00:00"/>
    <n v="232.10945885359999"/>
    <n v="238.90389439007762"/>
    <n v="272387"/>
    <x v="3"/>
    <s v="2.20.03.02"/>
    <x v="2"/>
    <n v="27159"/>
    <x v="1"/>
    <n v="4"/>
    <s v="COZAC - SPE COMERCIAL"/>
    <x v="15"/>
    <s v="13016842-2"/>
    <s v="SANTANDER - SPE COMERCIAL"/>
    <s v="GUIA PARA RECOLHIMENTO DE IMPOSTOS"/>
    <s v="67832_2025"/>
  </r>
  <r>
    <s v="*** Pagamento ***"/>
    <d v="2025-09-09T00:00:00"/>
    <d v="2025-09-02T00:00:00"/>
    <n v="1820"/>
    <n v="309.99999999999898"/>
    <n v="309.99999999999898"/>
    <d v="2025-11-17T00:00:00"/>
    <n v="311.70541229999895"/>
    <n v="325.98741668700455"/>
    <n v="273270"/>
    <x v="4"/>
    <s v="2.20.06.03"/>
    <x v="4"/>
    <n v="27158"/>
    <x v="7"/>
    <n v="4"/>
    <s v="COZAC - SPE COMERCIAL"/>
    <x v="16"/>
    <s v="CAIXA"/>
    <s v="CAIXA"/>
    <s v="NOTA FISCAL DE SERVIÇOS"/>
    <s v="43.02"/>
  </r>
  <r>
    <s v="*** Pagamento ***"/>
    <d v="2025-09-09T00:00:00"/>
    <d v="2025-09-02T00:00:00"/>
    <n v="1820"/>
    <n v="600.00000000000102"/>
    <n v="600.00000000000102"/>
    <d v="2025-11-17T00:00:00"/>
    <n v="603.30079800000101"/>
    <n v="630.94338713614093"/>
    <n v="273270"/>
    <x v="4"/>
    <s v="2.20.06.03"/>
    <x v="4"/>
    <n v="27143"/>
    <x v="0"/>
    <n v="4"/>
    <s v="COZAC - SPE COMERCIAL"/>
    <x v="16"/>
    <s v="CAIXA"/>
    <s v="CAIXA"/>
    <s v="NOTA FISCAL DE SERVIÇOS"/>
    <s v="43.02"/>
  </r>
  <r>
    <s v="*** Pagamento ***"/>
    <d v="2025-09-09T00:00:00"/>
    <d v="2025-09-02T00:00:00"/>
    <n v="1820"/>
    <n v="600.00000000000102"/>
    <n v="600.00000000000102"/>
    <d v="2025-11-17T00:00:00"/>
    <n v="603.30079800000101"/>
    <n v="630.94338713614093"/>
    <n v="273270"/>
    <x v="4"/>
    <s v="2.20.06.03"/>
    <x v="4"/>
    <n v="27156"/>
    <x v="4"/>
    <n v="4"/>
    <s v="COZAC - SPE COMERCIAL"/>
    <x v="16"/>
    <s v="CAIXA"/>
    <s v="CAIXA"/>
    <s v="NOTA FISCAL DE SERVIÇOS"/>
    <s v="43.02"/>
  </r>
  <r>
    <s v="*** Pagamento ***"/>
    <d v="2025-09-09T00:00:00"/>
    <d v="2025-09-02T00:00:00"/>
    <n v="1820"/>
    <n v="309.99999999999898"/>
    <n v="309.99999999999898"/>
    <d v="2025-11-17T00:00:00"/>
    <n v="311.70541229999895"/>
    <n v="325.98741668700455"/>
    <n v="273270"/>
    <x v="4"/>
    <s v="2.20.06.03"/>
    <x v="4"/>
    <n v="27149"/>
    <x v="6"/>
    <n v="4"/>
    <s v="COZAC - SPE COMERCIAL"/>
    <x v="16"/>
    <s v="CAIXA"/>
    <s v="CAIXA"/>
    <s v="NOTA FISCAL DE SERVIÇOS"/>
    <s v="43.02"/>
  </r>
  <r>
    <s v="*** Pagamento ***"/>
    <d v="2025-11-10T00:00:00"/>
    <d v="2025-11-06T00:00:00"/>
    <n v="35684.879999999997"/>
    <n v="2640.53"/>
    <n v="2640.53"/>
    <d v="2025-11-17T00:00:00"/>
    <n v="2640.53"/>
    <n v="2654.0351552216848"/>
    <n v="278941"/>
    <x v="3"/>
    <s v="2.20.03.02"/>
    <x v="2"/>
    <n v="27143"/>
    <x v="0"/>
    <n v="4"/>
    <s v="COZAC - SPE COMERCIAL"/>
    <x v="8"/>
    <s v="13016842-2"/>
    <s v="SANTANDER - SPE COMERCIAL"/>
    <s v="GUIA PARA RECOLHIMENTO DE IMPOSTOS"/>
    <s v="109077_2025"/>
  </r>
  <r>
    <s v="*** Pagamento ***"/>
    <d v="2025-09-12T00:00:00"/>
    <d v="2025-09-01T00:00:00"/>
    <n v="3350.33"/>
    <n v="1675.160000000006"/>
    <n v="1675.160000000006"/>
    <d v="2025-11-17T00:00:00"/>
    <n v="1684.375607962806"/>
    <n v="1757.7046790366337"/>
    <n v="273273"/>
    <x v="0"/>
    <s v="2.20.02.03"/>
    <x v="3"/>
    <n v="27159"/>
    <x v="1"/>
    <n v="4"/>
    <s v="COZAC - SPE COMERCIAL"/>
    <x v="17"/>
    <s v="CAIXA"/>
    <s v="CAIXA"/>
    <s v="BOLETO"/>
    <s v="1109.02"/>
  </r>
  <r>
    <s v="*** Pagamento ***"/>
    <d v="2025-09-12T00:00:00"/>
    <d v="2025-09-01T00:00:00"/>
    <n v="3350.33"/>
    <n v="1675.1699999999939"/>
    <n v="1675.1699999999939"/>
    <d v="2025-11-17T00:00:00"/>
    <n v="1684.385662976094"/>
    <n v="1757.7151717936058"/>
    <n v="273273"/>
    <x v="0"/>
    <s v="2.20.02.03"/>
    <x v="3"/>
    <n v="27162"/>
    <x v="3"/>
    <n v="4"/>
    <s v="COZAC - SPE COMERCIAL"/>
    <x v="17"/>
    <s v="CAIXA"/>
    <s v="CAIXA"/>
    <s v="BOLETO"/>
    <s v="1109.02"/>
  </r>
  <r>
    <s v="*** Pagamento ***"/>
    <d v="2025-11-14T00:00:00"/>
    <d v="2025-11-11T00:00:00"/>
    <n v="12026.67"/>
    <n v="12026.67"/>
    <n v="12026.67"/>
    <d v="2025-11-17T00:00:00"/>
    <n v="12026.67"/>
    <n v="12052.993502862151"/>
    <n v="280320"/>
    <x v="3"/>
    <s v="2.20.02.01"/>
    <x v="5"/>
    <n v="27145"/>
    <x v="8"/>
    <n v="4"/>
    <s v="COZAC - SPE COMERCIAL"/>
    <x v="18"/>
    <s v="13016842-2"/>
    <s v="SANTANDER - SPE COMERCIAL"/>
    <s v="GUIA PARA RECOLHIMENTO DE IMPOSTOS"/>
    <s v="22732/2025"/>
  </r>
  <r>
    <s v="*** Pagamento ***"/>
    <d v="2025-11-14T00:00:00"/>
    <d v="2025-11-11T00:00:00"/>
    <n v="4613.33"/>
    <n v="4613.33"/>
    <n v="4613.33"/>
    <d v="2025-11-17T00:00:00"/>
    <n v="4613.33"/>
    <n v="4623.4274754823282"/>
    <n v="280140"/>
    <x v="3"/>
    <s v="2.20.02.01"/>
    <x v="5"/>
    <n v="27151"/>
    <x v="9"/>
    <n v="4"/>
    <s v="COZAC - SPE COMERCIAL"/>
    <x v="19"/>
    <s v="13016842-2"/>
    <s v="SANTANDER - SPE COMERCIAL"/>
    <s v="GUIA PARA RECOLHIMENTO DE IMPOSTOS"/>
    <s v="22734/2025"/>
  </r>
  <r>
    <s v="*** Pagamento ***"/>
    <d v="2025-11-14T00:00:00"/>
    <d v="2025-11-11T00:00:00"/>
    <n v="11460"/>
    <n v="11460"/>
    <n v="11460"/>
    <d v="2025-11-17T00:00:00"/>
    <n v="11460"/>
    <n v="11485.083197826185"/>
    <n v="280315"/>
    <x v="3"/>
    <s v="2.20.02.01"/>
    <x v="5"/>
    <n v="27146"/>
    <x v="10"/>
    <n v="4"/>
    <s v="COZAC - SPE COMERCIAL"/>
    <x v="20"/>
    <s v="13016842-2"/>
    <s v="SANTANDER - SPE COMERCIAL"/>
    <s v="GUIA PARA RECOLHIMENTO DE IMPOSTOS"/>
    <s v="22735/2025"/>
  </r>
  <r>
    <s v="*** Pagamento ***"/>
    <d v="2025-11-14T00:00:00"/>
    <d v="2025-11-11T00:00:00"/>
    <n v="9140"/>
    <n v="9140"/>
    <n v="9140"/>
    <d v="2025-11-17T00:00:00"/>
    <n v="9140"/>
    <n v="9160.0052729608506"/>
    <n v="280313"/>
    <x v="3"/>
    <s v="2.20.02.01"/>
    <x v="5"/>
    <n v="27160"/>
    <x v="11"/>
    <n v="4"/>
    <s v="COZAC - SPE COMERCIAL"/>
    <x v="21"/>
    <s v="13016842-2"/>
    <s v="SANTANDER - SPE COMERCIAL"/>
    <s v="GUIA PARA RECOLHIMENTO DE IMPOSTOS"/>
    <s v="22733/2025"/>
  </r>
  <r>
    <s v="*** Pagamento ***"/>
    <d v="2025-10-15T00:00:00"/>
    <d v="2025-09-22T00:00:00"/>
    <n v="2216.41"/>
    <n v="9.9738450000000007"/>
    <n v="9.9738450000000007"/>
    <d v="2025-11-17T00:00:00"/>
    <n v="9.9768305707623011"/>
    <n v="10.216624272289673"/>
    <n v="277639"/>
    <x v="5"/>
    <s v="2.07.17"/>
    <x v="6"/>
    <n v="29661"/>
    <x v="2"/>
    <n v="4"/>
    <s v="COZAC - SPE COMERCIAL"/>
    <x v="22"/>
    <s v="CAIXA"/>
    <s v="CAIXA"/>
    <s v="NOTA FISCAL DE SERVIÇOS"/>
    <s v="880712.2"/>
  </r>
  <r>
    <s v="*** Pagamento ***"/>
    <d v="2025-09-16T00:00:00"/>
    <d v="2025-09-12T00:00:00"/>
    <n v="439.91"/>
    <n v="1.5400000000009999"/>
    <n v="1.5400000000009999"/>
    <d v="2025-11-17T00:00:00"/>
    <n v="1.5484720482010053"/>
    <n v="1.6111808753343562"/>
    <n v="273607"/>
    <x v="6"/>
    <s v="2.20.01.05"/>
    <x v="7"/>
    <n v="27146"/>
    <x v="10"/>
    <n v="4"/>
    <s v="COZAC - SPE COMERCIAL"/>
    <x v="23"/>
    <s v="CAIXA"/>
    <s v="CAIXA"/>
    <s v="RELATÓRIO DE DESPESAS VIAGENS"/>
    <s v="8276452.02"/>
  </r>
  <r>
    <s v="*** Pagamento ***"/>
    <d v="2025-09-16T00:00:00"/>
    <d v="2025-09-12T00:00:00"/>
    <n v="439.91"/>
    <n v="7.9800000000009996"/>
    <n v="7.9800000000009996"/>
    <d v="2025-11-17T00:00:00"/>
    <n v="8.023900613401004"/>
    <n v="8.3488463540009246"/>
    <n v="273607"/>
    <x v="6"/>
    <s v="2.20.01.03"/>
    <x v="8"/>
    <n v="27146"/>
    <x v="10"/>
    <n v="4"/>
    <s v="COZAC - SPE COMERCIAL"/>
    <x v="23"/>
    <s v="CAIXA"/>
    <s v="CAIXA"/>
    <s v="RELATÓRIO DE DESPESAS VIAGENS"/>
    <s v="8276452.02"/>
  </r>
  <r>
    <s v="*** Pagamento ***"/>
    <d v="2025-09-16T00:00:00"/>
    <d v="2025-09-12T00:00:00"/>
    <n v="439.91"/>
    <n v="7.9800000000009996"/>
    <n v="7.9800000000009996"/>
    <d v="2025-11-17T00:00:00"/>
    <n v="8.023900613401004"/>
    <n v="8.3488463540009246"/>
    <n v="273607"/>
    <x v="6"/>
    <s v="2.20.01.03"/>
    <x v="8"/>
    <n v="27165"/>
    <x v="12"/>
    <n v="4"/>
    <s v="COZAC - SPE COMERCIAL"/>
    <x v="23"/>
    <s v="CAIXA"/>
    <s v="CAIXA"/>
    <s v="RELATÓRIO DE DESPESAS VIAGENS"/>
    <s v="8276452.02"/>
  </r>
  <r>
    <s v="*** Pagamento ***"/>
    <d v="2025-09-16T00:00:00"/>
    <d v="2025-09-12T00:00:00"/>
    <n v="439.91"/>
    <n v="20.529999999998999"/>
    <n v="20.529999999998999"/>
    <d v="2025-11-17T00:00:00"/>
    <n v="20.642942304898995"/>
    <n v="21.478924266617689"/>
    <n v="273607"/>
    <x v="6"/>
    <s v="2.20.01.06"/>
    <x v="9"/>
    <n v="27151"/>
    <x v="9"/>
    <n v="4"/>
    <s v="COZAC - SPE COMERCIAL"/>
    <x v="23"/>
    <s v="CAIXA"/>
    <s v="CAIXA"/>
    <s v="RELATÓRIO DE DESPESAS VIAGENS"/>
    <s v="8276452.02"/>
  </r>
  <r>
    <s v="*** Pagamento ***"/>
    <d v="2025-09-16T00:00:00"/>
    <d v="2025-09-12T00:00:00"/>
    <n v="439.91"/>
    <n v="20.529999999998999"/>
    <n v="20.529999999998999"/>
    <d v="2025-11-17T00:00:00"/>
    <n v="20.642942304898995"/>
    <n v="21.478924266617689"/>
    <n v="273607"/>
    <x v="6"/>
    <s v="2.20.01.06"/>
    <x v="9"/>
    <n v="27165"/>
    <x v="12"/>
    <n v="4"/>
    <s v="COZAC - SPE COMERCIAL"/>
    <x v="23"/>
    <s v="CAIXA"/>
    <s v="CAIXA"/>
    <s v="RELATÓRIO DE DESPESAS VIAGENS"/>
    <s v="8276452.02"/>
  </r>
  <r>
    <s v="*** Pagamento ***"/>
    <d v="2025-09-16T00:00:00"/>
    <d v="2025-09-12T00:00:00"/>
    <n v="439.91"/>
    <n v="3.79"/>
    <n v="3.79"/>
    <d v="2025-11-17T00:00:00"/>
    <n v="3.8108500407000001"/>
    <n v="3.9651789074761332"/>
    <n v="273607"/>
    <x v="6"/>
    <s v="2.20.01.07"/>
    <x v="10"/>
    <n v="27151"/>
    <x v="9"/>
    <n v="4"/>
    <s v="COZAC - SPE COMERCIAL"/>
    <x v="23"/>
    <s v="CAIXA"/>
    <s v="CAIXA"/>
    <s v="RELATÓRIO DE DESPESAS VIAGENS"/>
    <s v="8276452.02"/>
  </r>
  <r>
    <s v="*** Pagamento ***"/>
    <d v="2025-09-16T00:00:00"/>
    <d v="2025-09-12T00:00:00"/>
    <n v="439.91"/>
    <n v="1.5400000000009999"/>
    <n v="1.5400000000009999"/>
    <d v="2025-11-17T00:00:00"/>
    <n v="1.5484720482010053"/>
    <n v="1.6111808753343562"/>
    <n v="273607"/>
    <x v="6"/>
    <s v="2.20.01.05"/>
    <x v="7"/>
    <n v="27165"/>
    <x v="12"/>
    <n v="4"/>
    <s v="COZAC - SPE COMERCIAL"/>
    <x v="23"/>
    <s v="CAIXA"/>
    <s v="CAIXA"/>
    <s v="RELATÓRIO DE DESPESAS VIAGENS"/>
    <s v="8276452.02"/>
  </r>
  <r>
    <s v="*** Pagamento ***"/>
    <d v="2025-09-16T00:00:00"/>
    <d v="2025-09-12T00:00:00"/>
    <n v="439.91"/>
    <n v="1.5400000000009999"/>
    <n v="1.5400000000009999"/>
    <d v="2025-11-17T00:00:00"/>
    <n v="1.5484720482010053"/>
    <n v="1.6111808753343562"/>
    <n v="273607"/>
    <x v="6"/>
    <s v="2.20.01.05"/>
    <x v="7"/>
    <n v="27151"/>
    <x v="9"/>
    <n v="4"/>
    <s v="COZAC - SPE COMERCIAL"/>
    <x v="23"/>
    <s v="CAIXA"/>
    <s v="CAIXA"/>
    <s v="RELATÓRIO DE DESPESAS VIAGENS"/>
    <s v="8276452.02"/>
  </r>
  <r>
    <s v="*** Pagamento ***"/>
    <d v="2025-09-16T00:00:00"/>
    <d v="2025-09-12T00:00:00"/>
    <n v="439.91"/>
    <n v="3.79"/>
    <n v="3.79"/>
    <d v="2025-11-17T00:00:00"/>
    <n v="3.8108500407000001"/>
    <n v="3.9651789074761332"/>
    <n v="273607"/>
    <x v="6"/>
    <s v="2.20.01.07"/>
    <x v="10"/>
    <n v="27165"/>
    <x v="12"/>
    <n v="4"/>
    <s v="COZAC - SPE COMERCIAL"/>
    <x v="23"/>
    <s v="CAIXA"/>
    <s v="CAIXA"/>
    <s v="RELATÓRIO DE DESPESAS VIAGENS"/>
    <s v="8276452.02"/>
  </r>
  <r>
    <s v="*** Pagamento ***"/>
    <d v="2025-09-16T00:00:00"/>
    <d v="2025-09-12T00:00:00"/>
    <n v="439.91"/>
    <n v="7.9800000000009996"/>
    <n v="7.9800000000009996"/>
    <d v="2025-11-17T00:00:00"/>
    <n v="8.023900613401004"/>
    <n v="8.3488463540009246"/>
    <n v="273607"/>
    <x v="6"/>
    <s v="2.20.01.03"/>
    <x v="8"/>
    <n v="27151"/>
    <x v="9"/>
    <n v="4"/>
    <s v="COZAC - SPE COMERCIAL"/>
    <x v="23"/>
    <s v="CAIXA"/>
    <s v="CAIXA"/>
    <s v="RELATÓRIO DE DESPESAS VIAGENS"/>
    <s v="8276452.02"/>
  </r>
  <r>
    <s v="*** Pagamento ***"/>
    <d v="2025-09-16T00:00:00"/>
    <d v="2025-09-12T00:00:00"/>
    <n v="439.91"/>
    <n v="20.529999999998999"/>
    <n v="20.529999999998999"/>
    <d v="2025-11-17T00:00:00"/>
    <n v="20.642942304898995"/>
    <n v="21.478924266617689"/>
    <n v="273607"/>
    <x v="6"/>
    <s v="2.20.01.06"/>
    <x v="9"/>
    <n v="27146"/>
    <x v="10"/>
    <n v="4"/>
    <s v="COZAC - SPE COMERCIAL"/>
    <x v="23"/>
    <s v="CAIXA"/>
    <s v="CAIXA"/>
    <s v="RELATÓRIO DE DESPESAS VIAGENS"/>
    <s v="8276452.02"/>
  </r>
  <r>
    <s v="*** Pagamento ***"/>
    <d v="2025-09-16T00:00:00"/>
    <d v="2025-09-12T00:00:00"/>
    <n v="439.91"/>
    <n v="3.79"/>
    <n v="3.79"/>
    <d v="2025-11-17T00:00:00"/>
    <n v="3.8108500407000001"/>
    <n v="3.9651789074761332"/>
    <n v="273607"/>
    <x v="6"/>
    <s v="2.20.01.07"/>
    <x v="10"/>
    <n v="27146"/>
    <x v="10"/>
    <n v="4"/>
    <s v="COZAC - SPE COMERCIAL"/>
    <x v="23"/>
    <s v="CAIXA"/>
    <s v="CAIXA"/>
    <s v="RELATÓRIO DE DESPESAS VIAGENS"/>
    <s v="8276452.02"/>
  </r>
  <r>
    <s v="*** Pagamento ***"/>
    <d v="2025-09-16T00:00:00"/>
    <d v="2025-09-12T00:00:00"/>
    <n v="439.91"/>
    <n v="7.9800000000009996"/>
    <n v="7.9800000000009996"/>
    <d v="2025-11-17T00:00:00"/>
    <n v="8.023900613401004"/>
    <n v="8.3488463540009246"/>
    <n v="273607"/>
    <x v="6"/>
    <s v="2.20.01.03"/>
    <x v="8"/>
    <n v="27154"/>
    <x v="5"/>
    <n v="4"/>
    <s v="COZAC - SPE COMERCIAL"/>
    <x v="23"/>
    <s v="CAIXA"/>
    <s v="CAIXA"/>
    <s v="RELATÓRIO DE DESPESAS VIAGENS"/>
    <s v="8276452.02"/>
  </r>
  <r>
    <s v="*** Pagamento ***"/>
    <d v="2025-09-16T00:00:00"/>
    <d v="2025-09-12T00:00:00"/>
    <n v="439.91"/>
    <n v="3.79"/>
    <n v="3.79"/>
    <d v="2025-11-17T00:00:00"/>
    <n v="3.8108500407000001"/>
    <n v="3.9651789074761332"/>
    <n v="273607"/>
    <x v="6"/>
    <s v="2.20.01.07"/>
    <x v="10"/>
    <n v="27154"/>
    <x v="5"/>
    <n v="4"/>
    <s v="COZAC - SPE COMERCIAL"/>
    <x v="23"/>
    <s v="CAIXA"/>
    <s v="CAIXA"/>
    <s v="RELATÓRIO DE DESPESAS VIAGENS"/>
    <s v="8276452.02"/>
  </r>
  <r>
    <s v="*** Pagamento ***"/>
    <d v="2025-09-16T00:00:00"/>
    <d v="2025-09-12T00:00:00"/>
    <n v="439.91"/>
    <n v="20.529999999998999"/>
    <n v="20.529999999998999"/>
    <d v="2025-11-17T00:00:00"/>
    <n v="20.642942304898995"/>
    <n v="21.478924266617689"/>
    <n v="273607"/>
    <x v="6"/>
    <s v="2.20.01.06"/>
    <x v="9"/>
    <n v="27154"/>
    <x v="5"/>
    <n v="4"/>
    <s v="COZAC - SPE COMERCIAL"/>
    <x v="23"/>
    <s v="CAIXA"/>
    <s v="CAIXA"/>
    <s v="RELATÓRIO DE DESPESAS VIAGENS"/>
    <s v="8276452.02"/>
  </r>
  <r>
    <s v="*** Pagamento ***"/>
    <d v="2025-09-16T00:00:00"/>
    <d v="2025-09-12T00:00:00"/>
    <n v="439.91"/>
    <n v="1.5400000000009999"/>
    <n v="1.5400000000009999"/>
    <d v="2025-11-17T00:00:00"/>
    <n v="1.5484720482010053"/>
    <n v="1.6111808753343562"/>
    <n v="273607"/>
    <x v="6"/>
    <s v="2.20.01.05"/>
    <x v="7"/>
    <n v="27154"/>
    <x v="5"/>
    <n v="4"/>
    <s v="COZAC - SPE COMERCIAL"/>
    <x v="23"/>
    <s v="CAIXA"/>
    <s v="CAIXA"/>
    <s v="RELATÓRIO DE DESPESAS VIAGENS"/>
    <s v="8276452.02"/>
  </r>
  <r>
    <s v="*** Pagamento ***"/>
    <d v="2025-09-16T00:00:00"/>
    <d v="2025-09-12T00:00:00"/>
    <n v="439.91"/>
    <n v="20.529999999998999"/>
    <n v="20.529999999998999"/>
    <d v="2025-11-17T00:00:00"/>
    <n v="20.642942304898995"/>
    <n v="21.478924266617689"/>
    <n v="273607"/>
    <x v="6"/>
    <s v="2.20.01.06"/>
    <x v="9"/>
    <n v="27158"/>
    <x v="7"/>
    <n v="4"/>
    <s v="COZAC - SPE COMERCIAL"/>
    <x v="23"/>
    <s v="CAIXA"/>
    <s v="CAIXA"/>
    <s v="RELATÓRIO DE DESPESAS VIAGENS"/>
    <s v="8276452.02"/>
  </r>
  <r>
    <s v="*** Pagamento ***"/>
    <d v="2025-09-16T00:00:00"/>
    <d v="2025-09-12T00:00:00"/>
    <n v="439.91"/>
    <n v="1.5400000000009999"/>
    <n v="1.5400000000009999"/>
    <d v="2025-11-17T00:00:00"/>
    <n v="1.5484720482010053"/>
    <n v="1.6111808753343562"/>
    <n v="273607"/>
    <x v="6"/>
    <s v="2.20.01.05"/>
    <x v="7"/>
    <n v="27158"/>
    <x v="7"/>
    <n v="4"/>
    <s v="COZAC - SPE COMERCIAL"/>
    <x v="23"/>
    <s v="CAIXA"/>
    <s v="CAIXA"/>
    <s v="RELATÓRIO DE DESPESAS VIAGENS"/>
    <s v="8276452.02"/>
  </r>
  <r>
    <s v="*** Pagamento ***"/>
    <d v="2025-09-16T00:00:00"/>
    <d v="2025-09-12T00:00:00"/>
    <n v="439.91"/>
    <n v="3.79"/>
    <n v="3.79"/>
    <d v="2025-11-17T00:00:00"/>
    <n v="3.8108500407000001"/>
    <n v="3.9651789074761332"/>
    <n v="273607"/>
    <x v="6"/>
    <s v="2.20.01.07"/>
    <x v="10"/>
    <n v="27158"/>
    <x v="7"/>
    <n v="4"/>
    <s v="COZAC - SPE COMERCIAL"/>
    <x v="23"/>
    <s v="CAIXA"/>
    <s v="CAIXA"/>
    <s v="RELATÓRIO DE DESPESAS VIAGENS"/>
    <s v="8276452.02"/>
  </r>
  <r>
    <s v="*** Pagamento ***"/>
    <d v="2025-09-16T00:00:00"/>
    <d v="2025-09-12T00:00:00"/>
    <n v="439.91"/>
    <n v="7.9800000000009996"/>
    <n v="7.9800000000009996"/>
    <d v="2025-11-17T00:00:00"/>
    <n v="8.023900613401004"/>
    <n v="8.3488463540009246"/>
    <n v="273607"/>
    <x v="6"/>
    <s v="2.20.01.03"/>
    <x v="8"/>
    <n v="27158"/>
    <x v="7"/>
    <n v="4"/>
    <s v="COZAC - SPE COMERCIAL"/>
    <x v="23"/>
    <s v="CAIXA"/>
    <s v="CAIXA"/>
    <s v="RELATÓRIO DE DESPESAS VIAGENS"/>
    <s v="8276452.02"/>
  </r>
  <r>
    <s v="*** Pagamento ***"/>
    <d v="2025-09-16T00:00:00"/>
    <d v="2025-09-12T00:00:00"/>
    <n v="439.91"/>
    <n v="3.79"/>
    <n v="3.79"/>
    <d v="2025-11-17T00:00:00"/>
    <n v="3.8108500407000001"/>
    <n v="3.9651789074761332"/>
    <n v="273607"/>
    <x v="6"/>
    <s v="2.20.01.07"/>
    <x v="10"/>
    <n v="27162"/>
    <x v="3"/>
    <n v="4"/>
    <s v="COZAC - SPE COMERCIAL"/>
    <x v="23"/>
    <s v="CAIXA"/>
    <s v="CAIXA"/>
    <s v="RELATÓRIO DE DESPESAS VIAGENS"/>
    <s v="8276452.02"/>
  </r>
  <r>
    <s v="*** Pagamento ***"/>
    <d v="2025-09-16T00:00:00"/>
    <d v="2025-09-12T00:00:00"/>
    <n v="439.91"/>
    <n v="20.529999999998999"/>
    <n v="20.529999999998999"/>
    <d v="2025-11-17T00:00:00"/>
    <n v="20.642942304898995"/>
    <n v="21.478924266617689"/>
    <n v="273607"/>
    <x v="6"/>
    <s v="2.20.01.06"/>
    <x v="9"/>
    <n v="27162"/>
    <x v="3"/>
    <n v="4"/>
    <s v="COZAC - SPE COMERCIAL"/>
    <x v="23"/>
    <s v="CAIXA"/>
    <s v="CAIXA"/>
    <s v="RELATÓRIO DE DESPESAS VIAGENS"/>
    <s v="8276452.02"/>
  </r>
  <r>
    <s v="*** Pagamento ***"/>
    <d v="2025-09-16T00:00:00"/>
    <d v="2025-09-12T00:00:00"/>
    <n v="439.91"/>
    <n v="1.5400000000009999"/>
    <n v="1.5400000000009999"/>
    <d v="2025-11-17T00:00:00"/>
    <n v="1.5484720482010053"/>
    <n v="1.6111808753343562"/>
    <n v="273607"/>
    <x v="6"/>
    <s v="2.20.01.05"/>
    <x v="7"/>
    <n v="27162"/>
    <x v="3"/>
    <n v="4"/>
    <s v="COZAC - SPE COMERCIAL"/>
    <x v="23"/>
    <s v="CAIXA"/>
    <s v="CAIXA"/>
    <s v="RELATÓRIO DE DESPESAS VIAGENS"/>
    <s v="8276452.02"/>
  </r>
  <r>
    <s v="*** Pagamento ***"/>
    <d v="2025-09-16T00:00:00"/>
    <d v="2025-09-12T00:00:00"/>
    <n v="439.91"/>
    <n v="1.5400000000009999"/>
    <n v="1.5400000000009999"/>
    <d v="2025-11-17T00:00:00"/>
    <n v="1.5484720482010053"/>
    <n v="1.6111808753343562"/>
    <n v="273607"/>
    <x v="6"/>
    <s v="2.20.01.05"/>
    <x v="7"/>
    <n v="27145"/>
    <x v="8"/>
    <n v="4"/>
    <s v="COZAC - SPE COMERCIAL"/>
    <x v="23"/>
    <s v="CAIXA"/>
    <s v="CAIXA"/>
    <s v="RELATÓRIO DE DESPESAS VIAGENS"/>
    <s v="8276452.02"/>
  </r>
  <r>
    <s v="*** Pagamento ***"/>
    <d v="2025-09-16T00:00:00"/>
    <d v="2025-09-12T00:00:00"/>
    <n v="439.91"/>
    <n v="7.9800000000009996"/>
    <n v="7.9800000000009996"/>
    <d v="2025-11-17T00:00:00"/>
    <n v="8.023900613401004"/>
    <n v="8.3488463540009246"/>
    <n v="273607"/>
    <x v="6"/>
    <s v="2.20.01.03"/>
    <x v="8"/>
    <n v="27149"/>
    <x v="6"/>
    <n v="4"/>
    <s v="COZAC - SPE COMERCIAL"/>
    <x v="23"/>
    <s v="CAIXA"/>
    <s v="CAIXA"/>
    <s v="RELATÓRIO DE DESPESAS VIAGENS"/>
    <s v="8276452.02"/>
  </r>
  <r>
    <s v="*** Pagamento ***"/>
    <d v="2025-09-16T00:00:00"/>
    <d v="2025-09-12T00:00:00"/>
    <n v="439.91"/>
    <n v="20.529999999998999"/>
    <n v="20.529999999998999"/>
    <d v="2025-11-17T00:00:00"/>
    <n v="20.642942304898995"/>
    <n v="21.478924266617689"/>
    <n v="273607"/>
    <x v="6"/>
    <s v="2.20.01.06"/>
    <x v="9"/>
    <n v="27145"/>
    <x v="8"/>
    <n v="4"/>
    <s v="COZAC - SPE COMERCIAL"/>
    <x v="23"/>
    <s v="CAIXA"/>
    <s v="CAIXA"/>
    <s v="RELATÓRIO DE DESPESAS VIAGENS"/>
    <s v="8276452.02"/>
  </r>
  <r>
    <s v="*** Pagamento ***"/>
    <d v="2025-09-16T00:00:00"/>
    <d v="2025-09-12T00:00:00"/>
    <n v="439.91"/>
    <n v="7.9800000000009996"/>
    <n v="7.9800000000009996"/>
    <d v="2025-11-17T00:00:00"/>
    <n v="8.023900613401004"/>
    <n v="8.3488463540009246"/>
    <n v="273607"/>
    <x v="6"/>
    <s v="2.20.01.03"/>
    <x v="8"/>
    <n v="27145"/>
    <x v="8"/>
    <n v="4"/>
    <s v="COZAC - SPE COMERCIAL"/>
    <x v="23"/>
    <s v="CAIXA"/>
    <s v="CAIXA"/>
    <s v="RELATÓRIO DE DESPESAS VIAGENS"/>
    <s v="8276452.02"/>
  </r>
  <r>
    <s v="*** Pagamento ***"/>
    <d v="2025-09-16T00:00:00"/>
    <d v="2025-09-12T00:00:00"/>
    <n v="439.91"/>
    <n v="1.5400000000009999"/>
    <n v="1.5400000000009999"/>
    <d v="2025-11-17T00:00:00"/>
    <n v="1.5484720482010053"/>
    <n v="1.6111808753343562"/>
    <n v="273607"/>
    <x v="6"/>
    <s v="2.20.01.05"/>
    <x v="7"/>
    <n v="27149"/>
    <x v="6"/>
    <n v="4"/>
    <s v="COZAC - SPE COMERCIAL"/>
    <x v="23"/>
    <s v="CAIXA"/>
    <s v="CAIXA"/>
    <s v="RELATÓRIO DE DESPESAS VIAGENS"/>
    <s v="8276452.02"/>
  </r>
  <r>
    <s v="*** Pagamento ***"/>
    <d v="2025-09-16T00:00:00"/>
    <d v="2025-09-12T00:00:00"/>
    <n v="439.91"/>
    <n v="20.529999999998999"/>
    <n v="20.529999999998999"/>
    <d v="2025-11-17T00:00:00"/>
    <n v="20.642942304898995"/>
    <n v="21.478924266617689"/>
    <n v="273607"/>
    <x v="6"/>
    <s v="2.20.01.06"/>
    <x v="9"/>
    <n v="27149"/>
    <x v="6"/>
    <n v="4"/>
    <s v="COZAC - SPE COMERCIAL"/>
    <x v="23"/>
    <s v="CAIXA"/>
    <s v="CAIXA"/>
    <s v="RELATÓRIO DE DESPESAS VIAGENS"/>
    <s v="8276452.02"/>
  </r>
  <r>
    <s v="*** Pagamento ***"/>
    <d v="2025-09-16T00:00:00"/>
    <d v="2025-09-12T00:00:00"/>
    <n v="439.91"/>
    <n v="3.79"/>
    <n v="3.79"/>
    <d v="2025-11-17T00:00:00"/>
    <n v="3.8108500407000001"/>
    <n v="3.9651789074761332"/>
    <n v="273607"/>
    <x v="6"/>
    <s v="2.20.01.07"/>
    <x v="10"/>
    <n v="27149"/>
    <x v="6"/>
    <n v="4"/>
    <s v="COZAC - SPE COMERCIAL"/>
    <x v="23"/>
    <s v="CAIXA"/>
    <s v="CAIXA"/>
    <s v="RELATÓRIO DE DESPESAS VIAGENS"/>
    <s v="8276452.02"/>
  </r>
  <r>
    <s v="*** Pagamento ***"/>
    <d v="2025-09-16T00:00:00"/>
    <d v="2025-09-12T00:00:00"/>
    <n v="439.91"/>
    <n v="7.9800000000009996"/>
    <n v="7.9800000000009996"/>
    <d v="2025-11-17T00:00:00"/>
    <n v="8.023900613401004"/>
    <n v="8.3488463540009246"/>
    <n v="273607"/>
    <x v="6"/>
    <s v="2.20.01.03"/>
    <x v="8"/>
    <n v="27162"/>
    <x v="3"/>
    <n v="4"/>
    <s v="COZAC - SPE COMERCIAL"/>
    <x v="23"/>
    <s v="CAIXA"/>
    <s v="CAIXA"/>
    <s v="RELATÓRIO DE DESPESAS VIAGENS"/>
    <s v="8276452.02"/>
  </r>
  <r>
    <s v="*** Pagamento ***"/>
    <d v="2025-09-16T00:00:00"/>
    <d v="2025-09-12T00:00:00"/>
    <n v="439.91"/>
    <n v="3.79"/>
    <n v="3.79"/>
    <d v="2025-11-17T00:00:00"/>
    <n v="3.8108500407000001"/>
    <n v="3.9651789074761332"/>
    <n v="273607"/>
    <x v="6"/>
    <s v="2.20.01.07"/>
    <x v="10"/>
    <n v="27145"/>
    <x v="8"/>
    <n v="4"/>
    <s v="COZAC - SPE COMERCIAL"/>
    <x v="23"/>
    <s v="CAIXA"/>
    <s v="CAIXA"/>
    <s v="RELATÓRIO DE DESPESAS VIAGENS"/>
    <s v="8276452.02"/>
  </r>
  <r>
    <s v="*** Pagamento ***"/>
    <d v="2025-09-16T00:00:00"/>
    <d v="2025-09-12T00:00:00"/>
    <n v="439.91"/>
    <n v="3.79"/>
    <n v="3.79"/>
    <d v="2025-11-17T00:00:00"/>
    <n v="3.8108500407000001"/>
    <n v="3.9651789074761332"/>
    <n v="273607"/>
    <x v="6"/>
    <s v="2.20.01.07"/>
    <x v="10"/>
    <n v="27156"/>
    <x v="4"/>
    <n v="4"/>
    <s v="COZAC - SPE COMERCIAL"/>
    <x v="23"/>
    <s v="CAIXA"/>
    <s v="CAIXA"/>
    <s v="RELATÓRIO DE DESPESAS VIAGENS"/>
    <s v="8276452.02"/>
  </r>
  <r>
    <s v="*** Pagamento ***"/>
    <d v="2025-09-16T00:00:00"/>
    <d v="2025-09-12T00:00:00"/>
    <n v="439.91"/>
    <n v="1.5400000000009999"/>
    <n v="1.5400000000009999"/>
    <d v="2025-11-17T00:00:00"/>
    <n v="1.5484720482010053"/>
    <n v="1.6111808753343562"/>
    <n v="273607"/>
    <x v="6"/>
    <s v="2.20.01.05"/>
    <x v="7"/>
    <n v="27167"/>
    <x v="13"/>
    <n v="4"/>
    <s v="COZAC - SPE COMERCIAL"/>
    <x v="23"/>
    <s v="CAIXA"/>
    <s v="CAIXA"/>
    <s v="RELATÓRIO DE DESPESAS VIAGENS"/>
    <s v="8276452.02"/>
  </r>
  <r>
    <s v="*** Pagamento ***"/>
    <d v="2025-09-16T00:00:00"/>
    <d v="2025-09-12T00:00:00"/>
    <n v="439.91"/>
    <n v="20.529999999998999"/>
    <n v="20.529999999998999"/>
    <d v="2025-11-17T00:00:00"/>
    <n v="20.642942304898995"/>
    <n v="21.478924266617689"/>
    <n v="273607"/>
    <x v="6"/>
    <s v="2.20.01.06"/>
    <x v="9"/>
    <n v="27167"/>
    <x v="13"/>
    <n v="4"/>
    <s v="COZAC - SPE COMERCIAL"/>
    <x v="23"/>
    <s v="CAIXA"/>
    <s v="CAIXA"/>
    <s v="RELATÓRIO DE DESPESAS VIAGENS"/>
    <s v="8276452.02"/>
  </r>
  <r>
    <s v="*** Pagamento ***"/>
    <d v="2025-09-16T00:00:00"/>
    <d v="2025-09-12T00:00:00"/>
    <n v="439.91"/>
    <n v="7.9800000000009996"/>
    <n v="7.9800000000009996"/>
    <d v="2025-11-17T00:00:00"/>
    <n v="8.023900613401004"/>
    <n v="8.3488463540009246"/>
    <n v="273607"/>
    <x v="6"/>
    <s v="2.20.01.03"/>
    <x v="8"/>
    <n v="27167"/>
    <x v="13"/>
    <n v="4"/>
    <s v="COZAC - SPE COMERCIAL"/>
    <x v="23"/>
    <s v="CAIXA"/>
    <s v="CAIXA"/>
    <s v="RELATÓRIO DE DESPESAS VIAGENS"/>
    <s v="8276452.02"/>
  </r>
  <r>
    <s v="*** Pagamento ***"/>
    <d v="2025-09-16T00:00:00"/>
    <d v="2025-09-12T00:00:00"/>
    <n v="439.91"/>
    <n v="20.529999999998999"/>
    <n v="20.529999999998999"/>
    <d v="2025-11-17T00:00:00"/>
    <n v="20.642942304898995"/>
    <n v="21.478924266617689"/>
    <n v="273607"/>
    <x v="6"/>
    <s v="2.20.01.06"/>
    <x v="9"/>
    <n v="27143"/>
    <x v="0"/>
    <n v="4"/>
    <s v="COZAC - SPE COMERCIAL"/>
    <x v="23"/>
    <s v="CAIXA"/>
    <s v="CAIXA"/>
    <s v="RELATÓRIO DE DESPESAS VIAGENS"/>
    <s v="8276452.02"/>
  </r>
  <r>
    <s v="*** Pagamento ***"/>
    <d v="2025-09-16T00:00:00"/>
    <d v="2025-09-12T00:00:00"/>
    <n v="439.91"/>
    <n v="1.539999999975"/>
    <n v="1.539999999975"/>
    <d v="2025-11-17T00:00:00"/>
    <n v="1.5484720481748624"/>
    <n v="1.6111808753071546"/>
    <n v="273607"/>
    <x v="6"/>
    <s v="2.20.01.05"/>
    <x v="7"/>
    <n v="27143"/>
    <x v="0"/>
    <n v="4"/>
    <s v="COZAC - SPE COMERCIAL"/>
    <x v="23"/>
    <s v="CAIXA"/>
    <s v="CAIXA"/>
    <s v="RELATÓRIO DE DESPESAS VIAGENS"/>
    <s v="8276452.02"/>
  </r>
  <r>
    <s v="*** Pagamento ***"/>
    <d v="2025-09-16T00:00:00"/>
    <d v="2025-09-12T00:00:00"/>
    <n v="439.91"/>
    <n v="3.7799999999990002"/>
    <n v="3.7799999999990002"/>
    <d v="2025-11-17T00:00:00"/>
    <n v="3.8007950273989946"/>
    <n v="3.9547166939988969"/>
    <n v="273607"/>
    <x v="6"/>
    <s v="2.20.01.07"/>
    <x v="10"/>
    <n v="27167"/>
    <x v="13"/>
    <n v="4"/>
    <s v="COZAC - SPE COMERCIAL"/>
    <x v="23"/>
    <s v="CAIXA"/>
    <s v="CAIXA"/>
    <s v="RELATÓRIO DE DESPESAS VIAGENS"/>
    <s v="8276452.02"/>
  </r>
  <r>
    <s v="*** Pagamento ***"/>
    <d v="2025-09-16T00:00:00"/>
    <d v="2025-09-12T00:00:00"/>
    <n v="439.91"/>
    <n v="3.79"/>
    <n v="3.79"/>
    <d v="2025-11-17T00:00:00"/>
    <n v="3.8108500407000001"/>
    <n v="3.9651789074761332"/>
    <n v="273607"/>
    <x v="6"/>
    <s v="2.20.01.07"/>
    <x v="10"/>
    <n v="27143"/>
    <x v="0"/>
    <n v="4"/>
    <s v="COZAC - SPE COMERCIAL"/>
    <x v="23"/>
    <s v="CAIXA"/>
    <s v="CAIXA"/>
    <s v="RELATÓRIO DE DESPESAS VIAGENS"/>
    <s v="8276452.02"/>
  </r>
  <r>
    <s v="*** Pagamento ***"/>
    <d v="2025-09-16T00:00:00"/>
    <d v="2025-09-12T00:00:00"/>
    <n v="439.91"/>
    <n v="7.9800000000009996"/>
    <n v="7.9800000000009996"/>
    <d v="2025-11-17T00:00:00"/>
    <n v="8.023900613401004"/>
    <n v="8.3488463540009246"/>
    <n v="273607"/>
    <x v="6"/>
    <s v="2.20.01.03"/>
    <x v="8"/>
    <n v="27143"/>
    <x v="0"/>
    <n v="4"/>
    <s v="COZAC - SPE COMERCIAL"/>
    <x v="23"/>
    <s v="CAIXA"/>
    <s v="CAIXA"/>
    <s v="RELATÓRIO DE DESPESAS VIAGENS"/>
    <s v="8276452.02"/>
  </r>
  <r>
    <s v="*** Pagamento ***"/>
    <d v="2025-09-16T00:00:00"/>
    <d v="2025-09-12T00:00:00"/>
    <n v="439.91"/>
    <n v="7.9800000000009996"/>
    <n v="7.9800000000009996"/>
    <d v="2025-11-17T00:00:00"/>
    <n v="8.023900613401004"/>
    <n v="8.3488463540009246"/>
    <n v="273607"/>
    <x v="6"/>
    <s v="2.20.01.03"/>
    <x v="8"/>
    <n v="27156"/>
    <x v="4"/>
    <n v="4"/>
    <s v="COZAC - SPE COMERCIAL"/>
    <x v="23"/>
    <s v="CAIXA"/>
    <s v="CAIXA"/>
    <s v="RELATÓRIO DE DESPESAS VIAGENS"/>
    <s v="8276452.02"/>
  </r>
  <r>
    <s v="*** Pagamento ***"/>
    <d v="2025-09-16T00:00:00"/>
    <d v="2025-09-12T00:00:00"/>
    <n v="439.91"/>
    <n v="1.5400000000009999"/>
    <n v="1.5400000000009999"/>
    <d v="2025-11-17T00:00:00"/>
    <n v="1.5484720482010053"/>
    <n v="1.6111808753343562"/>
    <n v="273607"/>
    <x v="6"/>
    <s v="2.20.01.05"/>
    <x v="7"/>
    <n v="27156"/>
    <x v="4"/>
    <n v="4"/>
    <s v="COZAC - SPE COMERCIAL"/>
    <x v="23"/>
    <s v="CAIXA"/>
    <s v="CAIXA"/>
    <s v="RELATÓRIO DE DESPESAS VIAGENS"/>
    <s v="8276452.02"/>
  </r>
  <r>
    <s v="*** Pagamento ***"/>
    <d v="2025-09-16T00:00:00"/>
    <d v="2025-09-12T00:00:00"/>
    <n v="439.91"/>
    <n v="20.529999999998999"/>
    <n v="20.529999999998999"/>
    <d v="2025-11-17T00:00:00"/>
    <n v="20.642942304898995"/>
    <n v="21.478924266617689"/>
    <n v="273607"/>
    <x v="6"/>
    <s v="2.20.01.06"/>
    <x v="9"/>
    <n v="27156"/>
    <x v="4"/>
    <n v="4"/>
    <s v="COZAC - SPE COMERCIAL"/>
    <x v="23"/>
    <s v="CAIXA"/>
    <s v="CAIXA"/>
    <s v="RELATÓRIO DE DESPESAS VIAGENS"/>
    <s v="8276452.02"/>
  </r>
  <r>
    <s v="*** Pagamento ***"/>
    <d v="2025-09-16T00:00:00"/>
    <d v="2025-09-12T00:00:00"/>
    <n v="439.91"/>
    <n v="1.5400000000009999"/>
    <n v="1.5400000000009999"/>
    <d v="2025-11-17T00:00:00"/>
    <n v="1.5484720482010053"/>
    <n v="1.6111808753343562"/>
    <n v="273607"/>
    <x v="6"/>
    <s v="2.20.01.05"/>
    <x v="7"/>
    <n v="27160"/>
    <x v="11"/>
    <n v="4"/>
    <s v="COZAC - SPE COMERCIAL"/>
    <x v="23"/>
    <s v="CAIXA"/>
    <s v="CAIXA"/>
    <s v="RELATÓRIO DE DESPESAS VIAGENS"/>
    <s v="8276452.02"/>
  </r>
  <r>
    <s v="*** Pagamento ***"/>
    <d v="2025-09-16T00:00:00"/>
    <d v="2025-09-12T00:00:00"/>
    <n v="439.91"/>
    <n v="7.9800000000009996"/>
    <n v="7.9800000000009996"/>
    <d v="2025-11-17T00:00:00"/>
    <n v="8.023900613401004"/>
    <n v="8.3488463540009246"/>
    <n v="273607"/>
    <x v="6"/>
    <s v="2.20.01.03"/>
    <x v="8"/>
    <n v="27160"/>
    <x v="11"/>
    <n v="4"/>
    <s v="COZAC - SPE COMERCIAL"/>
    <x v="23"/>
    <s v="CAIXA"/>
    <s v="CAIXA"/>
    <s v="RELATÓRIO DE DESPESAS VIAGENS"/>
    <s v="8276452.02"/>
  </r>
  <r>
    <s v="*** Pagamento ***"/>
    <d v="2025-09-16T00:00:00"/>
    <d v="2025-09-12T00:00:00"/>
    <n v="439.91"/>
    <n v="3.79"/>
    <n v="3.79"/>
    <d v="2025-11-17T00:00:00"/>
    <n v="3.8108500407000001"/>
    <n v="3.9651789074761332"/>
    <n v="273607"/>
    <x v="6"/>
    <s v="2.20.01.07"/>
    <x v="10"/>
    <n v="27160"/>
    <x v="11"/>
    <n v="4"/>
    <s v="COZAC - SPE COMERCIAL"/>
    <x v="23"/>
    <s v="CAIXA"/>
    <s v="CAIXA"/>
    <s v="RELATÓRIO DE DESPESAS VIAGENS"/>
    <s v="8276452.02"/>
  </r>
  <r>
    <s v="*** Pagamento ***"/>
    <d v="2025-09-16T00:00:00"/>
    <d v="2025-09-12T00:00:00"/>
    <n v="439.91"/>
    <n v="20.529999999998999"/>
    <n v="20.529999999998999"/>
    <d v="2025-11-17T00:00:00"/>
    <n v="20.642942304898995"/>
    <n v="21.478924266617689"/>
    <n v="273607"/>
    <x v="6"/>
    <s v="2.20.01.06"/>
    <x v="9"/>
    <n v="27160"/>
    <x v="11"/>
    <n v="4"/>
    <s v="COZAC - SPE COMERCIAL"/>
    <x v="23"/>
    <s v="CAIXA"/>
    <s v="CAIXA"/>
    <s v="RELATÓRIO DE DESPESAS VIAGENS"/>
    <s v="8276452.02"/>
  </r>
  <r>
    <s v="*** Pagamento ***"/>
    <d v="2025-09-16T00:00:00"/>
    <d v="2025-09-12T00:00:00"/>
    <n v="439.91"/>
    <n v="7.9800000000009996"/>
    <n v="7.9800000000009996"/>
    <d v="2025-11-17T00:00:00"/>
    <n v="8.023900613401004"/>
    <n v="8.3488463540009246"/>
    <n v="273607"/>
    <x v="6"/>
    <s v="2.20.01.03"/>
    <x v="8"/>
    <n v="27159"/>
    <x v="1"/>
    <n v="4"/>
    <s v="COZAC - SPE COMERCIAL"/>
    <x v="23"/>
    <s v="CAIXA"/>
    <s v="CAIXA"/>
    <s v="RELATÓRIO DE DESPESAS VIAGENS"/>
    <s v="8276452.02"/>
  </r>
  <r>
    <s v="*** Pagamento ***"/>
    <d v="2025-09-16T00:00:00"/>
    <d v="2025-09-12T00:00:00"/>
    <n v="439.91"/>
    <n v="1.5400000000009999"/>
    <n v="1.5400000000009999"/>
    <d v="2025-11-17T00:00:00"/>
    <n v="1.5484720482010053"/>
    <n v="1.6111808753343562"/>
    <n v="273607"/>
    <x v="6"/>
    <s v="2.20.01.05"/>
    <x v="7"/>
    <n v="27159"/>
    <x v="1"/>
    <n v="4"/>
    <s v="COZAC - SPE COMERCIAL"/>
    <x v="23"/>
    <s v="CAIXA"/>
    <s v="CAIXA"/>
    <s v="RELATÓRIO DE DESPESAS VIAGENS"/>
    <s v="8276452.02"/>
  </r>
  <r>
    <s v="*** Pagamento ***"/>
    <d v="2025-09-16T00:00:00"/>
    <d v="2025-09-12T00:00:00"/>
    <n v="439.91"/>
    <n v="3.79"/>
    <n v="3.79"/>
    <d v="2025-11-17T00:00:00"/>
    <n v="3.8108500407000001"/>
    <n v="3.9651789074761332"/>
    <n v="273607"/>
    <x v="6"/>
    <s v="2.20.01.07"/>
    <x v="10"/>
    <n v="27159"/>
    <x v="1"/>
    <n v="4"/>
    <s v="COZAC - SPE COMERCIAL"/>
    <x v="23"/>
    <s v="CAIXA"/>
    <s v="CAIXA"/>
    <s v="RELATÓRIO DE DESPESAS VIAGENS"/>
    <s v="8276452.02"/>
  </r>
  <r>
    <s v="*** Pagamento ***"/>
    <d v="2025-09-16T00:00:00"/>
    <d v="2025-09-12T00:00:00"/>
    <n v="439.91"/>
    <n v="20.529999999998999"/>
    <n v="20.529999999998999"/>
    <d v="2025-11-17T00:00:00"/>
    <n v="20.642942304898995"/>
    <n v="21.478924266617689"/>
    <n v="273607"/>
    <x v="6"/>
    <s v="2.20.01.06"/>
    <x v="9"/>
    <n v="27159"/>
    <x v="1"/>
    <n v="4"/>
    <s v="COZAC - SPE COMERCIAL"/>
    <x v="23"/>
    <s v="CAIXA"/>
    <s v="CAIXA"/>
    <s v="RELATÓRIO DE DESPESAS VIAGENS"/>
    <s v="8276452.02"/>
  </r>
  <r>
    <s v="*** Pagamento ***"/>
    <d v="2025-09-18T00:00:00"/>
    <d v="2025-08-21T00:00:00"/>
    <n v="2216.41"/>
    <n v="9.5305630000000008"/>
    <n v="9.5305630000000008"/>
    <d v="2025-11-17T00:00:00"/>
    <n v="9.5829937721487912"/>
    <n v="9.9565554152057931"/>
    <n v="273443"/>
    <x v="5"/>
    <s v="2.07.17"/>
    <x v="6"/>
    <n v="29661"/>
    <x v="2"/>
    <n v="4"/>
    <s v="COZAC - SPE COMERCIAL"/>
    <x v="24"/>
    <s v="CAIXA"/>
    <s v="CAIXA"/>
    <s v="NOTA FISCAL DE SERVIÇOS"/>
    <s v="867371.02"/>
  </r>
  <r>
    <s v="*** Pagamento ***"/>
    <d v="2025-08-19T00:00:00"/>
    <d v="2025-08-18T00:00:00"/>
    <n v="1110.5999999999999"/>
    <n v="222.12"/>
    <n v="222.12"/>
    <d v="2025-11-17T00:00:00"/>
    <n v="222.87282243120001"/>
    <n v="237.17750866336658"/>
    <n v="267275"/>
    <x v="7"/>
    <s v="2.20.04.04"/>
    <x v="11"/>
    <n v="27145"/>
    <x v="8"/>
    <n v="4"/>
    <s v="COZAC - SPE COMERCIAL"/>
    <x v="25"/>
    <s v="CAIXA"/>
    <s v="CAIXA"/>
    <s v="BOLETO"/>
    <s v="28442810000182567.02"/>
  </r>
  <r>
    <s v="*** Pagamento ***"/>
    <d v="2025-08-19T00:00:00"/>
    <d v="2025-08-18T00:00:00"/>
    <n v="1110.5999999999999"/>
    <n v="222.12"/>
    <n v="222.12"/>
    <d v="2025-11-17T00:00:00"/>
    <n v="222.87282243120001"/>
    <n v="237.17750866336658"/>
    <n v="267275"/>
    <x v="7"/>
    <s v="2.20.04.04"/>
    <x v="11"/>
    <n v="27149"/>
    <x v="6"/>
    <n v="4"/>
    <s v="COZAC - SPE COMERCIAL"/>
    <x v="25"/>
    <s v="CAIXA"/>
    <s v="CAIXA"/>
    <s v="BOLETO"/>
    <s v="28442810000182567.02"/>
  </r>
  <r>
    <s v="*** Pagamento ***"/>
    <d v="2025-08-19T00:00:00"/>
    <d v="2025-08-18T00:00:00"/>
    <n v="1110.5999999999999"/>
    <n v="222.12"/>
    <n v="222.12"/>
    <d v="2025-11-17T00:00:00"/>
    <n v="222.87282243120001"/>
    <n v="237.17750866336658"/>
    <n v="267275"/>
    <x v="7"/>
    <s v="2.20.04.04"/>
    <x v="11"/>
    <n v="27160"/>
    <x v="11"/>
    <n v="4"/>
    <s v="COZAC - SPE COMERCIAL"/>
    <x v="25"/>
    <s v="CAIXA"/>
    <s v="CAIXA"/>
    <s v="BOLETO"/>
    <s v="28442810000182567.02"/>
  </r>
  <r>
    <s v="*** Pagamento ***"/>
    <d v="2025-08-19T00:00:00"/>
    <d v="2025-08-18T00:00:00"/>
    <n v="1110.5999999999999"/>
    <n v="222.12"/>
    <n v="222.12"/>
    <d v="2025-11-17T00:00:00"/>
    <n v="222.87282243120001"/>
    <n v="237.17750866336658"/>
    <n v="267275"/>
    <x v="7"/>
    <s v="2.20.04.04"/>
    <x v="11"/>
    <n v="27154"/>
    <x v="5"/>
    <n v="4"/>
    <s v="COZAC - SPE COMERCIAL"/>
    <x v="25"/>
    <s v="CAIXA"/>
    <s v="CAIXA"/>
    <s v="BOLETO"/>
    <s v="28442810000182567.02"/>
  </r>
  <r>
    <s v="*** Pagamento ***"/>
    <d v="2025-08-19T00:00:00"/>
    <d v="2025-08-18T00:00:00"/>
    <n v="1110.5999999999999"/>
    <n v="222.12"/>
    <n v="222.12"/>
    <d v="2025-11-17T00:00:00"/>
    <n v="222.87282243120001"/>
    <n v="237.17750866336658"/>
    <n v="267275"/>
    <x v="7"/>
    <s v="2.20.04.04"/>
    <x v="11"/>
    <n v="27158"/>
    <x v="7"/>
    <n v="4"/>
    <s v="COZAC - SPE COMERCIAL"/>
    <x v="25"/>
    <s v="CAIXA"/>
    <s v="CAIXA"/>
    <s v="BOLETO"/>
    <s v="28442810000182567.02"/>
  </r>
  <r>
    <s v="*** Pagamento ***"/>
    <d v="2025-08-20T00:00:00"/>
    <d v="2025-07-21T00:00:00"/>
    <n v="2216.41"/>
    <n v="1.994769"/>
    <n v="1.994769"/>
    <d v="2025-11-17T00:00:00"/>
    <n v="2.00152979078094"/>
    <n v="2.1284425831487557"/>
    <n v="267286"/>
    <x v="5"/>
    <s v="2.07.17"/>
    <x v="6"/>
    <n v="29661"/>
    <x v="2"/>
    <n v="4"/>
    <s v="COZAC - SPE COMERCIAL"/>
    <x v="26"/>
    <s v="CAIXA"/>
    <s v="CAIXA"/>
    <s v="NOTA FISCAL DE SERVIÇOS"/>
    <s v="853779.02"/>
  </r>
  <r>
    <s v="*** Pagamento ***"/>
    <d v="2025-10-20T00:00:00"/>
    <d v="2025-10-01T00:00:00"/>
    <n v="145.24"/>
    <n v="0.16"/>
    <n v="0.16"/>
    <d v="2025-11-17T00:00:00"/>
    <n v="0.1600478944"/>
    <n v="0.16329851801284595"/>
    <n v="277641"/>
    <x v="8"/>
    <s v="2.08.04"/>
    <x v="12"/>
    <n v="29661"/>
    <x v="2"/>
    <n v="4"/>
    <s v="COZAC - SPE COMERCIAL"/>
    <x v="27"/>
    <s v="CAIXA"/>
    <s v="CAIXA"/>
    <s v="GUIA PARA RECOLHIMENTO DE IMPOSTOS"/>
    <s v="DCTF FORN 09/2025.2"/>
  </r>
  <r>
    <s v="*** Pagamento ***"/>
    <d v="2025-10-20T00:00:00"/>
    <d v="2025-10-01T00:00:00"/>
    <n v="145.24"/>
    <n v="0.49"/>
    <n v="0.49"/>
    <d v="2025-11-17T00:00:00"/>
    <n v="0.4901466766"/>
    <n v="0.50010171141434068"/>
    <n v="277641"/>
    <x v="8"/>
    <s v="2.08.01"/>
    <x v="13"/>
    <n v="29661"/>
    <x v="2"/>
    <n v="4"/>
    <s v="COZAC - SPE COMERCIAL"/>
    <x v="27"/>
    <s v="CAIXA"/>
    <s v="CAIXA"/>
    <s v="GUIA PARA RECOLHIMENTO DE IMPOSTOS"/>
    <s v="DCTF FORN 09/2025.2"/>
  </r>
  <r>
    <s v="*** Pagamento ***"/>
    <d v="2025-07-22T00:00:00"/>
    <d v="2025-07-16T00:00:00"/>
    <n v="1130"/>
    <n v="1130"/>
    <n v="1130"/>
    <d v="2025-11-17T00:00:00"/>
    <n v="1136.2104574"/>
    <n v="1231.4776727641181"/>
    <n v="261715"/>
    <x v="3"/>
    <s v="2.20.02.01"/>
    <x v="5"/>
    <n v="27162"/>
    <x v="3"/>
    <n v="4"/>
    <s v="COZAC - SPE COMERCIAL"/>
    <x v="28"/>
    <s v="13016842-2"/>
    <s v="SANTANDER - SPE COMERCIAL"/>
    <s v="GUIA PARA RECOLHIMENTO DE IMPOSTOS"/>
    <s v="13339"/>
  </r>
  <r>
    <s v="*** Pagamento ***"/>
    <d v="2025-07-22T00:00:00"/>
    <d v="2025-07-17T00:00:00"/>
    <n v="22060"/>
    <n v="22060"/>
    <n v="22060"/>
    <d v="2025-11-17T00:00:00"/>
    <n v="22181.241318800003"/>
    <n v="24041.059700156147"/>
    <n v="261694"/>
    <x v="3"/>
    <s v="2.20.02.01"/>
    <x v="5"/>
    <n v="27154"/>
    <x v="5"/>
    <n v="4"/>
    <s v="COZAC - SPE COMERCIAL"/>
    <x v="29"/>
    <s v="13016842-2"/>
    <s v="SANTANDER - SPE COMERCIAL"/>
    <s v="GUIA PARA RECOLHIMENTO DE IMPOSTOS"/>
    <s v="13478"/>
  </r>
  <r>
    <s v="*** Pagamento ***"/>
    <d v="2025-09-22T00:00:00"/>
    <d v="2025-08-06T00:00:00"/>
    <n v="1013.58"/>
    <n v="84.519999999948993"/>
    <n v="84.519999999948993"/>
    <d v="2025-11-17T00:00:00"/>
    <n v="84.984972411548711"/>
    <n v="88.040806010431567"/>
    <n v="273440"/>
    <x v="9"/>
    <s v="2.20.05.03"/>
    <x v="14"/>
    <n v="27146"/>
    <x v="10"/>
    <n v="4"/>
    <s v="COZAC - SPE COMERCIAL"/>
    <x v="30"/>
    <s v="CAIXA"/>
    <s v="CAIXA"/>
    <s v="NOTA FISCAL DE SERVIÇOS"/>
    <s v="625.02"/>
  </r>
  <r>
    <s v="*** Pagamento ***"/>
    <d v="2025-09-22T00:00:00"/>
    <d v="2025-08-06T00:00:00"/>
    <n v="1013.58"/>
    <n v="84.460000000004996"/>
    <n v="84.460000000004996"/>
    <d v="2025-11-17T00:00:00"/>
    <n v="84.924642331805018"/>
    <n v="87.97830662146211"/>
    <n v="273440"/>
    <x v="9"/>
    <s v="2.20.05.03"/>
    <x v="14"/>
    <n v="27159"/>
    <x v="1"/>
    <n v="4"/>
    <s v="COZAC - SPE COMERCIAL"/>
    <x v="30"/>
    <s v="CAIXA"/>
    <s v="CAIXA"/>
    <s v="NOTA FISCAL DE SERVIÇOS"/>
    <s v="625.02"/>
  </r>
  <r>
    <s v="*** Pagamento ***"/>
    <d v="2025-09-22T00:00:00"/>
    <d v="2025-09-04T00:00:00"/>
    <n v="3246.39"/>
    <n v="811.600000000009"/>
    <n v="811.600000000009"/>
    <d v="2025-11-17T00:00:00"/>
    <n v="816.06487942800902"/>
    <n v="845.40840224929207"/>
    <n v="273449"/>
    <x v="10"/>
    <s v="2.20.05.03"/>
    <x v="14"/>
    <n v="27158"/>
    <x v="7"/>
    <n v="4"/>
    <s v="COZAC - SPE COMERCIAL"/>
    <x v="31"/>
    <s v="CAIXA"/>
    <s v="CAIXA"/>
    <s v="NOTA FISCAL DE SERVIÇOS"/>
    <s v="927.02"/>
  </r>
  <r>
    <s v="*** Pagamento ***"/>
    <d v="2025-09-22T00:00:00"/>
    <d v="2025-08-06T00:00:00"/>
    <n v="1013.58"/>
    <n v="84.460000000004996"/>
    <n v="84.460000000004996"/>
    <d v="2025-11-17T00:00:00"/>
    <n v="84.924642331805018"/>
    <n v="87.97830662146211"/>
    <n v="273440"/>
    <x v="9"/>
    <s v="2.20.05.03"/>
    <x v="14"/>
    <n v="27165"/>
    <x v="12"/>
    <n v="4"/>
    <s v="COZAC - SPE COMERCIAL"/>
    <x v="30"/>
    <s v="CAIXA"/>
    <s v="CAIXA"/>
    <s v="NOTA FISCAL DE SERVIÇOS"/>
    <s v="625.02"/>
  </r>
  <r>
    <s v="*** Pagamento ***"/>
    <d v="2025-09-22T00:00:00"/>
    <d v="2025-08-06T00:00:00"/>
    <n v="1013.58"/>
    <n v="84.460000000004996"/>
    <n v="84.460000000004996"/>
    <d v="2025-11-17T00:00:00"/>
    <n v="84.924642331805018"/>
    <n v="87.97830662146211"/>
    <n v="273440"/>
    <x v="9"/>
    <s v="2.20.05.03"/>
    <x v="14"/>
    <n v="27151"/>
    <x v="9"/>
    <n v="4"/>
    <s v="COZAC - SPE COMERCIAL"/>
    <x v="30"/>
    <s v="CAIXA"/>
    <s v="CAIXA"/>
    <s v="NOTA FISCAL DE SERVIÇOS"/>
    <s v="625.02"/>
  </r>
  <r>
    <s v="*** Pagamento ***"/>
    <d v="2025-09-22T00:00:00"/>
    <d v="2025-08-06T00:00:00"/>
    <n v="1013.58"/>
    <n v="84.460000000004996"/>
    <n v="84.460000000004996"/>
    <d v="2025-11-17T00:00:00"/>
    <n v="84.924642331805018"/>
    <n v="87.97830662146211"/>
    <n v="273440"/>
    <x v="9"/>
    <s v="2.20.05.03"/>
    <x v="14"/>
    <n v="27160"/>
    <x v="11"/>
    <n v="4"/>
    <s v="COZAC - SPE COMERCIAL"/>
    <x v="30"/>
    <s v="CAIXA"/>
    <s v="CAIXA"/>
    <s v="NOTA FISCAL DE SERVIÇOS"/>
    <s v="625.02"/>
  </r>
  <r>
    <s v="*** Pagamento ***"/>
    <d v="2025-09-22T00:00:00"/>
    <d v="2025-09-04T00:00:00"/>
    <n v="3246.39"/>
    <n v="811.600000000009"/>
    <n v="811.600000000009"/>
    <d v="2025-11-17T00:00:00"/>
    <n v="816.06487942800902"/>
    <n v="845.40840224929207"/>
    <n v="273449"/>
    <x v="10"/>
    <s v="2.20.05.03"/>
    <x v="14"/>
    <n v="27149"/>
    <x v="6"/>
    <n v="4"/>
    <s v="COZAC - SPE COMERCIAL"/>
    <x v="31"/>
    <s v="CAIXA"/>
    <s v="CAIXA"/>
    <s v="NOTA FISCAL DE SERVIÇOS"/>
    <s v="927.02"/>
  </r>
  <r>
    <s v="*** Pagamento ***"/>
    <d v="2025-09-22T00:00:00"/>
    <d v="2025-08-06T00:00:00"/>
    <n v="1013.58"/>
    <n v="84.460000000004996"/>
    <n v="84.460000000004996"/>
    <d v="2025-11-17T00:00:00"/>
    <n v="84.924642331805018"/>
    <n v="87.97830662146211"/>
    <n v="273440"/>
    <x v="9"/>
    <s v="2.20.05.03"/>
    <x v="14"/>
    <n v="27156"/>
    <x v="4"/>
    <n v="4"/>
    <s v="COZAC - SPE COMERCIAL"/>
    <x v="30"/>
    <s v="CAIXA"/>
    <s v="CAIXA"/>
    <s v="NOTA FISCAL DE SERVIÇOS"/>
    <s v="625.02"/>
  </r>
  <r>
    <s v="*** Pagamento ***"/>
    <d v="2025-09-22T00:00:00"/>
    <d v="2025-08-06T00:00:00"/>
    <n v="1013.58"/>
    <n v="84.460000000004996"/>
    <n v="84.460000000004996"/>
    <d v="2025-11-17T00:00:00"/>
    <n v="84.924642331805018"/>
    <n v="87.97830662146211"/>
    <n v="273440"/>
    <x v="9"/>
    <s v="2.20.05.03"/>
    <x v="14"/>
    <n v="27143"/>
    <x v="0"/>
    <n v="4"/>
    <s v="COZAC - SPE COMERCIAL"/>
    <x v="30"/>
    <s v="CAIXA"/>
    <s v="CAIXA"/>
    <s v="NOTA FISCAL DE SERVIÇOS"/>
    <s v="625.02"/>
  </r>
  <r>
    <s v="*** Pagamento ***"/>
    <d v="2025-09-22T00:00:00"/>
    <d v="2025-09-04T00:00:00"/>
    <n v="3246.39"/>
    <n v="811.58999999997297"/>
    <n v="811.58999999997297"/>
    <d v="2025-11-17T00:00:00"/>
    <n v="816.05482441467279"/>
    <n v="845.39798568441665"/>
    <n v="273449"/>
    <x v="10"/>
    <s v="2.20.05.03"/>
    <x v="14"/>
    <n v="27159"/>
    <x v="1"/>
    <n v="4"/>
    <s v="COZAC - SPE COMERCIAL"/>
    <x v="31"/>
    <s v="CAIXA"/>
    <s v="CAIXA"/>
    <s v="NOTA FISCAL DE SERVIÇOS"/>
    <s v="927.02"/>
  </r>
  <r>
    <s v="*** Pagamento ***"/>
    <d v="2025-09-22T00:00:00"/>
    <d v="2025-08-06T00:00:00"/>
    <n v="1013.58"/>
    <n v="84.460000000004996"/>
    <n v="84.460000000004996"/>
    <d v="2025-11-17T00:00:00"/>
    <n v="84.924642331805018"/>
    <n v="87.97830662146211"/>
    <n v="273440"/>
    <x v="9"/>
    <s v="2.20.05.03"/>
    <x v="14"/>
    <n v="27167"/>
    <x v="13"/>
    <n v="4"/>
    <s v="COZAC - SPE COMERCIAL"/>
    <x v="30"/>
    <s v="CAIXA"/>
    <s v="CAIXA"/>
    <s v="NOTA FISCAL DE SERVIÇOS"/>
    <s v="625.02"/>
  </r>
  <r>
    <s v="*** Pagamento ***"/>
    <d v="2025-09-22T00:00:00"/>
    <d v="2025-08-06T00:00:00"/>
    <n v="1013.58"/>
    <n v="84.460000000004996"/>
    <n v="84.460000000004996"/>
    <d v="2025-11-17T00:00:00"/>
    <n v="84.924642331805018"/>
    <n v="87.97830662146211"/>
    <n v="273440"/>
    <x v="9"/>
    <s v="2.20.05.03"/>
    <x v="14"/>
    <n v="27145"/>
    <x v="8"/>
    <n v="4"/>
    <s v="COZAC - SPE COMERCIAL"/>
    <x v="30"/>
    <s v="CAIXA"/>
    <s v="CAIXA"/>
    <s v="NOTA FISCAL DE SERVIÇOS"/>
    <s v="625.02"/>
  </r>
  <r>
    <s v="*** Pagamento ***"/>
    <d v="2025-09-22T00:00:00"/>
    <d v="2025-08-06T00:00:00"/>
    <n v="1013.58"/>
    <n v="84.460000000004996"/>
    <n v="84.460000000004996"/>
    <d v="2025-11-17T00:00:00"/>
    <n v="84.924642331805018"/>
    <n v="87.97830662146211"/>
    <n v="273440"/>
    <x v="9"/>
    <s v="2.20.05.03"/>
    <x v="14"/>
    <n v="27158"/>
    <x v="7"/>
    <n v="4"/>
    <s v="COZAC - SPE COMERCIAL"/>
    <x v="30"/>
    <s v="CAIXA"/>
    <s v="CAIXA"/>
    <s v="NOTA FISCAL DE SERVIÇOS"/>
    <s v="625.02"/>
  </r>
  <r>
    <s v="*** Pagamento ***"/>
    <d v="2025-09-22T00:00:00"/>
    <d v="2025-08-06T00:00:00"/>
    <n v="1013.58"/>
    <n v="84.460000000004996"/>
    <n v="84.460000000004996"/>
    <d v="2025-11-17T00:00:00"/>
    <n v="84.924642331805018"/>
    <n v="87.97830662146211"/>
    <n v="273440"/>
    <x v="9"/>
    <s v="2.20.05.03"/>
    <x v="14"/>
    <n v="27154"/>
    <x v="5"/>
    <n v="4"/>
    <s v="COZAC - SPE COMERCIAL"/>
    <x v="30"/>
    <s v="CAIXA"/>
    <s v="CAIXA"/>
    <s v="NOTA FISCAL DE SERVIÇOS"/>
    <s v="625.02"/>
  </r>
  <r>
    <s v="*** Pagamento ***"/>
    <d v="2025-09-22T00:00:00"/>
    <d v="2025-09-04T00:00:00"/>
    <n v="3246.39"/>
    <n v="811.600000000009"/>
    <n v="811.600000000009"/>
    <d v="2025-11-17T00:00:00"/>
    <n v="816.06487942800902"/>
    <n v="845.40840224929207"/>
    <n v="273449"/>
    <x v="10"/>
    <s v="2.20.05.03"/>
    <x v="14"/>
    <n v="27143"/>
    <x v="0"/>
    <n v="4"/>
    <s v="COZAC - SPE COMERCIAL"/>
    <x v="31"/>
    <s v="CAIXA"/>
    <s v="CAIXA"/>
    <s v="NOTA FISCAL DE SERVIÇOS"/>
    <s v="927.02"/>
  </r>
  <r>
    <s v="*** Pagamento ***"/>
    <d v="2025-09-22T00:00:00"/>
    <d v="2025-08-06T00:00:00"/>
    <n v="1013.58"/>
    <n v="84.460000000004996"/>
    <n v="84.460000000004996"/>
    <d v="2025-11-17T00:00:00"/>
    <n v="84.924642331805018"/>
    <n v="87.97830662146211"/>
    <n v="273440"/>
    <x v="9"/>
    <s v="2.20.05.03"/>
    <x v="14"/>
    <n v="27149"/>
    <x v="6"/>
    <n v="4"/>
    <s v="COZAC - SPE COMERCIAL"/>
    <x v="30"/>
    <s v="CAIXA"/>
    <s v="CAIXA"/>
    <s v="NOTA FISCAL DE SERVIÇOS"/>
    <s v="625.02"/>
  </r>
  <r>
    <s v="*** Pagamento ***"/>
    <d v="2025-10-23T00:00:00"/>
    <d v="2025-10-23T00:00:00"/>
    <n v="716.85"/>
    <n v="716.85"/>
    <n v="716.85"/>
    <d v="2025-11-17T00:00:00"/>
    <n v="717.064581879"/>
    <n v="730.03052933900415"/>
    <n v="276548"/>
    <x v="11"/>
    <s v="2.20.03.05"/>
    <x v="15"/>
    <n v="27143"/>
    <x v="0"/>
    <n v="4"/>
    <s v="COZAC - SPE COMERCIAL"/>
    <x v="32"/>
    <s v="13016842-2"/>
    <s v="SANTANDER - SPE COMERCIAL"/>
    <s v="FATURA"/>
    <s v="09/2025"/>
  </r>
  <r>
    <s v="*** Pagamento ***"/>
    <d v="2025-09-24T00:00:00"/>
    <d v="2025-09-19T00:00:00"/>
    <n v="15186.52"/>
    <n v="3037.3000000000211"/>
    <n v="3037.3000000000211"/>
    <d v="2025-11-17T00:00:00"/>
    <n v="3054.0091896090212"/>
    <n v="3159.2150743398151"/>
    <n v="273433"/>
    <x v="0"/>
    <s v="2.20.02.03"/>
    <x v="3"/>
    <n v="27146"/>
    <x v="10"/>
    <n v="4"/>
    <s v="COZAC - SPE COMERCIAL"/>
    <x v="33"/>
    <s v="CAIXA"/>
    <s v="CAIXA"/>
    <s v="BOLETO"/>
    <s v="AC011528263.02"/>
  </r>
  <r>
    <s v="*** Pagamento ***"/>
    <d v="2025-09-24T00:00:00"/>
    <d v="2025-09-19T00:00:00"/>
    <n v="15186.52"/>
    <n v="3037.3199999999151"/>
    <n v="3037.3199999999151"/>
    <d v="2025-11-17T00:00:00"/>
    <n v="3054.0292996355147"/>
    <n v="3159.2358771255631"/>
    <n v="273433"/>
    <x v="0"/>
    <s v="2.20.02.03"/>
    <x v="3"/>
    <n v="27156"/>
    <x v="4"/>
    <n v="4"/>
    <s v="COZAC - SPE COMERCIAL"/>
    <x v="33"/>
    <s v="CAIXA"/>
    <s v="CAIXA"/>
    <s v="BOLETO"/>
    <s v="AC011528263.02"/>
  </r>
  <r>
    <s v="*** Pagamento ***"/>
    <d v="2025-09-24T00:00:00"/>
    <d v="2025-09-19T00:00:00"/>
    <n v="15186.52"/>
    <n v="3037.3000000000211"/>
    <n v="3037.3000000000211"/>
    <d v="2025-11-17T00:00:00"/>
    <n v="3054.0091896090212"/>
    <n v="3159.2150743398151"/>
    <n v="273433"/>
    <x v="0"/>
    <s v="2.20.02.03"/>
    <x v="3"/>
    <n v="27145"/>
    <x v="8"/>
    <n v="4"/>
    <s v="COZAC - SPE COMERCIAL"/>
    <x v="33"/>
    <s v="CAIXA"/>
    <s v="CAIXA"/>
    <s v="BOLETO"/>
    <s v="AC011528263.02"/>
  </r>
  <r>
    <s v="*** Pagamento ***"/>
    <d v="2025-09-24T00:00:00"/>
    <d v="2025-09-19T00:00:00"/>
    <n v="15186.52"/>
    <n v="3037.3000000000211"/>
    <n v="3037.3000000000211"/>
    <d v="2025-11-17T00:00:00"/>
    <n v="3054.0091896090212"/>
    <n v="3159.2150743398151"/>
    <n v="273433"/>
    <x v="0"/>
    <s v="2.20.02.03"/>
    <x v="3"/>
    <n v="27143"/>
    <x v="0"/>
    <n v="4"/>
    <s v="COZAC - SPE COMERCIAL"/>
    <x v="33"/>
    <s v="CAIXA"/>
    <s v="CAIXA"/>
    <s v="BOLETO"/>
    <s v="AC011528263.02"/>
  </r>
  <r>
    <s v="*** Pagamento ***"/>
    <d v="2025-09-24T00:00:00"/>
    <d v="2025-09-19T00:00:00"/>
    <n v="15186.52"/>
    <n v="3037.3000000000211"/>
    <n v="3037.3000000000211"/>
    <d v="2025-11-17T00:00:00"/>
    <n v="3054.0091896090212"/>
    <n v="3159.2150743398151"/>
    <n v="273433"/>
    <x v="0"/>
    <s v="2.20.02.03"/>
    <x v="3"/>
    <n v="27151"/>
    <x v="9"/>
    <n v="4"/>
    <s v="COZAC - SPE COMERCIAL"/>
    <x v="33"/>
    <s v="CAIXA"/>
    <s v="CAIXA"/>
    <s v="BOLETO"/>
    <s v="AC011528263.02"/>
  </r>
  <r>
    <s v="*** Pagamento ***"/>
    <d v="2025-10-24T00:00:00"/>
    <d v="2025-10-13T00:00:00"/>
    <n v="62133.41"/>
    <n v="12960.12"/>
    <n v="12960.12"/>
    <d v="2025-11-17T00:00:00"/>
    <n v="12963.9994823208"/>
    <n v="13188.7988991071"/>
    <n v="276614"/>
    <x v="3"/>
    <s v="2.20.03.15"/>
    <x v="16"/>
    <n v="27158"/>
    <x v="7"/>
    <n v="4"/>
    <s v="COZAC - SPE COMERCIAL"/>
    <x v="34"/>
    <s v="13016842-2"/>
    <s v="SANTANDER - SPE COMERCIAL"/>
    <s v="GUIA PARA RECOLHIMENTO DE IMPOSTOS"/>
    <s v="DEB_IPTU COZAC_62872"/>
  </r>
  <r>
    <s v="*** Pagamento ***"/>
    <d v="2025-10-24T00:00:00"/>
    <d v="2025-10-13T00:00:00"/>
    <n v="26068.17"/>
    <n v="10876.56"/>
    <n v="10876.56"/>
    <d v="2025-11-17T00:00:00"/>
    <n v="10879.8157894704"/>
    <n v="11068.474871688866"/>
    <n v="276505"/>
    <x v="3"/>
    <s v="2.20.03.15"/>
    <x v="16"/>
    <n v="27154"/>
    <x v="5"/>
    <n v="4"/>
    <s v="COZAC - SPE COMERCIAL"/>
    <x v="35"/>
    <s v="13016842-2"/>
    <s v="SANTANDER - SPE COMERCIAL"/>
    <s v="GUIA PARA RECOLHIMENTO DE IMPOSTOS"/>
    <s v="DEB_IPTU COZAC_5104"/>
  </r>
  <r>
    <s v="*** Pagamento ***"/>
    <d v="2025-10-24T00:00:00"/>
    <d v="2025-10-01T00:00:00"/>
    <n v="98.45"/>
    <n v="1.57"/>
    <n v="1.57"/>
    <d v="2025-11-17T00:00:00"/>
    <n v="1.5704699637999999"/>
    <n v="1.5977023570459337"/>
    <n v="278096"/>
    <x v="8"/>
    <s v="2.08.04"/>
    <x v="12"/>
    <n v="27160"/>
    <x v="11"/>
    <n v="4"/>
    <s v="COZAC - SPE COMERCIAL"/>
    <x v="36"/>
    <s v="CAIXA"/>
    <s v="CAIXA"/>
    <s v="GUIA PARA RECOLHIMENTO DE IMPOSTOS"/>
    <s v="DCFT COMP -08.25.2"/>
  </r>
  <r>
    <s v="*** Pagamento ***"/>
    <d v="2025-10-24T00:00:00"/>
    <d v="2025-10-01T00:00:00"/>
    <n v="98.45"/>
    <n v="4.4000000000000004"/>
    <n v="4.4000000000000004"/>
    <d v="2025-11-17T00:00:00"/>
    <n v="4.4013170960000005"/>
    <n v="4.4776371789822349"/>
    <n v="278096"/>
    <x v="8"/>
    <s v="2.08.01"/>
    <x v="13"/>
    <n v="27160"/>
    <x v="11"/>
    <n v="4"/>
    <s v="COZAC - SPE COMERCIAL"/>
    <x v="36"/>
    <s v="CAIXA"/>
    <s v="CAIXA"/>
    <s v="GUIA PARA RECOLHIMENTO DE IMPOSTOS"/>
    <s v="DCFT COMP -08.25.2"/>
  </r>
  <r>
    <s v="*** Pagamento ***"/>
    <d v="2025-10-24T00:00:00"/>
    <d v="2025-10-13T00:00:00"/>
    <n v="333502.15000000002"/>
    <n v="69568.56"/>
    <n v="69568.56"/>
    <d v="2025-11-17T00:00:00"/>
    <n v="69589.384652750392"/>
    <n v="70796.084260058255"/>
    <n v="276407"/>
    <x v="3"/>
    <s v="2.20.03.15"/>
    <x v="16"/>
    <n v="27145"/>
    <x v="8"/>
    <n v="4"/>
    <s v="COZAC - SPE COMERCIAL"/>
    <x v="37"/>
    <s v="13016842-2"/>
    <s v="SANTANDER - SPE COMERCIAL"/>
    <s v="GUIA PARA RECOLHIMENTO DE IMPOSTOS"/>
    <s v="DEB_IPTU COZAC_6660"/>
  </r>
  <r>
    <s v="*** Pagamento ***"/>
    <d v="2025-10-24T00:00:00"/>
    <d v="2025-10-01T00:00:00"/>
    <n v="98.45"/>
    <n v="4.4000000000000004"/>
    <n v="4.4000000000000004"/>
    <d v="2025-11-17T00:00:00"/>
    <n v="4.4013170960000005"/>
    <n v="4.4776371789822349"/>
    <n v="278096"/>
    <x v="8"/>
    <s v="2.08.01"/>
    <x v="13"/>
    <n v="27156"/>
    <x v="4"/>
    <n v="4"/>
    <s v="COZAC - SPE COMERCIAL"/>
    <x v="36"/>
    <s v="CAIXA"/>
    <s v="CAIXA"/>
    <s v="GUIA PARA RECOLHIMENTO DE IMPOSTOS"/>
    <s v="DCFT COMP -08.25.2"/>
  </r>
  <r>
    <s v="*** Pagamento ***"/>
    <d v="2025-10-24T00:00:00"/>
    <d v="2025-10-13T00:00:00"/>
    <n v="244579.28"/>
    <n v="51020.160000000003"/>
    <n v="51020.160000000003"/>
    <d v="2025-11-17T00:00:00"/>
    <n v="51035.432374694399"/>
    <n v="51920.401203095971"/>
    <n v="276433"/>
    <x v="3"/>
    <s v="2.20.03.15"/>
    <x v="16"/>
    <n v="27146"/>
    <x v="10"/>
    <n v="4"/>
    <s v="COZAC - SPE COMERCIAL"/>
    <x v="38"/>
    <s v="13016842-2"/>
    <s v="SANTANDER - SPE COMERCIAL"/>
    <s v="GUIA PARA RECOLHIMENTO DE IMPOSTOS"/>
    <s v="DEB_IPTU COZAC 11055"/>
  </r>
  <r>
    <s v="*** Pagamento ***"/>
    <d v="2025-10-24T00:00:00"/>
    <d v="2025-10-01T00:00:00"/>
    <n v="98.45"/>
    <n v="1.57"/>
    <n v="1.57"/>
    <d v="2025-11-17T00:00:00"/>
    <n v="1.5704699637999999"/>
    <n v="1.5977023570459337"/>
    <n v="278096"/>
    <x v="8"/>
    <s v="2.08.04"/>
    <x v="12"/>
    <n v="27156"/>
    <x v="4"/>
    <n v="4"/>
    <s v="COZAC - SPE COMERCIAL"/>
    <x v="36"/>
    <s v="CAIXA"/>
    <s v="CAIXA"/>
    <s v="GUIA PARA RECOLHIMENTO DE IMPOSTOS"/>
    <s v="DCFT COMP -08.25.2"/>
  </r>
  <r>
    <s v="*** Pagamento ***"/>
    <d v="2025-10-24T00:00:00"/>
    <d v="2025-10-13T00:00:00"/>
    <n v="127836.18"/>
    <n v="101169.54"/>
    <n v="101169.54"/>
    <d v="2025-11-17T00:00:00"/>
    <n v="101199.82409010359"/>
    <n v="102954.65765557507"/>
    <n v="276639"/>
    <x v="3"/>
    <s v="2.20.03.15"/>
    <x v="16"/>
    <n v="27151"/>
    <x v="9"/>
    <n v="4"/>
    <s v="COZAC - SPE COMERCIAL"/>
    <x v="39"/>
    <s v="13016842-2"/>
    <s v="SANTANDER - SPE COMERCIAL"/>
    <s v="GUIA PARA RECOLHIMENTO DE IMPOSTOS"/>
    <s v="DEB_IPTU COZAC_11054"/>
  </r>
  <r>
    <s v="*** Pagamento ***"/>
    <d v="2025-10-24T00:00:00"/>
    <d v="2025-10-01T00:00:00"/>
    <n v="98.45"/>
    <n v="4.4000000000000004"/>
    <n v="4.4000000000000004"/>
    <d v="2025-11-17T00:00:00"/>
    <n v="4.4013170960000005"/>
    <n v="4.4776371789822349"/>
    <n v="278096"/>
    <x v="8"/>
    <s v="2.08.01"/>
    <x v="13"/>
    <n v="27149"/>
    <x v="6"/>
    <n v="4"/>
    <s v="COZAC - SPE COMERCIAL"/>
    <x v="36"/>
    <s v="CAIXA"/>
    <s v="CAIXA"/>
    <s v="GUIA PARA RECOLHIMENTO DE IMPOSTOS"/>
    <s v="DCFT COMP -08.25.2"/>
  </r>
  <r>
    <s v="*** Pagamento ***"/>
    <d v="2025-10-24T00:00:00"/>
    <d v="2025-10-01T00:00:00"/>
    <n v="98.45"/>
    <n v="1.57"/>
    <n v="1.57"/>
    <d v="2025-11-17T00:00:00"/>
    <n v="1.5704699637999999"/>
    <n v="1.5977023570459337"/>
    <n v="278096"/>
    <x v="8"/>
    <s v="2.08.04"/>
    <x v="12"/>
    <n v="27149"/>
    <x v="6"/>
    <n v="4"/>
    <s v="COZAC - SPE COMERCIAL"/>
    <x v="36"/>
    <s v="CAIXA"/>
    <s v="CAIXA"/>
    <s v="GUIA PARA RECOLHIMENTO DE IMPOSTOS"/>
    <s v="DCFT COMP -08.25.2"/>
  </r>
  <r>
    <s v="*** Pagamento ***"/>
    <d v="2025-10-24T00:00:00"/>
    <d v="2025-10-01T00:00:00"/>
    <n v="98.45"/>
    <n v="4.4000000000000004"/>
    <n v="4.4000000000000004"/>
    <d v="2025-11-17T00:00:00"/>
    <n v="4.4013170960000005"/>
    <n v="4.4776371789822349"/>
    <n v="278096"/>
    <x v="8"/>
    <s v="2.08.01"/>
    <x v="13"/>
    <n v="27165"/>
    <x v="12"/>
    <n v="4"/>
    <s v="COZAC - SPE COMERCIAL"/>
    <x v="36"/>
    <s v="CAIXA"/>
    <s v="CAIXA"/>
    <s v="GUIA PARA RECOLHIMENTO DE IMPOSTOS"/>
    <s v="DCFT COMP -08.25.2"/>
  </r>
  <r>
    <s v="*** Pagamento ***"/>
    <d v="2025-10-24T00:00:00"/>
    <d v="2025-10-01T00:00:00"/>
    <n v="98.45"/>
    <n v="1.57"/>
    <n v="1.57"/>
    <d v="2025-11-17T00:00:00"/>
    <n v="1.5704699637999999"/>
    <n v="1.5977023570459337"/>
    <n v="278096"/>
    <x v="8"/>
    <s v="2.08.04"/>
    <x v="12"/>
    <n v="27165"/>
    <x v="12"/>
    <n v="4"/>
    <s v="COZAC - SPE COMERCIAL"/>
    <x v="36"/>
    <s v="CAIXA"/>
    <s v="CAIXA"/>
    <s v="GUIA PARA RECOLHIMENTO DE IMPOSTOS"/>
    <s v="DCFT COMP -08.25.2"/>
  </r>
  <r>
    <s v="*** Pagamento ***"/>
    <d v="2025-10-24T00:00:00"/>
    <d v="2025-10-13T00:00:00"/>
    <n v="127836.18"/>
    <n v="26666.639999999999"/>
    <n v="26666.639999999999"/>
    <d v="2025-11-17T00:00:00"/>
    <n v="26674.622392017598"/>
    <n v="27137.167886939729"/>
    <n v="276639"/>
    <x v="3"/>
    <s v="2.20.03.15"/>
    <x v="16"/>
    <n v="27151"/>
    <x v="9"/>
    <n v="4"/>
    <s v="COZAC - SPE COMERCIAL"/>
    <x v="39"/>
    <s v="13016842-2"/>
    <s v="SANTANDER - SPE COMERCIAL"/>
    <s v="GUIA PARA RECOLHIMENTO DE IMPOSTOS"/>
    <s v="DEB_IPTU COZAC_11054"/>
  </r>
  <r>
    <s v="*** Pagamento ***"/>
    <d v="2025-10-24T00:00:00"/>
    <d v="2025-10-01T00:00:00"/>
    <n v="98.45"/>
    <n v="1.57"/>
    <n v="1.57"/>
    <d v="2025-11-17T00:00:00"/>
    <n v="1.5704699637999999"/>
    <n v="1.5977023570459337"/>
    <n v="278096"/>
    <x v="8"/>
    <s v="2.08.04"/>
    <x v="12"/>
    <n v="27143"/>
    <x v="0"/>
    <n v="4"/>
    <s v="COZAC - SPE COMERCIAL"/>
    <x v="36"/>
    <s v="CAIXA"/>
    <s v="CAIXA"/>
    <s v="GUIA PARA RECOLHIMENTO DE IMPOSTOS"/>
    <s v="DCFT COMP -08.25.2"/>
  </r>
  <r>
    <s v="*** Pagamento ***"/>
    <d v="2025-10-24T00:00:00"/>
    <d v="2025-10-13T00:00:00"/>
    <n v="62133.41"/>
    <n v="49173.29"/>
    <n v="49173.29"/>
    <d v="2025-11-17T00:00:00"/>
    <n v="49188.009532628603"/>
    <n v="50040.943526562573"/>
    <n v="276614"/>
    <x v="3"/>
    <s v="2.20.03.15"/>
    <x v="16"/>
    <n v="27158"/>
    <x v="7"/>
    <n v="4"/>
    <s v="COZAC - SPE COMERCIAL"/>
    <x v="34"/>
    <s v="13016842-2"/>
    <s v="SANTANDER - SPE COMERCIAL"/>
    <s v="GUIA PARA RECOLHIMENTO DE IMPOSTOS"/>
    <s v="DEB_IPTU COZAC_62872"/>
  </r>
  <r>
    <s v="*** Pagamento ***"/>
    <d v="2025-10-24T00:00:00"/>
    <d v="2025-10-13T00:00:00"/>
    <n v="26068.17"/>
    <n v="15191.61"/>
    <n v="15191.61"/>
    <d v="2025-11-17T00:00:00"/>
    <n v="15196.157456537399"/>
    <n v="15459.663123772343"/>
    <n v="276505"/>
    <x v="3"/>
    <s v="2.20.03.15"/>
    <x v="16"/>
    <n v="27154"/>
    <x v="5"/>
    <n v="4"/>
    <s v="COZAC - SPE COMERCIAL"/>
    <x v="35"/>
    <s v="13016842-2"/>
    <s v="SANTANDER - SPE COMERCIAL"/>
    <s v="GUIA PARA RECOLHIMENTO DE IMPOSTOS"/>
    <s v="DEB_IPTU COZAC_5104"/>
  </r>
  <r>
    <s v="*** Pagamento ***"/>
    <d v="2025-10-24T00:00:00"/>
    <d v="2025-10-01T00:00:00"/>
    <n v="98.45"/>
    <n v="4.4000000000000004"/>
    <n v="4.4000000000000004"/>
    <d v="2025-11-17T00:00:00"/>
    <n v="4.4013170960000005"/>
    <n v="4.4776371789822349"/>
    <n v="278096"/>
    <x v="8"/>
    <s v="2.08.01"/>
    <x v="13"/>
    <n v="27143"/>
    <x v="0"/>
    <n v="4"/>
    <s v="COZAC - SPE COMERCIAL"/>
    <x v="36"/>
    <s v="CAIXA"/>
    <s v="CAIXA"/>
    <s v="GUIA PARA RECOLHIMENTO DE IMPOSTOS"/>
    <s v="DCFT COMP -08.25.2"/>
  </r>
  <r>
    <s v="*** Pagamento ***"/>
    <d v="2025-10-24T00:00:00"/>
    <d v="2025-10-13T00:00:00"/>
    <n v="244579.28"/>
    <n v="193559.12"/>
    <n v="193559.12"/>
    <d v="2025-11-17T00:00:00"/>
    <n v="193617.05998698078"/>
    <n v="196974.43455524632"/>
    <n v="276433"/>
    <x v="3"/>
    <s v="2.20.03.15"/>
    <x v="16"/>
    <n v="27146"/>
    <x v="10"/>
    <n v="4"/>
    <s v="COZAC - SPE COMERCIAL"/>
    <x v="38"/>
    <s v="13016842-2"/>
    <s v="SANTANDER - SPE COMERCIAL"/>
    <s v="GUIA PARA RECOLHIMENTO DE IMPOSTOS"/>
    <s v="DEB_IPTU COZAC 11055"/>
  </r>
  <r>
    <s v="*** Pagamento ***"/>
    <d v="2025-10-24T00:00:00"/>
    <d v="2025-10-01T00:00:00"/>
    <n v="98.45"/>
    <n v="4.4199999999969997"/>
    <n v="4.4199999999969997"/>
    <d v="2025-11-17T00:00:00"/>
    <n v="4.4213230827969987"/>
    <n v="4.4979900752472819"/>
    <n v="278096"/>
    <x v="8"/>
    <s v="2.08.01"/>
    <x v="13"/>
    <n v="27167"/>
    <x v="13"/>
    <n v="4"/>
    <s v="COZAC - SPE COMERCIAL"/>
    <x v="36"/>
    <s v="CAIXA"/>
    <s v="CAIXA"/>
    <s v="GUIA PARA RECOLHIMENTO DE IMPOSTOS"/>
    <s v="DCFT COMP -08.25.2"/>
  </r>
  <r>
    <s v="*** Pagamento ***"/>
    <d v="2025-10-24T00:00:00"/>
    <d v="2025-10-13T00:00:00"/>
    <n v="333502.15000000002"/>
    <n v="263933.59000000003"/>
    <n v="263933.59000000003"/>
    <d v="2025-11-17T00:00:00"/>
    <n v="264012.5958808306"/>
    <n v="268590.64894687588"/>
    <n v="276407"/>
    <x v="3"/>
    <s v="2.20.03.15"/>
    <x v="16"/>
    <n v="27145"/>
    <x v="8"/>
    <n v="4"/>
    <s v="COZAC - SPE COMERCIAL"/>
    <x v="37"/>
    <s v="13016842-2"/>
    <s v="SANTANDER - SPE COMERCIAL"/>
    <s v="GUIA PARA RECOLHIMENTO DE IMPOSTOS"/>
    <s v="DEB_IPTU COZAC_6660"/>
  </r>
  <r>
    <s v="*** Pagamento ***"/>
    <d v="2025-10-24T00:00:00"/>
    <d v="2025-10-01T00:00:00"/>
    <n v="98.45"/>
    <n v="1.57"/>
    <n v="1.57"/>
    <d v="2025-11-17T00:00:00"/>
    <n v="1.5704699637999999"/>
    <n v="1.5977023570459337"/>
    <n v="278096"/>
    <x v="8"/>
    <s v="2.08.04"/>
    <x v="12"/>
    <n v="27154"/>
    <x v="5"/>
    <n v="4"/>
    <s v="COZAC - SPE COMERCIAL"/>
    <x v="36"/>
    <s v="CAIXA"/>
    <s v="CAIXA"/>
    <s v="GUIA PARA RECOLHIMENTO DE IMPOSTOS"/>
    <s v="DCFT COMP -08.25.2"/>
  </r>
  <r>
    <s v="*** Pagamento ***"/>
    <d v="2025-10-24T00:00:00"/>
    <d v="2025-10-01T00:00:00"/>
    <n v="98.45"/>
    <n v="4.4000000000000004"/>
    <n v="4.4000000000000004"/>
    <d v="2025-11-17T00:00:00"/>
    <n v="4.4013170960000005"/>
    <n v="4.4776371789822349"/>
    <n v="278096"/>
    <x v="8"/>
    <s v="2.08.01"/>
    <x v="13"/>
    <n v="27154"/>
    <x v="5"/>
    <n v="4"/>
    <s v="COZAC - SPE COMERCIAL"/>
    <x v="36"/>
    <s v="CAIXA"/>
    <s v="CAIXA"/>
    <s v="GUIA PARA RECOLHIMENTO DE IMPOSTOS"/>
    <s v="DCFT COMP -08.25.2"/>
  </r>
  <r>
    <s v="*** Pagamento ***"/>
    <d v="2025-10-24T00:00:00"/>
    <d v="2025-10-01T00:00:00"/>
    <n v="98.45"/>
    <n v="1.57"/>
    <n v="1.57"/>
    <d v="2025-11-17T00:00:00"/>
    <n v="1.5704699637999999"/>
    <n v="1.5977023570459337"/>
    <n v="278096"/>
    <x v="8"/>
    <s v="2.08.04"/>
    <x v="12"/>
    <n v="27167"/>
    <x v="13"/>
    <n v="4"/>
    <s v="COZAC - SPE COMERCIAL"/>
    <x v="36"/>
    <s v="CAIXA"/>
    <s v="CAIXA"/>
    <s v="GUIA PARA RECOLHIMENTO DE IMPOSTOS"/>
    <s v="DCFT COMP -08.25.2"/>
  </r>
  <r>
    <s v="*** Pagamento ***"/>
    <d v="2025-10-24T00:00:00"/>
    <d v="2025-10-22T00:00:00"/>
    <n v="7551.48"/>
    <n v="7551.48"/>
    <n v="7551.48"/>
    <d v="2025-11-17T00:00:00"/>
    <n v="7553.7404600231994"/>
    <n v="7684.7244555319912"/>
    <n v="276716"/>
    <x v="3"/>
    <s v="2.20.02.01"/>
    <x v="5"/>
    <n v="27156"/>
    <x v="4"/>
    <n v="4"/>
    <s v="COZAC - SPE COMERCIAL"/>
    <x v="40"/>
    <s v="13016842-2"/>
    <s v="SANTANDER - SPE COMERCIAL"/>
    <s v="BOLETO"/>
    <s v="202509021209"/>
  </r>
  <r>
    <s v="*** Pagamento ***"/>
    <d v="2025-10-24T00:00:00"/>
    <d v="2025-10-01T00:00:00"/>
    <n v="98.45"/>
    <n v="4.4000000000000004"/>
    <n v="4.4000000000000004"/>
    <d v="2025-11-17T00:00:00"/>
    <n v="4.4013170960000005"/>
    <n v="4.4776371789822349"/>
    <n v="278096"/>
    <x v="8"/>
    <s v="2.08.01"/>
    <x v="13"/>
    <n v="27159"/>
    <x v="1"/>
    <n v="4"/>
    <s v="COZAC - SPE COMERCIAL"/>
    <x v="36"/>
    <s v="CAIXA"/>
    <s v="CAIXA"/>
    <s v="GUIA PARA RECOLHIMENTO DE IMPOSTOS"/>
    <s v="DCFT COMP -08.25.2"/>
  </r>
  <r>
    <s v="*** Pagamento ***"/>
    <d v="2025-10-24T00:00:00"/>
    <d v="2025-10-13T00:00:00"/>
    <n v="145271.53"/>
    <n v="30292.68"/>
    <n v="30292.68"/>
    <d v="2025-11-17T00:00:00"/>
    <n v="30301.747810831199"/>
    <n v="30827.18868613899"/>
    <n v="276428"/>
    <x v="3"/>
    <s v="2.20.03.15"/>
    <x v="16"/>
    <n v="27143"/>
    <x v="0"/>
    <n v="4"/>
    <s v="COZAC - SPE COMERCIAL"/>
    <x v="41"/>
    <s v="13016842-2"/>
    <s v="SANTANDER - SPE COMERCIAL"/>
    <s v="GUIA PARA RECOLHIMENTO DE IMPOSTOS"/>
    <s v="DEB_IPTU COZAC_23299"/>
  </r>
  <r>
    <s v="*** Pagamento ***"/>
    <d v="2025-10-24T00:00:00"/>
    <d v="2025-10-01T00:00:00"/>
    <n v="98.45"/>
    <n v="4.4000000000000004"/>
    <n v="4.4000000000000004"/>
    <d v="2025-11-17T00:00:00"/>
    <n v="4.4013170960000005"/>
    <n v="4.4776371789822349"/>
    <n v="278096"/>
    <x v="8"/>
    <s v="2.08.01"/>
    <x v="13"/>
    <n v="27145"/>
    <x v="8"/>
    <n v="4"/>
    <s v="COZAC - SPE COMERCIAL"/>
    <x v="36"/>
    <s v="CAIXA"/>
    <s v="CAIXA"/>
    <s v="GUIA PARA RECOLHIMENTO DE IMPOSTOS"/>
    <s v="DCFT COMP -08.25.2"/>
  </r>
  <r>
    <s v="*** Pagamento ***"/>
    <d v="2025-10-24T00:00:00"/>
    <d v="2025-10-01T00:00:00"/>
    <n v="98.45"/>
    <n v="1.57"/>
    <n v="1.57"/>
    <d v="2025-11-17T00:00:00"/>
    <n v="1.5704699637999999"/>
    <n v="1.5977023570459337"/>
    <n v="278096"/>
    <x v="8"/>
    <s v="2.08.04"/>
    <x v="12"/>
    <n v="27159"/>
    <x v="1"/>
    <n v="4"/>
    <s v="COZAC - SPE COMERCIAL"/>
    <x v="36"/>
    <s v="CAIXA"/>
    <s v="CAIXA"/>
    <s v="GUIA PARA RECOLHIMENTO DE IMPOSTOS"/>
    <s v="DCFT COMP -08.25.2"/>
  </r>
  <r>
    <s v="*** Pagamento ***"/>
    <d v="2025-10-24T00:00:00"/>
    <d v="2025-10-01T00:00:00"/>
    <n v="98.45"/>
    <n v="1.57"/>
    <n v="1.57"/>
    <d v="2025-11-17T00:00:00"/>
    <n v="1.5704699637999999"/>
    <n v="1.5977023570459337"/>
    <n v="278096"/>
    <x v="8"/>
    <s v="2.08.04"/>
    <x v="12"/>
    <n v="27145"/>
    <x v="8"/>
    <n v="4"/>
    <s v="COZAC - SPE COMERCIAL"/>
    <x v="36"/>
    <s v="CAIXA"/>
    <s v="CAIXA"/>
    <s v="GUIA PARA RECOLHIMENTO DE IMPOSTOS"/>
    <s v="DCFT COMP -08.25.2"/>
  </r>
  <r>
    <s v="*** Pagamento ***"/>
    <d v="2025-10-24T00:00:00"/>
    <d v="2025-10-01T00:00:00"/>
    <n v="98.45"/>
    <n v="1.57"/>
    <n v="1.57"/>
    <d v="2025-11-17T00:00:00"/>
    <n v="1.5704699637999999"/>
    <n v="1.5977023570459337"/>
    <n v="278096"/>
    <x v="8"/>
    <s v="2.08.04"/>
    <x v="12"/>
    <n v="27158"/>
    <x v="7"/>
    <n v="4"/>
    <s v="COZAC - SPE COMERCIAL"/>
    <x v="36"/>
    <s v="CAIXA"/>
    <s v="CAIXA"/>
    <s v="GUIA PARA RECOLHIMENTO DE IMPOSTOS"/>
    <s v="DCFT COMP -08.25.2"/>
  </r>
  <r>
    <s v="*** Pagamento ***"/>
    <d v="2025-10-24T00:00:00"/>
    <d v="2025-10-13T00:00:00"/>
    <n v="16256.26"/>
    <n v="6782.64"/>
    <n v="6782.64"/>
    <d v="2025-11-17T00:00:00"/>
    <n v="6784.6703154575998"/>
    <n v="6902.3184171936509"/>
    <n v="276646"/>
    <x v="3"/>
    <s v="2.20.03.15"/>
    <x v="16"/>
    <n v="27160"/>
    <x v="11"/>
    <n v="4"/>
    <s v="COZAC - SPE COMERCIAL"/>
    <x v="42"/>
    <s v="13016842-2"/>
    <s v="SANTANDER - SPE COMERCIAL"/>
    <s v="GUIA PARA RECOLHIMENTO DE IMPOSTOS"/>
    <s v="DÉB. COZAC_5103"/>
  </r>
  <r>
    <s v="*** Pagamento ***"/>
    <d v="2025-10-24T00:00:00"/>
    <d v="2025-10-01T00:00:00"/>
    <n v="98.45"/>
    <n v="4.4000000000000004"/>
    <n v="4.4000000000000004"/>
    <d v="2025-11-17T00:00:00"/>
    <n v="4.4013170960000005"/>
    <n v="4.4776371789822349"/>
    <n v="278096"/>
    <x v="8"/>
    <s v="2.08.01"/>
    <x v="13"/>
    <n v="27151"/>
    <x v="9"/>
    <n v="4"/>
    <s v="COZAC - SPE COMERCIAL"/>
    <x v="36"/>
    <s v="CAIXA"/>
    <s v="CAIXA"/>
    <s v="GUIA PARA RECOLHIMENTO DE IMPOSTOS"/>
    <s v="DCFT COMP -08.25.2"/>
  </r>
  <r>
    <s v="*** Pagamento ***"/>
    <d v="2025-10-24T00:00:00"/>
    <d v="2025-10-01T00:00:00"/>
    <n v="98.45"/>
    <n v="1.57"/>
    <n v="1.57"/>
    <d v="2025-11-17T00:00:00"/>
    <n v="1.5704699637999999"/>
    <n v="1.5977023570459337"/>
    <n v="278096"/>
    <x v="8"/>
    <s v="2.08.04"/>
    <x v="12"/>
    <n v="27151"/>
    <x v="9"/>
    <n v="4"/>
    <s v="COZAC - SPE COMERCIAL"/>
    <x v="36"/>
    <s v="CAIXA"/>
    <s v="CAIXA"/>
    <s v="GUIA PARA RECOLHIMENTO DE IMPOSTOS"/>
    <s v="DCFT COMP -08.25.2"/>
  </r>
  <r>
    <s v="*** Pagamento ***"/>
    <d v="2025-10-24T00:00:00"/>
    <d v="2025-10-01T00:00:00"/>
    <n v="98.45"/>
    <n v="4.4000000000000004"/>
    <n v="4.4000000000000004"/>
    <d v="2025-11-17T00:00:00"/>
    <n v="4.4013170960000005"/>
    <n v="4.4776371789822349"/>
    <n v="278096"/>
    <x v="8"/>
    <s v="2.08.01"/>
    <x v="13"/>
    <n v="27158"/>
    <x v="7"/>
    <n v="4"/>
    <s v="COZAC - SPE COMERCIAL"/>
    <x v="36"/>
    <s v="CAIXA"/>
    <s v="CAIXA"/>
    <s v="GUIA PARA RECOLHIMENTO DE IMPOSTOS"/>
    <s v="DCFT COMP -08.25.2"/>
  </r>
  <r>
    <s v="*** Pagamento ***"/>
    <d v="2025-10-24T00:00:00"/>
    <d v="2025-10-01T00:00:00"/>
    <n v="98.45"/>
    <n v="1.57"/>
    <n v="1.57"/>
    <d v="2025-11-17T00:00:00"/>
    <n v="1.5704699637999999"/>
    <n v="1.5977023570459337"/>
    <n v="278096"/>
    <x v="8"/>
    <s v="2.08.04"/>
    <x v="12"/>
    <n v="27146"/>
    <x v="10"/>
    <n v="4"/>
    <s v="COZAC - SPE COMERCIAL"/>
    <x v="36"/>
    <s v="CAIXA"/>
    <s v="CAIXA"/>
    <s v="GUIA PARA RECOLHIMENTO DE IMPOSTOS"/>
    <s v="DCFT COMP -08.25.2"/>
  </r>
  <r>
    <s v="*** Pagamento ***"/>
    <d v="2025-10-24T00:00:00"/>
    <d v="2025-10-01T00:00:00"/>
    <n v="98.45"/>
    <n v="4.4000000000000004"/>
    <n v="4.4000000000000004"/>
    <d v="2025-11-17T00:00:00"/>
    <n v="4.4013170960000005"/>
    <n v="4.4776371789822349"/>
    <n v="278096"/>
    <x v="8"/>
    <s v="2.08.01"/>
    <x v="13"/>
    <n v="27146"/>
    <x v="10"/>
    <n v="4"/>
    <s v="COZAC - SPE COMERCIAL"/>
    <x v="36"/>
    <s v="CAIXA"/>
    <s v="CAIXA"/>
    <s v="GUIA PARA RECOLHIMENTO DE IMPOSTOS"/>
    <s v="DCFT COMP -08.25.2"/>
  </r>
  <r>
    <s v="*** Pagamento ***"/>
    <d v="2025-10-24T00:00:00"/>
    <d v="2025-10-13T00:00:00"/>
    <n v="145271.53"/>
    <n v="114978.85"/>
    <n v="114978.85"/>
    <d v="2025-11-17T00:00:00"/>
    <n v="115013.26776895901"/>
    <n v="117007.63035377763"/>
    <n v="276428"/>
    <x v="3"/>
    <s v="2.20.03.15"/>
    <x v="16"/>
    <n v="27143"/>
    <x v="0"/>
    <n v="4"/>
    <s v="COZAC - SPE COMERCIAL"/>
    <x v="41"/>
    <s v="13016842-2"/>
    <s v="SANTANDER - SPE COMERCIAL"/>
    <s v="GUIA PARA RECOLHIMENTO DE IMPOSTOS"/>
    <s v="DEB_IPTU COZAC_23299"/>
  </r>
  <r>
    <s v="*** Pagamento ***"/>
    <d v="2025-08-27T00:00:00"/>
    <d v="2025-08-19T00:00:00"/>
    <n v="158365.32999999999"/>
    <n v="158365.32999999999"/>
    <n v="158365.32999999999"/>
    <d v="2025-11-17T00:00:00"/>
    <n v="158902.07127835578"/>
    <n v="168117.86794133173"/>
    <n v="267290"/>
    <x v="3"/>
    <s v="2.20.02.01"/>
    <x v="5"/>
    <n v="27143"/>
    <x v="0"/>
    <n v="4"/>
    <s v="COZAC - SPE COMERCIAL"/>
    <x v="43"/>
    <s v="13016842-2"/>
    <s v="SANTANDER - SPE COMERCIAL"/>
    <s v="GUIA PARA RECOLHIMENTO DE IMPOSTOS"/>
    <s v="15952"/>
  </r>
  <r>
    <s v="*** Pagamento ***"/>
    <d v="2025-08-27T00:00:00"/>
    <d v="2025-08-19T00:00:00"/>
    <n v="10103.98"/>
    <n v="10103.98"/>
    <n v="10103.98"/>
    <d v="2025-11-17T00:00:00"/>
    <n v="10138.2250152548"/>
    <n v="10726.208667780107"/>
    <n v="267389"/>
    <x v="3"/>
    <s v="2.20.02.01"/>
    <x v="5"/>
    <n v="27159"/>
    <x v="1"/>
    <n v="4"/>
    <s v="COZAC - SPE COMERCIAL"/>
    <x v="44"/>
    <s v="13016842-2"/>
    <s v="SANTANDER - SPE COMERCIAL"/>
    <s v="GUIA PARA RECOLHIMENTO DE IMPOSTOS"/>
    <s v="15951"/>
  </r>
  <r>
    <s v="*** Pagamento ***"/>
    <d v="2025-08-27T00:00:00"/>
    <d v="2025-08-19T00:00:00"/>
    <n v="57200.24"/>
    <n v="57200.24"/>
    <n v="57200.24"/>
    <d v="2025-11-17T00:00:00"/>
    <n v="57394.106485422402"/>
    <n v="60722.775588144716"/>
    <n v="267388"/>
    <x v="3"/>
    <s v="2.20.02.01"/>
    <x v="5"/>
    <n v="27149"/>
    <x v="6"/>
    <n v="4"/>
    <s v="COZAC - SPE COMERCIAL"/>
    <x v="45"/>
    <s v="13016842-2"/>
    <s v="SANTANDER - SPE COMERCIAL"/>
    <s v="GUIA PARA RECOLHIMENTO DE IMPOSTOS"/>
    <s v="15950"/>
  </r>
  <r>
    <s v="*** Pagamento ***"/>
    <d v="2025-08-27T00:00:00"/>
    <d v="2025-08-19T00:00:00"/>
    <n v="16199.77"/>
    <n v="16199.77"/>
    <n v="16199.77"/>
    <d v="2025-11-17T00:00:00"/>
    <n v="16254.675232470201"/>
    <n v="17197.392848169155"/>
    <n v="267387"/>
    <x v="3"/>
    <s v="2.20.02.01"/>
    <x v="5"/>
    <n v="27158"/>
    <x v="7"/>
    <n v="4"/>
    <s v="COZAC - SPE COMERCIAL"/>
    <x v="46"/>
    <s v="13016842-2"/>
    <s v="SANTANDER - SPE COMERCIAL"/>
    <s v="GUIA PARA RECOLHIMENTO DE IMPOSTOS"/>
    <s v="15956"/>
  </r>
  <r>
    <s v="*** Pagamento ***"/>
    <d v="2025-10-27T00:00:00"/>
    <d v="2025-10-13T00:00:00"/>
    <n v="16256.26"/>
    <n v="9473.6200000000008"/>
    <n v="9473.6200000000008"/>
    <d v="2025-11-17T00:00:00"/>
    <n v="9476.4558334108006"/>
    <n v="9619.7249810157282"/>
    <n v="276646"/>
    <x v="3"/>
    <s v="2.20.03.15"/>
    <x v="16"/>
    <n v="27160"/>
    <x v="11"/>
    <n v="4"/>
    <s v="COZAC - SPE COMERCIAL"/>
    <x v="42"/>
    <s v="13016842-2"/>
    <s v="SANTANDER - SPE COMERCIAL"/>
    <s v="GUIA PARA RECOLHIMENTO DE IMPOSTOS"/>
    <s v="DÉB. COZAC_5103"/>
  </r>
  <r>
    <s v="*** Pagamento ***"/>
    <d v="2025-08-28T00:00:00"/>
    <d v="2025-08-18T00:00:00"/>
    <n v="2164.2600000000002"/>
    <n v="541.06000000000404"/>
    <n v="541.06000000000404"/>
    <d v="2025-11-17T00:00:00"/>
    <n v="542.89379301560405"/>
    <n v="573.96139498393211"/>
    <n v="268080"/>
    <x v="10"/>
    <s v="2.20.05.03"/>
    <x v="14"/>
    <n v="27143"/>
    <x v="0"/>
    <n v="4"/>
    <s v="COZAC - SPE COMERCIAL"/>
    <x v="47"/>
    <s v="CAIXA"/>
    <s v="CAIXA"/>
    <s v="NOTA FISCAL DE SERVIÇOS"/>
    <s v="912.02"/>
  </r>
  <r>
    <s v="*** Pagamento ***"/>
    <d v="2025-08-28T00:00:00"/>
    <d v="2025-08-18T00:00:00"/>
    <n v="2164.2600000000002"/>
    <n v="541.06000000000404"/>
    <n v="541.06000000000404"/>
    <d v="2025-11-17T00:00:00"/>
    <n v="542.89379301560405"/>
    <n v="573.96139498393211"/>
    <n v="268080"/>
    <x v="10"/>
    <s v="2.20.05.03"/>
    <x v="14"/>
    <n v="27158"/>
    <x v="7"/>
    <n v="4"/>
    <s v="COZAC - SPE COMERCIAL"/>
    <x v="47"/>
    <s v="CAIXA"/>
    <s v="CAIXA"/>
    <s v="NOTA FISCAL DE SERVIÇOS"/>
    <s v="912.02"/>
  </r>
  <r>
    <s v="*** Pagamento ***"/>
    <d v="2025-08-28T00:00:00"/>
    <d v="2025-08-18T00:00:00"/>
    <n v="2164.2600000000002"/>
    <n v="541.06999999999596"/>
    <n v="541.06999999999596"/>
    <d v="2025-11-17T00:00:00"/>
    <n v="542.90382690819592"/>
    <n v="573.97200307535491"/>
    <n v="268080"/>
    <x v="10"/>
    <s v="2.20.05.03"/>
    <x v="14"/>
    <n v="27149"/>
    <x v="6"/>
    <n v="4"/>
    <s v="COZAC - SPE COMERCIAL"/>
    <x v="47"/>
    <s v="CAIXA"/>
    <s v="CAIXA"/>
    <s v="NOTA FISCAL DE SERVIÇOS"/>
    <s v="912.02"/>
  </r>
  <r>
    <s v="*** Pagamento ***"/>
    <d v="2025-08-28T00:00:00"/>
    <d v="2025-08-18T00:00:00"/>
    <n v="2164.2600000000002"/>
    <n v="541.06999999999596"/>
    <n v="541.06999999999596"/>
    <d v="2025-11-17T00:00:00"/>
    <n v="542.90382690819592"/>
    <n v="573.97200307535491"/>
    <n v="268080"/>
    <x v="10"/>
    <s v="2.20.05.03"/>
    <x v="14"/>
    <n v="27159"/>
    <x v="1"/>
    <n v="4"/>
    <s v="COZAC - SPE COMERCIAL"/>
    <x v="47"/>
    <s v="CAIXA"/>
    <s v="CAIXA"/>
    <s v="NOTA FISCAL DE SERVIÇOS"/>
    <s v="912.02"/>
  </r>
  <r>
    <s v="*** Pagamento ***"/>
    <d v="2025-10-28T00:00:00"/>
    <d v="2025-10-28T00:00:00"/>
    <n v="2290.92"/>
    <n v="2290.92"/>
    <n v="2290.92"/>
    <d v="2025-11-17T00:00:00"/>
    <n v="2291.6057639927999"/>
    <n v="2324.5565184274747"/>
    <n v="277243"/>
    <x v="3"/>
    <s v="2.20.03.15"/>
    <x v="16"/>
    <n v="27162"/>
    <x v="3"/>
    <n v="4"/>
    <s v="COZAC - SPE COMERCIAL"/>
    <x v="48"/>
    <s v="13016842-2"/>
    <s v="SANTANDER - SPE COMERCIAL"/>
    <s v="GUIA PARA RECOLHIMENTO DE IMPOSTOS"/>
    <s v="79839"/>
  </r>
  <r>
    <s v="*** Pagamento ***"/>
    <d v="2025-10-28T00:00:00"/>
    <d v="2025-10-24T00:00:00"/>
    <n v="219499.1"/>
    <n v="45784.08"/>
    <n v="45784.08"/>
    <d v="2025-11-17T00:00:00"/>
    <n v="45797.785006507198"/>
    <n v="46456.306463868219"/>
    <n v="277267"/>
    <x v="3"/>
    <s v="2.20.03.15"/>
    <x v="16"/>
    <n v="27149"/>
    <x v="6"/>
    <n v="4"/>
    <s v="COZAC - SPE COMERCIAL"/>
    <x v="49"/>
    <s v="13016842-2"/>
    <s v="SANTANDER - SPE COMERCIAL"/>
    <s v="GUIA PARA RECOLHIMENTO DE IMPOSTOS"/>
    <s v="202501096481"/>
  </r>
  <r>
    <s v="*** Pagamento ***"/>
    <d v="2025-10-28T00:00:00"/>
    <d v="2025-10-17T00:00:00"/>
    <n v="1253.26"/>
    <n v="524.24"/>
    <n v="524.24"/>
    <d v="2025-11-17T00:00:00"/>
    <n v="524.39692600160004"/>
    <n v="531.93717337157977"/>
    <n v="277215"/>
    <x v="3"/>
    <s v="2.20.03.15"/>
    <x v="16"/>
    <n v="27167"/>
    <x v="13"/>
    <n v="4"/>
    <s v="COZAC - SPE COMERCIAL"/>
    <x v="50"/>
    <s v="13016842-2"/>
    <s v="SANTANDER - SPE COMERCIAL"/>
    <s v="GUIA PARA RECOLHIMENTO DE IMPOSTOS"/>
    <s v="202501094952"/>
  </r>
  <r>
    <s v="*** Pagamento ***"/>
    <d v="2025-10-28T00:00:00"/>
    <d v="2025-10-28T00:00:00"/>
    <n v="2715.44"/>
    <n v="1133.04"/>
    <n v="1133.04"/>
    <d v="2025-11-17T00:00:00"/>
    <n v="1133.3791641936"/>
    <n v="1149.6759021000585"/>
    <n v="277237"/>
    <x v="3"/>
    <s v="2.20.03.15"/>
    <x v="16"/>
    <n v="27165"/>
    <x v="12"/>
    <n v="4"/>
    <s v="COZAC - SPE COMERCIAL"/>
    <x v="51"/>
    <s v="13016842-2"/>
    <s v="SANTANDER - SPE COMERCIAL"/>
    <s v="GUIA PARA RECOLHIMENTO DE IMPOSTOS"/>
    <s v="8178"/>
  </r>
  <r>
    <s v="*** Pagamento ***"/>
    <d v="2025-10-28T00:00:00"/>
    <d v="2025-10-28T00:00:00"/>
    <n v="2715.44"/>
    <n v="1582.4"/>
    <n v="1582.4"/>
    <d v="2025-11-17T00:00:00"/>
    <n v="1582.8736756160001"/>
    <n v="1605.633647076125"/>
    <n v="277237"/>
    <x v="3"/>
    <s v="2.20.03.15"/>
    <x v="16"/>
    <n v="27165"/>
    <x v="12"/>
    <n v="4"/>
    <s v="COZAC - SPE COMERCIAL"/>
    <x v="51"/>
    <s v="13016842-2"/>
    <s v="SANTANDER - SPE COMERCIAL"/>
    <s v="GUIA PARA RECOLHIMENTO DE IMPOSTOS"/>
    <s v="8178"/>
  </r>
  <r>
    <s v="*** Pagamento ***"/>
    <d v="2025-10-28T00:00:00"/>
    <d v="2025-10-28T00:00:00"/>
    <n v="1644.12"/>
    <n v="1644.12"/>
    <n v="1644.12"/>
    <d v="2025-11-17T00:00:00"/>
    <n v="1644.6121508807998"/>
    <n v="1668.2598532803327"/>
    <n v="277251"/>
    <x v="3"/>
    <s v="2.20.03.15"/>
    <x v="16"/>
    <n v="27167"/>
    <x v="13"/>
    <n v="4"/>
    <s v="COZAC - SPE COMERCIAL"/>
    <x v="52"/>
    <s v="13016842-2"/>
    <s v="SANTANDER - SPE COMERCIAL"/>
    <s v="GUIA PARA RECOLHIMENTO DE IMPOSTOS"/>
    <s v="8179"/>
  </r>
  <r>
    <s v="*** Pagamento ***"/>
    <d v="2025-10-28T00:00:00"/>
    <d v="2025-10-17T00:00:00"/>
    <n v="1253.26"/>
    <n v="729.02"/>
    <n v="729.02"/>
    <d v="2025-11-17T00:00:00"/>
    <n v="729.23822484679999"/>
    <n v="739.72386336668137"/>
    <n v="277215"/>
    <x v="3"/>
    <s v="2.20.03.15"/>
    <x v="16"/>
    <n v="27167"/>
    <x v="13"/>
    <n v="4"/>
    <s v="COZAC - SPE COMERCIAL"/>
    <x v="50"/>
    <s v="13016842-2"/>
    <s v="SANTANDER - SPE COMERCIAL"/>
    <s v="GUIA PARA RECOLHIMENTO DE IMPOSTOS"/>
    <s v="202501094952"/>
  </r>
  <r>
    <s v="*** Pagamento ***"/>
    <d v="2025-10-28T00:00:00"/>
    <d v="2025-10-24T00:00:00"/>
    <n v="219499.1"/>
    <n v="173715.02"/>
    <n v="173715.02"/>
    <d v="2025-11-17T00:00:00"/>
    <n v="173767.0198540868"/>
    <n v="176265.59726649517"/>
    <n v="277267"/>
    <x v="3"/>
    <s v="2.20.03.15"/>
    <x v="16"/>
    <n v="27149"/>
    <x v="6"/>
    <n v="4"/>
    <s v="COZAC - SPE COMERCIAL"/>
    <x v="49"/>
    <s v="13016842-2"/>
    <s v="SANTANDER - SPE COMERCIAL"/>
    <s v="GUIA PARA RECOLHIMENTO DE IMPOSTOS"/>
    <s v="202501096481"/>
  </r>
  <r>
    <s v="*** Pagamento ***"/>
    <d v="2025-09-29T00:00:00"/>
    <d v="2025-09-25T00:00:00"/>
    <n v="932.8"/>
    <n v="236.68"/>
    <n v="236.68"/>
    <d v="2025-11-17T00:00:00"/>
    <n v="237.98205478439999"/>
    <n v="245.28473253623142"/>
    <n v="272387"/>
    <x v="3"/>
    <s v="2.20.03.02"/>
    <x v="2"/>
    <n v="27159"/>
    <x v="1"/>
    <n v="4"/>
    <s v="COZAC - SPE COMERCIAL"/>
    <x v="15"/>
    <s v="13016842-2"/>
    <s v="SANTANDER - SPE COMERCIAL"/>
    <s v="GUIA PARA RECOLHIMENTO DE IMPOSTOS"/>
    <s v="67832_2025"/>
  </r>
  <r>
    <s v="*** Pagamento ***"/>
    <d v="2025-09-29T00:00:00"/>
    <d v="2025-09-25T00:00:00"/>
    <n v="273.39999999999998"/>
    <n v="210.76"/>
    <n v="210.76"/>
    <d v="2025-11-17T00:00:00"/>
    <n v="211.91946031079999"/>
    <n v="218.42238562335697"/>
    <n v="272410"/>
    <x v="3"/>
    <s v="2.20.03.02"/>
    <x v="2"/>
    <n v="27162"/>
    <x v="3"/>
    <n v="4"/>
    <s v="COZAC - SPE COMERCIAL"/>
    <x v="6"/>
    <s v="13016842-2"/>
    <s v="SANTANDER - SPE COMERCIAL"/>
    <s v="GUIA PARA RECOLHIMENTO DE IMPOSTOS"/>
    <s v="79839_2025"/>
  </r>
  <r>
    <s v="*** Pagamento ***"/>
    <d v="2025-10-29T00:00:00"/>
    <d v="2025-10-17T00:00:00"/>
    <n v="315.2"/>
    <n v="315.2"/>
    <n v="315.2"/>
    <d v="2025-11-17T00:00:00"/>
    <n v="315.294351968"/>
    <n v="319.59493340170519"/>
    <n v="277439"/>
    <x v="11"/>
    <s v="2.20.03.05"/>
    <x v="15"/>
    <n v="27143"/>
    <x v="0"/>
    <n v="4"/>
    <s v="COZAC - SPE COMERCIAL"/>
    <x v="53"/>
    <s v="13016842-2"/>
    <s v="SANTANDER - SPE COMERCIAL"/>
    <s v="FATURA"/>
    <s v="2353827"/>
  </r>
  <r>
    <s v="*** Pagamento ***"/>
    <d v="2025-10-29T00:00:00"/>
    <d v="2025-10-22T00:00:00"/>
    <n v="10000"/>
    <n v="10000"/>
    <n v="10000"/>
    <d v="2025-11-17T00:00:00"/>
    <n v="10002.993399999999"/>
    <n v="10139.433166297753"/>
    <n v="277459"/>
    <x v="10"/>
    <s v="2.20.04.01"/>
    <x v="17"/>
    <n v="27143"/>
    <x v="0"/>
    <n v="4"/>
    <s v="COZAC - SPE COMERCIAL"/>
    <x v="54"/>
    <s v="13016842-2"/>
    <s v="SANTANDER - SPE COMERCIAL"/>
    <s v="NOTA FISCAL DE SERVIÇOS"/>
    <s v="953"/>
  </r>
  <r>
    <s v="*** Pagamento ***"/>
    <d v="2025-07-30T00:00:00"/>
    <d v="2025-07-25T00:00:00"/>
    <n v="18.18"/>
    <n v="9.09"/>
    <n v="9.09"/>
    <d v="2025-11-17T00:00:00"/>
    <n v="9.1399584582000006"/>
    <n v="9.8487226520182904"/>
    <n v="263283"/>
    <x v="12"/>
    <s v="2.20.05.03"/>
    <x v="14"/>
    <n v="27162"/>
    <x v="3"/>
    <n v="4"/>
    <s v="COZAC - SPE COMERCIAL"/>
    <x v="55"/>
    <s v="CAIXA"/>
    <s v="CAIXA"/>
    <s v="NOTA FISCAL DE SERVIÇOS"/>
    <s v="9.2"/>
  </r>
  <r>
    <s v="*** Pagamento ***"/>
    <d v="2025-07-30T00:00:00"/>
    <d v="2025-07-25T00:00:00"/>
    <n v="18.18"/>
    <n v="9.09"/>
    <n v="9.09"/>
    <d v="2025-11-17T00:00:00"/>
    <n v="9.1399584582000006"/>
    <n v="9.8487226520182904"/>
    <n v="263283"/>
    <x v="12"/>
    <s v="2.20.05.03"/>
    <x v="14"/>
    <n v="27154"/>
    <x v="5"/>
    <n v="4"/>
    <s v="COZAC - SPE COMERCIAL"/>
    <x v="55"/>
    <s v="CAIXA"/>
    <s v="CAIXA"/>
    <s v="NOTA FISCAL DE SERVIÇOS"/>
    <s v="9.2"/>
  </r>
  <r>
    <s v="*** Pagamento ***"/>
    <d v="2025-10-30T00:00:00"/>
    <d v="2025-10-07T00:00:00"/>
    <n v="2164.2600000000002"/>
    <n v="541.06999999999596"/>
    <n v="541.06999999999596"/>
    <d v="2025-11-17T00:00:00"/>
    <n v="541.23196389379598"/>
    <n v="548.21463157074186"/>
    <n v="278097"/>
    <x v="10"/>
    <s v="2.20.05.03"/>
    <x v="14"/>
    <n v="27159"/>
    <x v="1"/>
    <n v="4"/>
    <s v="COZAC - SPE COMERCIAL"/>
    <x v="56"/>
    <s v="CAIXA"/>
    <s v="CAIXA"/>
    <s v="NOTA FISCAL DE SERVIÇOS"/>
    <s v="947.2"/>
  </r>
  <r>
    <s v="*** Pagamento ***"/>
    <d v="2025-10-30T00:00:00"/>
    <d v="2025-10-07T00:00:00"/>
    <n v="2164.2600000000002"/>
    <n v="541.06000000000404"/>
    <n v="541.06000000000404"/>
    <d v="2025-11-17T00:00:00"/>
    <n v="541.22196090040404"/>
    <n v="548.20449952440538"/>
    <n v="278097"/>
    <x v="10"/>
    <s v="2.20.05.03"/>
    <x v="14"/>
    <n v="27143"/>
    <x v="0"/>
    <n v="4"/>
    <s v="COZAC - SPE COMERCIAL"/>
    <x v="56"/>
    <s v="CAIXA"/>
    <s v="CAIXA"/>
    <s v="NOTA FISCAL DE SERVIÇOS"/>
    <s v="947.2"/>
  </r>
  <r>
    <s v="*** Pagamento ***"/>
    <d v="2025-10-30T00:00:00"/>
    <d v="2025-10-07T00:00:00"/>
    <n v="2164.2600000000002"/>
    <n v="541.06999999999596"/>
    <n v="541.06999999999596"/>
    <d v="2025-11-17T00:00:00"/>
    <n v="541.23196389379598"/>
    <n v="548.21463157074186"/>
    <n v="278097"/>
    <x v="10"/>
    <s v="2.20.05.03"/>
    <x v="14"/>
    <n v="27149"/>
    <x v="6"/>
    <n v="4"/>
    <s v="COZAC - SPE COMERCIAL"/>
    <x v="56"/>
    <s v="CAIXA"/>
    <s v="CAIXA"/>
    <s v="NOTA FISCAL DE SERVIÇOS"/>
    <s v="947.2"/>
  </r>
  <r>
    <s v="*** Pagamento ***"/>
    <d v="2025-10-30T00:00:00"/>
    <d v="2025-10-07T00:00:00"/>
    <n v="2164.2600000000002"/>
    <n v="541.06000000000404"/>
    <n v="541.06000000000404"/>
    <d v="2025-11-17T00:00:00"/>
    <n v="541.22196090040404"/>
    <n v="548.20449952440538"/>
    <n v="278097"/>
    <x v="10"/>
    <s v="2.20.05.03"/>
    <x v="14"/>
    <n v="27158"/>
    <x v="7"/>
    <n v="4"/>
    <s v="COZAC - SPE COMERCIAL"/>
    <x v="56"/>
    <s v="CAIXA"/>
    <s v="CAIXA"/>
    <s v="NOTA FISCAL DE SERVIÇOS"/>
    <s v="947.2"/>
  </r>
  <r>
    <s v="*** Pagamento ***"/>
    <d v="2025-09-01T00:00:00"/>
    <d v="2025-08-04T00:00:00"/>
    <n v="2305.2600000000002"/>
    <n v="1152.6300000000001"/>
    <n v="1152.6300000000001"/>
    <d v="2025-11-17T00:00:00"/>
    <n v="1158.9709979979"/>
    <n v="1219.1612091513907"/>
    <n v="273132"/>
    <x v="0"/>
    <s v="2.20.02.03"/>
    <x v="3"/>
    <n v="27237"/>
    <x v="14"/>
    <n v="4"/>
    <s v="COZAC"/>
    <x v="57"/>
    <s v="CAIXA"/>
    <s v="CAIXA"/>
    <s v="BOLETO"/>
    <s v="77757.03"/>
  </r>
  <r>
    <s v="*** Pagamento ***"/>
    <d v="2025-09-01T00:00:00"/>
    <d v="2025-08-01T00:00:00"/>
    <n v="500.56"/>
    <n v="77.199999999998994"/>
    <n v="77.199999999998994"/>
    <d v="2025-11-17T00:00:00"/>
    <n v="77.624702675998989"/>
    <n v="81.656078139980849"/>
    <n v="273129"/>
    <x v="0"/>
    <s v="2.20.05.01"/>
    <x v="0"/>
    <n v="27180"/>
    <x v="15"/>
    <n v="4"/>
    <s v="COZAC"/>
    <x v="0"/>
    <s v="CAIXA"/>
    <s v="CAIXA"/>
    <s v="PRESTAÇÃO DE CONTAS"/>
    <s v="ARISP - SPE.03"/>
  </r>
  <r>
    <s v="*** Pagamento ***"/>
    <d v="2025-09-01T00:00:00"/>
    <d v="2025-08-04T00:00:00"/>
    <n v="2305.2600000000002"/>
    <n v="1152.6300000000001"/>
    <n v="1152.6300000000001"/>
    <d v="2025-11-17T00:00:00"/>
    <n v="1158.9709979979"/>
    <n v="1219.1612091513907"/>
    <n v="273132"/>
    <x v="0"/>
    <s v="2.20.02.03"/>
    <x v="3"/>
    <n v="27238"/>
    <x v="16"/>
    <n v="4"/>
    <s v="COZAC"/>
    <x v="57"/>
    <s v="CAIXA"/>
    <s v="CAIXA"/>
    <s v="BOLETO"/>
    <s v="77757.03"/>
  </r>
  <r>
    <s v="*** Pagamento ***"/>
    <d v="2025-09-01T00:00:00"/>
    <d v="2025-08-01T00:00:00"/>
    <n v="500.56"/>
    <n v="77.199999999998994"/>
    <n v="77.199999999998994"/>
    <d v="2025-11-17T00:00:00"/>
    <n v="77.624702675998989"/>
    <n v="81.656078139980849"/>
    <n v="273129"/>
    <x v="0"/>
    <s v="2.20.05.01"/>
    <x v="0"/>
    <n v="27223"/>
    <x v="17"/>
    <n v="4"/>
    <s v="COZAC"/>
    <x v="0"/>
    <s v="CAIXA"/>
    <s v="CAIXA"/>
    <s v="PRESTAÇÃO DE CONTAS"/>
    <s v="ARISP - SPE.03"/>
  </r>
  <r>
    <s v="*** Pagamento ***"/>
    <d v="2025-09-01T00:00:00"/>
    <d v="2025-08-01T00:00:00"/>
    <n v="500.56"/>
    <n v="77.700000000000998"/>
    <n v="77.700000000000998"/>
    <d v="2025-11-17T00:00:00"/>
    <n v="78.127453341001001"/>
    <n v="82.184938749697878"/>
    <n v="273129"/>
    <x v="0"/>
    <s v="2.20.05.01"/>
    <x v="0"/>
    <n v="27237"/>
    <x v="14"/>
    <n v="4"/>
    <s v="COZAC"/>
    <x v="0"/>
    <s v="CAIXA"/>
    <s v="CAIXA"/>
    <s v="PRESTAÇÃO DE CONTAS"/>
    <s v="ARISP - SPE.03"/>
  </r>
  <r>
    <s v="*** Pagamento ***"/>
    <d v="2025-10-01T00:00:00"/>
    <d v="2025-09-24T00:00:00"/>
    <n v="50"/>
    <n v="50"/>
    <n v="50"/>
    <d v="2025-11-17T00:00:00"/>
    <n v="50.014966999999999"/>
    <n v="51.742325298335032"/>
    <n v="277945"/>
    <x v="13"/>
    <s v="2.20.05.03"/>
    <x v="14"/>
    <n v="27237"/>
    <x v="14"/>
    <n v="4"/>
    <s v="COZAC"/>
    <x v="58"/>
    <s v="CAIXA"/>
    <s v="CAIXA"/>
    <s v="NOTA FISCAL DE SERVIÇOS"/>
    <s v="4385.3"/>
  </r>
  <r>
    <s v="*** Pagamento ***"/>
    <d v="2025-10-02T00:00:00"/>
    <d v="2025-09-25T00:00:00"/>
    <n v="875.4"/>
    <n v="656.55"/>
    <n v="656.55"/>
    <d v="2025-11-17T00:00:00"/>
    <n v="656.74653167699989"/>
    <n v="678.93349346109517"/>
    <n v="272417"/>
    <x v="3"/>
    <s v="2.20.03.02"/>
    <x v="2"/>
    <n v="27238"/>
    <x v="16"/>
    <n v="4"/>
    <s v="COZAC"/>
    <x v="59"/>
    <s v="13017348-8"/>
    <s v="SANTANDER - ENF SPE RESIDENCIAL"/>
    <s v="GUIA PARA RECOLHIMENTO DE IMPOSTOS"/>
    <s v="101.008.009.3_2025"/>
  </r>
  <r>
    <s v="*** Pagamento ***"/>
    <d v="2025-10-02T00:00:00"/>
    <d v="2025-09-25T00:00:00"/>
    <n v="875.4"/>
    <n v="656.55"/>
    <n v="656.55"/>
    <d v="2025-11-17T00:00:00"/>
    <n v="656.74653167699989"/>
    <n v="678.93349346109517"/>
    <n v="272416"/>
    <x v="3"/>
    <s v="2.20.03.02"/>
    <x v="2"/>
    <n v="27237"/>
    <x v="14"/>
    <n v="4"/>
    <s v="COZAC"/>
    <x v="60"/>
    <s v="13017348-8"/>
    <s v="SANTANDER - ENF SPE RESIDENCIAL"/>
    <s v="GUIA PARA RECOLHIMENTO DE IMPOSTOS"/>
    <s v="101.008.008.3_2025"/>
  </r>
  <r>
    <s v="*** Pagamento ***"/>
    <d v="2025-09-03T00:00:00"/>
    <d v="2025-08-27T00:00:00"/>
    <n v="2082.96"/>
    <n v="20.829599999999999"/>
    <n v="20.829599999999999"/>
    <d v="2025-11-17T00:00:00"/>
    <n v="20.944190503367999"/>
    <n v="21.99982005001451"/>
    <n v="268057"/>
    <x v="1"/>
    <s v="2.20.03.19"/>
    <x v="1"/>
    <n v="29660"/>
    <x v="2"/>
    <n v="4"/>
    <s v="COZAC"/>
    <x v="61"/>
    <s v="13017348-8"/>
    <s v="SANTANDER - ENF SPE RESIDENCIAL"/>
    <s v="NOTA FISCAL DE SERVIÇOS"/>
    <s v="10229"/>
  </r>
  <r>
    <s v="*** Pagamento ***"/>
    <d v="2025-09-03T00:00:00"/>
    <d v="2025-08-28T00:00:00"/>
    <n v="3941.5"/>
    <n v="39.414999999999999"/>
    <n v="39.414999999999999"/>
    <d v="2025-11-17T00:00:00"/>
    <n v="39.631834921949995"/>
    <n v="41.629359530251271"/>
    <n v="267039"/>
    <x v="2"/>
    <s v="2.20.03.19"/>
    <x v="1"/>
    <n v="29660"/>
    <x v="2"/>
    <n v="4"/>
    <s v="COZAC"/>
    <x v="2"/>
    <s v="13017348-8"/>
    <s v="SANTANDER - ENF SPE RESIDENCIAL"/>
    <s v="NOTA FISCAL DE SERVIÇOS"/>
    <s v="11460"/>
  </r>
  <r>
    <s v="*** Pagamento ***"/>
    <d v="2025-10-03T00:00:00"/>
    <d v="2025-09-22T00:00:00"/>
    <n v="2035.62"/>
    <n v="20.356200000000001"/>
    <n v="20.356200000000001"/>
    <d v="2025-11-17T00:00:00"/>
    <n v="20.362293424908"/>
    <n v="21.034860113660876"/>
    <n v="272964"/>
    <x v="1"/>
    <s v="2.20.03.19"/>
    <x v="1"/>
    <n v="29660"/>
    <x v="2"/>
    <n v="4"/>
    <s v="COZAC"/>
    <x v="62"/>
    <s v="13017348-8"/>
    <s v="SANTANDER - ENF SPE RESIDENCIAL"/>
    <s v="NOTA FISCAL DE SERVIÇOS"/>
    <s v="10334"/>
  </r>
  <r>
    <s v="*** Pagamento ***"/>
    <d v="2025-10-03T00:00:00"/>
    <d v="2025-09-25T00:00:00"/>
    <n v="3941.5"/>
    <n v="39.414999999999999"/>
    <n v="39.414999999999999"/>
    <d v="2025-11-17T00:00:00"/>
    <n v="39.426798486099997"/>
    <n v="40.729065905225106"/>
    <n v="272995"/>
    <x v="2"/>
    <s v="2.20.03.19"/>
    <x v="1"/>
    <n v="29660"/>
    <x v="2"/>
    <n v="4"/>
    <s v="COZAC"/>
    <x v="63"/>
    <s v="13017348-8"/>
    <s v="SANTANDER - ENF SPE RESIDENCIAL"/>
    <s v="NOTA FISCAL DE SERVIÇOS"/>
    <s v="11529"/>
  </r>
  <r>
    <s v="*** Pagamento ***"/>
    <d v="2025-11-05T00:00:00"/>
    <d v="2025-09-25T00:00:00"/>
    <n v="329.83"/>
    <n v="25.19"/>
    <n v="25.19"/>
    <d v="2025-11-17T00:00:00"/>
    <n v="25.19"/>
    <n v="25.411264649428023"/>
    <n v="272414"/>
    <x v="3"/>
    <s v="2.20.03.02"/>
    <x v="2"/>
    <n v="27234"/>
    <x v="18"/>
    <n v="4"/>
    <s v="COZAC"/>
    <x v="64"/>
    <s v="13017348-8"/>
    <s v="SANTANDER - ENF SPE RESIDENCIAL"/>
    <s v="GUIA PARA RECOLHIMENTO DE IMPOSTOS"/>
    <s v="206870_2025"/>
  </r>
  <r>
    <s v="*** Pagamento ***"/>
    <d v="2025-11-05T00:00:00"/>
    <d v="2025-09-25T00:00:00"/>
    <n v="875.4"/>
    <n v="72.95"/>
    <n v="72.95"/>
    <d v="2025-11-17T00:00:00"/>
    <n v="72.95"/>
    <n v="73.590780316624617"/>
    <n v="272416"/>
    <x v="3"/>
    <s v="2.20.03.02"/>
    <x v="2"/>
    <n v="27237"/>
    <x v="14"/>
    <n v="4"/>
    <s v="COZAC"/>
    <x v="60"/>
    <s v="13017348-8"/>
    <s v="SANTANDER - ENF SPE RESIDENCIAL"/>
    <s v="GUIA PARA RECOLHIMENTO DE IMPOSTOS"/>
    <s v="101.008.008.3_2025"/>
  </r>
  <r>
    <s v="*** Pagamento ***"/>
    <d v="2025-11-05T00:00:00"/>
    <d v="2025-09-25T00:00:00"/>
    <n v="714.5"/>
    <n v="54.56"/>
    <n v="54.56"/>
    <d v="2025-11-17T00:00:00"/>
    <n v="54.56"/>
    <n v="55.039245703564625"/>
    <n v="272394"/>
    <x v="3"/>
    <s v="2.20.03.02"/>
    <x v="2"/>
    <n v="27203"/>
    <x v="19"/>
    <n v="4"/>
    <s v="COZAC"/>
    <x v="65"/>
    <s v="13017348-8"/>
    <s v="SANTANDER - ENF SPE RESIDENCIAL"/>
    <s v="GUIA PARA RECOLHIMENTO DE IMPOSTOS"/>
    <s v="185551_2025"/>
  </r>
  <r>
    <s v="*** Pagamento ***"/>
    <d v="2025-11-05T00:00:00"/>
    <d v="2025-09-25T00:00:00"/>
    <n v="714.5"/>
    <n v="54.56"/>
    <n v="54.56"/>
    <d v="2025-11-17T00:00:00"/>
    <n v="54.56"/>
    <n v="55.039245703564625"/>
    <n v="272395"/>
    <x v="3"/>
    <s v="2.20.03.02"/>
    <x v="2"/>
    <n v="27205"/>
    <x v="20"/>
    <n v="4"/>
    <s v="COZAC"/>
    <x v="66"/>
    <s v="13017348-8"/>
    <s v="SANTANDER - ENF SPE RESIDENCIAL"/>
    <s v="GUIA PARA RECOLHIMENTO DE IMPOSTOS"/>
    <s v="185553_2025"/>
  </r>
  <r>
    <s v="*** Pagamento ***"/>
    <d v="2025-11-05T00:00:00"/>
    <d v="2025-09-25T00:00:00"/>
    <n v="798.89"/>
    <n v="61"/>
    <n v="61"/>
    <d v="2025-11-17T00:00:00"/>
    <n v="61"/>
    <n v="61.535813561536692"/>
    <n v="272405"/>
    <x v="3"/>
    <s v="2.20.03.02"/>
    <x v="2"/>
    <n v="27220"/>
    <x v="21"/>
    <n v="4"/>
    <s v="COZAC"/>
    <x v="67"/>
    <s v="13017348-8"/>
    <s v="SANTANDER - ENF SPE RESIDENCIAL"/>
    <s v="GUIA PARA RECOLHIMENTO DE IMPOSTOS"/>
    <s v="176878_2025"/>
  </r>
  <r>
    <s v="*** Pagamento ***"/>
    <d v="2025-11-05T00:00:00"/>
    <d v="2025-09-25T00:00:00"/>
    <n v="714.5"/>
    <n v="54.56"/>
    <n v="54.56"/>
    <d v="2025-11-17T00:00:00"/>
    <n v="54.56"/>
    <n v="55.039245703564625"/>
    <n v="272402"/>
    <x v="3"/>
    <s v="2.20.03.02"/>
    <x v="2"/>
    <n v="27215"/>
    <x v="22"/>
    <n v="4"/>
    <s v="COZAC"/>
    <x v="68"/>
    <s v="13017348-8"/>
    <s v="SANTANDER - ENF SPE RESIDENCIAL"/>
    <s v="GUIA PARA RECOLHIMENTO DE IMPOSTOS"/>
    <s v="185557_2025"/>
  </r>
  <r>
    <s v="*** Pagamento ***"/>
    <d v="2025-11-05T00:00:00"/>
    <d v="2025-09-25T00:00:00"/>
    <n v="4169.22"/>
    <n v="318.35000000000002"/>
    <n v="318.35000000000002"/>
    <d v="2025-11-17T00:00:00"/>
    <n v="318.35000000000002"/>
    <n v="321.14633192320014"/>
    <n v="272391"/>
    <x v="3"/>
    <s v="2.20.03.02"/>
    <x v="2"/>
    <n v="27195"/>
    <x v="23"/>
    <n v="4"/>
    <s v="COZAC"/>
    <x v="69"/>
    <s v="13017348-8"/>
    <s v="SANTANDER - ENF SPE RESIDENCIAL"/>
    <s v="GUIA PARA RECOLHIMENTO DE IMPOSTOS"/>
    <s v="89369_2025"/>
  </r>
  <r>
    <s v="*** Pagamento ***"/>
    <d v="2025-11-05T00:00:00"/>
    <d v="2025-09-25T00:00:00"/>
    <n v="714.5"/>
    <n v="54.56"/>
    <n v="54.56"/>
    <d v="2025-11-17T00:00:00"/>
    <n v="54.56"/>
    <n v="55.039245703564625"/>
    <n v="272401"/>
    <x v="3"/>
    <s v="2.20.03.02"/>
    <x v="2"/>
    <n v="27213"/>
    <x v="24"/>
    <n v="4"/>
    <s v="COZAC"/>
    <x v="70"/>
    <s v="13017348-8"/>
    <s v="SANTANDER - ENF SPE RESIDENCIAL"/>
    <s v="GUIA PARA RECOLHIMENTO DE IMPOSTOS"/>
    <s v="185556_2025"/>
  </r>
  <r>
    <s v="*** Pagamento ***"/>
    <d v="2025-11-05T00:00:00"/>
    <d v="2025-09-25T00:00:00"/>
    <n v="329.83"/>
    <n v="25.19"/>
    <n v="25.19"/>
    <d v="2025-11-17T00:00:00"/>
    <n v="25.19"/>
    <n v="25.411264649428023"/>
    <n v="272411"/>
    <x v="3"/>
    <s v="2.20.03.02"/>
    <x v="2"/>
    <n v="27233"/>
    <x v="25"/>
    <n v="4"/>
    <s v="COZAC"/>
    <x v="71"/>
    <s v="13017348-8"/>
    <s v="SANTANDER - ENF SPE RESIDENCIAL"/>
    <s v="GUIA PARA RECOLHIMENTO DE IMPOSTOS"/>
    <s v="206871_2025"/>
  </r>
  <r>
    <s v="*** Pagamento ***"/>
    <d v="2025-11-05T00:00:00"/>
    <d v="2025-09-25T00:00:00"/>
    <n v="875.4"/>
    <n v="72.95"/>
    <n v="72.95"/>
    <d v="2025-11-17T00:00:00"/>
    <n v="72.95"/>
    <n v="73.590780316624617"/>
    <n v="272417"/>
    <x v="3"/>
    <s v="2.20.03.02"/>
    <x v="2"/>
    <n v="27238"/>
    <x v="16"/>
    <n v="4"/>
    <s v="COZAC"/>
    <x v="59"/>
    <s v="13017348-8"/>
    <s v="SANTANDER - ENF SPE RESIDENCIAL"/>
    <s v="GUIA PARA RECOLHIMENTO DE IMPOSTOS"/>
    <s v="101.008.009.3_2025"/>
  </r>
  <r>
    <s v="*** Pagamento ***"/>
    <d v="2025-11-05T00:00:00"/>
    <d v="2025-09-25T00:00:00"/>
    <n v="714.5"/>
    <n v="54.56"/>
    <n v="54.56"/>
    <d v="2025-11-17T00:00:00"/>
    <n v="54.56"/>
    <n v="55.039245703564625"/>
    <n v="272400"/>
    <x v="3"/>
    <s v="2.20.03.02"/>
    <x v="2"/>
    <n v="27211"/>
    <x v="26"/>
    <n v="4"/>
    <s v="COZAC"/>
    <x v="72"/>
    <s v="13017348-8"/>
    <s v="SANTANDER - ENF SPE RESIDENCIAL"/>
    <s v="GUIA PARA RECOLHIMENTO DE IMPOSTOS"/>
    <s v="185555_2025"/>
  </r>
  <r>
    <s v="*** Pagamento ***"/>
    <d v="2025-11-05T00:00:00"/>
    <d v="2025-09-25T00:00:00"/>
    <n v="714.5"/>
    <n v="54.56"/>
    <n v="54.56"/>
    <d v="2025-11-17T00:00:00"/>
    <n v="54.56"/>
    <n v="55.039245703564625"/>
    <n v="272399"/>
    <x v="3"/>
    <s v="2.20.03.02"/>
    <x v="2"/>
    <n v="27209"/>
    <x v="27"/>
    <n v="4"/>
    <s v="COZAC"/>
    <x v="73"/>
    <s v="13017348-8"/>
    <s v="SANTANDER - ENF SPE RESIDENCIAL"/>
    <s v="GUIA PARA RECOLHIMENTO DE IMPOSTOS"/>
    <s v="185554_2025"/>
  </r>
  <r>
    <s v="*** Pagamento ***"/>
    <d v="2025-11-05T00:00:00"/>
    <d v="2025-09-25T00:00:00"/>
    <n v="801.17"/>
    <n v="61.18"/>
    <n v="61.18"/>
    <d v="2025-11-17T00:00:00"/>
    <n v="61.18"/>
    <n v="61.717394650734668"/>
    <n v="272403"/>
    <x v="3"/>
    <s v="2.20.03.02"/>
    <x v="2"/>
    <n v="27218"/>
    <x v="28"/>
    <n v="4"/>
    <s v="COZAC"/>
    <x v="74"/>
    <s v="13017348-8"/>
    <s v="SANTANDER - ENF SPE RESIDENCIAL"/>
    <s v="GUIA PARA RECOLHIMENTO DE IMPOSTOS"/>
    <s v="176881_2025"/>
  </r>
  <r>
    <s v="*** Pagamento ***"/>
    <d v="2025-11-05T00:00:00"/>
    <d v="2025-10-24T00:00:00"/>
    <n v="2088.08"/>
    <n v="20.880800000000001"/>
    <n v="20.880800000000001"/>
    <d v="2025-11-17T00:00:00"/>
    <n v="20.880800000000001"/>
    <n v="21.064213374028451"/>
    <n v="277007"/>
    <x v="1"/>
    <s v="2.20.03.19"/>
    <x v="1"/>
    <n v="29660"/>
    <x v="2"/>
    <n v="4"/>
    <s v="COZAC"/>
    <x v="75"/>
    <s v="13017348-8"/>
    <s v="SANTANDER - ENF SPE RESIDENCIAL"/>
    <s v="NOTA FISCAL DE SERVIÇOS"/>
    <s v="10583"/>
  </r>
  <r>
    <s v="*** Pagamento ***"/>
    <d v="2025-11-05T00:00:00"/>
    <d v="2025-09-25T00:00:00"/>
    <n v="32988.879999999997"/>
    <n v="2518.91"/>
    <n v="2518.91"/>
    <d v="2025-11-17T00:00:00"/>
    <n v="2518.91"/>
    <n v="2541.0356743982029"/>
    <n v="272388"/>
    <x v="3"/>
    <s v="2.20.03.02"/>
    <x v="2"/>
    <n v="27180"/>
    <x v="15"/>
    <n v="4"/>
    <s v="COZAC"/>
    <x v="76"/>
    <s v="13017348-8"/>
    <s v="SANTANDER - ENF SPE RESIDENCIAL"/>
    <s v="GUIA PARA RECOLHIMENTO DE IMPOSTOS"/>
    <s v="119265_2025"/>
  </r>
  <r>
    <s v="*** Pagamento ***"/>
    <d v="2025-11-05T00:00:00"/>
    <d v="2025-09-25T00:00:00"/>
    <n v="714.5"/>
    <n v="54.56"/>
    <n v="54.56"/>
    <d v="2025-11-17T00:00:00"/>
    <n v="54.56"/>
    <n v="55.039245703564625"/>
    <n v="272392"/>
    <x v="3"/>
    <s v="2.20.03.02"/>
    <x v="2"/>
    <n v="27201"/>
    <x v="29"/>
    <n v="4"/>
    <s v="COZAC"/>
    <x v="77"/>
    <s v="13017348-8"/>
    <s v="SANTANDER - ENF SPE RESIDENCIAL"/>
    <s v="GUIA PARA RECOLHIMENTO DE IMPOSTOS"/>
    <s v="96154_2025"/>
  </r>
  <r>
    <s v="*** Pagamento ***"/>
    <d v="2025-11-05T00:00:00"/>
    <d v="2025-09-25T00:00:00"/>
    <n v="4222.66"/>
    <n v="322.43"/>
    <n v="322.43"/>
    <d v="2025-11-17T00:00:00"/>
    <n v="322.43"/>
    <n v="325.26216994502096"/>
    <n v="272389"/>
    <x v="3"/>
    <s v="2.20.03.02"/>
    <x v="2"/>
    <n v="27193"/>
    <x v="30"/>
    <n v="4"/>
    <s v="COZAC"/>
    <x v="78"/>
    <s v="13017348-8"/>
    <s v="SANTANDER - ENF SPE RESIDENCIAL"/>
    <s v="GUIA PARA RECOLHIMENTO DE IMPOSTOS"/>
    <s v="102843_2025"/>
  </r>
  <r>
    <s v="*** Pagamento ***"/>
    <d v="2025-11-05T00:00:00"/>
    <d v="2025-09-25T00:00:00"/>
    <n v="714.36"/>
    <n v="54.55"/>
    <n v="54.55"/>
    <d v="2025-11-17T00:00:00"/>
    <n v="54.55"/>
    <n v="55.029157865275842"/>
    <n v="272406"/>
    <x v="3"/>
    <s v="2.20.03.02"/>
    <x v="2"/>
    <n v="27228"/>
    <x v="31"/>
    <n v="4"/>
    <s v="COZAC"/>
    <x v="79"/>
    <s v="13017348-8"/>
    <s v="SANTANDER - ENF SPE RESIDENCIAL"/>
    <s v="GUIA PARA RECOLHIMENTO DE IMPOSTOS"/>
    <s v="206873_2025"/>
  </r>
  <r>
    <s v="*** Pagamento ***"/>
    <d v="2025-11-05T00:00:00"/>
    <d v="2025-10-24T00:00:00"/>
    <n v="3941.5"/>
    <n v="39.414999999999999"/>
    <n v="39.414999999999999"/>
    <d v="2025-11-17T00:00:00"/>
    <n v="39.414999999999999"/>
    <n v="39.761214615212602"/>
    <n v="276926"/>
    <x v="2"/>
    <s v="2.20.03.19"/>
    <x v="1"/>
    <n v="29660"/>
    <x v="2"/>
    <n v="4"/>
    <s v="COZAC"/>
    <x v="5"/>
    <s v="13017348-8"/>
    <s v="SANTANDER - ENF SPE RESIDENCIAL"/>
    <s v="NOTA FISCAL DE SERVIÇOS"/>
    <s v="11658"/>
  </r>
  <r>
    <s v="*** Pagamento ***"/>
    <d v="2025-10-06T00:00:00"/>
    <d v="2025-09-25T00:00:00"/>
    <n v="875.4"/>
    <n v="72.95"/>
    <n v="72.95"/>
    <d v="2025-11-17T00:00:00"/>
    <n v="72.971836852999999"/>
    <n v="75.217464084279086"/>
    <n v="272416"/>
    <x v="3"/>
    <s v="2.20.03.02"/>
    <x v="2"/>
    <n v="27237"/>
    <x v="14"/>
    <n v="4"/>
    <s v="COZAC"/>
    <x v="60"/>
    <s v="13017348-8"/>
    <s v="SANTANDER - ENF SPE RESIDENCIAL"/>
    <s v="GUIA PARA RECOLHIMENTO DE IMPOSTOS"/>
    <s v="101.008.008.3_2025"/>
  </r>
  <r>
    <s v="*** Estorno ***"/>
    <d v="2025-10-06T00:00:00"/>
    <d v="2025-09-25T00:00:00"/>
    <n v="875.4"/>
    <n v="-72.95"/>
    <n v="-72.95"/>
    <d v="2025-11-17T00:00:00"/>
    <n v="-72.971836852999999"/>
    <n v="-75.217464084279086"/>
    <n v="272416"/>
    <x v="3"/>
    <s v="2.20.03.02"/>
    <x v="2"/>
    <n v="27237"/>
    <x v="14"/>
    <n v="4"/>
    <s v="COZAC"/>
    <x v="60"/>
    <s v="13017348-8"/>
    <s v="SANTANDER - ENF SPE RESIDENCIAL"/>
    <s v="GUIA PARA RECOLHIMENTO DE IMPOSTOS"/>
    <s v="101.008.008.3_2025"/>
  </r>
  <r>
    <s v="*** Pagamento ***"/>
    <d v="2025-10-06T00:00:00"/>
    <d v="2025-09-24T00:00:00"/>
    <n v="74.209999999999994"/>
    <n v="74.209999999999994"/>
    <n v="74.209999999999994"/>
    <d v="2025-11-17T00:00:00"/>
    <n v="74.232214021399997"/>
    <n v="76.516627960169302"/>
    <n v="277947"/>
    <x v="13"/>
    <s v="2.20.05.01"/>
    <x v="0"/>
    <n v="27237"/>
    <x v="14"/>
    <n v="4"/>
    <s v="COZAC"/>
    <x v="80"/>
    <s v="CAIXA"/>
    <s v="CAIXA"/>
    <s v="NOTA DE DEBITO"/>
    <s v="191.3"/>
  </r>
  <r>
    <s v="*** Pagamento ***"/>
    <d v="2025-10-06T00:00:00"/>
    <d v="2025-09-25T00:00:00"/>
    <n v="875.4"/>
    <n v="72.95"/>
    <n v="72.95"/>
    <d v="2025-11-17T00:00:00"/>
    <n v="72.971836852999999"/>
    <n v="75.217464084279086"/>
    <n v="272416"/>
    <x v="3"/>
    <s v="2.20.03.02"/>
    <x v="2"/>
    <n v="27237"/>
    <x v="14"/>
    <n v="4"/>
    <s v="COZAC"/>
    <x v="60"/>
    <s v="13017348-8"/>
    <s v="SANTANDER - ENF SPE RESIDENCIAL"/>
    <s v="GUIA PARA RECOLHIMENTO DE IMPOSTOS"/>
    <s v="101.008.008.3_2025"/>
  </r>
  <r>
    <s v="*** Pagamento ***"/>
    <d v="2025-11-06T00:00:00"/>
    <d v="2025-11-06T00:00:00"/>
    <n v="4101.76"/>
    <n v="2050.88"/>
    <n v="2050.88"/>
    <d v="2025-11-17T00:00:00"/>
    <n v="2050.88"/>
    <n v="2067.3873393642898"/>
    <n v="278937"/>
    <x v="0"/>
    <s v="2.20.02.03"/>
    <x v="3"/>
    <n v="27222"/>
    <x v="32"/>
    <n v="4"/>
    <s v="COZAC"/>
    <x v="81"/>
    <s v="13017348-8"/>
    <s v="SANTANDER - ENF SPE RESIDENCIAL"/>
    <s v="BOLETO"/>
    <s v="mats. 102753/102754"/>
  </r>
  <r>
    <s v="*** Pagamento ***"/>
    <d v="2025-11-06T00:00:00"/>
    <d v="2025-11-06T00:00:00"/>
    <n v="4101.76"/>
    <n v="2050.88"/>
    <n v="2050.88"/>
    <d v="2025-11-17T00:00:00"/>
    <n v="2050.88"/>
    <n v="2067.3873393642898"/>
    <n v="278937"/>
    <x v="0"/>
    <s v="2.20.02.03"/>
    <x v="3"/>
    <n v="27223"/>
    <x v="17"/>
    <n v="4"/>
    <s v="COZAC"/>
    <x v="81"/>
    <s v="13017348-8"/>
    <s v="SANTANDER - ENF SPE RESIDENCIAL"/>
    <s v="BOLETO"/>
    <s v="mats. 102753/102754"/>
  </r>
  <r>
    <s v="*** Pagamento ***"/>
    <d v="2025-11-06T00:00:00"/>
    <d v="2025-11-06T00:00:00"/>
    <n v="2528.31"/>
    <n v="2528.31"/>
    <n v="2528.31"/>
    <d v="2025-11-17T00:00:00"/>
    <n v="2528.31"/>
    <n v="2548.6601283293644"/>
    <n v="278938"/>
    <x v="0"/>
    <s v="2.20.02.03"/>
    <x v="3"/>
    <n v="27198"/>
    <x v="33"/>
    <n v="4"/>
    <s v="COZAC"/>
    <x v="82"/>
    <s v="13017348-8"/>
    <s v="SANTANDER - ENF SPE RESIDENCIAL"/>
    <s v="BOLETO"/>
    <s v="mat. 59250"/>
  </r>
  <r>
    <s v="*** Pagamento ***"/>
    <d v="2025-05-07T00:00:00"/>
    <d v="2025-04-23T00:00:00"/>
    <n v="7920"/>
    <n v="7920"/>
    <n v="7920"/>
    <d v="2025-11-17T00:00:00"/>
    <n v="8009.7891983999998"/>
    <n v="9122.7965176410107"/>
    <n v="254624"/>
    <x v="14"/>
    <s v="2.20.02.16"/>
    <x v="18"/>
    <n v="27238"/>
    <x v="16"/>
    <n v="4"/>
    <s v="COZAC"/>
    <x v="83"/>
    <s v="CAIXA"/>
    <s v="CAIXA"/>
    <s v="NOTA FISCAL DE SERVIÇOS"/>
    <s v="330.3"/>
  </r>
  <r>
    <s v="*** Pagamento ***"/>
    <d v="2025-08-07T00:00:00"/>
    <d v="2025-08-01T00:00:00"/>
    <n v="6200"/>
    <n v="620"/>
    <n v="620"/>
    <d v="2025-11-17T00:00:00"/>
    <n v="622.10134120000009"/>
    <n v="667.84493919555962"/>
    <n v="267598"/>
    <x v="4"/>
    <s v="2.20.06.03"/>
    <x v="4"/>
    <n v="27220"/>
    <x v="21"/>
    <n v="4"/>
    <s v="COZAC"/>
    <x v="13"/>
    <s v="CAIXA"/>
    <s v="CAIXA"/>
    <s v="NOTA FISCAL DE SERVIÇOS"/>
    <s v="39.03"/>
  </r>
  <r>
    <s v="*** Pagamento ***"/>
    <d v="2025-08-07T00:00:00"/>
    <d v="2025-08-01T00:00:00"/>
    <n v="6200"/>
    <n v="310"/>
    <n v="310"/>
    <d v="2025-11-17T00:00:00"/>
    <n v="311.05067060000005"/>
    <n v="333.92246959777981"/>
    <n v="267598"/>
    <x v="4"/>
    <s v="2.20.06.03"/>
    <x v="4"/>
    <n v="27184"/>
    <x v="34"/>
    <n v="4"/>
    <s v="COZAC"/>
    <x v="13"/>
    <s v="CAIXA"/>
    <s v="CAIXA"/>
    <s v="NOTA FISCAL DE SERVIÇOS"/>
    <s v="39.03"/>
  </r>
  <r>
    <s v="*** Pagamento ***"/>
    <d v="2025-08-07T00:00:00"/>
    <d v="2025-08-01T00:00:00"/>
    <n v="6200"/>
    <n v="310"/>
    <n v="310"/>
    <d v="2025-11-17T00:00:00"/>
    <n v="311.05067060000005"/>
    <n v="333.92246959777981"/>
    <n v="267598"/>
    <x v="4"/>
    <s v="2.20.06.03"/>
    <x v="4"/>
    <n v="27211"/>
    <x v="26"/>
    <n v="4"/>
    <s v="COZAC"/>
    <x v="13"/>
    <s v="CAIXA"/>
    <s v="CAIXA"/>
    <s v="NOTA FISCAL DE SERVIÇOS"/>
    <s v="39.03"/>
  </r>
  <r>
    <s v="*** Pagamento ***"/>
    <d v="2025-08-07T00:00:00"/>
    <d v="2025-08-01T00:00:00"/>
    <n v="6200"/>
    <n v="310"/>
    <n v="310"/>
    <d v="2025-11-17T00:00:00"/>
    <n v="311.05067060000005"/>
    <n v="333.92246959777981"/>
    <n v="267598"/>
    <x v="4"/>
    <s v="2.20.06.03"/>
    <x v="4"/>
    <n v="27228"/>
    <x v="31"/>
    <n v="4"/>
    <s v="COZAC"/>
    <x v="13"/>
    <s v="CAIXA"/>
    <s v="CAIXA"/>
    <s v="NOTA FISCAL DE SERVIÇOS"/>
    <s v="39.03"/>
  </r>
  <r>
    <s v="*** Pagamento ***"/>
    <d v="2025-08-07T00:00:00"/>
    <d v="2025-08-01T00:00:00"/>
    <n v="167.53"/>
    <n v="167.53"/>
    <n v="167.53"/>
    <d v="2025-11-17T00:00:00"/>
    <n v="168.0978027278"/>
    <n v="180.45816558618083"/>
    <n v="264695"/>
    <x v="15"/>
    <s v="2.20.02.01"/>
    <x v="5"/>
    <n v="27238"/>
    <x v="16"/>
    <n v="4"/>
    <s v="COZAC"/>
    <x v="84"/>
    <s v="13017348-8"/>
    <s v="SANTANDER - ENF SPE RESIDENCIAL"/>
    <s v="GUIA PARA RECOLHIMENTO DE IMPOSTOS"/>
    <s v="44428651"/>
  </r>
  <r>
    <s v="*** Pagamento ***"/>
    <d v="2025-08-07T00:00:00"/>
    <d v="2025-08-01T00:00:00"/>
    <n v="6200"/>
    <n v="310"/>
    <n v="310"/>
    <d v="2025-11-17T00:00:00"/>
    <n v="311.05067060000005"/>
    <n v="333.92246959777981"/>
    <n v="267598"/>
    <x v="4"/>
    <s v="2.20.06.03"/>
    <x v="4"/>
    <n v="27226"/>
    <x v="35"/>
    <n v="4"/>
    <s v="COZAC"/>
    <x v="13"/>
    <s v="CAIXA"/>
    <s v="CAIXA"/>
    <s v="NOTA FISCAL DE SERVIÇOS"/>
    <s v="39.03"/>
  </r>
  <r>
    <s v="*** Pagamento ***"/>
    <d v="2025-08-07T00:00:00"/>
    <d v="2025-08-01T00:00:00"/>
    <n v="6200"/>
    <n v="310"/>
    <n v="310"/>
    <d v="2025-11-17T00:00:00"/>
    <n v="311.05067060000005"/>
    <n v="333.92246959777981"/>
    <n v="267598"/>
    <x v="4"/>
    <s v="2.20.06.03"/>
    <x v="4"/>
    <n v="27187"/>
    <x v="36"/>
    <n v="4"/>
    <s v="COZAC"/>
    <x v="13"/>
    <s v="CAIXA"/>
    <s v="CAIXA"/>
    <s v="NOTA FISCAL DE SERVIÇOS"/>
    <s v="39.03"/>
  </r>
  <r>
    <s v="*** Pagamento ***"/>
    <d v="2025-08-07T00:00:00"/>
    <d v="2025-08-01T00:00:00"/>
    <n v="6200"/>
    <n v="310"/>
    <n v="310"/>
    <d v="2025-11-17T00:00:00"/>
    <n v="311.05067060000005"/>
    <n v="333.92246959777981"/>
    <n v="267598"/>
    <x v="4"/>
    <s v="2.20.06.03"/>
    <x v="4"/>
    <n v="27230"/>
    <x v="37"/>
    <n v="4"/>
    <s v="COZAC"/>
    <x v="13"/>
    <s v="CAIXA"/>
    <s v="CAIXA"/>
    <s v="NOTA FISCAL DE SERVIÇOS"/>
    <s v="39.03"/>
  </r>
  <r>
    <s v="*** Pagamento ***"/>
    <d v="2025-08-07T00:00:00"/>
    <d v="2025-08-01T00:00:00"/>
    <n v="6200"/>
    <n v="310"/>
    <n v="310"/>
    <d v="2025-11-17T00:00:00"/>
    <n v="311.05067060000005"/>
    <n v="333.92246959777981"/>
    <n v="267598"/>
    <x v="4"/>
    <s v="2.20.06.03"/>
    <x v="4"/>
    <n v="27191"/>
    <x v="38"/>
    <n v="4"/>
    <s v="COZAC"/>
    <x v="13"/>
    <s v="CAIXA"/>
    <s v="CAIXA"/>
    <s v="NOTA FISCAL DE SERVIÇOS"/>
    <s v="39.03"/>
  </r>
  <r>
    <s v="*** Pagamento ***"/>
    <d v="2025-08-07T00:00:00"/>
    <d v="2025-08-01T00:00:00"/>
    <n v="6200"/>
    <n v="310"/>
    <n v="310"/>
    <d v="2025-11-17T00:00:00"/>
    <n v="311.05067060000005"/>
    <n v="333.92246959777981"/>
    <n v="267598"/>
    <x v="4"/>
    <s v="2.20.06.03"/>
    <x v="4"/>
    <n v="27209"/>
    <x v="27"/>
    <n v="4"/>
    <s v="COZAC"/>
    <x v="13"/>
    <s v="CAIXA"/>
    <s v="CAIXA"/>
    <s v="NOTA FISCAL DE SERVIÇOS"/>
    <s v="39.03"/>
  </r>
  <r>
    <s v="*** Pagamento ***"/>
    <d v="2025-08-07T00:00:00"/>
    <d v="2025-08-01T00:00:00"/>
    <n v="6200"/>
    <n v="310"/>
    <n v="310"/>
    <d v="2025-11-17T00:00:00"/>
    <n v="311.05067060000005"/>
    <n v="333.92246959777981"/>
    <n v="267598"/>
    <x v="4"/>
    <s v="2.20.06.03"/>
    <x v="4"/>
    <n v="27218"/>
    <x v="28"/>
    <n v="4"/>
    <s v="COZAC"/>
    <x v="13"/>
    <s v="CAIXA"/>
    <s v="CAIXA"/>
    <s v="NOTA FISCAL DE SERVIÇOS"/>
    <s v="39.03"/>
  </r>
  <r>
    <s v="*** Pagamento ***"/>
    <d v="2025-08-07T00:00:00"/>
    <d v="2025-08-01T00:00:00"/>
    <n v="6200"/>
    <n v="310"/>
    <n v="310"/>
    <d v="2025-11-17T00:00:00"/>
    <n v="311.05067060000005"/>
    <n v="333.92246959777981"/>
    <n v="267598"/>
    <x v="4"/>
    <s v="2.20.06.03"/>
    <x v="4"/>
    <n v="27233"/>
    <x v="25"/>
    <n v="4"/>
    <s v="COZAC"/>
    <x v="13"/>
    <s v="CAIXA"/>
    <s v="CAIXA"/>
    <s v="NOTA FISCAL DE SERVIÇOS"/>
    <s v="39.03"/>
  </r>
  <r>
    <s v="*** Pagamento ***"/>
    <d v="2025-08-07T00:00:00"/>
    <d v="2025-08-01T00:00:00"/>
    <n v="6200"/>
    <n v="310"/>
    <n v="310"/>
    <d v="2025-11-17T00:00:00"/>
    <n v="311.05067060000005"/>
    <n v="333.92246959777981"/>
    <n v="267598"/>
    <x v="4"/>
    <s v="2.20.06.03"/>
    <x v="4"/>
    <n v="27185"/>
    <x v="39"/>
    <n v="4"/>
    <s v="COZAC"/>
    <x v="13"/>
    <s v="CAIXA"/>
    <s v="CAIXA"/>
    <s v="NOTA FISCAL DE SERVIÇOS"/>
    <s v="39.03"/>
  </r>
  <r>
    <s v="*** Pagamento ***"/>
    <d v="2025-08-07T00:00:00"/>
    <d v="2025-08-01T00:00:00"/>
    <n v="6200"/>
    <n v="310"/>
    <n v="310"/>
    <d v="2025-11-17T00:00:00"/>
    <n v="311.05067060000005"/>
    <n v="333.92246959777981"/>
    <n v="267598"/>
    <x v="4"/>
    <s v="2.20.06.03"/>
    <x v="4"/>
    <n v="27215"/>
    <x v="22"/>
    <n v="4"/>
    <s v="COZAC"/>
    <x v="13"/>
    <s v="CAIXA"/>
    <s v="CAIXA"/>
    <s v="NOTA FISCAL DE SERVIÇOS"/>
    <s v="39.03"/>
  </r>
  <r>
    <s v="*** Pagamento ***"/>
    <d v="2025-08-07T00:00:00"/>
    <d v="2025-08-01T00:00:00"/>
    <n v="6200"/>
    <n v="620"/>
    <n v="620"/>
    <d v="2025-11-17T00:00:00"/>
    <n v="622.10134120000009"/>
    <n v="667.84493919555962"/>
    <n v="267598"/>
    <x v="4"/>
    <s v="2.20.06.03"/>
    <x v="4"/>
    <n v="27203"/>
    <x v="19"/>
    <n v="4"/>
    <s v="COZAC"/>
    <x v="13"/>
    <s v="CAIXA"/>
    <s v="CAIXA"/>
    <s v="NOTA FISCAL DE SERVIÇOS"/>
    <s v="39.03"/>
  </r>
  <r>
    <s v="*** Pagamento ***"/>
    <d v="2025-08-07T00:00:00"/>
    <d v="2025-08-01T00:00:00"/>
    <n v="167.53"/>
    <n v="167.53"/>
    <n v="167.53"/>
    <d v="2025-11-17T00:00:00"/>
    <n v="168.0978027278"/>
    <n v="180.45816558618083"/>
    <n v="264693"/>
    <x v="15"/>
    <s v="2.20.02.01"/>
    <x v="5"/>
    <n v="27237"/>
    <x v="14"/>
    <n v="4"/>
    <s v="COZAC"/>
    <x v="85"/>
    <s v="13017348-8"/>
    <s v="SANTANDER - ENF SPE RESIDENCIAL"/>
    <s v="GUIA PARA RECOLHIMENTO DE IMPOSTOS"/>
    <s v="44428650"/>
  </r>
  <r>
    <s v="*** Pagamento ***"/>
    <d v="2025-08-07T00:00:00"/>
    <d v="2025-08-01T00:00:00"/>
    <n v="6200"/>
    <n v="310"/>
    <n v="310"/>
    <d v="2025-11-17T00:00:00"/>
    <n v="311.05067060000005"/>
    <n v="333.92246959777981"/>
    <n v="267598"/>
    <x v="4"/>
    <s v="2.20.06.03"/>
    <x v="4"/>
    <n v="27189"/>
    <x v="40"/>
    <n v="4"/>
    <s v="COZAC"/>
    <x v="13"/>
    <s v="CAIXA"/>
    <s v="CAIXA"/>
    <s v="NOTA FISCAL DE SERVIÇOS"/>
    <s v="39.03"/>
  </r>
  <r>
    <s v="*** Pagamento ***"/>
    <d v="2025-08-07T00:00:00"/>
    <d v="2025-08-01T00:00:00"/>
    <n v="6200"/>
    <n v="310"/>
    <n v="310"/>
    <d v="2025-11-17T00:00:00"/>
    <n v="311.05067060000005"/>
    <n v="333.92246959777981"/>
    <n v="267598"/>
    <x v="4"/>
    <s v="2.20.06.03"/>
    <x v="4"/>
    <n v="27213"/>
    <x v="24"/>
    <n v="4"/>
    <s v="COZAC"/>
    <x v="13"/>
    <s v="CAIXA"/>
    <s v="CAIXA"/>
    <s v="NOTA FISCAL DE SERVIÇOS"/>
    <s v="39.03"/>
  </r>
  <r>
    <s v="*** Pagamento ***"/>
    <d v="2025-08-07T00:00:00"/>
    <d v="2025-08-01T00:00:00"/>
    <n v="6200"/>
    <n v="310"/>
    <n v="310"/>
    <d v="2025-11-17T00:00:00"/>
    <n v="311.05067060000005"/>
    <n v="333.92246959777981"/>
    <n v="267598"/>
    <x v="4"/>
    <s v="2.20.06.03"/>
    <x v="4"/>
    <n v="27201"/>
    <x v="29"/>
    <n v="4"/>
    <s v="COZAC"/>
    <x v="13"/>
    <s v="CAIXA"/>
    <s v="CAIXA"/>
    <s v="NOTA FISCAL DE SERVIÇOS"/>
    <s v="39.03"/>
  </r>
  <r>
    <s v="*** Pagamento ***"/>
    <d v="2025-08-07T00:00:00"/>
    <d v="2025-08-01T00:00:00"/>
    <n v="6200"/>
    <n v="310"/>
    <n v="310"/>
    <d v="2025-11-17T00:00:00"/>
    <n v="311.05067060000005"/>
    <n v="333.92246959777981"/>
    <n v="267598"/>
    <x v="4"/>
    <s v="2.20.06.03"/>
    <x v="4"/>
    <n v="27234"/>
    <x v="18"/>
    <n v="4"/>
    <s v="COZAC"/>
    <x v="13"/>
    <s v="CAIXA"/>
    <s v="CAIXA"/>
    <s v="NOTA FISCAL DE SERVIÇOS"/>
    <s v="39.03"/>
  </r>
  <r>
    <s v="*** Pagamento ***"/>
    <d v="2025-09-08T00:00:00"/>
    <d v="2025-08-05T00:00:00"/>
    <n v="7391.03"/>
    <n v="1847.7800000000609"/>
    <n v="1847.7800000000609"/>
    <d v="2025-11-17T00:00:00"/>
    <n v="1857.9452475474611"/>
    <n v="1944.4908949905623"/>
    <n v="273143"/>
    <x v="0"/>
    <s v="2.20.02.03"/>
    <x v="3"/>
    <n v="27233"/>
    <x v="25"/>
    <n v="4"/>
    <s v="COZAC"/>
    <x v="86"/>
    <s v="CAIXA"/>
    <s v="CAIXA"/>
    <s v="BOLETO"/>
    <s v="05091.03"/>
  </r>
  <r>
    <s v="*** Pagamento ***"/>
    <d v="2025-09-08T00:00:00"/>
    <d v="2025-08-05T00:00:00"/>
    <n v="7391.03"/>
    <n v="1847.74999999998"/>
    <n v="1847.74999999998"/>
    <d v="2025-11-17T00:00:00"/>
    <n v="1857.9150825074798"/>
    <n v="1944.4593248214908"/>
    <n v="273143"/>
    <x v="0"/>
    <s v="2.20.02.03"/>
    <x v="3"/>
    <n v="27230"/>
    <x v="37"/>
    <n v="4"/>
    <s v="COZAC"/>
    <x v="86"/>
    <s v="CAIXA"/>
    <s v="CAIXA"/>
    <s v="BOLETO"/>
    <s v="05091.03"/>
  </r>
  <r>
    <s v="*** Pagamento ***"/>
    <d v="2025-09-08T00:00:00"/>
    <d v="2025-09-05T00:00:00"/>
    <n v="310"/>
    <n v="110"/>
    <n v="110"/>
    <d v="2025-11-17T00:00:00"/>
    <n v="110.6051463"/>
    <n v="115.75728628351578"/>
    <n v="273139"/>
    <x v="12"/>
    <s v="2.20.05.03"/>
    <x v="14"/>
    <n v="27191"/>
    <x v="38"/>
    <n v="4"/>
    <s v="COZAC"/>
    <x v="87"/>
    <s v="CAIXA"/>
    <s v="CAIXA"/>
    <s v="NOTA FISCAL DE SERVIÇOS"/>
    <s v="11.03"/>
  </r>
  <r>
    <s v="*** Pagamento ***"/>
    <d v="2025-09-08T00:00:00"/>
    <d v="2025-08-05T00:00:00"/>
    <n v="7391.03"/>
    <n v="1847.74999999998"/>
    <n v="1847.74999999998"/>
    <d v="2025-11-17T00:00:00"/>
    <n v="1857.9150825074798"/>
    <n v="1944.4593248214908"/>
    <n v="273143"/>
    <x v="0"/>
    <s v="2.20.02.03"/>
    <x v="3"/>
    <n v="27228"/>
    <x v="31"/>
    <n v="4"/>
    <s v="COZAC"/>
    <x v="86"/>
    <s v="CAIXA"/>
    <s v="CAIXA"/>
    <s v="BOLETO"/>
    <s v="05091.03"/>
  </r>
  <r>
    <s v="*** Pagamento ***"/>
    <d v="2025-09-08T00:00:00"/>
    <d v="2025-09-05T00:00:00"/>
    <n v="310"/>
    <n v="200"/>
    <n v="200"/>
    <d v="2025-11-17T00:00:00"/>
    <n v="201.100266"/>
    <n v="210.46779324275599"/>
    <n v="273139"/>
    <x v="12"/>
    <s v="2.20.05.03"/>
    <x v="14"/>
    <n v="27237"/>
    <x v="14"/>
    <n v="4"/>
    <s v="COZAC"/>
    <x v="87"/>
    <s v="CAIXA"/>
    <s v="CAIXA"/>
    <s v="NOTA FISCAL DE SERVIÇOS"/>
    <s v="11.03"/>
  </r>
  <r>
    <s v="*** Pagamento ***"/>
    <d v="2025-09-08T00:00:00"/>
    <d v="2025-08-05T00:00:00"/>
    <n v="7391.03"/>
    <n v="1847.74999999998"/>
    <n v="1847.74999999998"/>
    <d v="2025-11-17T00:00:00"/>
    <n v="1857.9150825074798"/>
    <n v="1944.4593248214908"/>
    <n v="273143"/>
    <x v="0"/>
    <s v="2.20.02.03"/>
    <x v="3"/>
    <n v="27234"/>
    <x v="18"/>
    <n v="4"/>
    <s v="COZAC"/>
    <x v="86"/>
    <s v="CAIXA"/>
    <s v="CAIXA"/>
    <s v="BOLETO"/>
    <s v="05091.03"/>
  </r>
  <r>
    <s v="*** Pagamento ***"/>
    <d v="2025-10-08T00:00:00"/>
    <d v="2025-09-25T00:00:00"/>
    <n v="32988.879999999997"/>
    <n v="2518.91"/>
    <n v="2518.91"/>
    <d v="2025-11-17T00:00:00"/>
    <n v="2519.6640105193997"/>
    <n v="2593.4209990437439"/>
    <n v="272388"/>
    <x v="3"/>
    <s v="2.20.03.02"/>
    <x v="2"/>
    <n v="27180"/>
    <x v="15"/>
    <n v="4"/>
    <s v="COZAC"/>
    <x v="76"/>
    <s v="13017348-8"/>
    <s v="SANTANDER - ENF SPE RESIDENCIAL"/>
    <s v="GUIA PARA RECOLHIMENTO DE IMPOSTOS"/>
    <s v="119265_2025"/>
  </r>
  <r>
    <s v="*** Pagamento ***"/>
    <d v="2025-10-08T00:00:00"/>
    <d v="2025-09-25T00:00:00"/>
    <n v="801.17"/>
    <n v="61.18"/>
    <n v="61.18"/>
    <d v="2025-11-17T00:00:00"/>
    <n v="61.198313621200001"/>
    <n v="62.989744262993227"/>
    <n v="272403"/>
    <x v="3"/>
    <s v="2.20.03.02"/>
    <x v="2"/>
    <n v="27218"/>
    <x v="28"/>
    <n v="4"/>
    <s v="COZAC"/>
    <x v="74"/>
    <s v="13017348-8"/>
    <s v="SANTANDER - ENF SPE RESIDENCIAL"/>
    <s v="GUIA PARA RECOLHIMENTO DE IMPOSTOS"/>
    <s v="176881_2025"/>
  </r>
  <r>
    <s v="*** Pagamento ***"/>
    <d v="2025-10-08T00:00:00"/>
    <d v="2025-09-25T00:00:00"/>
    <n v="714.5"/>
    <n v="54.56"/>
    <n v="54.56"/>
    <d v="2025-11-17T00:00:00"/>
    <n v="54.5763319904"/>
    <n v="56.173920349606256"/>
    <n v="272399"/>
    <x v="3"/>
    <s v="2.20.03.02"/>
    <x v="2"/>
    <n v="27209"/>
    <x v="27"/>
    <n v="4"/>
    <s v="COZAC"/>
    <x v="73"/>
    <s v="13017348-8"/>
    <s v="SANTANDER - ENF SPE RESIDENCIAL"/>
    <s v="GUIA PARA RECOLHIMENTO DE IMPOSTOS"/>
    <s v="185554_2025"/>
  </r>
  <r>
    <s v="*** Pagamento ***"/>
    <d v="2025-10-08T00:00:00"/>
    <d v="2025-09-25T00:00:00"/>
    <n v="714.5"/>
    <n v="54.56"/>
    <n v="54.56"/>
    <d v="2025-11-17T00:00:00"/>
    <n v="54.5763319904"/>
    <n v="56.173920349606256"/>
    <n v="272400"/>
    <x v="3"/>
    <s v="2.20.03.02"/>
    <x v="2"/>
    <n v="27211"/>
    <x v="26"/>
    <n v="4"/>
    <s v="COZAC"/>
    <x v="72"/>
    <s v="13017348-8"/>
    <s v="SANTANDER - ENF SPE RESIDENCIAL"/>
    <s v="GUIA PARA RECOLHIMENTO DE IMPOSTOS"/>
    <s v="185555_2025"/>
  </r>
  <r>
    <s v="*** Pagamento ***"/>
    <d v="2025-10-08T00:00:00"/>
    <d v="2025-09-25T00:00:00"/>
    <n v="4222.66"/>
    <n v="322.43"/>
    <n v="322.43"/>
    <d v="2025-11-17T00:00:00"/>
    <n v="322.52651619620002"/>
    <n v="331.96768948540222"/>
    <n v="272389"/>
    <x v="3"/>
    <s v="2.20.03.02"/>
    <x v="2"/>
    <n v="27193"/>
    <x v="30"/>
    <n v="4"/>
    <s v="COZAC"/>
    <x v="78"/>
    <s v="13017348-8"/>
    <s v="SANTANDER - ENF SPE RESIDENCIAL"/>
    <s v="GUIA PARA RECOLHIMENTO DE IMPOSTOS"/>
    <s v="102843_2025"/>
  </r>
  <r>
    <s v="*** Pagamento ***"/>
    <d v="2025-10-08T00:00:00"/>
    <d v="2025-09-25T00:00:00"/>
    <n v="714.36"/>
    <n v="54.55"/>
    <n v="54.55"/>
    <d v="2025-11-17T00:00:00"/>
    <n v="54.566328996999999"/>
    <n v="56.163624543090556"/>
    <n v="272406"/>
    <x v="3"/>
    <s v="2.20.03.02"/>
    <x v="2"/>
    <n v="27228"/>
    <x v="31"/>
    <n v="4"/>
    <s v="COZAC"/>
    <x v="79"/>
    <s v="13017348-8"/>
    <s v="SANTANDER - ENF SPE RESIDENCIAL"/>
    <s v="GUIA PARA RECOLHIMENTO DE IMPOSTOS"/>
    <s v="206873_2025"/>
  </r>
  <r>
    <s v="*** Pagamento ***"/>
    <d v="2025-10-08T00:00:00"/>
    <d v="2025-09-25T00:00:00"/>
    <n v="4169.22"/>
    <n v="318.35000000000002"/>
    <n v="318.35000000000002"/>
    <d v="2025-11-17T00:00:00"/>
    <n v="318.44529488900002"/>
    <n v="327.7670004270006"/>
    <n v="272391"/>
    <x v="3"/>
    <s v="2.20.03.02"/>
    <x v="2"/>
    <n v="27195"/>
    <x v="23"/>
    <n v="4"/>
    <s v="COZAC"/>
    <x v="69"/>
    <s v="13017348-8"/>
    <s v="SANTANDER - ENF SPE RESIDENCIAL"/>
    <s v="GUIA PARA RECOLHIMENTO DE IMPOSTOS"/>
    <s v="89369_2025"/>
  </r>
  <r>
    <s v="*** Pagamento ***"/>
    <d v="2025-10-08T00:00:00"/>
    <d v="2025-09-25T00:00:00"/>
    <n v="714.5"/>
    <n v="54.56"/>
    <n v="54.56"/>
    <d v="2025-11-17T00:00:00"/>
    <n v="54.5763319904"/>
    <n v="56.173920349606256"/>
    <n v="272392"/>
    <x v="3"/>
    <s v="2.20.03.02"/>
    <x v="2"/>
    <n v="27201"/>
    <x v="29"/>
    <n v="4"/>
    <s v="COZAC"/>
    <x v="77"/>
    <s v="13017348-8"/>
    <s v="SANTANDER - ENF SPE RESIDENCIAL"/>
    <s v="GUIA PARA RECOLHIMENTO DE IMPOSTOS"/>
    <s v="96154_2025"/>
  </r>
  <r>
    <s v="*** Pagamento ***"/>
    <d v="2025-10-08T00:00:00"/>
    <d v="2025-09-25T00:00:00"/>
    <n v="798.89"/>
    <n v="61"/>
    <n v="61"/>
    <d v="2025-11-17T00:00:00"/>
    <n v="61.018259739999998"/>
    <n v="62.804419745710803"/>
    <n v="272405"/>
    <x v="3"/>
    <s v="2.20.03.02"/>
    <x v="2"/>
    <n v="27220"/>
    <x v="21"/>
    <n v="4"/>
    <s v="COZAC"/>
    <x v="67"/>
    <s v="13017348-8"/>
    <s v="SANTANDER - ENF SPE RESIDENCIAL"/>
    <s v="GUIA PARA RECOLHIMENTO DE IMPOSTOS"/>
    <s v="176878_2025"/>
  </r>
  <r>
    <s v="*** Pagamento ***"/>
    <d v="2025-10-08T00:00:00"/>
    <d v="2025-09-25T00:00:00"/>
    <n v="714.5"/>
    <n v="54.56"/>
    <n v="54.56"/>
    <d v="2025-11-17T00:00:00"/>
    <n v="54.5763319904"/>
    <n v="56.173920349606256"/>
    <n v="272395"/>
    <x v="3"/>
    <s v="2.20.03.02"/>
    <x v="2"/>
    <n v="27205"/>
    <x v="20"/>
    <n v="4"/>
    <s v="COZAC"/>
    <x v="66"/>
    <s v="13017348-8"/>
    <s v="SANTANDER - ENF SPE RESIDENCIAL"/>
    <s v="GUIA PARA RECOLHIMENTO DE IMPOSTOS"/>
    <s v="185553_2025"/>
  </r>
  <r>
    <s v="*** Pagamento ***"/>
    <d v="2025-10-08T00:00:00"/>
    <d v="2025-09-25T00:00:00"/>
    <n v="714.5"/>
    <n v="54.56"/>
    <n v="54.56"/>
    <d v="2025-11-17T00:00:00"/>
    <n v="54.5763319904"/>
    <n v="56.173920349606256"/>
    <n v="272402"/>
    <x v="3"/>
    <s v="2.20.03.02"/>
    <x v="2"/>
    <n v="27215"/>
    <x v="22"/>
    <n v="4"/>
    <s v="COZAC"/>
    <x v="68"/>
    <s v="13017348-8"/>
    <s v="SANTANDER - ENF SPE RESIDENCIAL"/>
    <s v="GUIA PARA RECOLHIMENTO DE IMPOSTOS"/>
    <s v="185557_2025"/>
  </r>
  <r>
    <s v="*** Pagamento ***"/>
    <d v="2025-10-08T00:00:00"/>
    <d v="2025-09-25T00:00:00"/>
    <n v="714.5"/>
    <n v="54.56"/>
    <n v="54.56"/>
    <d v="2025-11-17T00:00:00"/>
    <n v="54.5763319904"/>
    <n v="56.173920349606256"/>
    <n v="272394"/>
    <x v="3"/>
    <s v="2.20.03.02"/>
    <x v="2"/>
    <n v="27203"/>
    <x v="19"/>
    <n v="4"/>
    <s v="COZAC"/>
    <x v="65"/>
    <s v="13017348-8"/>
    <s v="SANTANDER - ENF SPE RESIDENCIAL"/>
    <s v="GUIA PARA RECOLHIMENTO DE IMPOSTOS"/>
    <s v="185551_2025"/>
  </r>
  <r>
    <s v="*** Pagamento ***"/>
    <d v="2025-10-08T00:00:00"/>
    <d v="2025-09-25T00:00:00"/>
    <n v="329.83"/>
    <n v="25.19"/>
    <n v="25.19"/>
    <d v="2025-11-17T00:00:00"/>
    <n v="25.197540374599999"/>
    <n v="25.935136613023857"/>
    <n v="272414"/>
    <x v="3"/>
    <s v="2.20.03.02"/>
    <x v="2"/>
    <n v="27234"/>
    <x v="18"/>
    <n v="4"/>
    <s v="COZAC"/>
    <x v="64"/>
    <s v="13017348-8"/>
    <s v="SANTANDER - ENF SPE RESIDENCIAL"/>
    <s v="GUIA PARA RECOLHIMENTO DE IMPOSTOS"/>
    <s v="206870_2025"/>
  </r>
  <r>
    <s v="*** Pagamento ***"/>
    <d v="2025-10-08T00:00:00"/>
    <d v="2025-09-25T00:00:00"/>
    <n v="714.5"/>
    <n v="54.56"/>
    <n v="54.56"/>
    <d v="2025-11-17T00:00:00"/>
    <n v="54.5763319904"/>
    <n v="56.173920349606256"/>
    <n v="272401"/>
    <x v="3"/>
    <s v="2.20.03.02"/>
    <x v="2"/>
    <n v="27213"/>
    <x v="24"/>
    <n v="4"/>
    <s v="COZAC"/>
    <x v="70"/>
    <s v="13017348-8"/>
    <s v="SANTANDER - ENF SPE RESIDENCIAL"/>
    <s v="GUIA PARA RECOLHIMENTO DE IMPOSTOS"/>
    <s v="185556_2025"/>
  </r>
  <r>
    <s v="*** Pagamento ***"/>
    <d v="2025-10-08T00:00:00"/>
    <d v="2025-09-25T00:00:00"/>
    <n v="329.83"/>
    <n v="25.19"/>
    <n v="25.19"/>
    <d v="2025-11-17T00:00:00"/>
    <n v="25.197540374599999"/>
    <n v="25.935136613023857"/>
    <n v="272411"/>
    <x v="3"/>
    <s v="2.20.03.02"/>
    <x v="2"/>
    <n v="27233"/>
    <x v="25"/>
    <n v="4"/>
    <s v="COZAC"/>
    <x v="71"/>
    <s v="13017348-8"/>
    <s v="SANTANDER - ENF SPE RESIDENCIAL"/>
    <s v="GUIA PARA RECOLHIMENTO DE IMPOSTOS"/>
    <s v="206871_2025"/>
  </r>
  <r>
    <s v="*** Pagamento ***"/>
    <d v="2025-09-09T00:00:00"/>
    <d v="2025-09-01T00:00:00"/>
    <n v="260"/>
    <n v="130"/>
    <n v="130"/>
    <d v="2025-11-17T00:00:00"/>
    <n v="130.7151729"/>
    <n v="136.70440054616364"/>
    <n v="273148"/>
    <x v="16"/>
    <s v="2.20.06.03"/>
    <x v="4"/>
    <n v="27238"/>
    <x v="16"/>
    <n v="4"/>
    <s v="COZAC"/>
    <x v="88"/>
    <s v="CAIXA"/>
    <s v="CAIXA"/>
    <s v="NOTA FISCAL DE SERVIÇOS"/>
    <s v="13.03"/>
  </r>
  <r>
    <s v="*** Pagamento ***"/>
    <d v="2025-09-09T00:00:00"/>
    <d v="2025-09-01T00:00:00"/>
    <n v="260"/>
    <n v="130"/>
    <n v="130"/>
    <d v="2025-11-17T00:00:00"/>
    <n v="130.7151729"/>
    <n v="136.70440054616364"/>
    <n v="273148"/>
    <x v="16"/>
    <s v="2.20.06.03"/>
    <x v="4"/>
    <n v="27237"/>
    <x v="14"/>
    <n v="4"/>
    <s v="COZAC"/>
    <x v="88"/>
    <s v="CAIXA"/>
    <s v="CAIXA"/>
    <s v="NOTA FISCAL DE SERVIÇOS"/>
    <s v="13.03"/>
  </r>
  <r>
    <s v="*** Pagamento ***"/>
    <d v="2025-10-09T00:00:00"/>
    <d v="2025-09-25T00:00:00"/>
    <n v="875.4"/>
    <n v="72.95"/>
    <n v="72.95"/>
    <d v="2025-11-17T00:00:00"/>
    <n v="72.971836852999999"/>
    <n v="75.053190608927409"/>
    <n v="272417"/>
    <x v="3"/>
    <s v="2.20.03.02"/>
    <x v="2"/>
    <n v="27238"/>
    <x v="16"/>
    <n v="4"/>
    <s v="COZAC"/>
    <x v="59"/>
    <s v="13017348-8"/>
    <s v="SANTANDER - ENF SPE RESIDENCIAL"/>
    <s v="GUIA PARA RECOLHIMENTO DE IMPOSTOS"/>
    <s v="101.008.009.3_2025"/>
  </r>
  <r>
    <s v="*** Pagamento ***"/>
    <d v="2025-10-09T00:00:00"/>
    <d v="2025-10-08T00:00:00"/>
    <n v="2328.38"/>
    <n v="2328.38"/>
    <n v="2328.38"/>
    <d v="2025-11-17T00:00:00"/>
    <n v="2329.0769772692001"/>
    <n v="2395.5085394107527"/>
    <n v="277952"/>
    <x v="0"/>
    <s v="2.20.02.20"/>
    <x v="19"/>
    <n v="27196"/>
    <x v="41"/>
    <n v="4"/>
    <s v="COZAC"/>
    <x v="89"/>
    <s v="CAIXA"/>
    <s v="CAIXA"/>
    <s v="BOLETO"/>
    <s v="82417798.3"/>
  </r>
  <r>
    <s v="*** Pagamento ***"/>
    <d v="2025-08-12T00:00:00"/>
    <d v="2025-08-01T00:00:00"/>
    <n v="40"/>
    <n v="40"/>
    <n v="40"/>
    <d v="2025-11-17T00:00:00"/>
    <n v="40.135570400000006"/>
    <n v="42.930050028890399"/>
    <n v="267613"/>
    <x v="17"/>
    <s v="2.20.05.03"/>
    <x v="14"/>
    <n v="27191"/>
    <x v="38"/>
    <n v="4"/>
    <s v="COZAC"/>
    <x v="90"/>
    <s v="CAIXA"/>
    <s v="CAIXA"/>
    <s v="NOTA FISCAL DE SERVIÇOS"/>
    <s v="59.03"/>
  </r>
  <r>
    <s v="*** Pagamento ***"/>
    <d v="2025-09-12T00:00:00"/>
    <d v="2025-09-01T00:00:00"/>
    <n v="1470.06"/>
    <n v="1470.06"/>
    <n v="1470.06"/>
    <d v="2025-11-17T00:00:00"/>
    <n v="1478.1472851797998"/>
    <n v="1542.4982332819459"/>
    <n v="273150"/>
    <x v="0"/>
    <s v="2.20.02.03"/>
    <x v="3"/>
    <n v="27180"/>
    <x v="15"/>
    <n v="4"/>
    <s v="COZAC"/>
    <x v="91"/>
    <s v="CAIXA"/>
    <s v="CAIXA"/>
    <s v="BOLETO"/>
    <s v="11091.03"/>
  </r>
  <r>
    <s v="*** Pagamento ***"/>
    <d v="2025-11-13T00:00:00"/>
    <d v="2025-11-10T00:00:00"/>
    <n v="2500"/>
    <n v="2500"/>
    <n v="2500"/>
    <d v="2025-11-17T00:00:00"/>
    <n v="2500"/>
    <n v="2507.298529251314"/>
    <n v="279978"/>
    <x v="18"/>
    <s v="2.20.03.06"/>
    <x v="20"/>
    <n v="27180"/>
    <x v="15"/>
    <n v="4"/>
    <s v="COZAC"/>
    <x v="92"/>
    <s v="13017348-8"/>
    <s v="SANTANDER - ENF SPE RESIDENCIAL"/>
    <s v="NOTA FISCAL DE SERVIÇOS"/>
    <s v="11"/>
  </r>
  <r>
    <s v="*** Pagamento ***"/>
    <d v="2025-11-13T00:00:00"/>
    <d v="2025-10-20T00:00:00"/>
    <n v="639.67999999999995"/>
    <n v="639.67999999999995"/>
    <n v="639.67999999999995"/>
    <d v="2025-11-17T00:00:00"/>
    <n v="639.67999999999995"/>
    <n v="641.54748927659216"/>
    <n v="279985"/>
    <x v="3"/>
    <s v="2.20.03.06"/>
    <x v="20"/>
    <n v="27180"/>
    <x v="15"/>
    <n v="4"/>
    <s v="COZAC"/>
    <x v="93"/>
    <s v="13017348-8"/>
    <s v="SANTANDER - ENF SPE RESIDENCIAL"/>
    <s v="BOLETO"/>
    <s v="202500026307"/>
  </r>
  <r>
    <s v="*** Pagamento ***"/>
    <d v="2025-11-14T00:00:00"/>
    <d v="2025-11-13T00:00:00"/>
    <n v="560.95000000000005"/>
    <n v="56.094000000000001"/>
    <n v="56.094000000000001"/>
    <d v="2025-11-17T00:00:00"/>
    <n v="56.094000000000001"/>
    <n v="56.216776343705241"/>
    <n v="280097"/>
    <x v="19"/>
    <s v="2.20.03.05"/>
    <x v="15"/>
    <n v="27213"/>
    <x v="24"/>
    <n v="4"/>
    <s v="COZAC"/>
    <x v="94"/>
    <s v="13017348-8"/>
    <s v="SANTANDER - ENF SPE RESIDENCIAL"/>
    <s v="NF de Energia Elétrica Eletrônica"/>
    <s v="003695572"/>
  </r>
  <r>
    <s v="*** Pagamento ***"/>
    <d v="2025-11-14T00:00:00"/>
    <d v="2025-11-13T00:00:00"/>
    <n v="560.95000000000005"/>
    <n v="56.094000000000001"/>
    <n v="56.094000000000001"/>
    <d v="2025-11-17T00:00:00"/>
    <n v="56.094000000000001"/>
    <n v="56.216776343705241"/>
    <n v="280097"/>
    <x v="19"/>
    <s v="2.20.03.05"/>
    <x v="15"/>
    <n v="27201"/>
    <x v="29"/>
    <n v="4"/>
    <s v="COZAC"/>
    <x v="94"/>
    <s v="13017348-8"/>
    <s v="SANTANDER - ENF SPE RESIDENCIAL"/>
    <s v="NF de Energia Elétrica Eletrônica"/>
    <s v="003695572"/>
  </r>
  <r>
    <s v="*** Pagamento ***"/>
    <d v="2025-11-14T00:00:00"/>
    <d v="2025-11-13T00:00:00"/>
    <n v="1327.2"/>
    <n v="132.72"/>
    <n v="132.72"/>
    <d v="2025-11-17T00:00:00"/>
    <n v="132.72"/>
    <n v="133.01049232246871"/>
    <n v="280099"/>
    <x v="11"/>
    <s v="2.20.03.05"/>
    <x v="15"/>
    <n v="27211"/>
    <x v="26"/>
    <n v="4"/>
    <s v="COZAC"/>
    <x v="95"/>
    <s v="13017348-8"/>
    <s v="SANTANDER - ENF SPE RESIDENCIAL"/>
    <s v="FATURA"/>
    <s v="00032061.7_2025"/>
  </r>
  <r>
    <s v="*** Pagamento ***"/>
    <d v="2025-11-14T00:00:00"/>
    <d v="2025-11-13T00:00:00"/>
    <n v="560.95000000000005"/>
    <n v="56.094000000000001"/>
    <n v="56.094000000000001"/>
    <d v="2025-11-17T00:00:00"/>
    <n v="56.094000000000001"/>
    <n v="56.216776343705241"/>
    <n v="280097"/>
    <x v="19"/>
    <s v="2.20.03.05"/>
    <x v="15"/>
    <n v="27211"/>
    <x v="26"/>
    <n v="4"/>
    <s v="COZAC"/>
    <x v="94"/>
    <s v="13017348-8"/>
    <s v="SANTANDER - ENF SPE RESIDENCIAL"/>
    <s v="NF de Energia Elétrica Eletrônica"/>
    <s v="003695572"/>
  </r>
  <r>
    <s v="*** Pagamento ***"/>
    <d v="2025-11-14T00:00:00"/>
    <d v="2025-11-13T00:00:00"/>
    <n v="1327.2"/>
    <n v="132.72"/>
    <n v="132.72"/>
    <d v="2025-11-17T00:00:00"/>
    <n v="132.72"/>
    <n v="133.01049232246871"/>
    <n v="280099"/>
    <x v="11"/>
    <s v="2.20.03.05"/>
    <x v="15"/>
    <n v="27205"/>
    <x v="20"/>
    <n v="4"/>
    <s v="COZAC"/>
    <x v="95"/>
    <s v="13017348-8"/>
    <s v="SANTANDER - ENF SPE RESIDENCIAL"/>
    <s v="FATURA"/>
    <s v="00032061.7_2025"/>
  </r>
  <r>
    <s v="*** Pagamento ***"/>
    <d v="2025-11-14T00:00:00"/>
    <d v="2025-11-11T00:00:00"/>
    <n v="12100"/>
    <n v="12100"/>
    <n v="12100"/>
    <d v="2025-11-17T00:00:00"/>
    <n v="12100"/>
    <n v="12126.48400468559"/>
    <n v="280316"/>
    <x v="3"/>
    <s v="2.20.02.01"/>
    <x v="5"/>
    <n v="27187"/>
    <x v="36"/>
    <n v="4"/>
    <s v="COZAC"/>
    <x v="96"/>
    <s v="13017348-8"/>
    <s v="SANTANDER - ENF SPE RESIDENCIAL"/>
    <s v="GUIA PARA RECOLHIMENTO DE IMPOSTOS"/>
    <s v="22717/2025"/>
  </r>
  <r>
    <s v="*** Pagamento ***"/>
    <d v="2025-11-14T00:00:00"/>
    <d v="2025-11-11T00:00:00"/>
    <n v="51760"/>
    <n v="51760"/>
    <n v="51760"/>
    <d v="2025-11-17T00:00:00"/>
    <n v="51760"/>
    <n v="51873.290254754218"/>
    <n v="280318"/>
    <x v="3"/>
    <s v="2.20.02.01"/>
    <x v="5"/>
    <n v="27185"/>
    <x v="39"/>
    <n v="4"/>
    <s v="COZAC"/>
    <x v="97"/>
    <s v="13017348-8"/>
    <s v="SANTANDER - ENF SPE RESIDENCIAL"/>
    <s v="GUIA PARA RECOLHIMENTO DE IMPOSTOS"/>
    <s v="22716/2025"/>
  </r>
  <r>
    <s v="*** Pagamento ***"/>
    <d v="2025-11-14T00:00:00"/>
    <d v="2025-11-13T00:00:00"/>
    <n v="560.95000000000005"/>
    <n v="56.094000000000001"/>
    <n v="56.094000000000001"/>
    <d v="2025-11-17T00:00:00"/>
    <n v="56.094000000000001"/>
    <n v="56.216776343705241"/>
    <n v="280097"/>
    <x v="19"/>
    <s v="2.20.03.05"/>
    <x v="15"/>
    <n v="27205"/>
    <x v="20"/>
    <n v="4"/>
    <s v="COZAC"/>
    <x v="94"/>
    <s v="13017348-8"/>
    <s v="SANTANDER - ENF SPE RESIDENCIAL"/>
    <s v="NF de Energia Elétrica Eletrônica"/>
    <s v="003695572"/>
  </r>
  <r>
    <s v="*** Pagamento ***"/>
    <d v="2025-11-14T00:00:00"/>
    <d v="2025-11-13T00:00:00"/>
    <n v="1327.2"/>
    <n v="132.72"/>
    <n v="132.72"/>
    <d v="2025-11-17T00:00:00"/>
    <n v="132.72"/>
    <n v="133.01049232246871"/>
    <n v="280099"/>
    <x v="11"/>
    <s v="2.20.03.05"/>
    <x v="15"/>
    <n v="27215"/>
    <x v="22"/>
    <n v="4"/>
    <s v="COZAC"/>
    <x v="95"/>
    <s v="13017348-8"/>
    <s v="SANTANDER - ENF SPE RESIDENCIAL"/>
    <s v="FATURA"/>
    <s v="00032061.7_2025"/>
  </r>
  <r>
    <s v="*** Pagamento ***"/>
    <d v="2025-11-14T00:00:00"/>
    <d v="2025-11-13T00:00:00"/>
    <n v="560.95000000000005"/>
    <n v="56.094000000000001"/>
    <n v="56.094000000000001"/>
    <d v="2025-11-17T00:00:00"/>
    <n v="56.094000000000001"/>
    <n v="56.216776343705241"/>
    <n v="280097"/>
    <x v="19"/>
    <s v="2.20.03.05"/>
    <x v="15"/>
    <n v="27215"/>
    <x v="22"/>
    <n v="4"/>
    <s v="COZAC"/>
    <x v="94"/>
    <s v="13017348-8"/>
    <s v="SANTANDER - ENF SPE RESIDENCIAL"/>
    <s v="NF de Energia Elétrica Eletrônica"/>
    <s v="003695572"/>
  </r>
  <r>
    <s v="*** Pagamento ***"/>
    <d v="2025-11-14T00:00:00"/>
    <d v="2025-11-13T00:00:00"/>
    <n v="1327.2"/>
    <n v="132.72"/>
    <n v="132.72"/>
    <d v="2025-11-17T00:00:00"/>
    <n v="132.72"/>
    <n v="133.01049232246871"/>
    <n v="280099"/>
    <x v="11"/>
    <s v="2.20.03.05"/>
    <x v="15"/>
    <n v="27213"/>
    <x v="24"/>
    <n v="4"/>
    <s v="COZAC"/>
    <x v="95"/>
    <s v="13017348-8"/>
    <s v="SANTANDER - ENF SPE RESIDENCIAL"/>
    <s v="FATURA"/>
    <s v="00032061.7_2025"/>
  </r>
  <r>
    <s v="*** Pagamento ***"/>
    <d v="2025-11-14T00:00:00"/>
    <d v="2025-11-13T00:00:00"/>
    <n v="1327.2"/>
    <n v="132.72"/>
    <n v="132.72"/>
    <d v="2025-11-17T00:00:00"/>
    <n v="132.72"/>
    <n v="133.01049232246871"/>
    <n v="280099"/>
    <x v="11"/>
    <s v="2.20.03.05"/>
    <x v="15"/>
    <n v="27201"/>
    <x v="29"/>
    <n v="4"/>
    <s v="COZAC"/>
    <x v="95"/>
    <s v="13017348-8"/>
    <s v="SANTANDER - ENF SPE RESIDENCIAL"/>
    <s v="FATURA"/>
    <s v="00032061.7_2025"/>
  </r>
  <r>
    <s v="*** Pagamento ***"/>
    <d v="2025-10-15T00:00:00"/>
    <d v="2025-09-22T00:00:00"/>
    <n v="2216.41"/>
    <n v="11.082050000000001"/>
    <n v="11.082050000000001"/>
    <d v="2025-11-17T00:00:00"/>
    <n v="11.085367300847"/>
    <n v="11.351804746988524"/>
    <n v="277957"/>
    <x v="5"/>
    <s v="2.07.17"/>
    <x v="6"/>
    <n v="29660"/>
    <x v="2"/>
    <n v="4"/>
    <s v="COZAC"/>
    <x v="22"/>
    <s v="CAIXA"/>
    <s v="CAIXA"/>
    <s v="NOTA FISCAL DE SERVIÇOS"/>
    <s v="880712.3"/>
  </r>
  <r>
    <s v="*** Pagamento ***"/>
    <d v="2025-10-15T00:00:00"/>
    <d v="2025-10-13T00:00:00"/>
    <n v="182.24"/>
    <n v="182.24"/>
    <n v="182.24"/>
    <d v="2025-11-17T00:00:00"/>
    <n v="182.29455172160002"/>
    <n v="186.67601184719331"/>
    <n v="275438"/>
    <x v="3"/>
    <s v="2.20.06.04"/>
    <x v="21"/>
    <n v="27180"/>
    <x v="15"/>
    <n v="4"/>
    <s v="COZAC"/>
    <x v="98"/>
    <s v="13017348-8"/>
    <s v="SANTANDER - ENF SPE RESIDENCIAL"/>
    <s v="BOLETO"/>
    <s v="202509209815"/>
  </r>
  <r>
    <s v="*** Pagamento ***"/>
    <d v="2025-09-16T00:00:00"/>
    <d v="2025-09-12T00:00:00"/>
    <n v="879.83"/>
    <n v="3.7899999999970002"/>
    <n v="3.7899999999970002"/>
    <d v="2025-11-17T00:00:00"/>
    <n v="3.8108500406969834"/>
    <n v="3.9651789074729948"/>
    <n v="273181"/>
    <x v="6"/>
    <s v="2.20.01.07"/>
    <x v="10"/>
    <n v="27195"/>
    <x v="23"/>
    <n v="4"/>
    <s v="COZAC"/>
    <x v="23"/>
    <s v="CAIXA"/>
    <s v="CAIXA"/>
    <s v="RELATÓRIO DE DESPESAS VIAGENS"/>
    <s v="8276452.03"/>
  </r>
  <r>
    <s v="*** Pagamento ***"/>
    <d v="2025-09-16T00:00:00"/>
    <d v="2025-09-12T00:00:00"/>
    <n v="879.83"/>
    <n v="1.539999999997"/>
    <n v="1.539999999997"/>
    <d v="2025-11-17T00:00:00"/>
    <n v="1.5484720481969834"/>
    <n v="1.6111808753301713"/>
    <n v="273181"/>
    <x v="6"/>
    <s v="2.20.01.05"/>
    <x v="7"/>
    <n v="27195"/>
    <x v="23"/>
    <n v="4"/>
    <s v="COZAC"/>
    <x v="23"/>
    <s v="CAIXA"/>
    <s v="CAIXA"/>
    <s v="RELATÓRIO DE DESPESAS VIAGENS"/>
    <s v="8276452.03"/>
  </r>
  <r>
    <s v="*** Pagamento ***"/>
    <d v="2025-09-16T00:00:00"/>
    <d v="2025-09-12T00:00:00"/>
    <n v="879.83"/>
    <n v="20.529999999998001"/>
    <n v="20.529999999998001"/>
    <d v="2025-11-17T00:00:00"/>
    <n v="20.642942304897989"/>
    <n v="21.478924266616644"/>
    <n v="273181"/>
    <x v="6"/>
    <s v="2.20.01.06"/>
    <x v="9"/>
    <n v="27195"/>
    <x v="23"/>
    <n v="4"/>
    <s v="COZAC"/>
    <x v="23"/>
    <s v="CAIXA"/>
    <s v="CAIXA"/>
    <s v="RELATÓRIO DE DESPESAS VIAGENS"/>
    <s v="8276452.03"/>
  </r>
  <r>
    <s v="*** Pagamento ***"/>
    <d v="2025-09-16T00:00:00"/>
    <d v="2025-09-12T00:00:00"/>
    <n v="879.83"/>
    <n v="7.9800000000039999"/>
    <n v="7.9800000000039999"/>
    <d v="2025-11-17T00:00:00"/>
    <n v="8.0239006134040221"/>
    <n v="8.3488463540040634"/>
    <n v="273181"/>
    <x v="6"/>
    <s v="2.20.01.03"/>
    <x v="8"/>
    <n v="27195"/>
    <x v="23"/>
    <n v="4"/>
    <s v="COZAC"/>
    <x v="23"/>
    <s v="CAIXA"/>
    <s v="CAIXA"/>
    <s v="RELATÓRIO DE DESPESAS VIAGENS"/>
    <s v="8276452.03"/>
  </r>
  <r>
    <s v="*** Pagamento ***"/>
    <d v="2025-09-16T00:00:00"/>
    <d v="2025-09-12T00:00:00"/>
    <n v="879.83"/>
    <n v="7.9800000000039999"/>
    <n v="7.9800000000039999"/>
    <d v="2025-11-17T00:00:00"/>
    <n v="8.0239006134040221"/>
    <n v="8.3488463540040634"/>
    <n v="273181"/>
    <x v="6"/>
    <s v="2.20.01.03"/>
    <x v="8"/>
    <n v="27189"/>
    <x v="40"/>
    <n v="4"/>
    <s v="COZAC"/>
    <x v="23"/>
    <s v="CAIXA"/>
    <s v="CAIXA"/>
    <s v="RELATÓRIO DE DESPESAS VIAGENS"/>
    <s v="8276452.03"/>
  </r>
  <r>
    <s v="*** Pagamento ***"/>
    <d v="2025-09-16T00:00:00"/>
    <d v="2025-09-12T00:00:00"/>
    <n v="879.83"/>
    <n v="3.7899999999970002"/>
    <n v="3.7899999999970002"/>
    <d v="2025-11-17T00:00:00"/>
    <n v="3.8108500406969834"/>
    <n v="3.9651789074729948"/>
    <n v="273181"/>
    <x v="6"/>
    <s v="2.20.01.07"/>
    <x v="10"/>
    <n v="27234"/>
    <x v="18"/>
    <n v="4"/>
    <s v="COZAC"/>
    <x v="23"/>
    <s v="CAIXA"/>
    <s v="CAIXA"/>
    <s v="RELATÓRIO DE DESPESAS VIAGENS"/>
    <s v="8276452.03"/>
  </r>
  <r>
    <s v="*** Pagamento ***"/>
    <d v="2025-09-16T00:00:00"/>
    <d v="2025-09-12T00:00:00"/>
    <n v="879.83"/>
    <n v="1.539999999997"/>
    <n v="1.539999999997"/>
    <d v="2025-11-17T00:00:00"/>
    <n v="1.5484720481969834"/>
    <n v="1.6111808753301713"/>
    <n v="273181"/>
    <x v="6"/>
    <s v="2.20.01.05"/>
    <x v="7"/>
    <n v="27234"/>
    <x v="18"/>
    <n v="4"/>
    <s v="COZAC"/>
    <x v="23"/>
    <s v="CAIXA"/>
    <s v="CAIXA"/>
    <s v="RELATÓRIO DE DESPESAS VIAGENS"/>
    <s v="8276452.03"/>
  </r>
  <r>
    <s v="*** Pagamento ***"/>
    <d v="2025-09-16T00:00:00"/>
    <d v="2025-09-12T00:00:00"/>
    <n v="879.83"/>
    <n v="20.529999999998001"/>
    <n v="20.529999999998001"/>
    <d v="2025-11-17T00:00:00"/>
    <n v="20.642942304897989"/>
    <n v="21.478924266616644"/>
    <n v="273181"/>
    <x v="6"/>
    <s v="2.20.01.06"/>
    <x v="9"/>
    <n v="27234"/>
    <x v="18"/>
    <n v="4"/>
    <s v="COZAC"/>
    <x v="23"/>
    <s v="CAIXA"/>
    <s v="CAIXA"/>
    <s v="RELATÓRIO DE DESPESAS VIAGENS"/>
    <s v="8276452.03"/>
  </r>
  <r>
    <s v="*** Pagamento ***"/>
    <d v="2025-09-16T00:00:00"/>
    <d v="2025-09-12T00:00:00"/>
    <n v="879.83"/>
    <n v="7.9700000001050002"/>
    <n v="7.9700000001050002"/>
    <d v="2025-11-17T00:00:00"/>
    <n v="8.0138456002055776"/>
    <n v="8.3383841406335417"/>
    <n v="273181"/>
    <x v="6"/>
    <s v="2.20.01.03"/>
    <x v="8"/>
    <n v="27234"/>
    <x v="18"/>
    <n v="4"/>
    <s v="COZAC"/>
    <x v="23"/>
    <s v="CAIXA"/>
    <s v="CAIXA"/>
    <s v="RELATÓRIO DE DESPESAS VIAGENS"/>
    <s v="8276452.03"/>
  </r>
  <r>
    <s v="*** Pagamento ***"/>
    <d v="2025-09-16T00:00:00"/>
    <d v="2025-09-12T00:00:00"/>
    <n v="879.83"/>
    <n v="3.7899999999970002"/>
    <n v="3.7899999999970002"/>
    <d v="2025-11-17T00:00:00"/>
    <n v="3.8108500406969834"/>
    <n v="3.9651789074729948"/>
    <n v="273181"/>
    <x v="6"/>
    <s v="2.20.01.07"/>
    <x v="10"/>
    <n v="27222"/>
    <x v="32"/>
    <n v="4"/>
    <s v="COZAC"/>
    <x v="23"/>
    <s v="CAIXA"/>
    <s v="CAIXA"/>
    <s v="RELATÓRIO DE DESPESAS VIAGENS"/>
    <s v="8276452.03"/>
  </r>
  <r>
    <s v="*** Pagamento ***"/>
    <d v="2025-09-16T00:00:00"/>
    <d v="2025-09-12T00:00:00"/>
    <n v="879.83"/>
    <n v="20.529999999998001"/>
    <n v="20.529999999998001"/>
    <d v="2025-11-17T00:00:00"/>
    <n v="20.642942304897989"/>
    <n v="21.478924266616644"/>
    <n v="273181"/>
    <x v="6"/>
    <s v="2.20.01.06"/>
    <x v="9"/>
    <n v="27222"/>
    <x v="32"/>
    <n v="4"/>
    <s v="COZAC"/>
    <x v="23"/>
    <s v="CAIXA"/>
    <s v="CAIXA"/>
    <s v="RELATÓRIO DE DESPESAS VIAGENS"/>
    <s v="8276452.03"/>
  </r>
  <r>
    <s v="*** Pagamento ***"/>
    <d v="2025-09-16T00:00:00"/>
    <d v="2025-09-12T00:00:00"/>
    <n v="879.83"/>
    <n v="1.539999999997"/>
    <n v="1.539999999997"/>
    <d v="2025-11-17T00:00:00"/>
    <n v="1.5484720481969834"/>
    <n v="1.6111808753301713"/>
    <n v="273181"/>
    <x v="6"/>
    <s v="2.20.01.05"/>
    <x v="7"/>
    <n v="27222"/>
    <x v="32"/>
    <n v="4"/>
    <s v="COZAC"/>
    <x v="23"/>
    <s v="CAIXA"/>
    <s v="CAIXA"/>
    <s v="RELATÓRIO DE DESPESAS VIAGENS"/>
    <s v="8276452.03"/>
  </r>
  <r>
    <s v="*** Pagamento ***"/>
    <d v="2025-09-16T00:00:00"/>
    <d v="2025-09-12T00:00:00"/>
    <n v="879.83"/>
    <n v="20.529999999998001"/>
    <n v="20.529999999998001"/>
    <d v="2025-11-17T00:00:00"/>
    <n v="20.642942304897989"/>
    <n v="21.478924266616644"/>
    <n v="273181"/>
    <x v="6"/>
    <s v="2.20.01.06"/>
    <x v="9"/>
    <n v="27228"/>
    <x v="31"/>
    <n v="4"/>
    <s v="COZAC"/>
    <x v="23"/>
    <s v="CAIXA"/>
    <s v="CAIXA"/>
    <s v="RELATÓRIO DE DESPESAS VIAGENS"/>
    <s v="8276452.03"/>
  </r>
  <r>
    <s v="*** Pagamento ***"/>
    <d v="2025-09-16T00:00:00"/>
    <d v="2025-09-12T00:00:00"/>
    <n v="879.83"/>
    <n v="3.7899999999970002"/>
    <n v="3.7899999999970002"/>
    <d v="2025-11-17T00:00:00"/>
    <n v="3.8108500406969834"/>
    <n v="3.9651789074729948"/>
    <n v="273181"/>
    <x v="6"/>
    <s v="2.20.01.07"/>
    <x v="10"/>
    <n v="27228"/>
    <x v="31"/>
    <n v="4"/>
    <s v="COZAC"/>
    <x v="23"/>
    <s v="CAIXA"/>
    <s v="CAIXA"/>
    <s v="RELATÓRIO DE DESPESAS VIAGENS"/>
    <s v="8276452.03"/>
  </r>
  <r>
    <s v="*** Pagamento ***"/>
    <d v="2025-09-16T00:00:00"/>
    <d v="2025-09-12T00:00:00"/>
    <n v="879.83"/>
    <n v="1.539999999997"/>
    <n v="1.539999999997"/>
    <d v="2025-11-17T00:00:00"/>
    <n v="1.5484720481969834"/>
    <n v="1.6111808753301713"/>
    <n v="273181"/>
    <x v="6"/>
    <s v="2.20.01.05"/>
    <x v="7"/>
    <n v="27228"/>
    <x v="31"/>
    <n v="4"/>
    <s v="COZAC"/>
    <x v="23"/>
    <s v="CAIXA"/>
    <s v="CAIXA"/>
    <s v="RELATÓRIO DE DESPESAS VIAGENS"/>
    <s v="8276452.03"/>
  </r>
  <r>
    <s v="*** Pagamento ***"/>
    <d v="2025-09-16T00:00:00"/>
    <d v="2025-09-12T00:00:00"/>
    <n v="879.83"/>
    <n v="20.529999999998001"/>
    <n v="20.529999999998001"/>
    <d v="2025-11-17T00:00:00"/>
    <n v="20.642942304897989"/>
    <n v="21.478924266616644"/>
    <n v="273181"/>
    <x v="6"/>
    <s v="2.20.01.06"/>
    <x v="9"/>
    <n v="27213"/>
    <x v="24"/>
    <n v="4"/>
    <s v="COZAC"/>
    <x v="23"/>
    <s v="CAIXA"/>
    <s v="CAIXA"/>
    <s v="RELATÓRIO DE DESPESAS VIAGENS"/>
    <s v="8276452.03"/>
  </r>
  <r>
    <s v="*** Pagamento ***"/>
    <d v="2025-09-16T00:00:00"/>
    <d v="2025-09-12T00:00:00"/>
    <n v="879.83"/>
    <n v="3.7899999999970002"/>
    <n v="3.7899999999970002"/>
    <d v="2025-11-17T00:00:00"/>
    <n v="3.8108500406969834"/>
    <n v="3.9651789074729948"/>
    <n v="273181"/>
    <x v="6"/>
    <s v="2.20.01.07"/>
    <x v="10"/>
    <n v="27198"/>
    <x v="33"/>
    <n v="4"/>
    <s v="COZAC"/>
    <x v="23"/>
    <s v="CAIXA"/>
    <s v="CAIXA"/>
    <s v="RELATÓRIO DE DESPESAS VIAGENS"/>
    <s v="8276452.03"/>
  </r>
  <r>
    <s v="*** Pagamento ***"/>
    <d v="2025-09-16T00:00:00"/>
    <d v="2025-09-12T00:00:00"/>
    <n v="879.83"/>
    <n v="20.529999999998001"/>
    <n v="20.529999999998001"/>
    <d v="2025-11-17T00:00:00"/>
    <n v="20.642942304897989"/>
    <n v="21.478924266616644"/>
    <n v="273181"/>
    <x v="6"/>
    <s v="2.20.01.06"/>
    <x v="9"/>
    <n v="27198"/>
    <x v="33"/>
    <n v="4"/>
    <s v="COZAC"/>
    <x v="23"/>
    <s v="CAIXA"/>
    <s v="CAIXA"/>
    <s v="RELATÓRIO DE DESPESAS VIAGENS"/>
    <s v="8276452.03"/>
  </r>
  <r>
    <s v="*** Pagamento ***"/>
    <d v="2025-09-16T00:00:00"/>
    <d v="2025-09-12T00:00:00"/>
    <n v="879.83"/>
    <n v="3.7899999999970002"/>
    <n v="3.7899999999970002"/>
    <d v="2025-11-17T00:00:00"/>
    <n v="3.8108500406969834"/>
    <n v="3.9651789074729948"/>
    <n v="273181"/>
    <x v="6"/>
    <s v="2.20.01.07"/>
    <x v="10"/>
    <n v="27213"/>
    <x v="24"/>
    <n v="4"/>
    <s v="COZAC"/>
    <x v="23"/>
    <s v="CAIXA"/>
    <s v="CAIXA"/>
    <s v="RELATÓRIO DE DESPESAS VIAGENS"/>
    <s v="8276452.03"/>
  </r>
  <r>
    <s v="*** Pagamento ***"/>
    <d v="2025-09-16T00:00:00"/>
    <d v="2025-09-12T00:00:00"/>
    <n v="879.83"/>
    <n v="7.9800000000039999"/>
    <n v="7.9800000000039999"/>
    <d v="2025-11-17T00:00:00"/>
    <n v="8.0239006134040221"/>
    <n v="8.3488463540040634"/>
    <n v="273181"/>
    <x v="6"/>
    <s v="2.20.01.03"/>
    <x v="8"/>
    <n v="27228"/>
    <x v="31"/>
    <n v="4"/>
    <s v="COZAC"/>
    <x v="23"/>
    <s v="CAIXA"/>
    <s v="CAIXA"/>
    <s v="RELATÓRIO DE DESPESAS VIAGENS"/>
    <s v="8276452.03"/>
  </r>
  <r>
    <s v="*** Pagamento ***"/>
    <d v="2025-09-16T00:00:00"/>
    <d v="2025-09-12T00:00:00"/>
    <n v="879.83"/>
    <n v="7.9800000000039999"/>
    <n v="7.9800000000039999"/>
    <d v="2025-11-17T00:00:00"/>
    <n v="8.0239006134040221"/>
    <n v="8.3488463540040634"/>
    <n v="273181"/>
    <x v="6"/>
    <s v="2.20.01.03"/>
    <x v="8"/>
    <n v="27222"/>
    <x v="32"/>
    <n v="4"/>
    <s v="COZAC"/>
    <x v="23"/>
    <s v="CAIXA"/>
    <s v="CAIXA"/>
    <s v="RELATÓRIO DE DESPESAS VIAGENS"/>
    <s v="8276452.03"/>
  </r>
  <r>
    <s v="*** Pagamento ***"/>
    <d v="2025-09-16T00:00:00"/>
    <d v="2025-09-12T00:00:00"/>
    <n v="879.83"/>
    <n v="1.539999999997"/>
    <n v="1.539999999997"/>
    <d v="2025-11-17T00:00:00"/>
    <n v="1.5484720481969834"/>
    <n v="1.6111808753301713"/>
    <n v="273181"/>
    <x v="6"/>
    <s v="2.20.01.05"/>
    <x v="7"/>
    <n v="27213"/>
    <x v="24"/>
    <n v="4"/>
    <s v="COZAC"/>
    <x v="23"/>
    <s v="CAIXA"/>
    <s v="CAIXA"/>
    <s v="RELATÓRIO DE DESPESAS VIAGENS"/>
    <s v="8276452.03"/>
  </r>
  <r>
    <s v="*** Pagamento ***"/>
    <d v="2025-09-16T00:00:00"/>
    <d v="2025-09-12T00:00:00"/>
    <n v="879.83"/>
    <n v="7.9800000000039999"/>
    <n v="7.9800000000039999"/>
    <d v="2025-11-17T00:00:00"/>
    <n v="8.0239006134040221"/>
    <n v="8.3488463540040634"/>
    <n v="273181"/>
    <x v="6"/>
    <s v="2.20.01.03"/>
    <x v="8"/>
    <n v="27213"/>
    <x v="24"/>
    <n v="4"/>
    <s v="COZAC"/>
    <x v="23"/>
    <s v="CAIXA"/>
    <s v="CAIXA"/>
    <s v="RELATÓRIO DE DESPESAS VIAGENS"/>
    <s v="8276452.03"/>
  </r>
  <r>
    <s v="*** Pagamento ***"/>
    <d v="2025-09-16T00:00:00"/>
    <d v="2025-09-12T00:00:00"/>
    <n v="879.83"/>
    <n v="20.529999999998001"/>
    <n v="20.529999999998001"/>
    <d v="2025-11-17T00:00:00"/>
    <n v="20.642942304897989"/>
    <n v="21.478924266616644"/>
    <n v="273181"/>
    <x v="6"/>
    <s v="2.20.01.06"/>
    <x v="9"/>
    <n v="27189"/>
    <x v="40"/>
    <n v="4"/>
    <s v="COZAC"/>
    <x v="23"/>
    <s v="CAIXA"/>
    <s v="CAIXA"/>
    <s v="RELATÓRIO DE DESPESAS VIAGENS"/>
    <s v="8276452.03"/>
  </r>
  <r>
    <s v="*** Pagamento ***"/>
    <d v="2025-09-16T00:00:00"/>
    <d v="2025-09-12T00:00:00"/>
    <n v="879.83"/>
    <n v="3.7899999999970002"/>
    <n v="3.7899999999970002"/>
    <d v="2025-11-17T00:00:00"/>
    <n v="3.8108500406969834"/>
    <n v="3.9651789074729948"/>
    <n v="273181"/>
    <x v="6"/>
    <s v="2.20.01.07"/>
    <x v="10"/>
    <n v="27189"/>
    <x v="40"/>
    <n v="4"/>
    <s v="COZAC"/>
    <x v="23"/>
    <s v="CAIXA"/>
    <s v="CAIXA"/>
    <s v="RELATÓRIO DE DESPESAS VIAGENS"/>
    <s v="8276452.03"/>
  </r>
  <r>
    <s v="*** Pagamento ***"/>
    <d v="2025-09-16T00:00:00"/>
    <d v="2025-09-12T00:00:00"/>
    <n v="879.83"/>
    <n v="1.539999999997"/>
    <n v="1.539999999997"/>
    <d v="2025-11-17T00:00:00"/>
    <n v="1.5484720481969834"/>
    <n v="1.6111808753301713"/>
    <n v="273181"/>
    <x v="6"/>
    <s v="2.20.01.05"/>
    <x v="7"/>
    <n v="27189"/>
    <x v="40"/>
    <n v="4"/>
    <s v="COZAC"/>
    <x v="23"/>
    <s v="CAIXA"/>
    <s v="CAIXA"/>
    <s v="RELATÓRIO DE DESPESAS VIAGENS"/>
    <s v="8276452.03"/>
  </r>
  <r>
    <s v="*** Pagamento ***"/>
    <d v="2025-09-16T00:00:00"/>
    <d v="2025-09-12T00:00:00"/>
    <n v="879.83"/>
    <n v="1.539999999997"/>
    <n v="1.539999999997"/>
    <d v="2025-11-17T00:00:00"/>
    <n v="1.5484720481969834"/>
    <n v="1.6111808753301713"/>
    <n v="273181"/>
    <x v="6"/>
    <s v="2.20.01.05"/>
    <x v="7"/>
    <n v="27198"/>
    <x v="33"/>
    <n v="4"/>
    <s v="COZAC"/>
    <x v="23"/>
    <s v="CAIXA"/>
    <s v="CAIXA"/>
    <s v="RELATÓRIO DE DESPESAS VIAGENS"/>
    <s v="8276452.03"/>
  </r>
  <r>
    <s v="*** Pagamento ***"/>
    <d v="2025-09-16T00:00:00"/>
    <d v="2025-09-12T00:00:00"/>
    <n v="879.83"/>
    <n v="7.9800000000039999"/>
    <n v="7.9800000000039999"/>
    <d v="2025-11-17T00:00:00"/>
    <n v="8.0239006134040221"/>
    <n v="8.3488463540040634"/>
    <n v="273181"/>
    <x v="6"/>
    <s v="2.20.01.03"/>
    <x v="8"/>
    <n v="27198"/>
    <x v="33"/>
    <n v="4"/>
    <s v="COZAC"/>
    <x v="23"/>
    <s v="CAIXA"/>
    <s v="CAIXA"/>
    <s v="RELATÓRIO DE DESPESAS VIAGENS"/>
    <s v="8276452.03"/>
  </r>
  <r>
    <s v="*** Pagamento ***"/>
    <d v="2025-09-16T00:00:00"/>
    <d v="2025-09-12T00:00:00"/>
    <n v="879.83"/>
    <n v="3.7899999999970002"/>
    <n v="3.7899999999970002"/>
    <d v="2025-11-17T00:00:00"/>
    <n v="3.8108500406969834"/>
    <n v="3.9651789074729948"/>
    <n v="273181"/>
    <x v="6"/>
    <s v="2.20.01.07"/>
    <x v="10"/>
    <n v="27193"/>
    <x v="30"/>
    <n v="4"/>
    <s v="COZAC"/>
    <x v="23"/>
    <s v="CAIXA"/>
    <s v="CAIXA"/>
    <s v="RELATÓRIO DE DESPESAS VIAGENS"/>
    <s v="8276452.03"/>
  </r>
  <r>
    <s v="*** Pagamento ***"/>
    <d v="2025-09-16T00:00:00"/>
    <d v="2025-09-12T00:00:00"/>
    <n v="879.83"/>
    <n v="7.9800000000039999"/>
    <n v="7.9800000000039999"/>
    <d v="2025-11-17T00:00:00"/>
    <n v="8.0239006134040221"/>
    <n v="8.3488463540040634"/>
    <n v="273181"/>
    <x v="6"/>
    <s v="2.20.01.03"/>
    <x v="8"/>
    <n v="27193"/>
    <x v="30"/>
    <n v="4"/>
    <s v="COZAC"/>
    <x v="23"/>
    <s v="CAIXA"/>
    <s v="CAIXA"/>
    <s v="RELATÓRIO DE DESPESAS VIAGENS"/>
    <s v="8276452.03"/>
  </r>
  <r>
    <s v="*** Pagamento ***"/>
    <d v="2025-09-16T00:00:00"/>
    <d v="2025-09-12T00:00:00"/>
    <n v="879.83"/>
    <n v="20.529999999998001"/>
    <n v="20.529999999998001"/>
    <d v="2025-11-17T00:00:00"/>
    <n v="20.642942304897989"/>
    <n v="21.478924266616644"/>
    <n v="273181"/>
    <x v="6"/>
    <s v="2.20.01.06"/>
    <x v="9"/>
    <n v="27193"/>
    <x v="30"/>
    <n v="4"/>
    <s v="COZAC"/>
    <x v="23"/>
    <s v="CAIXA"/>
    <s v="CAIXA"/>
    <s v="RELATÓRIO DE DESPESAS VIAGENS"/>
    <s v="8276452.03"/>
  </r>
  <r>
    <s v="*** Pagamento ***"/>
    <d v="2025-09-16T00:00:00"/>
    <d v="2025-09-12T00:00:00"/>
    <n v="879.83"/>
    <n v="1.539999999997"/>
    <n v="1.539999999997"/>
    <d v="2025-11-17T00:00:00"/>
    <n v="1.5484720481969834"/>
    <n v="1.6111808753301713"/>
    <n v="273181"/>
    <x v="6"/>
    <s v="2.20.01.05"/>
    <x v="7"/>
    <n v="27193"/>
    <x v="30"/>
    <n v="4"/>
    <s v="COZAC"/>
    <x v="23"/>
    <s v="CAIXA"/>
    <s v="CAIXA"/>
    <s v="RELATÓRIO DE DESPESAS VIAGENS"/>
    <s v="8276452.03"/>
  </r>
  <r>
    <s v="*** Pagamento ***"/>
    <d v="2025-09-16T00:00:00"/>
    <d v="2025-09-12T00:00:00"/>
    <n v="879.83"/>
    <n v="7.9800000000039999"/>
    <n v="7.9800000000039999"/>
    <d v="2025-11-17T00:00:00"/>
    <n v="8.0239006134040221"/>
    <n v="8.3488463540040634"/>
    <n v="273181"/>
    <x v="6"/>
    <s v="2.20.01.03"/>
    <x v="8"/>
    <n v="27187"/>
    <x v="36"/>
    <n v="4"/>
    <s v="COZAC"/>
    <x v="23"/>
    <s v="CAIXA"/>
    <s v="CAIXA"/>
    <s v="RELATÓRIO DE DESPESAS VIAGENS"/>
    <s v="8276452.03"/>
  </r>
  <r>
    <s v="*** Pagamento ***"/>
    <d v="2025-09-16T00:00:00"/>
    <d v="2025-09-12T00:00:00"/>
    <n v="879.83"/>
    <n v="1.539999999997"/>
    <n v="1.539999999997"/>
    <d v="2025-11-17T00:00:00"/>
    <n v="1.5484720481969834"/>
    <n v="1.6111808753301713"/>
    <n v="273181"/>
    <x v="6"/>
    <s v="2.20.01.05"/>
    <x v="7"/>
    <n v="27187"/>
    <x v="36"/>
    <n v="4"/>
    <s v="COZAC"/>
    <x v="23"/>
    <s v="CAIXA"/>
    <s v="CAIXA"/>
    <s v="RELATÓRIO DE DESPESAS VIAGENS"/>
    <s v="8276452.03"/>
  </r>
  <r>
    <s v="*** Pagamento ***"/>
    <d v="2025-09-16T00:00:00"/>
    <d v="2025-09-12T00:00:00"/>
    <n v="879.83"/>
    <n v="3.7899999999970002"/>
    <n v="3.7899999999970002"/>
    <d v="2025-11-17T00:00:00"/>
    <n v="3.8108500406969834"/>
    <n v="3.9651789074729948"/>
    <n v="273181"/>
    <x v="6"/>
    <s v="2.20.01.07"/>
    <x v="10"/>
    <n v="27205"/>
    <x v="20"/>
    <n v="4"/>
    <s v="COZAC"/>
    <x v="23"/>
    <s v="CAIXA"/>
    <s v="CAIXA"/>
    <s v="RELATÓRIO DE DESPESAS VIAGENS"/>
    <s v="8276452.03"/>
  </r>
  <r>
    <s v="*** Pagamento ***"/>
    <d v="2025-09-16T00:00:00"/>
    <d v="2025-09-12T00:00:00"/>
    <n v="879.83"/>
    <n v="1.539999999997"/>
    <n v="1.539999999997"/>
    <d v="2025-11-17T00:00:00"/>
    <n v="1.5484720481969834"/>
    <n v="1.6111808753301713"/>
    <n v="273181"/>
    <x v="6"/>
    <s v="2.20.01.05"/>
    <x v="7"/>
    <n v="27205"/>
    <x v="20"/>
    <n v="4"/>
    <s v="COZAC"/>
    <x v="23"/>
    <s v="CAIXA"/>
    <s v="CAIXA"/>
    <s v="RELATÓRIO DE DESPESAS VIAGENS"/>
    <s v="8276452.03"/>
  </r>
  <r>
    <s v="*** Pagamento ***"/>
    <d v="2025-09-16T00:00:00"/>
    <d v="2025-09-12T00:00:00"/>
    <n v="879.83"/>
    <n v="20.529999999998001"/>
    <n v="20.529999999998001"/>
    <d v="2025-11-17T00:00:00"/>
    <n v="20.642942304897989"/>
    <n v="21.478924266616644"/>
    <n v="273181"/>
    <x v="6"/>
    <s v="2.20.01.06"/>
    <x v="9"/>
    <n v="27205"/>
    <x v="20"/>
    <n v="4"/>
    <s v="COZAC"/>
    <x v="23"/>
    <s v="CAIXA"/>
    <s v="CAIXA"/>
    <s v="RELATÓRIO DE DESPESAS VIAGENS"/>
    <s v="8276452.03"/>
  </r>
  <r>
    <s v="*** Pagamento ***"/>
    <d v="2025-09-16T00:00:00"/>
    <d v="2025-09-12T00:00:00"/>
    <n v="879.83"/>
    <n v="20.529999999998001"/>
    <n v="20.529999999998001"/>
    <d v="2025-11-17T00:00:00"/>
    <n v="20.642942304897989"/>
    <n v="21.478924266616644"/>
    <n v="273181"/>
    <x v="6"/>
    <s v="2.20.01.06"/>
    <x v="9"/>
    <n v="27220"/>
    <x v="21"/>
    <n v="4"/>
    <s v="COZAC"/>
    <x v="23"/>
    <s v="CAIXA"/>
    <s v="CAIXA"/>
    <s v="RELATÓRIO DE DESPESAS VIAGENS"/>
    <s v="8276452.03"/>
  </r>
  <r>
    <s v="*** Pagamento ***"/>
    <d v="2025-09-16T00:00:00"/>
    <d v="2025-09-12T00:00:00"/>
    <n v="879.83"/>
    <n v="7.9800000000039999"/>
    <n v="7.9800000000039999"/>
    <d v="2025-11-17T00:00:00"/>
    <n v="8.0239006134040221"/>
    <n v="8.3488463540040634"/>
    <n v="273181"/>
    <x v="6"/>
    <s v="2.20.01.03"/>
    <x v="8"/>
    <n v="27205"/>
    <x v="20"/>
    <n v="4"/>
    <s v="COZAC"/>
    <x v="23"/>
    <s v="CAIXA"/>
    <s v="CAIXA"/>
    <s v="RELATÓRIO DE DESPESAS VIAGENS"/>
    <s v="8276452.03"/>
  </r>
  <r>
    <s v="*** Pagamento ***"/>
    <d v="2025-09-16T00:00:00"/>
    <d v="2025-09-12T00:00:00"/>
    <n v="879.83"/>
    <n v="3.7899999999970002"/>
    <n v="3.7899999999970002"/>
    <d v="2025-11-17T00:00:00"/>
    <n v="3.8108500406969834"/>
    <n v="3.9651789074729948"/>
    <n v="273181"/>
    <x v="6"/>
    <s v="2.20.01.07"/>
    <x v="10"/>
    <n v="27220"/>
    <x v="21"/>
    <n v="4"/>
    <s v="COZAC"/>
    <x v="23"/>
    <s v="CAIXA"/>
    <s v="CAIXA"/>
    <s v="RELATÓRIO DE DESPESAS VIAGENS"/>
    <s v="8276452.03"/>
  </r>
  <r>
    <s v="*** Pagamento ***"/>
    <d v="2025-09-16T00:00:00"/>
    <d v="2025-09-12T00:00:00"/>
    <n v="879.83"/>
    <n v="1.539999999997"/>
    <n v="1.539999999997"/>
    <d v="2025-11-17T00:00:00"/>
    <n v="1.5484720481969834"/>
    <n v="1.6111808753301713"/>
    <n v="273181"/>
    <x v="6"/>
    <s v="2.20.01.05"/>
    <x v="7"/>
    <n v="27226"/>
    <x v="35"/>
    <n v="4"/>
    <s v="COZAC"/>
    <x v="23"/>
    <s v="CAIXA"/>
    <s v="CAIXA"/>
    <s v="RELATÓRIO DE DESPESAS VIAGENS"/>
    <s v="8276452.03"/>
  </r>
  <r>
    <s v="*** Pagamento ***"/>
    <d v="2025-09-16T00:00:00"/>
    <d v="2025-09-12T00:00:00"/>
    <n v="879.83"/>
    <n v="3.7899999999970002"/>
    <n v="3.7899999999970002"/>
    <d v="2025-11-17T00:00:00"/>
    <n v="3.8108500406969834"/>
    <n v="3.9651789074729948"/>
    <n v="273181"/>
    <x v="6"/>
    <s v="2.20.01.07"/>
    <x v="10"/>
    <n v="27226"/>
    <x v="35"/>
    <n v="4"/>
    <s v="COZAC"/>
    <x v="23"/>
    <s v="CAIXA"/>
    <s v="CAIXA"/>
    <s v="RELATÓRIO DE DESPESAS VIAGENS"/>
    <s v="8276452.03"/>
  </r>
  <r>
    <s v="*** Pagamento ***"/>
    <d v="2025-09-16T00:00:00"/>
    <d v="2025-09-12T00:00:00"/>
    <n v="879.83"/>
    <n v="20.529999999998001"/>
    <n v="20.529999999998001"/>
    <d v="2025-11-17T00:00:00"/>
    <n v="20.642942304897989"/>
    <n v="21.478924266616644"/>
    <n v="273181"/>
    <x v="6"/>
    <s v="2.20.01.06"/>
    <x v="9"/>
    <n v="27226"/>
    <x v="35"/>
    <n v="4"/>
    <s v="COZAC"/>
    <x v="23"/>
    <s v="CAIXA"/>
    <s v="CAIXA"/>
    <s v="RELATÓRIO DE DESPESAS VIAGENS"/>
    <s v="8276452.03"/>
  </r>
  <r>
    <s v="*** Pagamento ***"/>
    <d v="2025-09-16T00:00:00"/>
    <d v="2025-09-12T00:00:00"/>
    <n v="879.83"/>
    <n v="1.539999999997"/>
    <n v="1.539999999997"/>
    <d v="2025-11-17T00:00:00"/>
    <n v="1.5484720481969834"/>
    <n v="1.6111808753301713"/>
    <n v="273181"/>
    <x v="6"/>
    <s v="2.20.01.05"/>
    <x v="7"/>
    <n v="27211"/>
    <x v="26"/>
    <n v="4"/>
    <s v="COZAC"/>
    <x v="23"/>
    <s v="CAIXA"/>
    <s v="CAIXA"/>
    <s v="RELATÓRIO DE DESPESAS VIAGENS"/>
    <s v="8276452.03"/>
  </r>
  <r>
    <s v="*** Pagamento ***"/>
    <d v="2025-09-16T00:00:00"/>
    <d v="2025-09-12T00:00:00"/>
    <n v="879.83"/>
    <n v="3.7899999999970002"/>
    <n v="3.7899999999970002"/>
    <d v="2025-11-17T00:00:00"/>
    <n v="3.8108500406969834"/>
    <n v="3.9651789074729948"/>
    <n v="273181"/>
    <x v="6"/>
    <s v="2.20.01.07"/>
    <x v="10"/>
    <n v="27211"/>
    <x v="26"/>
    <n v="4"/>
    <s v="COZAC"/>
    <x v="23"/>
    <s v="CAIXA"/>
    <s v="CAIXA"/>
    <s v="RELATÓRIO DE DESPESAS VIAGENS"/>
    <s v="8276452.03"/>
  </r>
  <r>
    <s v="*** Pagamento ***"/>
    <d v="2025-09-16T00:00:00"/>
    <d v="2025-09-12T00:00:00"/>
    <n v="879.83"/>
    <n v="7.9800000000039999"/>
    <n v="7.9800000000039999"/>
    <d v="2025-11-17T00:00:00"/>
    <n v="8.0239006134040221"/>
    <n v="8.3488463540040634"/>
    <n v="273181"/>
    <x v="6"/>
    <s v="2.20.01.03"/>
    <x v="8"/>
    <n v="27226"/>
    <x v="35"/>
    <n v="4"/>
    <s v="COZAC"/>
    <x v="23"/>
    <s v="CAIXA"/>
    <s v="CAIXA"/>
    <s v="RELATÓRIO DE DESPESAS VIAGENS"/>
    <s v="8276452.03"/>
  </r>
  <r>
    <s v="*** Pagamento ***"/>
    <d v="2025-09-16T00:00:00"/>
    <d v="2025-09-12T00:00:00"/>
    <n v="879.83"/>
    <n v="20.529999999998001"/>
    <n v="20.529999999998001"/>
    <d v="2025-11-17T00:00:00"/>
    <n v="20.642942304897989"/>
    <n v="21.478924266616644"/>
    <n v="273181"/>
    <x v="6"/>
    <s v="2.20.01.06"/>
    <x v="9"/>
    <n v="27211"/>
    <x v="26"/>
    <n v="4"/>
    <s v="COZAC"/>
    <x v="23"/>
    <s v="CAIXA"/>
    <s v="CAIXA"/>
    <s v="RELATÓRIO DE DESPESAS VIAGENS"/>
    <s v="8276452.03"/>
  </r>
  <r>
    <s v="*** Pagamento ***"/>
    <d v="2025-09-16T00:00:00"/>
    <d v="2025-09-12T00:00:00"/>
    <n v="879.83"/>
    <n v="1.539999999997"/>
    <n v="1.539999999997"/>
    <d v="2025-11-17T00:00:00"/>
    <n v="1.5484720481969834"/>
    <n v="1.6111808753301713"/>
    <n v="273181"/>
    <x v="6"/>
    <s v="2.20.01.05"/>
    <x v="7"/>
    <n v="27220"/>
    <x v="21"/>
    <n v="4"/>
    <s v="COZAC"/>
    <x v="23"/>
    <s v="CAIXA"/>
    <s v="CAIXA"/>
    <s v="RELATÓRIO DE DESPESAS VIAGENS"/>
    <s v="8276452.03"/>
  </r>
  <r>
    <s v="*** Pagamento ***"/>
    <d v="2025-09-16T00:00:00"/>
    <d v="2025-09-12T00:00:00"/>
    <n v="879.83"/>
    <n v="7.9800000000039999"/>
    <n v="7.9800000000039999"/>
    <d v="2025-11-17T00:00:00"/>
    <n v="8.0239006134040221"/>
    <n v="8.3488463540040634"/>
    <n v="273181"/>
    <x v="6"/>
    <s v="2.20.01.03"/>
    <x v="8"/>
    <n v="27220"/>
    <x v="21"/>
    <n v="4"/>
    <s v="COZAC"/>
    <x v="23"/>
    <s v="CAIXA"/>
    <s v="CAIXA"/>
    <s v="RELATÓRIO DE DESPESAS VIAGENS"/>
    <s v="8276452.03"/>
  </r>
  <r>
    <s v="*** Pagamento ***"/>
    <d v="2025-09-16T00:00:00"/>
    <d v="2025-09-12T00:00:00"/>
    <n v="879.83"/>
    <n v="3.7899999999970002"/>
    <n v="3.7899999999970002"/>
    <d v="2025-11-17T00:00:00"/>
    <n v="3.8108500406969834"/>
    <n v="3.9651789074729948"/>
    <n v="273181"/>
    <x v="6"/>
    <s v="2.20.01.07"/>
    <x v="10"/>
    <n v="27187"/>
    <x v="36"/>
    <n v="4"/>
    <s v="COZAC"/>
    <x v="23"/>
    <s v="CAIXA"/>
    <s v="CAIXA"/>
    <s v="RELATÓRIO DE DESPESAS VIAGENS"/>
    <s v="8276452.03"/>
  </r>
  <r>
    <s v="*** Pagamento ***"/>
    <d v="2025-09-16T00:00:00"/>
    <d v="2025-09-12T00:00:00"/>
    <n v="879.83"/>
    <n v="20.529999999998001"/>
    <n v="20.529999999998001"/>
    <d v="2025-11-17T00:00:00"/>
    <n v="20.642942304897989"/>
    <n v="21.478924266616644"/>
    <n v="273181"/>
    <x v="6"/>
    <s v="2.20.01.06"/>
    <x v="9"/>
    <n v="27187"/>
    <x v="36"/>
    <n v="4"/>
    <s v="COZAC"/>
    <x v="23"/>
    <s v="CAIXA"/>
    <s v="CAIXA"/>
    <s v="RELATÓRIO DE DESPESAS VIAGENS"/>
    <s v="8276452.03"/>
  </r>
  <r>
    <s v="*** Pagamento ***"/>
    <d v="2025-09-16T00:00:00"/>
    <d v="2025-09-12T00:00:00"/>
    <n v="879.83"/>
    <n v="7.9800000000039999"/>
    <n v="7.9800000000039999"/>
    <d v="2025-11-17T00:00:00"/>
    <n v="8.0239006134040221"/>
    <n v="8.3488463540040634"/>
    <n v="273181"/>
    <x v="6"/>
    <s v="2.20.01.03"/>
    <x v="8"/>
    <n v="27184"/>
    <x v="34"/>
    <n v="4"/>
    <s v="COZAC"/>
    <x v="23"/>
    <s v="CAIXA"/>
    <s v="CAIXA"/>
    <s v="RELATÓRIO DE DESPESAS VIAGENS"/>
    <s v="8276452.03"/>
  </r>
  <r>
    <s v="*** Pagamento ***"/>
    <d v="2025-09-16T00:00:00"/>
    <d v="2025-09-12T00:00:00"/>
    <n v="879.83"/>
    <n v="1.539999999997"/>
    <n v="1.539999999997"/>
    <d v="2025-11-17T00:00:00"/>
    <n v="1.5484720481969834"/>
    <n v="1.6111808753301713"/>
    <n v="273181"/>
    <x v="6"/>
    <s v="2.20.01.05"/>
    <x v="7"/>
    <n v="27184"/>
    <x v="34"/>
    <n v="4"/>
    <s v="COZAC"/>
    <x v="23"/>
    <s v="CAIXA"/>
    <s v="CAIXA"/>
    <s v="RELATÓRIO DE DESPESAS VIAGENS"/>
    <s v="8276452.03"/>
  </r>
  <r>
    <s v="*** Pagamento ***"/>
    <d v="2025-09-16T00:00:00"/>
    <d v="2025-09-12T00:00:00"/>
    <n v="879.83"/>
    <n v="20.529999999998001"/>
    <n v="20.529999999998001"/>
    <d v="2025-11-17T00:00:00"/>
    <n v="20.642942304897989"/>
    <n v="21.478924266616644"/>
    <n v="273181"/>
    <x v="6"/>
    <s v="2.20.01.06"/>
    <x v="9"/>
    <n v="27184"/>
    <x v="34"/>
    <n v="4"/>
    <s v="COZAC"/>
    <x v="23"/>
    <s v="CAIXA"/>
    <s v="CAIXA"/>
    <s v="RELATÓRIO DE DESPESAS VIAGENS"/>
    <s v="8276452.03"/>
  </r>
  <r>
    <s v="*** Pagamento ***"/>
    <d v="2025-09-16T00:00:00"/>
    <d v="2025-09-12T00:00:00"/>
    <n v="879.83"/>
    <n v="3.7899999999970002"/>
    <n v="3.7899999999970002"/>
    <d v="2025-11-17T00:00:00"/>
    <n v="3.8108500406969834"/>
    <n v="3.9651789074729948"/>
    <n v="273181"/>
    <x v="6"/>
    <s v="2.20.01.07"/>
    <x v="10"/>
    <n v="27184"/>
    <x v="34"/>
    <n v="4"/>
    <s v="COZAC"/>
    <x v="23"/>
    <s v="CAIXA"/>
    <s v="CAIXA"/>
    <s v="RELATÓRIO DE DESPESAS VIAGENS"/>
    <s v="8276452.03"/>
  </r>
  <r>
    <s v="*** Pagamento ***"/>
    <d v="2025-09-16T00:00:00"/>
    <d v="2025-09-12T00:00:00"/>
    <n v="879.83"/>
    <n v="7.9800000000039999"/>
    <n v="7.9800000000039999"/>
    <d v="2025-11-17T00:00:00"/>
    <n v="8.0239006134040221"/>
    <n v="8.3488463540040634"/>
    <n v="273181"/>
    <x v="6"/>
    <s v="2.20.01.03"/>
    <x v="8"/>
    <n v="27223"/>
    <x v="17"/>
    <n v="4"/>
    <s v="COZAC"/>
    <x v="23"/>
    <s v="CAIXA"/>
    <s v="CAIXA"/>
    <s v="RELATÓRIO DE DESPESAS VIAGENS"/>
    <s v="8276452.03"/>
  </r>
  <r>
    <s v="*** Pagamento ***"/>
    <d v="2025-09-16T00:00:00"/>
    <d v="2025-09-12T00:00:00"/>
    <n v="879.83"/>
    <n v="7.9800000000039999"/>
    <n v="7.9800000000039999"/>
    <d v="2025-11-17T00:00:00"/>
    <n v="8.0239006134040221"/>
    <n v="8.3488463540040634"/>
    <n v="273181"/>
    <x v="6"/>
    <s v="2.20.01.03"/>
    <x v="8"/>
    <n v="27196"/>
    <x v="41"/>
    <n v="4"/>
    <s v="COZAC"/>
    <x v="23"/>
    <s v="CAIXA"/>
    <s v="CAIXA"/>
    <s v="RELATÓRIO DE DESPESAS VIAGENS"/>
    <s v="8276452.03"/>
  </r>
  <r>
    <s v="*** Pagamento ***"/>
    <d v="2025-09-16T00:00:00"/>
    <d v="2025-09-12T00:00:00"/>
    <n v="879.83"/>
    <n v="1.539999999997"/>
    <n v="1.539999999997"/>
    <d v="2025-11-17T00:00:00"/>
    <n v="1.5484720481969834"/>
    <n v="1.6111808753301713"/>
    <n v="273181"/>
    <x v="6"/>
    <s v="2.20.01.05"/>
    <x v="7"/>
    <n v="27223"/>
    <x v="17"/>
    <n v="4"/>
    <s v="COZAC"/>
    <x v="23"/>
    <s v="CAIXA"/>
    <s v="CAIXA"/>
    <s v="RELATÓRIO DE DESPESAS VIAGENS"/>
    <s v="8276452.03"/>
  </r>
  <r>
    <s v="*** Pagamento ***"/>
    <d v="2025-09-16T00:00:00"/>
    <d v="2025-09-12T00:00:00"/>
    <n v="879.83"/>
    <n v="7.9800000000039999"/>
    <n v="7.9800000000039999"/>
    <d v="2025-11-17T00:00:00"/>
    <n v="8.0239006134040221"/>
    <n v="8.3488463540040634"/>
    <n v="273181"/>
    <x v="6"/>
    <s v="2.20.01.03"/>
    <x v="8"/>
    <n v="27211"/>
    <x v="26"/>
    <n v="4"/>
    <s v="COZAC"/>
    <x v="23"/>
    <s v="CAIXA"/>
    <s v="CAIXA"/>
    <s v="RELATÓRIO DE DESPESAS VIAGENS"/>
    <s v="8276452.03"/>
  </r>
  <r>
    <s v="*** Pagamento ***"/>
    <d v="2025-09-16T00:00:00"/>
    <d v="2025-09-12T00:00:00"/>
    <n v="879.83"/>
    <n v="20.529999999998001"/>
    <n v="20.529999999998001"/>
    <d v="2025-11-17T00:00:00"/>
    <n v="20.642942304897989"/>
    <n v="21.478924266616644"/>
    <n v="273181"/>
    <x v="6"/>
    <s v="2.20.01.06"/>
    <x v="9"/>
    <n v="27223"/>
    <x v="17"/>
    <n v="4"/>
    <s v="COZAC"/>
    <x v="23"/>
    <s v="CAIXA"/>
    <s v="CAIXA"/>
    <s v="RELATÓRIO DE DESPESAS VIAGENS"/>
    <s v="8276452.03"/>
  </r>
  <r>
    <s v="*** Pagamento ***"/>
    <d v="2025-09-16T00:00:00"/>
    <d v="2025-09-12T00:00:00"/>
    <n v="879.83"/>
    <n v="20.529999999998001"/>
    <n v="20.529999999998001"/>
    <d v="2025-11-17T00:00:00"/>
    <n v="20.642942304897989"/>
    <n v="21.478924266616644"/>
    <n v="273181"/>
    <x v="6"/>
    <s v="2.20.01.06"/>
    <x v="9"/>
    <n v="27196"/>
    <x v="41"/>
    <n v="4"/>
    <s v="COZAC"/>
    <x v="23"/>
    <s v="CAIXA"/>
    <s v="CAIXA"/>
    <s v="RELATÓRIO DE DESPESAS VIAGENS"/>
    <s v="8276452.03"/>
  </r>
  <r>
    <s v="*** Pagamento ***"/>
    <d v="2025-09-16T00:00:00"/>
    <d v="2025-09-12T00:00:00"/>
    <n v="879.83"/>
    <n v="3.7899999999970002"/>
    <n v="3.7899999999970002"/>
    <d v="2025-11-17T00:00:00"/>
    <n v="3.8108500406969834"/>
    <n v="3.9651789074729948"/>
    <n v="273181"/>
    <x v="6"/>
    <s v="2.20.01.07"/>
    <x v="10"/>
    <n v="27223"/>
    <x v="17"/>
    <n v="4"/>
    <s v="COZAC"/>
    <x v="23"/>
    <s v="CAIXA"/>
    <s v="CAIXA"/>
    <s v="RELATÓRIO DE DESPESAS VIAGENS"/>
    <s v="8276452.03"/>
  </r>
  <r>
    <s v="*** Pagamento ***"/>
    <d v="2025-09-16T00:00:00"/>
    <d v="2025-09-12T00:00:00"/>
    <n v="879.83"/>
    <n v="3.7899999999970002"/>
    <n v="3.7899999999970002"/>
    <d v="2025-11-17T00:00:00"/>
    <n v="3.8108500406969834"/>
    <n v="3.9651789074729948"/>
    <n v="273181"/>
    <x v="6"/>
    <s v="2.20.01.07"/>
    <x v="10"/>
    <n v="27196"/>
    <x v="41"/>
    <n v="4"/>
    <s v="COZAC"/>
    <x v="23"/>
    <s v="CAIXA"/>
    <s v="CAIXA"/>
    <s v="RELATÓRIO DE DESPESAS VIAGENS"/>
    <s v="8276452.03"/>
  </r>
  <r>
    <s v="*** Pagamento ***"/>
    <d v="2025-09-16T00:00:00"/>
    <d v="2025-09-12T00:00:00"/>
    <n v="879.83"/>
    <n v="1.539999999997"/>
    <n v="1.539999999997"/>
    <d v="2025-11-17T00:00:00"/>
    <n v="1.5484720481969834"/>
    <n v="1.6111808753301713"/>
    <n v="273181"/>
    <x v="6"/>
    <s v="2.20.01.05"/>
    <x v="7"/>
    <n v="27196"/>
    <x v="41"/>
    <n v="4"/>
    <s v="COZAC"/>
    <x v="23"/>
    <s v="CAIXA"/>
    <s v="CAIXA"/>
    <s v="RELATÓRIO DE DESPESAS VIAGENS"/>
    <s v="8276452.03"/>
  </r>
  <r>
    <s v="*** Pagamento ***"/>
    <d v="2025-09-16T00:00:00"/>
    <d v="2025-09-12T00:00:00"/>
    <n v="879.83"/>
    <n v="1.539999999997"/>
    <n v="1.539999999997"/>
    <d v="2025-11-17T00:00:00"/>
    <n v="1.5484720481969834"/>
    <n v="1.6111808753301713"/>
    <n v="273181"/>
    <x v="6"/>
    <s v="2.20.01.05"/>
    <x v="7"/>
    <n v="27191"/>
    <x v="38"/>
    <n v="4"/>
    <s v="COZAC"/>
    <x v="23"/>
    <s v="CAIXA"/>
    <s v="CAIXA"/>
    <s v="RELATÓRIO DE DESPESAS VIAGENS"/>
    <s v="8276452.03"/>
  </r>
  <r>
    <s v="*** Pagamento ***"/>
    <d v="2025-09-16T00:00:00"/>
    <d v="2025-09-12T00:00:00"/>
    <n v="879.83"/>
    <n v="20.529999999998001"/>
    <n v="20.529999999998001"/>
    <d v="2025-11-17T00:00:00"/>
    <n v="20.642942304897989"/>
    <n v="21.478924266616644"/>
    <n v="273181"/>
    <x v="6"/>
    <s v="2.20.01.06"/>
    <x v="9"/>
    <n v="27191"/>
    <x v="38"/>
    <n v="4"/>
    <s v="COZAC"/>
    <x v="23"/>
    <s v="CAIXA"/>
    <s v="CAIXA"/>
    <s v="RELATÓRIO DE DESPESAS VIAGENS"/>
    <s v="8276452.03"/>
  </r>
  <r>
    <s v="*** Pagamento ***"/>
    <d v="2025-09-16T00:00:00"/>
    <d v="2025-09-12T00:00:00"/>
    <n v="879.83"/>
    <n v="3.7899999999970002"/>
    <n v="3.7899999999970002"/>
    <d v="2025-11-17T00:00:00"/>
    <n v="3.8108500406969834"/>
    <n v="3.9651789074729948"/>
    <n v="273181"/>
    <x v="6"/>
    <s v="2.20.01.07"/>
    <x v="10"/>
    <n v="27191"/>
    <x v="38"/>
    <n v="4"/>
    <s v="COZAC"/>
    <x v="23"/>
    <s v="CAIXA"/>
    <s v="CAIXA"/>
    <s v="RELATÓRIO DE DESPESAS VIAGENS"/>
    <s v="8276452.03"/>
  </r>
  <r>
    <s v="*** Pagamento ***"/>
    <d v="2025-09-16T00:00:00"/>
    <d v="2025-09-12T00:00:00"/>
    <n v="879.83"/>
    <n v="7.9800000000039999"/>
    <n v="7.9800000000039999"/>
    <d v="2025-11-17T00:00:00"/>
    <n v="8.0239006134040221"/>
    <n v="8.3488463540040634"/>
    <n v="273181"/>
    <x v="6"/>
    <s v="2.20.01.03"/>
    <x v="8"/>
    <n v="27191"/>
    <x v="38"/>
    <n v="4"/>
    <s v="COZAC"/>
    <x v="23"/>
    <s v="CAIXA"/>
    <s v="CAIXA"/>
    <s v="RELATÓRIO DE DESPESAS VIAGENS"/>
    <s v="8276452.03"/>
  </r>
  <r>
    <s v="*** Pagamento ***"/>
    <d v="2025-09-16T00:00:00"/>
    <d v="2025-09-12T00:00:00"/>
    <n v="879.83"/>
    <n v="20.529999999998001"/>
    <n v="20.529999999998001"/>
    <d v="2025-11-17T00:00:00"/>
    <n v="20.642942304897989"/>
    <n v="21.478924266616644"/>
    <n v="273181"/>
    <x v="6"/>
    <s v="2.20.01.06"/>
    <x v="9"/>
    <n v="27203"/>
    <x v="19"/>
    <n v="4"/>
    <s v="COZAC"/>
    <x v="23"/>
    <s v="CAIXA"/>
    <s v="CAIXA"/>
    <s v="RELATÓRIO DE DESPESAS VIAGENS"/>
    <s v="8276452.03"/>
  </r>
  <r>
    <s v="*** Pagamento ***"/>
    <d v="2025-09-16T00:00:00"/>
    <d v="2025-09-12T00:00:00"/>
    <n v="879.83"/>
    <n v="1.539999999997"/>
    <n v="1.539999999997"/>
    <d v="2025-11-17T00:00:00"/>
    <n v="1.5484720481969834"/>
    <n v="1.6111808753301713"/>
    <n v="273181"/>
    <x v="6"/>
    <s v="2.20.01.05"/>
    <x v="7"/>
    <n v="27203"/>
    <x v="19"/>
    <n v="4"/>
    <s v="COZAC"/>
    <x v="23"/>
    <s v="CAIXA"/>
    <s v="CAIXA"/>
    <s v="RELATÓRIO DE DESPESAS VIAGENS"/>
    <s v="8276452.03"/>
  </r>
  <r>
    <s v="*** Pagamento ***"/>
    <d v="2025-09-16T00:00:00"/>
    <d v="2025-09-12T00:00:00"/>
    <n v="879.83"/>
    <n v="3.7899999999970002"/>
    <n v="3.7899999999970002"/>
    <d v="2025-11-17T00:00:00"/>
    <n v="3.8108500406969834"/>
    <n v="3.9651789074729948"/>
    <n v="273181"/>
    <x v="6"/>
    <s v="2.20.01.07"/>
    <x v="10"/>
    <n v="27203"/>
    <x v="19"/>
    <n v="4"/>
    <s v="COZAC"/>
    <x v="23"/>
    <s v="CAIXA"/>
    <s v="CAIXA"/>
    <s v="RELATÓRIO DE DESPESAS VIAGENS"/>
    <s v="8276452.03"/>
  </r>
  <r>
    <s v="*** Pagamento ***"/>
    <d v="2025-09-16T00:00:00"/>
    <d v="2025-09-12T00:00:00"/>
    <n v="879.83"/>
    <n v="7.9800000000039999"/>
    <n v="7.9800000000039999"/>
    <d v="2025-11-17T00:00:00"/>
    <n v="8.0239006134040221"/>
    <n v="8.3488463540040634"/>
    <n v="273181"/>
    <x v="6"/>
    <s v="2.20.01.03"/>
    <x v="8"/>
    <n v="27203"/>
    <x v="19"/>
    <n v="4"/>
    <s v="COZAC"/>
    <x v="23"/>
    <s v="CAIXA"/>
    <s v="CAIXA"/>
    <s v="RELATÓRIO DE DESPESAS VIAGENS"/>
    <s v="8276452.03"/>
  </r>
  <r>
    <s v="*** Pagamento ***"/>
    <d v="2025-09-16T00:00:00"/>
    <d v="2025-09-12T00:00:00"/>
    <n v="879.83"/>
    <n v="1.539999999997"/>
    <n v="1.539999999997"/>
    <d v="2025-11-17T00:00:00"/>
    <n v="1.5484720481969834"/>
    <n v="1.6111808753301713"/>
    <n v="273181"/>
    <x v="6"/>
    <s v="2.20.01.05"/>
    <x v="7"/>
    <n v="27185"/>
    <x v="39"/>
    <n v="4"/>
    <s v="COZAC"/>
    <x v="23"/>
    <s v="CAIXA"/>
    <s v="CAIXA"/>
    <s v="RELATÓRIO DE DESPESAS VIAGENS"/>
    <s v="8276452.03"/>
  </r>
  <r>
    <s v="*** Pagamento ***"/>
    <d v="2025-09-16T00:00:00"/>
    <d v="2025-09-12T00:00:00"/>
    <n v="879.83"/>
    <n v="3.7899999999970002"/>
    <n v="3.7899999999970002"/>
    <d v="2025-11-17T00:00:00"/>
    <n v="3.8108500406969834"/>
    <n v="3.9651789074729948"/>
    <n v="273181"/>
    <x v="6"/>
    <s v="2.20.01.07"/>
    <x v="10"/>
    <n v="27185"/>
    <x v="39"/>
    <n v="4"/>
    <s v="COZAC"/>
    <x v="23"/>
    <s v="CAIXA"/>
    <s v="CAIXA"/>
    <s v="RELATÓRIO DE DESPESAS VIAGENS"/>
    <s v="8276452.03"/>
  </r>
  <r>
    <s v="*** Pagamento ***"/>
    <d v="2025-09-16T00:00:00"/>
    <d v="2025-09-12T00:00:00"/>
    <n v="879.83"/>
    <n v="20.529999999998001"/>
    <n v="20.529999999998001"/>
    <d v="2025-11-17T00:00:00"/>
    <n v="20.642942304897989"/>
    <n v="21.478924266616644"/>
    <n v="273181"/>
    <x v="6"/>
    <s v="2.20.01.06"/>
    <x v="9"/>
    <n v="27185"/>
    <x v="39"/>
    <n v="4"/>
    <s v="COZAC"/>
    <x v="23"/>
    <s v="CAIXA"/>
    <s v="CAIXA"/>
    <s v="RELATÓRIO DE DESPESAS VIAGENS"/>
    <s v="8276452.03"/>
  </r>
  <r>
    <s v="*** Pagamento ***"/>
    <d v="2025-09-16T00:00:00"/>
    <d v="2025-09-12T00:00:00"/>
    <n v="879.83"/>
    <n v="7.9800000000039999"/>
    <n v="7.9800000000039999"/>
    <d v="2025-11-17T00:00:00"/>
    <n v="8.0239006134040221"/>
    <n v="8.3488463540040634"/>
    <n v="273181"/>
    <x v="6"/>
    <s v="2.20.01.03"/>
    <x v="8"/>
    <n v="27185"/>
    <x v="39"/>
    <n v="4"/>
    <s v="COZAC"/>
    <x v="23"/>
    <s v="CAIXA"/>
    <s v="CAIXA"/>
    <s v="RELATÓRIO DE DESPESAS VIAGENS"/>
    <s v="8276452.03"/>
  </r>
  <r>
    <s v="*** Pagamento ***"/>
    <d v="2025-09-16T00:00:00"/>
    <d v="2025-09-12T00:00:00"/>
    <n v="879.83"/>
    <n v="3.7899999999970002"/>
    <n v="3.7899999999970002"/>
    <d v="2025-11-17T00:00:00"/>
    <n v="3.8108500406969834"/>
    <n v="3.9651789074729948"/>
    <n v="273181"/>
    <x v="6"/>
    <s v="2.20.01.07"/>
    <x v="10"/>
    <n v="27230"/>
    <x v="37"/>
    <n v="4"/>
    <s v="COZAC"/>
    <x v="23"/>
    <s v="CAIXA"/>
    <s v="CAIXA"/>
    <s v="RELATÓRIO DE DESPESAS VIAGENS"/>
    <s v="8276452.03"/>
  </r>
  <r>
    <s v="*** Pagamento ***"/>
    <d v="2025-09-16T00:00:00"/>
    <d v="2025-09-12T00:00:00"/>
    <n v="879.83"/>
    <n v="7.9800000000039999"/>
    <n v="7.9800000000039999"/>
    <d v="2025-11-17T00:00:00"/>
    <n v="8.0239006134040221"/>
    <n v="8.3488463540040634"/>
    <n v="273181"/>
    <x v="6"/>
    <s v="2.20.01.03"/>
    <x v="8"/>
    <n v="27233"/>
    <x v="25"/>
    <n v="4"/>
    <s v="COZAC"/>
    <x v="23"/>
    <s v="CAIXA"/>
    <s v="CAIXA"/>
    <s v="RELATÓRIO DE DESPESAS VIAGENS"/>
    <s v="8276452.03"/>
  </r>
  <r>
    <s v="*** Pagamento ***"/>
    <d v="2025-09-16T00:00:00"/>
    <d v="2025-09-12T00:00:00"/>
    <n v="879.83"/>
    <n v="1.539999999997"/>
    <n v="1.539999999997"/>
    <d v="2025-11-17T00:00:00"/>
    <n v="1.5484720481969834"/>
    <n v="1.6111808753301713"/>
    <n v="273181"/>
    <x v="6"/>
    <s v="2.20.01.05"/>
    <x v="7"/>
    <n v="27233"/>
    <x v="25"/>
    <n v="4"/>
    <s v="COZAC"/>
    <x v="23"/>
    <s v="CAIXA"/>
    <s v="CAIXA"/>
    <s v="RELATÓRIO DE DESPESAS VIAGENS"/>
    <s v="8276452.03"/>
  </r>
  <r>
    <s v="*** Pagamento ***"/>
    <d v="2025-09-16T00:00:00"/>
    <d v="2025-09-12T00:00:00"/>
    <n v="879.83"/>
    <n v="3.7899999999970002"/>
    <n v="3.7899999999970002"/>
    <d v="2025-11-17T00:00:00"/>
    <n v="3.8108500406969834"/>
    <n v="3.9651789074729948"/>
    <n v="273181"/>
    <x v="6"/>
    <s v="2.20.01.07"/>
    <x v="10"/>
    <n v="27233"/>
    <x v="25"/>
    <n v="4"/>
    <s v="COZAC"/>
    <x v="23"/>
    <s v="CAIXA"/>
    <s v="CAIXA"/>
    <s v="RELATÓRIO DE DESPESAS VIAGENS"/>
    <s v="8276452.03"/>
  </r>
  <r>
    <s v="*** Pagamento ***"/>
    <d v="2025-09-16T00:00:00"/>
    <d v="2025-09-12T00:00:00"/>
    <n v="879.83"/>
    <n v="20.529999999998001"/>
    <n v="20.529999999998001"/>
    <d v="2025-11-17T00:00:00"/>
    <n v="20.642942304897989"/>
    <n v="21.478924266616644"/>
    <n v="273181"/>
    <x v="6"/>
    <s v="2.20.01.06"/>
    <x v="9"/>
    <n v="27233"/>
    <x v="25"/>
    <n v="4"/>
    <s v="COZAC"/>
    <x v="23"/>
    <s v="CAIXA"/>
    <s v="CAIXA"/>
    <s v="RELATÓRIO DE DESPESAS VIAGENS"/>
    <s v="8276452.03"/>
  </r>
  <r>
    <s v="*** Pagamento ***"/>
    <d v="2025-09-16T00:00:00"/>
    <d v="2025-09-12T00:00:00"/>
    <n v="879.83"/>
    <n v="7.9800000000039999"/>
    <n v="7.9800000000039999"/>
    <d v="2025-11-17T00:00:00"/>
    <n v="8.0239006134040221"/>
    <n v="8.3488463540040634"/>
    <n v="273181"/>
    <x v="6"/>
    <s v="2.20.01.03"/>
    <x v="8"/>
    <n v="27230"/>
    <x v="37"/>
    <n v="4"/>
    <s v="COZAC"/>
    <x v="23"/>
    <s v="CAIXA"/>
    <s v="CAIXA"/>
    <s v="RELATÓRIO DE DESPESAS VIAGENS"/>
    <s v="8276452.03"/>
  </r>
  <r>
    <s v="*** Pagamento ***"/>
    <d v="2025-09-16T00:00:00"/>
    <d v="2025-09-12T00:00:00"/>
    <n v="879.83"/>
    <n v="1.539999999997"/>
    <n v="1.539999999997"/>
    <d v="2025-11-17T00:00:00"/>
    <n v="1.5484720481969834"/>
    <n v="1.6111808753301713"/>
    <n v="273181"/>
    <x v="6"/>
    <s v="2.20.01.05"/>
    <x v="7"/>
    <n v="27230"/>
    <x v="37"/>
    <n v="4"/>
    <s v="COZAC"/>
    <x v="23"/>
    <s v="CAIXA"/>
    <s v="CAIXA"/>
    <s v="RELATÓRIO DE DESPESAS VIAGENS"/>
    <s v="8276452.03"/>
  </r>
  <r>
    <s v="*** Pagamento ***"/>
    <d v="2025-09-16T00:00:00"/>
    <d v="2025-09-12T00:00:00"/>
    <n v="879.83"/>
    <n v="20.529999999998001"/>
    <n v="20.529999999998001"/>
    <d v="2025-11-17T00:00:00"/>
    <n v="20.642942304897989"/>
    <n v="21.478924266616644"/>
    <n v="273181"/>
    <x v="6"/>
    <s v="2.20.01.06"/>
    <x v="9"/>
    <n v="27230"/>
    <x v="37"/>
    <n v="4"/>
    <s v="COZAC"/>
    <x v="23"/>
    <s v="CAIXA"/>
    <s v="CAIXA"/>
    <s v="RELATÓRIO DE DESPESAS VIAGENS"/>
    <s v="8276452.03"/>
  </r>
  <r>
    <s v="*** Pagamento ***"/>
    <d v="2025-09-16T00:00:00"/>
    <d v="2025-09-12T00:00:00"/>
    <n v="879.83"/>
    <n v="3.7899999999970002"/>
    <n v="3.7899999999970002"/>
    <d v="2025-11-17T00:00:00"/>
    <n v="3.8108500406969834"/>
    <n v="3.9651789074729948"/>
    <n v="273181"/>
    <x v="6"/>
    <s v="2.20.01.07"/>
    <x v="10"/>
    <n v="27180"/>
    <x v="15"/>
    <n v="4"/>
    <s v="COZAC"/>
    <x v="23"/>
    <s v="CAIXA"/>
    <s v="CAIXA"/>
    <s v="RELATÓRIO DE DESPESAS VIAGENS"/>
    <s v="8276452.03"/>
  </r>
  <r>
    <s v="*** Pagamento ***"/>
    <d v="2025-09-16T00:00:00"/>
    <d v="2025-09-12T00:00:00"/>
    <n v="879.83"/>
    <n v="1.539999999997"/>
    <n v="1.539999999997"/>
    <d v="2025-11-17T00:00:00"/>
    <n v="1.5484720481969834"/>
    <n v="1.6111808753301713"/>
    <n v="273181"/>
    <x v="6"/>
    <s v="2.20.01.05"/>
    <x v="7"/>
    <n v="27180"/>
    <x v="15"/>
    <n v="4"/>
    <s v="COZAC"/>
    <x v="23"/>
    <s v="CAIXA"/>
    <s v="CAIXA"/>
    <s v="RELATÓRIO DE DESPESAS VIAGENS"/>
    <s v="8276452.03"/>
  </r>
  <r>
    <s v="*** Pagamento ***"/>
    <d v="2025-09-16T00:00:00"/>
    <d v="2025-09-12T00:00:00"/>
    <n v="879.83"/>
    <n v="20.529999999998001"/>
    <n v="20.529999999998001"/>
    <d v="2025-11-17T00:00:00"/>
    <n v="20.642942304897989"/>
    <n v="21.478924266616644"/>
    <n v="273181"/>
    <x v="6"/>
    <s v="2.20.01.06"/>
    <x v="9"/>
    <n v="27180"/>
    <x v="15"/>
    <n v="4"/>
    <s v="COZAC"/>
    <x v="23"/>
    <s v="CAIXA"/>
    <s v="CAIXA"/>
    <s v="RELATÓRIO DE DESPESAS VIAGENS"/>
    <s v="8276452.03"/>
  </r>
  <r>
    <s v="*** Pagamento ***"/>
    <d v="2025-09-16T00:00:00"/>
    <d v="2025-09-12T00:00:00"/>
    <n v="879.83"/>
    <n v="7.9800000000039999"/>
    <n v="7.9800000000039999"/>
    <d v="2025-11-17T00:00:00"/>
    <n v="8.0239006134040221"/>
    <n v="8.3488463540040634"/>
    <n v="273181"/>
    <x v="6"/>
    <s v="2.20.01.03"/>
    <x v="8"/>
    <n v="27180"/>
    <x v="15"/>
    <n v="4"/>
    <s v="COZAC"/>
    <x v="23"/>
    <s v="CAIXA"/>
    <s v="CAIXA"/>
    <s v="RELATÓRIO DE DESPESAS VIAGENS"/>
    <s v="8276452.03"/>
  </r>
  <r>
    <s v="*** Pagamento ***"/>
    <d v="2025-09-16T00:00:00"/>
    <d v="2025-09-12T00:00:00"/>
    <n v="879.83"/>
    <n v="3.7899999999970002"/>
    <n v="3.7899999999970002"/>
    <d v="2025-11-17T00:00:00"/>
    <n v="3.8108500406969834"/>
    <n v="3.9651789074729948"/>
    <n v="273181"/>
    <x v="6"/>
    <s v="2.20.01.07"/>
    <x v="10"/>
    <n v="27201"/>
    <x v="29"/>
    <n v="4"/>
    <s v="COZAC"/>
    <x v="23"/>
    <s v="CAIXA"/>
    <s v="CAIXA"/>
    <s v="RELATÓRIO DE DESPESAS VIAGENS"/>
    <s v="8276452.03"/>
  </r>
  <r>
    <s v="*** Pagamento ***"/>
    <d v="2025-09-16T00:00:00"/>
    <d v="2025-09-12T00:00:00"/>
    <n v="879.83"/>
    <n v="7.9800000000039999"/>
    <n v="7.9800000000039999"/>
    <d v="2025-11-17T00:00:00"/>
    <n v="8.0239006134040221"/>
    <n v="8.3488463540040634"/>
    <n v="273181"/>
    <x v="6"/>
    <s v="2.20.01.03"/>
    <x v="8"/>
    <n v="27201"/>
    <x v="29"/>
    <n v="4"/>
    <s v="COZAC"/>
    <x v="23"/>
    <s v="CAIXA"/>
    <s v="CAIXA"/>
    <s v="RELATÓRIO DE DESPESAS VIAGENS"/>
    <s v="8276452.03"/>
  </r>
  <r>
    <s v="*** Pagamento ***"/>
    <d v="2025-09-16T00:00:00"/>
    <d v="2025-09-12T00:00:00"/>
    <n v="879.83"/>
    <n v="1.539999999997"/>
    <n v="1.539999999997"/>
    <d v="2025-11-17T00:00:00"/>
    <n v="1.5484720481969834"/>
    <n v="1.6111808753301713"/>
    <n v="273181"/>
    <x v="6"/>
    <s v="2.20.01.05"/>
    <x v="7"/>
    <n v="27201"/>
    <x v="29"/>
    <n v="4"/>
    <s v="COZAC"/>
    <x v="23"/>
    <s v="CAIXA"/>
    <s v="CAIXA"/>
    <s v="RELATÓRIO DE DESPESAS VIAGENS"/>
    <s v="8276452.03"/>
  </r>
  <r>
    <s v="*** Pagamento ***"/>
    <d v="2025-09-16T00:00:00"/>
    <d v="2025-09-12T00:00:00"/>
    <n v="879.83"/>
    <n v="20.529999999998001"/>
    <n v="20.529999999998001"/>
    <d v="2025-11-17T00:00:00"/>
    <n v="20.642942304897989"/>
    <n v="21.478924266616644"/>
    <n v="273181"/>
    <x v="6"/>
    <s v="2.20.01.06"/>
    <x v="9"/>
    <n v="27201"/>
    <x v="29"/>
    <n v="4"/>
    <s v="COZAC"/>
    <x v="23"/>
    <s v="CAIXA"/>
    <s v="CAIXA"/>
    <s v="RELATÓRIO DE DESPESAS VIAGENS"/>
    <s v="8276452.03"/>
  </r>
  <r>
    <s v="*** Pagamento ***"/>
    <d v="2025-09-16T00:00:00"/>
    <d v="2025-09-12T00:00:00"/>
    <n v="879.83"/>
    <n v="3.7899999999970002"/>
    <n v="3.7899999999970002"/>
    <d v="2025-11-17T00:00:00"/>
    <n v="3.8108500406969834"/>
    <n v="3.9651789074729948"/>
    <n v="273181"/>
    <x v="6"/>
    <s v="2.20.01.07"/>
    <x v="10"/>
    <n v="27209"/>
    <x v="27"/>
    <n v="4"/>
    <s v="COZAC"/>
    <x v="23"/>
    <s v="CAIXA"/>
    <s v="CAIXA"/>
    <s v="RELATÓRIO DE DESPESAS VIAGENS"/>
    <s v="8276452.03"/>
  </r>
  <r>
    <s v="*** Pagamento ***"/>
    <d v="2025-09-16T00:00:00"/>
    <d v="2025-09-12T00:00:00"/>
    <n v="879.83"/>
    <n v="20.529999999998001"/>
    <n v="20.529999999998001"/>
    <d v="2025-11-17T00:00:00"/>
    <n v="20.642942304897989"/>
    <n v="21.478924266616644"/>
    <n v="273181"/>
    <x v="6"/>
    <s v="2.20.01.06"/>
    <x v="9"/>
    <n v="27209"/>
    <x v="27"/>
    <n v="4"/>
    <s v="COZAC"/>
    <x v="23"/>
    <s v="CAIXA"/>
    <s v="CAIXA"/>
    <s v="RELATÓRIO DE DESPESAS VIAGENS"/>
    <s v="8276452.03"/>
  </r>
  <r>
    <s v="*** Pagamento ***"/>
    <d v="2025-09-16T00:00:00"/>
    <d v="2025-09-12T00:00:00"/>
    <n v="879.83"/>
    <n v="1.539999999997"/>
    <n v="1.539999999997"/>
    <d v="2025-11-17T00:00:00"/>
    <n v="1.5484720481969834"/>
    <n v="1.6111808753301713"/>
    <n v="273181"/>
    <x v="6"/>
    <s v="2.20.01.05"/>
    <x v="7"/>
    <n v="27209"/>
    <x v="27"/>
    <n v="4"/>
    <s v="COZAC"/>
    <x v="23"/>
    <s v="CAIXA"/>
    <s v="CAIXA"/>
    <s v="RELATÓRIO DE DESPESAS VIAGENS"/>
    <s v="8276452.03"/>
  </r>
  <r>
    <s v="*** Pagamento ***"/>
    <d v="2025-09-16T00:00:00"/>
    <d v="2025-09-12T00:00:00"/>
    <n v="879.83"/>
    <n v="7.9800000000039999"/>
    <n v="7.9800000000039999"/>
    <d v="2025-11-17T00:00:00"/>
    <n v="8.0239006134040221"/>
    <n v="8.3488463540040634"/>
    <n v="273181"/>
    <x v="6"/>
    <s v="2.20.01.03"/>
    <x v="8"/>
    <n v="27209"/>
    <x v="27"/>
    <n v="4"/>
    <s v="COZAC"/>
    <x v="23"/>
    <s v="CAIXA"/>
    <s v="CAIXA"/>
    <s v="RELATÓRIO DE DESPESAS VIAGENS"/>
    <s v="8276452.03"/>
  </r>
  <r>
    <s v="*** Pagamento ***"/>
    <d v="2025-09-16T00:00:00"/>
    <d v="2025-09-12T00:00:00"/>
    <n v="879.83"/>
    <n v="3.7899999999970002"/>
    <n v="3.7899999999970002"/>
    <d v="2025-11-17T00:00:00"/>
    <n v="3.8108500406969834"/>
    <n v="3.9651789074729948"/>
    <n v="273181"/>
    <x v="6"/>
    <s v="2.20.01.07"/>
    <x v="10"/>
    <n v="27215"/>
    <x v="22"/>
    <n v="4"/>
    <s v="COZAC"/>
    <x v="23"/>
    <s v="CAIXA"/>
    <s v="CAIXA"/>
    <s v="RELATÓRIO DE DESPESAS VIAGENS"/>
    <s v="8276452.03"/>
  </r>
  <r>
    <s v="*** Pagamento ***"/>
    <d v="2025-09-16T00:00:00"/>
    <d v="2025-09-12T00:00:00"/>
    <n v="879.83"/>
    <n v="20.529999999998001"/>
    <n v="20.529999999998001"/>
    <d v="2025-11-17T00:00:00"/>
    <n v="20.642942304897989"/>
    <n v="21.478924266616644"/>
    <n v="273181"/>
    <x v="6"/>
    <s v="2.20.01.06"/>
    <x v="9"/>
    <n v="27215"/>
    <x v="22"/>
    <n v="4"/>
    <s v="COZAC"/>
    <x v="23"/>
    <s v="CAIXA"/>
    <s v="CAIXA"/>
    <s v="RELATÓRIO DE DESPESAS VIAGENS"/>
    <s v="8276452.03"/>
  </r>
  <r>
    <s v="*** Pagamento ***"/>
    <d v="2025-09-16T00:00:00"/>
    <d v="2025-09-12T00:00:00"/>
    <n v="879.83"/>
    <n v="1.539999999997"/>
    <n v="1.539999999997"/>
    <d v="2025-11-17T00:00:00"/>
    <n v="1.5484720481969834"/>
    <n v="1.6111808753301713"/>
    <n v="273181"/>
    <x v="6"/>
    <s v="2.20.01.05"/>
    <x v="7"/>
    <n v="27215"/>
    <x v="22"/>
    <n v="4"/>
    <s v="COZAC"/>
    <x v="23"/>
    <s v="CAIXA"/>
    <s v="CAIXA"/>
    <s v="RELATÓRIO DE DESPESAS VIAGENS"/>
    <s v="8276452.03"/>
  </r>
  <r>
    <s v="*** Pagamento ***"/>
    <d v="2025-09-16T00:00:00"/>
    <d v="2025-09-12T00:00:00"/>
    <n v="879.83"/>
    <n v="7.9800000000039999"/>
    <n v="7.9800000000039999"/>
    <d v="2025-11-17T00:00:00"/>
    <n v="8.0239006134040221"/>
    <n v="8.3488463540040634"/>
    <n v="273181"/>
    <x v="6"/>
    <s v="2.20.01.03"/>
    <x v="8"/>
    <n v="27215"/>
    <x v="22"/>
    <n v="4"/>
    <s v="COZAC"/>
    <x v="23"/>
    <s v="CAIXA"/>
    <s v="CAIXA"/>
    <s v="RELATÓRIO DE DESPESAS VIAGENS"/>
    <s v="8276452.03"/>
  </r>
  <r>
    <s v="*** Pagamento ***"/>
    <d v="2025-09-16T00:00:00"/>
    <d v="2025-09-12T00:00:00"/>
    <n v="879.83"/>
    <n v="7.9800000000039999"/>
    <n v="7.9800000000039999"/>
    <d v="2025-11-17T00:00:00"/>
    <n v="8.0239006134040221"/>
    <n v="8.3488463540040634"/>
    <n v="273181"/>
    <x v="6"/>
    <s v="2.20.01.03"/>
    <x v="8"/>
    <n v="27218"/>
    <x v="28"/>
    <n v="4"/>
    <s v="COZAC"/>
    <x v="23"/>
    <s v="CAIXA"/>
    <s v="CAIXA"/>
    <s v="RELATÓRIO DE DESPESAS VIAGENS"/>
    <s v="8276452.03"/>
  </r>
  <r>
    <s v="*** Pagamento ***"/>
    <d v="2025-09-16T00:00:00"/>
    <d v="2025-09-12T00:00:00"/>
    <n v="879.83"/>
    <n v="1.539999999997"/>
    <n v="1.539999999997"/>
    <d v="2025-11-17T00:00:00"/>
    <n v="1.5484720481969834"/>
    <n v="1.6111808753301713"/>
    <n v="273181"/>
    <x v="6"/>
    <s v="2.20.01.05"/>
    <x v="7"/>
    <n v="27218"/>
    <x v="28"/>
    <n v="4"/>
    <s v="COZAC"/>
    <x v="23"/>
    <s v="CAIXA"/>
    <s v="CAIXA"/>
    <s v="RELATÓRIO DE DESPESAS VIAGENS"/>
    <s v="8276452.03"/>
  </r>
  <r>
    <s v="*** Pagamento ***"/>
    <d v="2025-09-16T00:00:00"/>
    <d v="2025-09-12T00:00:00"/>
    <n v="879.83"/>
    <n v="20.529999999998001"/>
    <n v="20.529999999998001"/>
    <d v="2025-11-17T00:00:00"/>
    <n v="20.642942304897989"/>
    <n v="21.478924266616644"/>
    <n v="273181"/>
    <x v="6"/>
    <s v="2.20.01.06"/>
    <x v="9"/>
    <n v="27218"/>
    <x v="28"/>
    <n v="4"/>
    <s v="COZAC"/>
    <x v="23"/>
    <s v="CAIXA"/>
    <s v="CAIXA"/>
    <s v="RELATÓRIO DE DESPESAS VIAGENS"/>
    <s v="8276452.03"/>
  </r>
  <r>
    <s v="*** Pagamento ***"/>
    <d v="2025-09-16T00:00:00"/>
    <d v="2025-09-12T00:00:00"/>
    <n v="879.83"/>
    <n v="3.7899999999970002"/>
    <n v="3.7899999999970002"/>
    <d v="2025-11-17T00:00:00"/>
    <n v="3.8108500406969834"/>
    <n v="3.9651789074729948"/>
    <n v="273181"/>
    <x v="6"/>
    <s v="2.20.01.07"/>
    <x v="10"/>
    <n v="27218"/>
    <x v="28"/>
    <n v="4"/>
    <s v="COZAC"/>
    <x v="23"/>
    <s v="CAIXA"/>
    <s v="CAIXA"/>
    <s v="RELATÓRIO DE DESPESAS VIAGENS"/>
    <s v="8276452.03"/>
  </r>
  <r>
    <s v="*** Pagamento ***"/>
    <d v="2025-09-18T00:00:00"/>
    <d v="2025-08-21T00:00:00"/>
    <n v="2216.41"/>
    <n v="22.164100000000001"/>
    <n v="22.164100000000001"/>
    <d v="2025-11-17T00:00:00"/>
    <n v="22.286032028253"/>
    <n v="23.154780035362311"/>
    <n v="273229"/>
    <x v="5"/>
    <s v="2.07.17"/>
    <x v="6"/>
    <n v="29660"/>
    <x v="2"/>
    <n v="4"/>
    <s v="COZAC"/>
    <x v="24"/>
    <s v="CAIXA"/>
    <s v="CAIXA"/>
    <s v="NOTA FISCAL DE SERVIÇOS"/>
    <s v="867371.03"/>
  </r>
  <r>
    <s v="*** Pagamento ***"/>
    <d v="2025-08-19T00:00:00"/>
    <d v="2025-08-18T00:00:00"/>
    <n v="444.24"/>
    <n v="222.12"/>
    <n v="222.12"/>
    <d v="2025-11-17T00:00:00"/>
    <n v="222.87282243120001"/>
    <n v="237.17750866336658"/>
    <n v="267629"/>
    <x v="7"/>
    <s v="2.20.04.04"/>
    <x v="11"/>
    <n v="27184"/>
    <x v="34"/>
    <n v="4"/>
    <s v="COZAC"/>
    <x v="25"/>
    <s v="CAIXA"/>
    <s v="CAIXA"/>
    <s v="BOLETO"/>
    <s v="28442810000182567.03"/>
  </r>
  <r>
    <s v="*** Pagamento ***"/>
    <d v="2025-08-19T00:00:00"/>
    <d v="2025-08-18T00:00:00"/>
    <n v="444.24"/>
    <n v="222.12"/>
    <n v="222.12"/>
    <d v="2025-11-17T00:00:00"/>
    <n v="222.87282243120001"/>
    <n v="237.17750866336658"/>
    <n v="267629"/>
    <x v="7"/>
    <s v="2.20.04.04"/>
    <x v="11"/>
    <n v="27189"/>
    <x v="40"/>
    <n v="4"/>
    <s v="COZAC"/>
    <x v="25"/>
    <s v="CAIXA"/>
    <s v="CAIXA"/>
    <s v="BOLETO"/>
    <s v="28442810000182567.03"/>
  </r>
  <r>
    <s v="*** Pagamento ***"/>
    <d v="2025-08-19T00:00:00"/>
    <d v="2025-08-01T00:00:00"/>
    <n v="9.2200000000000006"/>
    <n v="6.97"/>
    <n v="6.97"/>
    <d v="2025-11-17T00:00:00"/>
    <n v="6.9936231422000006"/>
    <n v="7.4424961074359128"/>
    <n v="267626"/>
    <x v="8"/>
    <s v="2.08.01"/>
    <x v="13"/>
    <n v="27238"/>
    <x v="16"/>
    <n v="4"/>
    <s v="COZAC"/>
    <x v="99"/>
    <s v="CAIXA"/>
    <s v="CAIXA"/>
    <s v="GUIA PARA RECOLHIMENTO DE IMPOSTOS"/>
    <s v="DCTF FORN 07.2025.03"/>
  </r>
  <r>
    <s v="*** Pagamento ***"/>
    <d v="2025-08-19T00:00:00"/>
    <d v="2025-08-01T00:00:00"/>
    <n v="9.2200000000000006"/>
    <n v="2.25"/>
    <n v="2.25"/>
    <d v="2025-11-17T00:00:00"/>
    <n v="2.2576258350000002"/>
    <n v="2.4025274378379922"/>
    <n v="267626"/>
    <x v="8"/>
    <s v="2.08.04"/>
    <x v="12"/>
    <n v="27238"/>
    <x v="16"/>
    <n v="4"/>
    <s v="COZAC"/>
    <x v="99"/>
    <s v="CAIXA"/>
    <s v="CAIXA"/>
    <s v="GUIA PARA RECOLHIMENTO DE IMPOSTOS"/>
    <s v="DCTF FORN 07.2025.03"/>
  </r>
  <r>
    <s v="*** Pagamento ***"/>
    <d v="2025-08-20T00:00:00"/>
    <d v="2025-07-21T00:00:00"/>
    <n v="2216.41"/>
    <n v="22.164100000000001"/>
    <n v="22.164100000000001"/>
    <d v="2025-11-17T00:00:00"/>
    <n v="22.239219897566002"/>
    <n v="23.649362034986176"/>
    <n v="267636"/>
    <x v="5"/>
    <s v="2.07.17"/>
    <x v="6"/>
    <n v="29660"/>
    <x v="2"/>
    <n v="4"/>
    <s v="COZAC"/>
    <x v="26"/>
    <s v="CAIXA"/>
    <s v="CAIXA"/>
    <s v="NOTA FISCAL DE SERVIÇOS"/>
    <s v="853779.03"/>
  </r>
  <r>
    <s v="*** Pagamento ***"/>
    <d v="2025-10-20T00:00:00"/>
    <d v="2025-10-01T00:00:00"/>
    <n v="145.24"/>
    <n v="0.54999999999899996"/>
    <n v="0.54999999999899996"/>
    <d v="2025-11-17T00:00:00"/>
    <n v="0.55016463699899965"/>
    <n v="0.56133865566813723"/>
    <n v="277966"/>
    <x v="8"/>
    <s v="2.08.01"/>
    <x v="13"/>
    <n v="29660"/>
    <x v="2"/>
    <n v="4"/>
    <s v="COZAC"/>
    <x v="27"/>
    <s v="CAIXA"/>
    <s v="CAIXA"/>
    <s v="GUIA PARA RECOLHIMENTO DE IMPOSTOS"/>
    <s v="DCTF FORN 09/2025.3"/>
  </r>
  <r>
    <s v="*** Pagamento ***"/>
    <d v="2025-10-20T00:00:00"/>
    <d v="2025-10-01T00:00:00"/>
    <n v="145.24"/>
    <n v="0.18"/>
    <n v="0.18"/>
    <d v="2025-11-17T00:00:00"/>
    <n v="0.18005388119999999"/>
    <n v="0.18371083276445169"/>
    <n v="277966"/>
    <x v="8"/>
    <s v="2.08.04"/>
    <x v="12"/>
    <n v="29660"/>
    <x v="2"/>
    <n v="4"/>
    <s v="COZAC"/>
    <x v="27"/>
    <s v="CAIXA"/>
    <s v="CAIXA"/>
    <s v="GUIA PARA RECOLHIMENTO DE IMPOSTOS"/>
    <s v="DCTF FORN 09/2025.3"/>
  </r>
  <r>
    <s v="*** Pagamento ***"/>
    <d v="2025-07-22T00:00:00"/>
    <d v="2025-07-16T00:00:00"/>
    <n v="3840"/>
    <n v="3840"/>
    <n v="3840"/>
    <d v="2025-11-17T00:00:00"/>
    <n v="3861.1045632000005"/>
    <n v="4184.8444808975346"/>
    <n v="261599"/>
    <x v="3"/>
    <s v="2.20.02.01"/>
    <x v="5"/>
    <n v="27220"/>
    <x v="21"/>
    <n v="4"/>
    <s v="COZAC"/>
    <x v="100"/>
    <s v="13017348-8"/>
    <s v="SANTANDER - ENF SPE RESIDENCIAL"/>
    <s v="GUIA PARA RECOLHIMENTO DE IMPOSTOS"/>
    <s v="13377"/>
  </r>
  <r>
    <s v="*** Pagamento ***"/>
    <d v="2025-07-22T00:00:00"/>
    <d v="2025-07-16T00:00:00"/>
    <n v="3900"/>
    <n v="3900"/>
    <n v="3900"/>
    <d v="2025-11-17T00:00:00"/>
    <n v="3921.4343220000001"/>
    <n v="4250.2326759115585"/>
    <n v="261601"/>
    <x v="3"/>
    <s v="2.20.02.01"/>
    <x v="5"/>
    <n v="27205"/>
    <x v="20"/>
    <n v="4"/>
    <s v="COZAC"/>
    <x v="101"/>
    <s v="13017348-8"/>
    <s v="SANTANDER - ENF SPE RESIDENCIAL"/>
    <s v="GUIA PARA RECOLHIMENTO DE IMPOSTOS"/>
    <s v="13351"/>
  </r>
  <r>
    <s v="*** Pagamento ***"/>
    <d v="2025-07-22T00:00:00"/>
    <d v="2025-07-16T00:00:00"/>
    <n v="3900"/>
    <n v="3900"/>
    <n v="3900"/>
    <d v="2025-11-17T00:00:00"/>
    <n v="3921.4343220000001"/>
    <n v="4250.2326759115585"/>
    <n v="261600"/>
    <x v="3"/>
    <s v="2.20.02.01"/>
    <x v="5"/>
    <n v="27201"/>
    <x v="29"/>
    <n v="4"/>
    <s v="COZAC"/>
    <x v="102"/>
    <s v="13017348-8"/>
    <s v="SANTANDER - ENF SPE RESIDENCIAL"/>
    <s v="GUIA PARA RECOLHIMENTO DE IMPOSTOS"/>
    <s v="13344"/>
  </r>
  <r>
    <s v="*** Pagamento ***"/>
    <d v="2025-07-22T00:00:00"/>
    <d v="2025-07-16T00:00:00"/>
    <n v="3900"/>
    <n v="3900"/>
    <n v="3900"/>
    <d v="2025-11-17T00:00:00"/>
    <n v="3921.4343220000001"/>
    <n v="4250.2326759115585"/>
    <n v="261602"/>
    <x v="3"/>
    <s v="2.20.02.01"/>
    <x v="5"/>
    <n v="27209"/>
    <x v="27"/>
    <n v="4"/>
    <s v="COZAC"/>
    <x v="103"/>
    <s v="13017348-8"/>
    <s v="SANTANDER - ENF SPE RESIDENCIAL"/>
    <s v="GUIA PARA RECOLHIMENTO DE IMPOSTOS"/>
    <s v="13353"/>
  </r>
  <r>
    <s v="*** Pagamento ***"/>
    <d v="2025-07-22T00:00:00"/>
    <d v="2025-07-16T00:00:00"/>
    <n v="2732.14"/>
    <n v="2732.14"/>
    <n v="2732.14"/>
    <d v="2025-11-17T00:00:00"/>
    <n v="2747.1557867972001"/>
    <n v="2977.4950520935909"/>
    <n v="261609"/>
    <x v="3"/>
    <s v="2.20.02.01"/>
    <x v="5"/>
    <n v="27228"/>
    <x v="31"/>
    <n v="4"/>
    <s v="COZAC"/>
    <x v="104"/>
    <s v="13017348-8"/>
    <s v="SANTANDER - ENF SPE RESIDENCIAL"/>
    <s v="GUIA PARA RECOLHIMENTO DE IMPOSTOS"/>
    <s v="13360"/>
  </r>
  <r>
    <s v="*** Pagamento ***"/>
    <d v="2025-07-22T00:00:00"/>
    <d v="2025-07-16T00:00:00"/>
    <n v="3900"/>
    <n v="3900"/>
    <n v="3900"/>
    <d v="2025-11-17T00:00:00"/>
    <n v="3921.4343220000001"/>
    <n v="4250.2326759115585"/>
    <n v="261607"/>
    <x v="3"/>
    <s v="2.20.02.01"/>
    <x v="5"/>
    <n v="27215"/>
    <x v="22"/>
    <n v="4"/>
    <s v="COZAC"/>
    <x v="105"/>
    <s v="13017348-8"/>
    <s v="SANTANDER - ENF SPE RESIDENCIAL"/>
    <s v="GUIA PARA RECOLHIMENTO DE IMPOSTOS"/>
    <s v="13358"/>
  </r>
  <r>
    <s v="*** Pagamento ***"/>
    <d v="2025-07-22T00:00:00"/>
    <d v="2025-07-16T00:00:00"/>
    <n v="2732.14"/>
    <n v="2732.14"/>
    <n v="2732.14"/>
    <d v="2025-11-17T00:00:00"/>
    <n v="2747.1557867972001"/>
    <n v="2977.4950520935909"/>
    <n v="261610"/>
    <x v="3"/>
    <s v="2.20.02.01"/>
    <x v="5"/>
    <n v="27230"/>
    <x v="37"/>
    <n v="4"/>
    <s v="COZAC"/>
    <x v="106"/>
    <s v="13017348-8"/>
    <s v="SANTANDER - ENF SPE RESIDENCIAL"/>
    <s v="GUIA PARA RECOLHIMENTO DE IMPOSTOS"/>
    <s v="13363"/>
  </r>
  <r>
    <s v="*** Pagamento ***"/>
    <d v="2025-07-22T00:00:00"/>
    <d v="2025-07-16T00:00:00"/>
    <n v="3900"/>
    <n v="3900"/>
    <n v="3900"/>
    <d v="2025-11-17T00:00:00"/>
    <n v="3921.4343220000001"/>
    <n v="4250.2326759115585"/>
    <n v="261603"/>
    <x v="3"/>
    <s v="2.20.02.01"/>
    <x v="5"/>
    <n v="27211"/>
    <x v="26"/>
    <n v="4"/>
    <s v="COZAC"/>
    <x v="107"/>
    <s v="13017348-8"/>
    <s v="SANTANDER - ENF SPE RESIDENCIAL"/>
    <s v="GUIA PARA RECOLHIMENTO DE IMPOSTOS"/>
    <s v="13355"/>
  </r>
  <r>
    <s v="*** Pagamento ***"/>
    <d v="2025-07-22T00:00:00"/>
    <d v="2025-07-17T00:00:00"/>
    <n v="52440"/>
    <n v="52440"/>
    <n v="52440"/>
    <d v="2025-11-17T00:00:00"/>
    <n v="52728.209191200003"/>
    <n v="57149.282442256954"/>
    <n v="261695"/>
    <x v="3"/>
    <s v="2.20.02.01"/>
    <x v="5"/>
    <n v="27180"/>
    <x v="15"/>
    <n v="4"/>
    <s v="COZAC"/>
    <x v="108"/>
    <s v="13017348-8"/>
    <s v="SANTANDER - ENF SPE RESIDENCIAL"/>
    <s v="GUIA PARA RECOLHIMENTO DE IMPOSTOS"/>
    <s v="13480"/>
  </r>
  <r>
    <s v="*** Pagamento ***"/>
    <d v="2025-07-22T00:00:00"/>
    <d v="2025-07-16T00:00:00"/>
    <n v="5790"/>
    <n v="5790"/>
    <n v="5790"/>
    <d v="2025-11-17T00:00:00"/>
    <n v="5821.8217242000001"/>
    <n v="6309.9608188533139"/>
    <n v="261596"/>
    <x v="3"/>
    <s v="2.20.02.01"/>
    <x v="5"/>
    <n v="27195"/>
    <x v="23"/>
    <n v="4"/>
    <s v="COZAC"/>
    <x v="109"/>
    <s v="13017348-8"/>
    <s v="SANTANDER - ENF SPE RESIDENCIAL"/>
    <s v="GUIA PARA RECOLHIMENTO DE IMPOSTOS"/>
    <s v="13375"/>
  </r>
  <r>
    <s v="*** Pagamento ***"/>
    <d v="2025-07-22T00:00:00"/>
    <d v="2025-07-17T00:00:00"/>
    <n v="13260.07"/>
    <n v="13260.07"/>
    <n v="13260.07"/>
    <d v="2025-11-17T00:00:00"/>
    <n v="13332.947079518601"/>
    <n v="14450.867384326815"/>
    <n v="261597"/>
    <x v="3"/>
    <s v="2.20.02.01"/>
    <x v="5"/>
    <n v="27189"/>
    <x v="40"/>
    <n v="4"/>
    <s v="COZAC"/>
    <x v="110"/>
    <s v="13017348-8"/>
    <s v="SANTANDER - ENF SPE RESIDENCIAL"/>
    <s v="GUIA PARA RECOLHIMENTO DE IMPOSTOS"/>
    <s v="13481"/>
  </r>
  <r>
    <s v="*** Pagamento ***"/>
    <d v="2025-07-22T00:00:00"/>
    <d v="2025-07-16T00:00:00"/>
    <n v="1430"/>
    <n v="1430"/>
    <n v="1430"/>
    <d v="2025-11-17T00:00:00"/>
    <n v="1437.8592514000002"/>
    <n v="1558.4186478342381"/>
    <n v="261710"/>
    <x v="3"/>
    <s v="2.20.02.01"/>
    <x v="5"/>
    <n v="27233"/>
    <x v="25"/>
    <n v="4"/>
    <s v="COZAC"/>
    <x v="111"/>
    <s v="13017348-8"/>
    <s v="SANTANDER - ENF SPE RESIDENCIAL"/>
    <s v="GUIA PARA RECOLHIMENTO DE IMPOSTOS"/>
    <s v="13365"/>
  </r>
  <r>
    <s v="*** Pagamento ***"/>
    <d v="2025-07-22T00:00:00"/>
    <d v="2025-07-16T00:00:00"/>
    <n v="2921.21"/>
    <n v="2921.21"/>
    <n v="2921.21"/>
    <d v="2025-11-17T00:00:00"/>
    <n v="2937.2649117358001"/>
    <n v="3183.5441526152831"/>
    <n v="261611"/>
    <x v="3"/>
    <s v="2.20.02.01"/>
    <x v="5"/>
    <n v="27222"/>
    <x v="32"/>
    <n v="4"/>
    <s v="COZAC"/>
    <x v="112"/>
    <s v="13017348-8"/>
    <s v="SANTANDER - ENF SPE RESIDENCIAL"/>
    <s v="GUIA PARA RECOLHIMENTO DE IMPOSTOS"/>
    <s v="13369"/>
  </r>
  <r>
    <s v="*** Pagamento ***"/>
    <d v="2025-07-22T00:00:00"/>
    <d v="2025-07-16T00:00:00"/>
    <n v="3303.86"/>
    <n v="3303.86"/>
    <n v="3303.86"/>
    <d v="2025-11-17T00:00:00"/>
    <n v="3322.0179484828004"/>
    <n v="3600.5573663172208"/>
    <n v="261612"/>
    <x v="3"/>
    <s v="2.20.02.01"/>
    <x v="5"/>
    <n v="27223"/>
    <x v="17"/>
    <n v="4"/>
    <s v="COZAC"/>
    <x v="113"/>
    <s v="13017348-8"/>
    <s v="SANTANDER - ENF SPE RESIDENCIAL"/>
    <s v="GUIA PARA RECOLHIMENTO DE IMPOSTOS"/>
    <s v="13374"/>
  </r>
  <r>
    <s v="*** Pagamento ***"/>
    <d v="2025-07-22T00:00:00"/>
    <d v="2025-07-16T00:00:00"/>
    <n v="5860"/>
    <n v="5860"/>
    <n v="5860"/>
    <d v="2025-11-17T00:00:00"/>
    <n v="5892.2064428000003"/>
    <n v="6386.2470463696745"/>
    <n v="261595"/>
    <x v="3"/>
    <s v="2.20.02.01"/>
    <x v="5"/>
    <n v="27193"/>
    <x v="30"/>
    <n v="4"/>
    <s v="COZAC"/>
    <x v="114"/>
    <s v="13017348-8"/>
    <s v="SANTANDER - ENF SPE RESIDENCIAL"/>
    <s v="GUIA PARA RECOLHIMENTO DE IMPOSTOS"/>
    <s v="13334"/>
  </r>
  <r>
    <s v="*** Pagamento ***"/>
    <d v="2025-07-22T00:00:00"/>
    <d v="2025-07-16T00:00:00"/>
    <n v="1430"/>
    <n v="1430"/>
    <n v="1430"/>
    <d v="2025-11-17T00:00:00"/>
    <n v="1437.8592514000002"/>
    <n v="1558.4186478342381"/>
    <n v="261716"/>
    <x v="3"/>
    <s v="2.20.02.01"/>
    <x v="5"/>
    <n v="27234"/>
    <x v="18"/>
    <n v="4"/>
    <s v="COZAC"/>
    <x v="115"/>
    <s v="13017348-8"/>
    <s v="SANTANDER - ENF SPE RESIDENCIAL"/>
    <s v="GUIA PARA RECOLHIMENTO DE IMPOSTOS"/>
    <s v="13364"/>
  </r>
  <r>
    <s v="*** Pagamento ***"/>
    <d v="2025-07-22T00:00:00"/>
    <d v="2025-07-16T00:00:00"/>
    <n v="3900"/>
    <n v="3900"/>
    <n v="3900"/>
    <d v="2025-11-17T00:00:00"/>
    <n v="3921.4343220000001"/>
    <n v="4250.2326759115585"/>
    <n v="261605"/>
    <x v="3"/>
    <s v="2.20.02.01"/>
    <x v="5"/>
    <n v="27213"/>
    <x v="24"/>
    <n v="4"/>
    <s v="COZAC"/>
    <x v="116"/>
    <s v="13017348-8"/>
    <s v="SANTANDER - ENF SPE RESIDENCIAL"/>
    <s v="GUIA PARA RECOLHIMENTO DE IMPOSTOS"/>
    <s v="13356"/>
  </r>
  <r>
    <s v="*** Pagamento ***"/>
    <d v="2025-09-22T00:00:00"/>
    <d v="2025-08-06T00:00:00"/>
    <n v="675.72"/>
    <n v="45.72"/>
    <n v="45.72"/>
    <d v="2025-11-17T00:00:00"/>
    <n v="45.971520807600001"/>
    <n v="47.624534439178419"/>
    <n v="273230"/>
    <x v="9"/>
    <s v="2.20.05.03"/>
    <x v="14"/>
    <n v="27195"/>
    <x v="23"/>
    <n v="4"/>
    <s v="COZAC"/>
    <x v="30"/>
    <s v="CAIXA"/>
    <s v="CAIXA"/>
    <s v="NOTA FISCAL DE SERVIÇOS"/>
    <s v="625.03"/>
  </r>
  <r>
    <s v="*** Pagamento ***"/>
    <d v="2025-09-22T00:00:00"/>
    <d v="2025-08-06T00:00:00"/>
    <n v="675.72"/>
    <n v="90"/>
    <n v="90"/>
    <d v="2025-11-17T00:00:00"/>
    <n v="90.495119700000004"/>
    <n v="93.749083541689799"/>
    <n v="273230"/>
    <x v="9"/>
    <s v="2.20.05.03"/>
    <x v="14"/>
    <n v="27189"/>
    <x v="40"/>
    <n v="4"/>
    <s v="COZAC"/>
    <x v="30"/>
    <s v="CAIXA"/>
    <s v="CAIXA"/>
    <s v="NOTA FISCAL DE SERVIÇOS"/>
    <s v="625.03"/>
  </r>
  <r>
    <s v="*** Pagamento ***"/>
    <d v="2025-09-22T00:00:00"/>
    <d v="2025-08-06T00:00:00"/>
    <n v="675.72"/>
    <n v="90"/>
    <n v="90"/>
    <d v="2025-11-17T00:00:00"/>
    <n v="90.495119700000004"/>
    <n v="93.749083541689799"/>
    <n v="273230"/>
    <x v="9"/>
    <s v="2.20.05.03"/>
    <x v="14"/>
    <n v="27187"/>
    <x v="36"/>
    <n v="4"/>
    <s v="COZAC"/>
    <x v="30"/>
    <s v="CAIXA"/>
    <s v="CAIXA"/>
    <s v="NOTA FISCAL DE SERVIÇOS"/>
    <s v="625.03"/>
  </r>
  <r>
    <s v="*** Pagamento ***"/>
    <d v="2025-09-22T00:00:00"/>
    <d v="2025-09-15T00:00:00"/>
    <n v="900"/>
    <n v="450"/>
    <n v="450"/>
    <d v="2025-11-17T00:00:00"/>
    <n v="452.47559849999999"/>
    <n v="468.74541770844905"/>
    <n v="273234"/>
    <x v="14"/>
    <s v="2.20.02.16"/>
    <x v="18"/>
    <n v="27238"/>
    <x v="16"/>
    <n v="4"/>
    <s v="COZAC"/>
    <x v="117"/>
    <s v="CAIXA"/>
    <s v="CAIXA"/>
    <s v="NOTA FISCAL DE SERVIÇOS"/>
    <s v="350.03"/>
  </r>
  <r>
    <s v="*** Pagamento ***"/>
    <d v="2025-09-22T00:00:00"/>
    <d v="2025-08-06T00:00:00"/>
    <n v="675.72"/>
    <n v="90"/>
    <n v="90"/>
    <d v="2025-11-17T00:00:00"/>
    <n v="90.495119700000004"/>
    <n v="93.749083541689799"/>
    <n v="273230"/>
    <x v="9"/>
    <s v="2.20.05.03"/>
    <x v="14"/>
    <n v="27193"/>
    <x v="30"/>
    <n v="4"/>
    <s v="COZAC"/>
    <x v="30"/>
    <s v="CAIXA"/>
    <s v="CAIXA"/>
    <s v="NOTA FISCAL DE SERVIÇOS"/>
    <s v="625.03"/>
  </r>
  <r>
    <s v="*** Pagamento ***"/>
    <d v="2025-09-22T00:00:00"/>
    <d v="2025-08-06T00:00:00"/>
    <n v="675.72"/>
    <n v="90"/>
    <n v="90"/>
    <d v="2025-11-17T00:00:00"/>
    <n v="90.495119700000004"/>
    <n v="93.749083541689799"/>
    <n v="273230"/>
    <x v="9"/>
    <s v="2.20.05.03"/>
    <x v="14"/>
    <n v="27223"/>
    <x v="17"/>
    <n v="4"/>
    <s v="COZAC"/>
    <x v="30"/>
    <s v="CAIXA"/>
    <s v="CAIXA"/>
    <s v="NOTA FISCAL DE SERVIÇOS"/>
    <s v="625.03"/>
  </r>
  <r>
    <s v="*** Pagamento ***"/>
    <d v="2025-09-22T00:00:00"/>
    <d v="2025-08-06T00:00:00"/>
    <n v="675.72"/>
    <n v="90"/>
    <n v="90"/>
    <d v="2025-11-17T00:00:00"/>
    <n v="90.495119700000004"/>
    <n v="93.749083541689799"/>
    <n v="273230"/>
    <x v="9"/>
    <s v="2.20.05.03"/>
    <x v="14"/>
    <n v="27191"/>
    <x v="38"/>
    <n v="4"/>
    <s v="COZAC"/>
    <x v="30"/>
    <s v="CAIXA"/>
    <s v="CAIXA"/>
    <s v="NOTA FISCAL DE SERVIÇOS"/>
    <s v="625.03"/>
  </r>
  <r>
    <s v="*** Pagamento ***"/>
    <d v="2025-09-22T00:00:00"/>
    <d v="2025-09-15T00:00:00"/>
    <n v="900"/>
    <n v="450"/>
    <n v="450"/>
    <d v="2025-11-17T00:00:00"/>
    <n v="452.47559849999999"/>
    <n v="468.74541770844905"/>
    <n v="273234"/>
    <x v="14"/>
    <s v="2.20.02.16"/>
    <x v="18"/>
    <n v="27237"/>
    <x v="14"/>
    <n v="4"/>
    <s v="COZAC"/>
    <x v="117"/>
    <s v="CAIXA"/>
    <s v="CAIXA"/>
    <s v="NOTA FISCAL DE SERVIÇOS"/>
    <s v="350.03"/>
  </r>
  <r>
    <s v="*** Pagamento ***"/>
    <d v="2025-09-22T00:00:00"/>
    <d v="2025-08-06T00:00:00"/>
    <n v="675.72"/>
    <n v="90"/>
    <n v="90"/>
    <d v="2025-11-17T00:00:00"/>
    <n v="90.495119700000004"/>
    <n v="93.749083541689799"/>
    <n v="273230"/>
    <x v="9"/>
    <s v="2.20.05.03"/>
    <x v="14"/>
    <n v="27222"/>
    <x v="32"/>
    <n v="4"/>
    <s v="COZAC"/>
    <x v="30"/>
    <s v="CAIXA"/>
    <s v="CAIXA"/>
    <s v="NOTA FISCAL DE SERVIÇOS"/>
    <s v="625.03"/>
  </r>
  <r>
    <s v="*** Pagamento ***"/>
    <d v="2025-09-22T00:00:00"/>
    <d v="2025-08-06T00:00:00"/>
    <n v="675.72"/>
    <n v="90"/>
    <n v="90"/>
    <d v="2025-11-17T00:00:00"/>
    <n v="90.495119700000004"/>
    <n v="93.749083541689799"/>
    <n v="273230"/>
    <x v="9"/>
    <s v="2.20.05.03"/>
    <x v="14"/>
    <n v="27180"/>
    <x v="15"/>
    <n v="4"/>
    <s v="COZAC"/>
    <x v="30"/>
    <s v="CAIXA"/>
    <s v="CAIXA"/>
    <s v="NOTA FISCAL DE SERVIÇOS"/>
    <s v="625.03"/>
  </r>
  <r>
    <s v="*** Pagamento ***"/>
    <d v="2025-04-23T00:00:00"/>
    <d v="2025-04-10T00:00:00"/>
    <n v="11040"/>
    <n v="2640.0000000000141"/>
    <n v="2640.0000000000141"/>
    <d v="2025-11-17T00:00:00"/>
    <n v="2682.7442664000146"/>
    <n v="3072.1177936903878"/>
    <n v="251227"/>
    <x v="14"/>
    <s v="2.20.02.16"/>
    <x v="18"/>
    <n v="27198"/>
    <x v="33"/>
    <n v="4"/>
    <s v="COZAC"/>
    <x v="118"/>
    <s v="CAIXA"/>
    <s v="CAIXA"/>
    <s v="NOTA FISCAL DE SERVIÇOS"/>
    <s v="329.3"/>
  </r>
  <r>
    <s v="*** Pagamento ***"/>
    <d v="2025-07-23T00:00:00"/>
    <d v="2025-07-16T00:00:00"/>
    <n v="3900"/>
    <n v="3900"/>
    <n v="3900"/>
    <d v="2025-11-17T00:00:00"/>
    <n v="3921.4343220000001"/>
    <n v="4247.136278887866"/>
    <n v="261948"/>
    <x v="3"/>
    <s v="2.20.02.01"/>
    <x v="5"/>
    <n v="27203"/>
    <x v="19"/>
    <n v="4"/>
    <s v="COZAC"/>
    <x v="119"/>
    <s v="13017348-8"/>
    <s v="SANTANDER - ENF SPE RESIDENCIAL"/>
    <s v="GUIA PARA RECOLHIMENTO DE IMPOSTOS"/>
    <s v="13347"/>
  </r>
  <r>
    <s v="*** Pagamento ***"/>
    <d v="2025-07-23T00:00:00"/>
    <d v="2025-07-16T00:00:00"/>
    <n v="3986.23"/>
    <n v="3986.23"/>
    <n v="3986.23"/>
    <d v="2025-11-17T00:00:00"/>
    <n v="4008.1382403554003"/>
    <n v="4341.0415510233788"/>
    <n v="261952"/>
    <x v="3"/>
    <s v="2.20.02.01"/>
    <x v="5"/>
    <n v="27196"/>
    <x v="41"/>
    <n v="4"/>
    <s v="COZAC"/>
    <x v="120"/>
    <s v="13017348-8"/>
    <s v="SANTANDER - ENF SPE RESIDENCIAL"/>
    <s v="GUIA PARA RECOLHIMENTO DE IMPOSTOS"/>
    <s v="13348"/>
  </r>
  <r>
    <s v="*** Pagamento ***"/>
    <d v="2025-10-24T00:00:00"/>
    <d v="2025-10-13T00:00:00"/>
    <n v="18324.14"/>
    <n v="10706.9"/>
    <n v="10706.9"/>
    <d v="2025-11-17T00:00:00"/>
    <n v="10710.105003445999"/>
    <n v="10895.821252646565"/>
    <n v="276283"/>
    <x v="3"/>
    <s v="2.20.03.15"/>
    <x v="16"/>
    <n v="27187"/>
    <x v="36"/>
    <n v="4"/>
    <s v="COZAC"/>
    <x v="121"/>
    <s v="13017348-8"/>
    <s v="SANTANDER - ENF SPE RESIDENCIAL"/>
    <s v="GUIA PARA RECOLHIMENTO DE IMPOSTOS"/>
    <s v="DEB_IPTU COZAC_3417"/>
  </r>
  <r>
    <s v="*** Pagamento ***"/>
    <d v="2025-10-24T00:00:00"/>
    <d v="2025-10-13T00:00:00"/>
    <n v="36194.400000000001"/>
    <n v="18097.2"/>
    <n v="18097.2"/>
    <d v="2025-11-17T00:00:00"/>
    <n v="18102.617215848"/>
    <n v="18416.52171715393"/>
    <n v="276616"/>
    <x v="3"/>
    <s v="2.20.03.15"/>
    <x v="16"/>
    <n v="27184"/>
    <x v="34"/>
    <n v="4"/>
    <s v="COZAC"/>
    <x v="122"/>
    <s v="13017348-8"/>
    <s v="SANTANDER - ENF SPE RESIDENCIAL"/>
    <s v="GUIA PARA RECOLHIMENTO DE IMPOSTOS"/>
    <s v="DEB_COZAC 2022/2023"/>
  </r>
  <r>
    <s v="*** Pagamento ***"/>
    <d v="2025-10-24T00:00:00"/>
    <d v="2025-10-01T00:00:00"/>
    <n v="61.61"/>
    <n v="4.1900000000000004"/>
    <n v="4.1900000000000004"/>
    <d v="2025-11-17T00:00:00"/>
    <n v="4.1912542346000006"/>
    <n v="4.2639317681671738"/>
    <n v="277974"/>
    <x v="8"/>
    <s v="2.08.01"/>
    <x v="13"/>
    <n v="27187"/>
    <x v="36"/>
    <n v="4"/>
    <s v="COZAC"/>
    <x v="36"/>
    <s v="CAIXA"/>
    <s v="CAIXA"/>
    <s v="GUIA PARA RECOLHIMENTO DE IMPOSTOS"/>
    <s v="DCFT COMP -08.25.3"/>
  </r>
  <r>
    <s v="*** Pagamento ***"/>
    <d v="2025-10-24T00:00:00"/>
    <d v="2025-10-01T00:00:00"/>
    <n v="61.61"/>
    <n v="1.35"/>
    <n v="1.35"/>
    <d v="2025-11-17T00:00:00"/>
    <n v="1.3504041090000001"/>
    <n v="1.3738204980968221"/>
    <n v="277974"/>
    <x v="8"/>
    <s v="2.08.04"/>
    <x v="12"/>
    <n v="27187"/>
    <x v="36"/>
    <n v="4"/>
    <s v="COZAC"/>
    <x v="36"/>
    <s v="CAIXA"/>
    <s v="CAIXA"/>
    <s v="GUIA PARA RECOLHIMENTO DE IMPOSTOS"/>
    <s v="DCFT COMP -08.25.3"/>
  </r>
  <r>
    <s v="*** Pagamento ***"/>
    <d v="2025-10-24T00:00:00"/>
    <d v="2025-10-13T00:00:00"/>
    <n v="17669.28"/>
    <n v="8834.64"/>
    <n v="8834.64"/>
    <d v="2025-11-17T00:00:00"/>
    <n v="8837.2845611375997"/>
    <n v="8990.5255743008202"/>
    <n v="276642"/>
    <x v="3"/>
    <s v="2.20.03.15"/>
    <x v="16"/>
    <n v="27184"/>
    <x v="34"/>
    <n v="4"/>
    <s v="COZAC"/>
    <x v="123"/>
    <s v="13017348-8"/>
    <s v="SANTANDER - ENF SPE RESIDENCIAL"/>
    <s v="GUIA PARA RECOLHIMENTO DE IMPOSTOS"/>
    <s v="DÉB. COZAC 2024"/>
  </r>
  <r>
    <s v="*** Pagamento ***"/>
    <d v="2025-10-24T00:00:00"/>
    <d v="2025-10-01T00:00:00"/>
    <n v="61.61"/>
    <n v="4.1900000000000004"/>
    <n v="4.1900000000000004"/>
    <d v="2025-11-17T00:00:00"/>
    <n v="4.1912542346000006"/>
    <n v="4.2639317681671738"/>
    <n v="277974"/>
    <x v="8"/>
    <s v="2.08.01"/>
    <x v="13"/>
    <n v="27180"/>
    <x v="15"/>
    <n v="4"/>
    <s v="COZAC"/>
    <x v="36"/>
    <s v="CAIXA"/>
    <s v="CAIXA"/>
    <s v="GUIA PARA RECOLHIMENTO DE IMPOSTOS"/>
    <s v="DCFT COMP -08.25.3"/>
  </r>
  <r>
    <s v="*** Pagamento ***"/>
    <d v="2025-10-24T00:00:00"/>
    <d v="2025-10-01T00:00:00"/>
    <n v="61.61"/>
    <n v="1.35"/>
    <n v="1.35"/>
    <d v="2025-11-17T00:00:00"/>
    <n v="1.3504041090000001"/>
    <n v="1.3738204980968221"/>
    <n v="277974"/>
    <x v="8"/>
    <s v="2.08.04"/>
    <x v="12"/>
    <n v="27180"/>
    <x v="15"/>
    <n v="4"/>
    <s v="COZAC"/>
    <x v="36"/>
    <s v="CAIXA"/>
    <s v="CAIXA"/>
    <s v="GUIA PARA RECOLHIMENTO DE IMPOSTOS"/>
    <s v="DCFT COMP -08.25.3"/>
  </r>
  <r>
    <s v="*** Pagamento ***"/>
    <d v="2025-10-24T00:00:00"/>
    <d v="2025-10-13T00:00:00"/>
    <n v="18324.14"/>
    <n v="7617.24"/>
    <n v="7617.24"/>
    <d v="2025-11-17T00:00:00"/>
    <n v="7619.5201446215997"/>
    <n v="7751.6447784615084"/>
    <n v="276283"/>
    <x v="3"/>
    <s v="2.20.03.15"/>
    <x v="16"/>
    <n v="27187"/>
    <x v="36"/>
    <n v="4"/>
    <s v="COZAC"/>
    <x v="121"/>
    <s v="13017348-8"/>
    <s v="SANTANDER - ENF SPE RESIDENCIAL"/>
    <s v="GUIA PARA RECOLHIMENTO DE IMPOSTOS"/>
    <s v="DEB_IPTU COZAC_3417"/>
  </r>
  <r>
    <s v="*** Pagamento ***"/>
    <d v="2025-10-24T00:00:00"/>
    <d v="2025-10-13T00:00:00"/>
    <n v="140691.06"/>
    <n v="109643.01"/>
    <n v="109643.01"/>
    <d v="2025-11-17T00:00:00"/>
    <n v="109675.83053861339"/>
    <n v="111577.64045261839"/>
    <n v="276498"/>
    <x v="3"/>
    <s v="2.20.03.15"/>
    <x v="16"/>
    <n v="27180"/>
    <x v="15"/>
    <n v="4"/>
    <s v="COZAC"/>
    <x v="124"/>
    <s v="13017348-8"/>
    <s v="SANTANDER - ENF SPE RESIDENCIAL"/>
    <s v="GUIA PARA RECOLHIMENTO DE IMPOSTOS"/>
    <s v="DEB_IPTU COZAC_48207"/>
  </r>
  <r>
    <s v="*** Pagamento ***"/>
    <d v="2025-10-24T00:00:00"/>
    <d v="2025-10-13T00:00:00"/>
    <n v="140691.06"/>
    <n v="31048.05"/>
    <n v="31048.05"/>
    <d v="2025-11-17T00:00:00"/>
    <n v="31057.343923287001"/>
    <n v="31595.887048840763"/>
    <n v="276498"/>
    <x v="3"/>
    <s v="2.20.03.15"/>
    <x v="16"/>
    <n v="27180"/>
    <x v="15"/>
    <n v="4"/>
    <s v="COZAC"/>
    <x v="124"/>
    <s v="13017348-8"/>
    <s v="SANTANDER - ENF SPE RESIDENCIAL"/>
    <s v="GUIA PARA RECOLHIMENTO DE IMPOSTOS"/>
    <s v="DEB_IPTU COZAC_48207"/>
  </r>
  <r>
    <s v="*** Pagamento ***"/>
    <d v="2025-10-24T00:00:00"/>
    <d v="2025-10-01T00:00:00"/>
    <n v="61.61"/>
    <n v="4.1900000000000004"/>
    <n v="4.1900000000000004"/>
    <d v="2025-11-17T00:00:00"/>
    <n v="4.1912542346000006"/>
    <n v="4.2639317681671738"/>
    <n v="277974"/>
    <x v="8"/>
    <s v="2.08.01"/>
    <x v="13"/>
    <n v="27191"/>
    <x v="38"/>
    <n v="4"/>
    <s v="COZAC"/>
    <x v="36"/>
    <s v="CAIXA"/>
    <s v="CAIXA"/>
    <s v="GUIA PARA RECOLHIMENTO DE IMPOSTOS"/>
    <s v="DCFT COMP -08.25.3"/>
  </r>
  <r>
    <s v="*** Pagamento ***"/>
    <d v="2025-10-24T00:00:00"/>
    <d v="2025-10-01T00:00:00"/>
    <n v="61.61"/>
    <n v="1.35"/>
    <n v="1.35"/>
    <d v="2025-11-17T00:00:00"/>
    <n v="1.3504041090000001"/>
    <n v="1.3738204980968221"/>
    <n v="277974"/>
    <x v="8"/>
    <s v="2.08.04"/>
    <x v="12"/>
    <n v="27191"/>
    <x v="38"/>
    <n v="4"/>
    <s v="COZAC"/>
    <x v="36"/>
    <s v="CAIXA"/>
    <s v="CAIXA"/>
    <s v="GUIA PARA RECOLHIMENTO DE IMPOSTOS"/>
    <s v="DCFT COMP -08.25.3"/>
  </r>
  <r>
    <s v="*** Pagamento ***"/>
    <d v="2025-10-24T00:00:00"/>
    <d v="2025-10-13T00:00:00"/>
    <n v="17669.28"/>
    <n v="8834.64"/>
    <n v="8834.64"/>
    <d v="2025-11-17T00:00:00"/>
    <n v="8837.2845611375997"/>
    <n v="8990.5255743008202"/>
    <n v="276642"/>
    <x v="3"/>
    <s v="2.20.03.15"/>
    <x v="16"/>
    <n v="27185"/>
    <x v="39"/>
    <n v="4"/>
    <s v="COZAC"/>
    <x v="123"/>
    <s v="13017348-8"/>
    <s v="SANTANDER - ENF SPE RESIDENCIAL"/>
    <s v="GUIA PARA RECOLHIMENTO DE IMPOSTOS"/>
    <s v="DÉB. COZAC 2024"/>
  </r>
  <r>
    <s v="*** Pagamento ***"/>
    <d v="2025-10-24T00:00:00"/>
    <d v="2025-10-01T00:00:00"/>
    <n v="61.61"/>
    <n v="4.1900000000000004"/>
    <n v="4.1900000000000004"/>
    <d v="2025-11-17T00:00:00"/>
    <n v="4.1912542346000006"/>
    <n v="4.2639317681671738"/>
    <n v="277974"/>
    <x v="8"/>
    <s v="2.08.01"/>
    <x v="13"/>
    <n v="27222"/>
    <x v="32"/>
    <n v="4"/>
    <s v="COZAC"/>
    <x v="36"/>
    <s v="CAIXA"/>
    <s v="CAIXA"/>
    <s v="GUIA PARA RECOLHIMENTO DE IMPOSTOS"/>
    <s v="DCFT COMP -08.25.3"/>
  </r>
  <r>
    <s v="*** Pagamento ***"/>
    <d v="2025-10-24T00:00:00"/>
    <d v="2025-10-01T00:00:00"/>
    <n v="61.61"/>
    <n v="1.35"/>
    <n v="1.35"/>
    <d v="2025-11-17T00:00:00"/>
    <n v="1.3504041090000001"/>
    <n v="1.3738204980968221"/>
    <n v="277974"/>
    <x v="8"/>
    <s v="2.08.04"/>
    <x v="12"/>
    <n v="27222"/>
    <x v="32"/>
    <n v="4"/>
    <s v="COZAC"/>
    <x v="36"/>
    <s v="CAIXA"/>
    <s v="CAIXA"/>
    <s v="GUIA PARA RECOLHIMENTO DE IMPOSTOS"/>
    <s v="DCFT COMP -08.25.3"/>
  </r>
  <r>
    <s v="*** Pagamento ***"/>
    <d v="2025-10-24T00:00:00"/>
    <d v="2025-10-13T00:00:00"/>
    <n v="36194.400000000001"/>
    <n v="18097.2"/>
    <n v="18097.2"/>
    <d v="2025-11-17T00:00:00"/>
    <n v="18102.617215848"/>
    <n v="18416.52171715393"/>
    <n v="276616"/>
    <x v="3"/>
    <s v="2.20.03.15"/>
    <x v="16"/>
    <n v="27185"/>
    <x v="39"/>
    <n v="4"/>
    <s v="COZAC"/>
    <x v="122"/>
    <s v="13017348-8"/>
    <s v="SANTANDER - ENF SPE RESIDENCIAL"/>
    <s v="GUIA PARA RECOLHIMENTO DE IMPOSTOS"/>
    <s v="DEB_COZAC 2022/2023"/>
  </r>
  <r>
    <s v="*** Pagamento ***"/>
    <d v="2025-10-24T00:00:00"/>
    <d v="2025-10-01T00:00:00"/>
    <n v="61.61"/>
    <n v="4.1900000000000004"/>
    <n v="4.1900000000000004"/>
    <d v="2025-11-17T00:00:00"/>
    <n v="4.1912542346000006"/>
    <n v="4.2639317681671738"/>
    <n v="277974"/>
    <x v="8"/>
    <s v="2.08.01"/>
    <x v="13"/>
    <n v="27195"/>
    <x v="23"/>
    <n v="4"/>
    <s v="COZAC"/>
    <x v="36"/>
    <s v="CAIXA"/>
    <s v="CAIXA"/>
    <s v="GUIA PARA RECOLHIMENTO DE IMPOSTOS"/>
    <s v="DCFT COMP -08.25.3"/>
  </r>
  <r>
    <s v="*** Pagamento ***"/>
    <d v="2025-10-24T00:00:00"/>
    <d v="2025-10-01T00:00:00"/>
    <n v="61.61"/>
    <n v="1.35"/>
    <n v="1.35"/>
    <d v="2025-11-17T00:00:00"/>
    <n v="1.3504041090000001"/>
    <n v="1.3738204980968221"/>
    <n v="277974"/>
    <x v="8"/>
    <s v="2.08.04"/>
    <x v="12"/>
    <n v="27195"/>
    <x v="23"/>
    <n v="4"/>
    <s v="COZAC"/>
    <x v="36"/>
    <s v="CAIXA"/>
    <s v="CAIXA"/>
    <s v="GUIA PARA RECOLHIMENTO DE IMPOSTOS"/>
    <s v="DCFT COMP -08.25.3"/>
  </r>
  <r>
    <s v="*** Pagamento ***"/>
    <d v="2025-10-24T00:00:00"/>
    <d v="2025-10-01T00:00:00"/>
    <n v="61.61"/>
    <n v="1.35"/>
    <n v="1.35"/>
    <d v="2025-11-17T00:00:00"/>
    <n v="1.3504041090000001"/>
    <n v="1.3738204980968221"/>
    <n v="277974"/>
    <x v="8"/>
    <s v="2.08.04"/>
    <x v="12"/>
    <n v="27223"/>
    <x v="17"/>
    <n v="4"/>
    <s v="COZAC"/>
    <x v="36"/>
    <s v="CAIXA"/>
    <s v="CAIXA"/>
    <s v="GUIA PARA RECOLHIMENTO DE IMPOSTOS"/>
    <s v="DCFT COMP -08.25.3"/>
  </r>
  <r>
    <s v="*** Pagamento ***"/>
    <d v="2025-10-24T00:00:00"/>
    <d v="2025-10-01T00:00:00"/>
    <n v="61.61"/>
    <n v="4.1900000000000004"/>
    <n v="4.1900000000000004"/>
    <d v="2025-11-17T00:00:00"/>
    <n v="4.1912542346000006"/>
    <n v="4.2639317681671738"/>
    <n v="277974"/>
    <x v="8"/>
    <s v="2.08.01"/>
    <x v="13"/>
    <n v="27223"/>
    <x v="17"/>
    <n v="4"/>
    <s v="COZAC"/>
    <x v="36"/>
    <s v="CAIXA"/>
    <s v="CAIXA"/>
    <s v="GUIA PARA RECOLHIMENTO DE IMPOSTOS"/>
    <s v="DCFT COMP -08.25.3"/>
  </r>
  <r>
    <s v="*** Pagamento ***"/>
    <d v="2025-10-24T00:00:00"/>
    <d v="2025-10-01T00:00:00"/>
    <n v="61.61"/>
    <n v="4.1900000000000004"/>
    <n v="4.1900000000000004"/>
    <d v="2025-11-17T00:00:00"/>
    <n v="4.1912542346000006"/>
    <n v="4.2639317681671738"/>
    <n v="277974"/>
    <x v="8"/>
    <s v="2.08.01"/>
    <x v="13"/>
    <n v="27193"/>
    <x v="30"/>
    <n v="4"/>
    <s v="COZAC"/>
    <x v="36"/>
    <s v="CAIXA"/>
    <s v="CAIXA"/>
    <s v="GUIA PARA RECOLHIMENTO DE IMPOSTOS"/>
    <s v="DCFT COMP -08.25.3"/>
  </r>
  <r>
    <s v="*** Pagamento ***"/>
    <d v="2025-10-24T00:00:00"/>
    <d v="2025-10-01T00:00:00"/>
    <n v="61.61"/>
    <n v="1.35"/>
    <n v="1.35"/>
    <d v="2025-11-17T00:00:00"/>
    <n v="1.3504041090000001"/>
    <n v="1.3738204980968221"/>
    <n v="277974"/>
    <x v="8"/>
    <s v="2.08.04"/>
    <x v="12"/>
    <n v="27193"/>
    <x v="30"/>
    <n v="4"/>
    <s v="COZAC"/>
    <x v="36"/>
    <s v="CAIXA"/>
    <s v="CAIXA"/>
    <s v="GUIA PARA RECOLHIMENTO DE IMPOSTOS"/>
    <s v="DCFT COMP -08.25.3"/>
  </r>
  <r>
    <s v="*** Pagamento ***"/>
    <d v="2025-10-24T00:00:00"/>
    <d v="2025-10-01T00:00:00"/>
    <n v="61.61"/>
    <n v="4.1900000000000004"/>
    <n v="4.1900000000000004"/>
    <d v="2025-11-17T00:00:00"/>
    <n v="4.1912542346000006"/>
    <n v="4.2639317681671738"/>
    <n v="277974"/>
    <x v="8"/>
    <s v="2.08.01"/>
    <x v="13"/>
    <n v="27189"/>
    <x v="40"/>
    <n v="4"/>
    <s v="COZAC"/>
    <x v="36"/>
    <s v="CAIXA"/>
    <s v="CAIXA"/>
    <s v="GUIA PARA RECOLHIMENTO DE IMPOSTOS"/>
    <s v="DCFT COMP -08.25.3"/>
  </r>
  <r>
    <s v="*** Pagamento ***"/>
    <d v="2025-10-24T00:00:00"/>
    <d v="2025-10-01T00:00:00"/>
    <n v="61.61"/>
    <n v="1.35"/>
    <n v="1.35"/>
    <d v="2025-11-17T00:00:00"/>
    <n v="1.3504041090000001"/>
    <n v="1.3738204980968221"/>
    <n v="277974"/>
    <x v="8"/>
    <s v="2.08.04"/>
    <x v="12"/>
    <n v="27189"/>
    <x v="40"/>
    <n v="4"/>
    <s v="COZAC"/>
    <x v="36"/>
    <s v="CAIXA"/>
    <s v="CAIXA"/>
    <s v="GUIA PARA RECOLHIMENTO DE IMPOSTOS"/>
    <s v="DCFT COMP -08.25.3"/>
  </r>
  <r>
    <s v="*** Pagamento ***"/>
    <d v="2025-08-27T00:00:00"/>
    <d v="2025-08-19T00:00:00"/>
    <n v="4978.92"/>
    <n v="4978.92"/>
    <n v="4978.92"/>
    <d v="2025-11-17T00:00:00"/>
    <n v="4995.7948543992006"/>
    <n v="5285.5344983049981"/>
    <n v="267296"/>
    <x v="3"/>
    <s v="2.20.02.01"/>
    <x v="5"/>
    <n v="27198"/>
    <x v="33"/>
    <n v="4"/>
    <s v="COZAC"/>
    <x v="125"/>
    <s v="13017348-8"/>
    <s v="SANTANDER - ENF SPE RESIDENCIAL"/>
    <s v="GUIA PARA RECOLHIMENTO DE IMPOSTOS"/>
    <s v="15963"/>
  </r>
  <r>
    <s v="*** Pagamento ***"/>
    <d v="2025-08-27T00:00:00"/>
    <d v="2025-08-19T00:00:00"/>
    <n v="4655.34"/>
    <n v="4655.34"/>
    <n v="4655.34"/>
    <d v="2025-11-17T00:00:00"/>
    <n v="4671.1181576484005"/>
    <n v="4942.027622725248"/>
    <n v="267390"/>
    <x v="3"/>
    <s v="2.20.02.01"/>
    <x v="5"/>
    <n v="27191"/>
    <x v="38"/>
    <n v="4"/>
    <s v="COZAC"/>
    <x v="126"/>
    <s v="13017348-8"/>
    <s v="SANTANDER - ENF SPE RESIDENCIAL"/>
    <s v="GUIA PARA RECOLHIMENTO DE IMPOSTOS"/>
    <s v="15955"/>
  </r>
  <r>
    <s v="*** Pagamento ***"/>
    <d v="2025-08-27T00:00:00"/>
    <d v="2025-08-19T00:00:00"/>
    <n v="1565.7"/>
    <n v="1565.7"/>
    <n v="1565.7"/>
    <d v="2025-11-17T00:00:00"/>
    <n v="1571.0065643820001"/>
    <n v="1662.1197697484868"/>
    <n v="267307"/>
    <x v="3"/>
    <s v="2.20.02.01"/>
    <x v="5"/>
    <n v="27191"/>
    <x v="38"/>
    <n v="4"/>
    <s v="COZAC"/>
    <x v="127"/>
    <s v="13017348-8"/>
    <s v="SANTANDER - ENF SPE RESIDENCIAL"/>
    <s v="GUIA PARA RECOLHIMENTO DE IMPOSTOS"/>
    <s v="15954"/>
  </r>
  <r>
    <s v="*** Pagamento ***"/>
    <d v="2025-04-28T00:00:00"/>
    <d v="2025-04-08T00:00:00"/>
    <n v="116"/>
    <n v="116"/>
    <n v="116"/>
    <d v="2025-11-17T00:00:00"/>
    <n v="117.87815716"/>
    <n v="134.49600347784909"/>
    <n v="251239"/>
    <x v="20"/>
    <s v="2.20.05.01"/>
    <x v="0"/>
    <n v="27198"/>
    <x v="33"/>
    <n v="4"/>
    <s v="COZAC"/>
    <x v="128"/>
    <s v="CAIXA"/>
    <s v="CAIXA"/>
    <s v="NOTA FISCAL DE SERVIÇOS"/>
    <s v="31755.3"/>
  </r>
  <r>
    <s v="*** Pagamento ***"/>
    <d v="2025-04-28T00:00:00"/>
    <d v="2025-04-08T00:00:00"/>
    <n v="66.66"/>
    <n v="66.66"/>
    <n v="66.66"/>
    <d v="2025-11-17T00:00:00"/>
    <n v="67.739292726599999"/>
    <n v="77.288824067529475"/>
    <n v="251228"/>
    <x v="20"/>
    <s v="2.20.05.01"/>
    <x v="0"/>
    <n v="27198"/>
    <x v="33"/>
    <n v="4"/>
    <s v="COZAC"/>
    <x v="129"/>
    <s v="CAIXA"/>
    <s v="CAIXA"/>
    <s v="NOTA FISCAL DE SERVIÇOS"/>
    <s v="31756.3"/>
  </r>
  <r>
    <s v="*** Pagamento ***"/>
    <d v="2025-08-28T00:00:00"/>
    <d v="2025-08-01T00:00:00"/>
    <n v="34156.49"/>
    <n v="2846.3800000000392"/>
    <n v="2846.3800000000392"/>
    <d v="2025-11-17T00:00:00"/>
    <n v="2856.0271218788394"/>
    <n v="3019.4659288329854"/>
    <n v="268099"/>
    <x v="0"/>
    <s v="2.20.02.03"/>
    <x v="3"/>
    <n v="27213"/>
    <x v="24"/>
    <n v="4"/>
    <s v="COZAC"/>
    <x v="130"/>
    <s v="CAIXA"/>
    <s v="CAIXA"/>
    <s v="BOLETO"/>
    <s v="2708.03"/>
  </r>
  <r>
    <s v="*** Pagamento ***"/>
    <d v="2025-08-28T00:00:00"/>
    <d v="2025-08-01T00:00:00"/>
    <n v="34156.49"/>
    <n v="2846.3800000000392"/>
    <n v="2846.3800000000392"/>
    <d v="2025-11-17T00:00:00"/>
    <n v="2856.0271218788394"/>
    <n v="3019.4659288329854"/>
    <n v="268099"/>
    <x v="0"/>
    <s v="2.20.02.03"/>
    <x v="3"/>
    <n v="27211"/>
    <x v="26"/>
    <n v="4"/>
    <s v="COZAC"/>
    <x v="130"/>
    <s v="CAIXA"/>
    <s v="CAIXA"/>
    <s v="BOLETO"/>
    <s v="2708.03"/>
  </r>
  <r>
    <s v="*** Pagamento ***"/>
    <d v="2025-08-28T00:00:00"/>
    <d v="2025-08-18T00:00:00"/>
    <n v="1082.1300000000001"/>
    <n v="541.06999999999596"/>
    <n v="541.06999999999596"/>
    <d v="2025-11-17T00:00:00"/>
    <n v="542.90382690819592"/>
    <n v="573.97200307535491"/>
    <n v="268096"/>
    <x v="10"/>
    <s v="2.20.05.03"/>
    <x v="14"/>
    <n v="27191"/>
    <x v="38"/>
    <n v="4"/>
    <s v="COZAC"/>
    <x v="47"/>
    <s v="CAIXA"/>
    <s v="CAIXA"/>
    <s v="NOTA FISCAL DE SERVIÇOS"/>
    <s v="912.03"/>
  </r>
  <r>
    <s v="*** Pagamento ***"/>
    <d v="2025-08-28T00:00:00"/>
    <d v="2025-08-01T00:00:00"/>
    <n v="34156.49"/>
    <n v="2846.3700000000208"/>
    <n v="2846.3700000000208"/>
    <d v="2025-11-17T00:00:00"/>
    <n v="2856.0170879862212"/>
    <n v="3019.4553207415343"/>
    <n v="268099"/>
    <x v="0"/>
    <s v="2.20.02.03"/>
    <x v="3"/>
    <n v="27205"/>
    <x v="20"/>
    <n v="4"/>
    <s v="COZAC"/>
    <x v="130"/>
    <s v="CAIXA"/>
    <s v="CAIXA"/>
    <s v="BOLETO"/>
    <s v="2708.03"/>
  </r>
  <r>
    <s v="*** Pagamento ***"/>
    <d v="2025-08-28T00:00:00"/>
    <d v="2025-08-18T00:00:00"/>
    <n v="1082.1300000000001"/>
    <n v="541.06000000000404"/>
    <n v="541.06000000000404"/>
    <d v="2025-11-17T00:00:00"/>
    <n v="542.89379301560405"/>
    <n v="573.96139498393211"/>
    <n v="268096"/>
    <x v="10"/>
    <s v="2.20.05.03"/>
    <x v="14"/>
    <n v="27198"/>
    <x v="33"/>
    <n v="4"/>
    <s v="COZAC"/>
    <x v="47"/>
    <s v="CAIXA"/>
    <s v="CAIXA"/>
    <s v="NOTA FISCAL DE SERVIÇOS"/>
    <s v="912.03"/>
  </r>
  <r>
    <s v="*** Pagamento ***"/>
    <d v="2025-08-28T00:00:00"/>
    <d v="2025-08-01T00:00:00"/>
    <n v="34156.49"/>
    <n v="2846.3700000000208"/>
    <n v="2846.3700000000208"/>
    <d v="2025-11-17T00:00:00"/>
    <n v="2856.0170879862212"/>
    <n v="3019.4553207415343"/>
    <n v="268099"/>
    <x v="0"/>
    <s v="2.20.02.03"/>
    <x v="3"/>
    <n v="27203"/>
    <x v="19"/>
    <n v="4"/>
    <s v="COZAC"/>
    <x v="130"/>
    <s v="CAIXA"/>
    <s v="CAIXA"/>
    <s v="BOLETO"/>
    <s v="2708.03"/>
  </r>
  <r>
    <s v="*** Pagamento ***"/>
    <d v="2025-08-28T00:00:00"/>
    <d v="2025-08-01T00:00:00"/>
    <n v="34156.49"/>
    <n v="2846.3799999996968"/>
    <n v="2846.3799999996968"/>
    <d v="2025-11-17T00:00:00"/>
    <n v="2856.027121878496"/>
    <n v="3019.465928832622"/>
    <n v="268099"/>
    <x v="0"/>
    <s v="2.20.02.03"/>
    <x v="3"/>
    <n v="27220"/>
    <x v="21"/>
    <n v="4"/>
    <s v="COZAC"/>
    <x v="130"/>
    <s v="CAIXA"/>
    <s v="CAIXA"/>
    <s v="BOLETO"/>
    <s v="2708.03"/>
  </r>
  <r>
    <s v="*** Pagamento ***"/>
    <d v="2025-08-28T00:00:00"/>
    <d v="2025-08-01T00:00:00"/>
    <n v="34156.49"/>
    <n v="2846.3700000000208"/>
    <n v="2846.3700000000208"/>
    <d v="2025-11-17T00:00:00"/>
    <n v="2856.0170879862212"/>
    <n v="3019.4553207415343"/>
    <n v="268099"/>
    <x v="0"/>
    <s v="2.20.02.03"/>
    <x v="3"/>
    <n v="27193"/>
    <x v="30"/>
    <n v="4"/>
    <s v="COZAC"/>
    <x v="130"/>
    <s v="CAIXA"/>
    <s v="CAIXA"/>
    <s v="BOLETO"/>
    <s v="2708.03"/>
  </r>
  <r>
    <s v="*** Pagamento ***"/>
    <d v="2025-08-28T00:00:00"/>
    <d v="2025-08-01T00:00:00"/>
    <n v="34156.49"/>
    <n v="2846.3800000000392"/>
    <n v="2846.3800000000392"/>
    <d v="2025-11-17T00:00:00"/>
    <n v="2856.0271218788394"/>
    <n v="3019.4659288329854"/>
    <n v="268099"/>
    <x v="0"/>
    <s v="2.20.02.03"/>
    <x v="3"/>
    <n v="27215"/>
    <x v="22"/>
    <n v="4"/>
    <s v="COZAC"/>
    <x v="130"/>
    <s v="CAIXA"/>
    <s v="CAIXA"/>
    <s v="BOLETO"/>
    <s v="2708.03"/>
  </r>
  <r>
    <s v="*** Pagamento ***"/>
    <d v="2025-08-28T00:00:00"/>
    <d v="2025-08-01T00:00:00"/>
    <n v="34156.49"/>
    <n v="2846.3700000000208"/>
    <n v="2846.3700000000208"/>
    <d v="2025-11-17T00:00:00"/>
    <n v="2856.0170879862212"/>
    <n v="3019.4553207415343"/>
    <n v="268099"/>
    <x v="0"/>
    <s v="2.20.02.03"/>
    <x v="3"/>
    <n v="27201"/>
    <x v="29"/>
    <n v="4"/>
    <s v="COZAC"/>
    <x v="130"/>
    <s v="CAIXA"/>
    <s v="CAIXA"/>
    <s v="BOLETO"/>
    <s v="2708.03"/>
  </r>
  <r>
    <s v="*** Pagamento ***"/>
    <d v="2025-08-28T00:00:00"/>
    <d v="2025-08-01T00:00:00"/>
    <n v="34156.49"/>
    <n v="2846.3700000000208"/>
    <n v="2846.3700000000208"/>
    <d v="2025-11-17T00:00:00"/>
    <n v="2856.0170879862212"/>
    <n v="3019.4553207415343"/>
    <n v="268099"/>
    <x v="0"/>
    <s v="2.20.02.03"/>
    <x v="3"/>
    <n v="27180"/>
    <x v="15"/>
    <n v="4"/>
    <s v="COZAC"/>
    <x v="130"/>
    <s v="CAIXA"/>
    <s v="CAIXA"/>
    <s v="BOLETO"/>
    <s v="2708.03"/>
  </r>
  <r>
    <s v="*** Pagamento ***"/>
    <d v="2025-08-28T00:00:00"/>
    <d v="2025-08-01T00:00:00"/>
    <n v="34156.49"/>
    <n v="2846.3700000000208"/>
    <n v="2846.3700000000208"/>
    <d v="2025-11-17T00:00:00"/>
    <n v="2856.0170879862212"/>
    <n v="3019.4553207415343"/>
    <n v="268099"/>
    <x v="0"/>
    <s v="2.20.02.03"/>
    <x v="3"/>
    <n v="27195"/>
    <x v="23"/>
    <n v="4"/>
    <s v="COZAC"/>
    <x v="130"/>
    <s v="CAIXA"/>
    <s v="CAIXA"/>
    <s v="BOLETO"/>
    <s v="2708.03"/>
  </r>
  <r>
    <s v="*** Pagamento ***"/>
    <d v="2025-08-28T00:00:00"/>
    <d v="2025-08-01T00:00:00"/>
    <n v="34156.49"/>
    <n v="2846.3800000000392"/>
    <n v="2846.3800000000392"/>
    <d v="2025-11-17T00:00:00"/>
    <n v="2856.0271218788394"/>
    <n v="3019.4659288329854"/>
    <n v="268099"/>
    <x v="0"/>
    <s v="2.20.02.03"/>
    <x v="3"/>
    <n v="27218"/>
    <x v="28"/>
    <n v="4"/>
    <s v="COZAC"/>
    <x v="130"/>
    <s v="CAIXA"/>
    <s v="CAIXA"/>
    <s v="BOLETO"/>
    <s v="2708.03"/>
  </r>
  <r>
    <s v="*** Pagamento ***"/>
    <d v="2025-08-28T00:00:00"/>
    <d v="2025-08-01T00:00:00"/>
    <n v="34156.49"/>
    <n v="2846.3700000000208"/>
    <n v="2846.3700000000208"/>
    <d v="2025-11-17T00:00:00"/>
    <n v="2856.0170879862212"/>
    <n v="3019.4553207415343"/>
    <n v="268099"/>
    <x v="0"/>
    <s v="2.20.02.03"/>
    <x v="3"/>
    <n v="27209"/>
    <x v="27"/>
    <n v="4"/>
    <s v="COZAC"/>
    <x v="130"/>
    <s v="CAIXA"/>
    <s v="CAIXA"/>
    <s v="BOLETO"/>
    <s v="2708.03"/>
  </r>
  <r>
    <s v="*** Pagamento ***"/>
    <d v="2025-10-28T00:00:00"/>
    <d v="2025-10-16T00:00:00"/>
    <n v="1998.12"/>
    <n v="1998.12"/>
    <n v="1998.12"/>
    <d v="2025-11-17T00:00:00"/>
    <n v="1998.7181172407998"/>
    <n v="2027.457471496301"/>
    <n v="277224"/>
    <x v="3"/>
    <s v="2.20.03.15"/>
    <x v="16"/>
    <n v="27222"/>
    <x v="32"/>
    <n v="4"/>
    <s v="COZAC"/>
    <x v="131"/>
    <s v="13017348-8"/>
    <s v="SANTANDER - ENF SPE RESIDENCIAL"/>
    <s v="GUIA PARA RECOLHIMENTO DE IMPOSTOS"/>
    <s v="202501094549"/>
  </r>
  <r>
    <s v="*** Pagamento ***"/>
    <d v="2025-10-28T00:00:00"/>
    <d v="2025-10-28T00:00:00"/>
    <n v="1876.32"/>
    <n v="1876.32"/>
    <n v="1876.32"/>
    <d v="2025-11-17T00:00:00"/>
    <n v="1876.8816576288"/>
    <n v="1903.8691384491119"/>
    <n v="277260"/>
    <x v="3"/>
    <s v="2.20.03.15"/>
    <x v="16"/>
    <n v="27196"/>
    <x v="41"/>
    <n v="4"/>
    <s v="COZAC"/>
    <x v="132"/>
    <s v="13017348-8"/>
    <s v="SANTANDER - ENF SPE RESIDENCIAL"/>
    <s v="GUIA PARA RECOLHIMENTO DE IMPOSTOS"/>
    <s v="185552"/>
  </r>
  <r>
    <s v="*** Pagamento ***"/>
    <d v="2025-10-28T00:00:00"/>
    <d v="2025-10-16T00:00:00"/>
    <n v="2467.31"/>
    <n v="1841.39"/>
    <n v="1841.39"/>
    <d v="2025-11-17T00:00:00"/>
    <n v="1841.9412016826"/>
    <n v="1868.4262774200618"/>
    <n v="277223"/>
    <x v="3"/>
    <s v="2.20.03.15"/>
    <x v="16"/>
    <n v="27209"/>
    <x v="27"/>
    <n v="4"/>
    <s v="COZAC"/>
    <x v="133"/>
    <s v="13017348-8"/>
    <s v="SANTANDER - ENF SPE RESIDENCIAL"/>
    <s v="GUIA PARA RECOLHIMENTO DE IMPOSTOS"/>
    <s v="202501094537"/>
  </r>
  <r>
    <s v="*** Pagamento ***"/>
    <d v="2025-10-28T00:00:00"/>
    <d v="2025-10-16T00:00:00"/>
    <n v="17416.18"/>
    <n v="10149.459999999999"/>
    <n v="10149.459999999999"/>
    <d v="2025-11-17T00:00:00"/>
    <n v="10152.498139356399"/>
    <n v="10298.479825362263"/>
    <n v="277228"/>
    <x v="3"/>
    <s v="2.20.03.15"/>
    <x v="16"/>
    <n v="27189"/>
    <x v="40"/>
    <n v="4"/>
    <s v="COZAC"/>
    <x v="134"/>
    <s v="13017348-8"/>
    <s v="SANTANDER - ENF SPE RESIDENCIAL"/>
    <s v="GUIA PARA RECOLHIMENTO DE IMPOSTOS"/>
    <s v="202501094546"/>
  </r>
  <r>
    <s v="*** Pagamento ***"/>
    <d v="2025-10-28T00:00:00"/>
    <d v="2025-10-16T00:00:00"/>
    <n v="2467.31"/>
    <n v="1841.39"/>
    <n v="1841.39"/>
    <d v="2025-11-17T00:00:00"/>
    <n v="1841.9412016826"/>
    <n v="1868.4262774200618"/>
    <n v="277241"/>
    <x v="3"/>
    <s v="2.20.03.15"/>
    <x v="16"/>
    <n v="27213"/>
    <x v="24"/>
    <n v="4"/>
    <s v="COZAC"/>
    <x v="135"/>
    <s v="13017348-8"/>
    <s v="SANTANDER - ENF SPE RESIDENCIAL"/>
    <s v="GUIA PARA RECOLHIMENTO DE IMPOSTOS"/>
    <s v="202501094542"/>
  </r>
  <r>
    <s v="*** Pagamento ***"/>
    <d v="2025-10-28T00:00:00"/>
    <d v="2025-10-28T00:00:00"/>
    <n v="2467.31"/>
    <n v="1841.39"/>
    <n v="1841.39"/>
    <d v="2025-11-17T00:00:00"/>
    <n v="1841.9412016826"/>
    <n v="1868.4262774200618"/>
    <n v="277245"/>
    <x v="3"/>
    <s v="2.20.03.15"/>
    <x v="16"/>
    <n v="27203"/>
    <x v="19"/>
    <n v="4"/>
    <s v="COZAC"/>
    <x v="136"/>
    <s v="13017348-8"/>
    <s v="SANTANDER - ENF SPE RESIDENCIAL"/>
    <s v="GUIA PARA RECOLHIMENTO DE IMPOSTOS"/>
    <s v="185551"/>
  </r>
  <r>
    <s v="*** Pagamento ***"/>
    <d v="2025-10-28T00:00:00"/>
    <d v="2025-10-16T00:00:00"/>
    <n v="17416.18"/>
    <n v="7266.72"/>
    <n v="7266.72"/>
    <d v="2025-11-17T00:00:00"/>
    <n v="7268.8952199648002"/>
    <n v="7373.4138876902298"/>
    <n v="277228"/>
    <x v="3"/>
    <s v="2.20.03.15"/>
    <x v="16"/>
    <n v="27189"/>
    <x v="40"/>
    <n v="4"/>
    <s v="COZAC"/>
    <x v="134"/>
    <s v="13017348-8"/>
    <s v="SANTANDER - ENF SPE RESIDENCIAL"/>
    <s v="GUIA PARA RECOLHIMENTO DE IMPOSTOS"/>
    <s v="202501094546"/>
  </r>
  <r>
    <s v="*** Pagamento ***"/>
    <d v="2025-10-28T00:00:00"/>
    <d v="2025-10-16T00:00:00"/>
    <n v="2467.31"/>
    <n v="1841.39"/>
    <n v="1841.39"/>
    <d v="2025-11-17T00:00:00"/>
    <n v="1841.9412016826"/>
    <n v="1868.4262774200618"/>
    <n v="277230"/>
    <x v="3"/>
    <s v="2.20.03.15"/>
    <x v="16"/>
    <n v="27211"/>
    <x v="26"/>
    <n v="4"/>
    <s v="COZAC"/>
    <x v="137"/>
    <s v="13017348-8"/>
    <s v="SANTANDER - ENF SPE RESIDENCIAL"/>
    <s v="GUIA PARA RECOLHIMENTO DE IMPOSTOS"/>
    <s v="202501094539"/>
  </r>
  <r>
    <s v="*** Pagamento ***"/>
    <d v="2025-10-28T00:00:00"/>
    <d v="2025-10-17T00:00:00"/>
    <n v="3646.7"/>
    <n v="1506.51"/>
    <n v="1506.51"/>
    <d v="2025-11-17T00:00:00"/>
    <n v="1506.9609587033999"/>
    <n v="1528.629389317905"/>
    <n v="277261"/>
    <x v="3"/>
    <s v="2.20.03.15"/>
    <x v="16"/>
    <n v="27228"/>
    <x v="31"/>
    <n v="4"/>
    <s v="COZAC"/>
    <x v="138"/>
    <s v="13017348-8"/>
    <s v="SANTANDER - ENF SPE RESIDENCIAL"/>
    <s v="GUIA PARA RECOLHIMENTO DE IMPOSTOS"/>
    <s v="202501094885"/>
  </r>
  <r>
    <s v="*** Pagamento ***"/>
    <d v="2025-10-28T00:00:00"/>
    <d v="2025-10-16T00:00:00"/>
    <n v="2758.38"/>
    <n v="2058.54"/>
    <n v="2058.54"/>
    <d v="2025-11-17T00:00:00"/>
    <n v="2059.1562033636001"/>
    <n v="2088.7645904019755"/>
    <n v="277249"/>
    <x v="3"/>
    <s v="2.20.03.15"/>
    <x v="16"/>
    <n v="27220"/>
    <x v="21"/>
    <n v="4"/>
    <s v="COZAC"/>
    <x v="139"/>
    <s v="13017348-8"/>
    <s v="SANTANDER - ENF SPE RESIDENCIAL"/>
    <s v="GUIA PARA RECOLHIMENTO DE IMPOSTOS"/>
    <s v="202501094517"/>
  </r>
  <r>
    <s v="*** Pagamento ***"/>
    <d v="2025-10-28T00:00:00"/>
    <d v="2025-10-16T00:00:00"/>
    <n v="2467.31"/>
    <n v="1841.39"/>
    <n v="1841.39"/>
    <d v="2025-11-17T00:00:00"/>
    <n v="1841.9412016826"/>
    <n v="1868.4262774200618"/>
    <n v="277252"/>
    <x v="3"/>
    <s v="2.20.03.15"/>
    <x v="16"/>
    <n v="27215"/>
    <x v="22"/>
    <n v="4"/>
    <s v="COZAC"/>
    <x v="140"/>
    <s v="13017348-8"/>
    <s v="SANTANDER - ENF SPE RESIDENCIAL"/>
    <s v="GUIA PARA RECOLHIMENTO DE IMPOSTOS"/>
    <s v="202501094544"/>
  </r>
  <r>
    <s v="*** Pagamento ***"/>
    <d v="2025-10-28T00:00:00"/>
    <d v="2025-10-17T00:00:00"/>
    <n v="3646.7"/>
    <n v="2140.19"/>
    <n v="2140.19"/>
    <d v="2025-11-17T00:00:00"/>
    <n v="2140.8306444745999"/>
    <n v="2171.6134195752352"/>
    <n v="277261"/>
    <x v="3"/>
    <s v="2.20.03.15"/>
    <x v="16"/>
    <n v="27228"/>
    <x v="31"/>
    <n v="4"/>
    <s v="COZAC"/>
    <x v="138"/>
    <s v="13017348-8"/>
    <s v="SANTANDER - ENF SPE RESIDENCIAL"/>
    <s v="GUIA PARA RECOLHIMENTO DE IMPOSTOS"/>
    <s v="202501094885"/>
  </r>
  <r>
    <s v="*** Pagamento ***"/>
    <d v="2025-10-28T00:00:00"/>
    <d v="2025-10-16T00:00:00"/>
    <n v="2467.31"/>
    <n v="625.91999999999996"/>
    <n v="625.91999999999996"/>
    <d v="2025-11-17T00:00:00"/>
    <n v="626.10736289279998"/>
    <n v="635.11009376762388"/>
    <n v="277241"/>
    <x v="3"/>
    <s v="2.20.03.15"/>
    <x v="16"/>
    <n v="27213"/>
    <x v="24"/>
    <n v="4"/>
    <s v="COZAC"/>
    <x v="135"/>
    <s v="13017348-8"/>
    <s v="SANTANDER - ENF SPE RESIDENCIAL"/>
    <s v="GUIA PARA RECOLHIMENTO DE IMPOSTOS"/>
    <s v="202501094542"/>
  </r>
  <r>
    <s v="*** Pagamento ***"/>
    <d v="2025-10-28T00:00:00"/>
    <d v="2025-10-16T00:00:00"/>
    <n v="2467.31"/>
    <n v="625.91999999999996"/>
    <n v="625.91999999999996"/>
    <d v="2025-11-17T00:00:00"/>
    <n v="626.10736289279998"/>
    <n v="635.11009376762388"/>
    <n v="277252"/>
    <x v="3"/>
    <s v="2.20.03.15"/>
    <x v="16"/>
    <n v="27215"/>
    <x v="22"/>
    <n v="4"/>
    <s v="COZAC"/>
    <x v="140"/>
    <s v="13017348-8"/>
    <s v="SANTANDER - ENF SPE RESIDENCIAL"/>
    <s v="GUIA PARA RECOLHIMENTO DE IMPOSTOS"/>
    <s v="202501094544"/>
  </r>
  <r>
    <s v="*** Pagamento ***"/>
    <d v="2025-10-28T00:00:00"/>
    <d v="2025-10-16T00:00:00"/>
    <n v="2467.31"/>
    <n v="625.91999999999996"/>
    <n v="625.91999999999996"/>
    <d v="2025-11-17T00:00:00"/>
    <n v="626.10736289279998"/>
    <n v="635.11009376762388"/>
    <n v="277230"/>
    <x v="3"/>
    <s v="2.20.03.15"/>
    <x v="16"/>
    <n v="27211"/>
    <x v="26"/>
    <n v="4"/>
    <s v="COZAC"/>
    <x v="137"/>
    <s v="13017348-8"/>
    <s v="SANTANDER - ENF SPE RESIDENCIAL"/>
    <s v="GUIA PARA RECOLHIMENTO DE IMPOSTOS"/>
    <s v="202501094539"/>
  </r>
  <r>
    <s v="*** Pagamento ***"/>
    <d v="2025-10-28T00:00:00"/>
    <d v="2025-10-16T00:00:00"/>
    <n v="2758.38"/>
    <n v="699.84"/>
    <n v="699.84"/>
    <d v="2025-11-17T00:00:00"/>
    <n v="700.04949010560006"/>
    <n v="710.11542692729734"/>
    <n v="277249"/>
    <x v="3"/>
    <s v="2.20.03.15"/>
    <x v="16"/>
    <n v="27220"/>
    <x v="21"/>
    <n v="4"/>
    <s v="COZAC"/>
    <x v="139"/>
    <s v="13017348-8"/>
    <s v="SANTANDER - ENF SPE RESIDENCIAL"/>
    <s v="GUIA PARA RECOLHIMENTO DE IMPOSTOS"/>
    <s v="202501094517"/>
  </r>
  <r>
    <s v="*** Pagamento ***"/>
    <d v="2025-10-28T00:00:00"/>
    <d v="2025-10-28T00:00:00"/>
    <n v="2467.31"/>
    <n v="625.91999999999996"/>
    <n v="625.91999999999996"/>
    <d v="2025-11-17T00:00:00"/>
    <n v="626.10736289279998"/>
    <n v="635.11009376762388"/>
    <n v="277245"/>
    <x v="3"/>
    <s v="2.20.03.15"/>
    <x v="16"/>
    <n v="27203"/>
    <x v="19"/>
    <n v="4"/>
    <s v="COZAC"/>
    <x v="136"/>
    <s v="13017348-8"/>
    <s v="SANTANDER - ENF SPE RESIDENCIAL"/>
    <s v="GUIA PARA RECOLHIMENTO DE IMPOSTOS"/>
    <s v="185551"/>
  </r>
  <r>
    <s v="*** Pagamento ***"/>
    <d v="2025-10-28T00:00:00"/>
    <d v="2025-10-28T00:00:00"/>
    <n v="3419.66"/>
    <n v="2729.28"/>
    <n v="2729.28"/>
    <d v="2025-11-17T00:00:00"/>
    <n v="2730.0969826752003"/>
    <n v="2769.3527554928755"/>
    <n v="277255"/>
    <x v="3"/>
    <s v="2.20.03.15"/>
    <x v="16"/>
    <n v="27233"/>
    <x v="25"/>
    <n v="4"/>
    <s v="COZAC"/>
    <x v="141"/>
    <s v="13017348-8"/>
    <s v="SANTANDER - ENF SPE RESIDENCIAL"/>
    <s v="GUIA PARA RECOLHIMENTO DE IMPOSTOS"/>
    <s v="206871"/>
  </r>
  <r>
    <s v="*** Pagamento ***"/>
    <d v="2025-10-28T00:00:00"/>
    <d v="2025-10-16T00:00:00"/>
    <n v="2467.31"/>
    <n v="625.91999999999996"/>
    <n v="625.91999999999996"/>
    <d v="2025-11-17T00:00:00"/>
    <n v="626.10736289279998"/>
    <n v="635.11009376762388"/>
    <n v="277205"/>
    <x v="3"/>
    <s v="2.20.03.15"/>
    <x v="16"/>
    <n v="27205"/>
    <x v="20"/>
    <n v="4"/>
    <s v="COZAC"/>
    <x v="142"/>
    <s v="13017348-8"/>
    <s v="SANTANDER - ENF SPE RESIDENCIAL"/>
    <s v="GUIA PARA RECOLHIMENTO DE IMPOSTOS"/>
    <s v="202501094533"/>
  </r>
  <r>
    <s v="*** Pagamento ***"/>
    <d v="2025-10-28T00:00:00"/>
    <d v="2025-10-16T00:00:00"/>
    <n v="2569.56"/>
    <n v="2569.56"/>
    <n v="2569.56"/>
    <d v="2025-11-17T00:00:00"/>
    <n v="2570.3291720903999"/>
    <n v="2607.2876606300097"/>
    <n v="277233"/>
    <x v="3"/>
    <s v="2.20.03.15"/>
    <x v="16"/>
    <n v="27223"/>
    <x v="17"/>
    <n v="4"/>
    <s v="COZAC"/>
    <x v="143"/>
    <s v="13017348-8"/>
    <s v="SANTANDER - ENF SPE RESIDENCIAL"/>
    <s v="GUIA PARA RECOLHIMENTO DE IMPOSTOS"/>
    <s v="202501094550"/>
  </r>
  <r>
    <s v="*** Pagamento ***"/>
    <d v="2025-10-28T00:00:00"/>
    <d v="2025-10-16T00:00:00"/>
    <n v="10453.44"/>
    <n v="10453.44"/>
    <n v="10453.44"/>
    <d v="2025-11-17T00:00:00"/>
    <n v="10456.569132729601"/>
    <n v="10606.923023060825"/>
    <n v="277240"/>
    <x v="3"/>
    <s v="2.20.03.15"/>
    <x v="16"/>
    <n v="27195"/>
    <x v="23"/>
    <n v="4"/>
    <s v="COZAC"/>
    <x v="144"/>
    <s v="13017348-8"/>
    <s v="SANTANDER - ENF SPE RESIDENCIAL"/>
    <s v="GUIA PARA RECOLHIMENTO DE IMPOSTOS"/>
    <s v="202501094516"/>
  </r>
  <r>
    <s v="*** Pagamento ***"/>
    <d v="2025-10-28T00:00:00"/>
    <d v="2025-10-16T00:00:00"/>
    <n v="2467.31"/>
    <n v="625.91999999999996"/>
    <n v="625.91999999999996"/>
    <d v="2025-11-17T00:00:00"/>
    <n v="626.10736289279998"/>
    <n v="635.11009376762388"/>
    <n v="277223"/>
    <x v="3"/>
    <s v="2.20.03.15"/>
    <x v="16"/>
    <n v="27209"/>
    <x v="27"/>
    <n v="4"/>
    <s v="COZAC"/>
    <x v="133"/>
    <s v="13017348-8"/>
    <s v="SANTANDER - ENF SPE RESIDENCIAL"/>
    <s v="GUIA PARA RECOLHIMENTO DE IMPOSTOS"/>
    <s v="202501094537"/>
  </r>
  <r>
    <s v="*** Pagamento ***"/>
    <d v="2025-10-28T00:00:00"/>
    <d v="2025-10-16T00:00:00"/>
    <n v="2467.31"/>
    <n v="1841.39"/>
    <n v="1841.39"/>
    <d v="2025-11-17T00:00:00"/>
    <n v="1841.9412016826"/>
    <n v="1868.4262774200618"/>
    <n v="277205"/>
    <x v="3"/>
    <s v="2.20.03.15"/>
    <x v="16"/>
    <n v="27205"/>
    <x v="20"/>
    <n v="4"/>
    <s v="COZAC"/>
    <x v="142"/>
    <s v="13017348-8"/>
    <s v="SANTANDER - ENF SPE RESIDENCIAL"/>
    <s v="GUIA PARA RECOLHIMENTO DE IMPOSTOS"/>
    <s v="202501094533"/>
  </r>
  <r>
    <s v="*** Pagamento ***"/>
    <d v="2025-10-28T00:00:00"/>
    <d v="2025-10-17T00:00:00"/>
    <n v="2884.2"/>
    <n v="2884.2"/>
    <n v="2884.2"/>
    <d v="2025-11-17T00:00:00"/>
    <n v="2885.0633564279997"/>
    <n v="2926.5473741765413"/>
    <n v="277264"/>
    <x v="3"/>
    <s v="2.20.03.15"/>
    <x v="16"/>
    <n v="27234"/>
    <x v="18"/>
    <n v="4"/>
    <s v="COZAC"/>
    <x v="145"/>
    <s v="13017348-8"/>
    <s v="SANTANDER - ENF SPE RESIDENCIAL"/>
    <s v="GUIA PARA RECOLHIMENTO DE IMPOSTOS"/>
    <s v="202501094945"/>
  </r>
  <r>
    <s v="*** Pagamento ***"/>
    <d v="2025-10-28T00:00:00"/>
    <d v="2025-10-16T00:00:00"/>
    <n v="2766.35"/>
    <n v="2064.4699999999998"/>
    <n v="2064.4699999999998"/>
    <d v="2025-11-17T00:00:00"/>
    <n v="2065.0879784497997"/>
    <n v="2094.7816578483616"/>
    <n v="277256"/>
    <x v="3"/>
    <s v="2.20.03.15"/>
    <x v="16"/>
    <n v="27218"/>
    <x v="28"/>
    <n v="4"/>
    <s v="COZAC"/>
    <x v="146"/>
    <s v="13017348-8"/>
    <s v="SANTANDER - ENF SPE RESIDENCIAL"/>
    <s v="GUIA PARA RECOLHIMENTO DE IMPOSTOS"/>
    <s v="202501094521"/>
  </r>
  <r>
    <s v="*** Pagamento ***"/>
    <d v="2025-10-28T00:00:00"/>
    <d v="2025-10-17T00:00:00"/>
    <n v="7133.25"/>
    <n v="6088.53"/>
    <n v="6088.53"/>
    <d v="2025-11-17T00:00:00"/>
    <n v="6090.3525405701994"/>
    <n v="6177.9250690295739"/>
    <n v="277247"/>
    <x v="3"/>
    <s v="2.20.03.15"/>
    <x v="16"/>
    <n v="27226"/>
    <x v="35"/>
    <n v="4"/>
    <s v="COZAC"/>
    <x v="147"/>
    <s v="13017348-8"/>
    <s v="SANTANDER - ENF SPE RESIDENCIAL"/>
    <s v="GUIA PARA RECOLHIMENTO DE IMPOSTOS"/>
    <s v="202501094883"/>
  </r>
  <r>
    <s v="*** Pagamento ***"/>
    <d v="2025-10-28T00:00:00"/>
    <d v="2025-10-16T00:00:00"/>
    <n v="2467.31"/>
    <n v="1841.39"/>
    <n v="1841.39"/>
    <d v="2025-11-17T00:00:00"/>
    <n v="1841.9412016826"/>
    <n v="1868.4262774200618"/>
    <n v="277263"/>
    <x v="3"/>
    <s v="2.20.03.15"/>
    <x v="16"/>
    <n v="27201"/>
    <x v="29"/>
    <n v="4"/>
    <s v="COZAC"/>
    <x v="148"/>
    <s v="13017348-8"/>
    <s v="SANTANDER - ENF SPE RESIDENCIAL"/>
    <s v="GUIA PARA RECOLHIMENTO DE IMPOSTOS"/>
    <s v="202501094524"/>
  </r>
  <r>
    <s v="*** Pagamento ***"/>
    <d v="2025-10-28T00:00:00"/>
    <d v="2025-10-17T00:00:00"/>
    <n v="7133.25"/>
    <n v="1044.72"/>
    <n v="1044.72"/>
    <d v="2025-11-17T00:00:00"/>
    <n v="1045.0327264847999"/>
    <n v="1060.0591404027864"/>
    <n v="277247"/>
    <x v="3"/>
    <s v="2.20.03.15"/>
    <x v="16"/>
    <n v="27226"/>
    <x v="35"/>
    <n v="4"/>
    <s v="COZAC"/>
    <x v="147"/>
    <s v="13017348-8"/>
    <s v="SANTANDER - ENF SPE RESIDENCIAL"/>
    <s v="GUIA PARA RECOLHIMENTO DE IMPOSTOS"/>
    <s v="202501094883"/>
  </r>
  <r>
    <s v="*** Pagamento ***"/>
    <d v="2025-10-28T00:00:00"/>
    <d v="2025-10-16T00:00:00"/>
    <n v="10740.19"/>
    <n v="10740.19"/>
    <n v="10740.19"/>
    <d v="2025-11-17T00:00:00"/>
    <n v="10743.404968474601"/>
    <n v="10897.883240641131"/>
    <n v="277220"/>
    <x v="3"/>
    <s v="2.20.03.15"/>
    <x v="16"/>
    <n v="27193"/>
    <x v="30"/>
    <n v="4"/>
    <s v="COZAC"/>
    <x v="149"/>
    <s v="13017348-8"/>
    <s v="SANTANDER - ENF SPE RESIDENCIAL"/>
    <s v="GUIA PARA RECOLHIMENTO DE IMPOSTOS"/>
    <s v="202501094507"/>
  </r>
  <r>
    <s v="*** Pagamento ***"/>
    <d v="2025-10-28T00:00:00"/>
    <d v="2025-10-28T00:00:00"/>
    <n v="3419.66"/>
    <n v="690.38"/>
    <n v="690.38"/>
    <d v="2025-11-17T00:00:00"/>
    <n v="690.58665834919998"/>
    <n v="700.51653012412487"/>
    <n v="277255"/>
    <x v="3"/>
    <s v="2.20.03.15"/>
    <x v="16"/>
    <n v="27233"/>
    <x v="25"/>
    <n v="4"/>
    <s v="COZAC"/>
    <x v="141"/>
    <s v="13017348-8"/>
    <s v="SANTANDER - ENF SPE RESIDENCIAL"/>
    <s v="GUIA PARA RECOLHIMENTO DE IMPOSTOS"/>
    <s v="206871"/>
  </r>
  <r>
    <s v="*** Pagamento ***"/>
    <d v="2025-10-28T00:00:00"/>
    <d v="2025-10-16T00:00:00"/>
    <n v="2766.35"/>
    <n v="701.88"/>
    <n v="701.88"/>
    <d v="2025-11-17T00:00:00"/>
    <n v="702.09010075920003"/>
    <n v="712.18537930345713"/>
    <n v="277256"/>
    <x v="3"/>
    <s v="2.20.03.15"/>
    <x v="16"/>
    <n v="27218"/>
    <x v="28"/>
    <n v="4"/>
    <s v="COZAC"/>
    <x v="146"/>
    <s v="13017348-8"/>
    <s v="SANTANDER - ENF SPE RESIDENCIAL"/>
    <s v="GUIA PARA RECOLHIMENTO DE IMPOSTOS"/>
    <s v="202501094521"/>
  </r>
  <r>
    <s v="*** Pagamento ***"/>
    <d v="2025-10-28T00:00:00"/>
    <d v="2025-10-16T00:00:00"/>
    <n v="2467.31"/>
    <n v="625.91999999999996"/>
    <n v="625.91999999999996"/>
    <d v="2025-11-17T00:00:00"/>
    <n v="626.10736289279998"/>
    <n v="635.11009376762388"/>
    <n v="277263"/>
    <x v="3"/>
    <s v="2.20.03.15"/>
    <x v="16"/>
    <n v="27201"/>
    <x v="29"/>
    <n v="4"/>
    <s v="COZAC"/>
    <x v="148"/>
    <s v="13017348-8"/>
    <s v="SANTANDER - ENF SPE RESIDENCIAL"/>
    <s v="GUIA PARA RECOLHIMENTO DE IMPOSTOS"/>
    <s v="202501094524"/>
  </r>
  <r>
    <s v="*** Pagamento ***"/>
    <d v="2025-09-29T00:00:00"/>
    <d v="2025-09-25T00:00:00"/>
    <n v="714.36"/>
    <n v="550.71"/>
    <n v="550.71"/>
    <d v="2025-11-17T00:00:00"/>
    <n v="553.7396374443"/>
    <n v="570.73159986068958"/>
    <n v="272406"/>
    <x v="3"/>
    <s v="2.20.03.02"/>
    <x v="2"/>
    <n v="27228"/>
    <x v="31"/>
    <n v="4"/>
    <s v="COZAC"/>
    <x v="79"/>
    <s v="13017348-8"/>
    <s v="SANTANDER - ENF SPE RESIDENCIAL"/>
    <s v="GUIA PARA RECOLHIMENTO DE IMPOSTOS"/>
    <s v="206873_2025"/>
  </r>
  <r>
    <s v="*** Pagamento ***"/>
    <d v="2025-09-29T00:00:00"/>
    <d v="2025-09-25T00:00:00"/>
    <n v="117.68"/>
    <n v="63.13"/>
    <n v="63.13"/>
    <d v="2025-11-17T00:00:00"/>
    <n v="63.477298962900001"/>
    <n v="65.425152801302559"/>
    <n v="272407"/>
    <x v="3"/>
    <s v="2.20.03.02"/>
    <x v="2"/>
    <n v="27230"/>
    <x v="37"/>
    <n v="4"/>
    <s v="COZAC"/>
    <x v="150"/>
    <s v="13017348-8"/>
    <s v="SANTANDER - ENF SPE RESIDENCIAL"/>
    <s v="GUIA PARA RECOLHIMENTO DE IMPOSTOS"/>
    <s v="206878_2025"/>
  </r>
  <r>
    <s v="*** Pagamento ***"/>
    <d v="2025-09-29T00:00:00"/>
    <d v="2025-09-25T00:00:00"/>
    <n v="714.5"/>
    <n v="550.82000000000005"/>
    <n v="550.82000000000005"/>
    <d v="2025-11-17T00:00:00"/>
    <n v="553.85024259060003"/>
    <n v="570.84559901811303"/>
    <n v="272392"/>
    <x v="3"/>
    <s v="2.20.03.02"/>
    <x v="2"/>
    <n v="27201"/>
    <x v="29"/>
    <n v="4"/>
    <s v="COZAC"/>
    <x v="77"/>
    <s v="13017348-8"/>
    <s v="SANTANDER - ENF SPE RESIDENCIAL"/>
    <s v="GUIA PARA RECOLHIMENTO DE IMPOSTOS"/>
    <s v="96154_2025"/>
  </r>
  <r>
    <s v="*** Pagamento ***"/>
    <d v="2025-09-29T00:00:00"/>
    <d v="2025-09-25T00:00:00"/>
    <n v="32988.879999999997"/>
    <n v="25432.15"/>
    <n v="25432.15"/>
    <d v="2025-11-17T00:00:00"/>
    <n v="25572.0606497595"/>
    <n v="26356.760649701358"/>
    <n v="272388"/>
    <x v="3"/>
    <s v="2.20.03.02"/>
    <x v="2"/>
    <n v="27180"/>
    <x v="15"/>
    <n v="4"/>
    <s v="COZAC"/>
    <x v="76"/>
    <s v="13017348-8"/>
    <s v="SANTANDER - ENF SPE RESIDENCIAL"/>
    <s v="GUIA PARA RECOLHIMENTO DE IMPOSTOS"/>
    <s v="119265_2025"/>
  </r>
  <r>
    <s v="*** Pagamento ***"/>
    <d v="2025-09-29T00:00:00"/>
    <d v="2025-09-25T00:00:00"/>
    <n v="714.5"/>
    <n v="550.82000000000005"/>
    <n v="550.82000000000005"/>
    <d v="2025-11-17T00:00:00"/>
    <n v="553.85024259060003"/>
    <n v="570.84559901811303"/>
    <n v="272395"/>
    <x v="3"/>
    <s v="2.20.03.02"/>
    <x v="2"/>
    <n v="27205"/>
    <x v="20"/>
    <n v="4"/>
    <s v="COZAC"/>
    <x v="66"/>
    <s v="13017348-8"/>
    <s v="SANTANDER - ENF SPE RESIDENCIAL"/>
    <s v="GUIA PARA RECOLHIMENTO DE IMPOSTOS"/>
    <s v="185553_2025"/>
  </r>
  <r>
    <s v="*** Pagamento ***"/>
    <d v="2025-09-29T00:00:00"/>
    <d v="2025-09-25T00:00:00"/>
    <n v="714.5"/>
    <n v="550.82000000000005"/>
    <n v="550.82000000000005"/>
    <d v="2025-11-17T00:00:00"/>
    <n v="553.85024259060003"/>
    <n v="570.84559901811303"/>
    <n v="272399"/>
    <x v="3"/>
    <s v="2.20.03.02"/>
    <x v="2"/>
    <n v="27209"/>
    <x v="27"/>
    <n v="4"/>
    <s v="COZAC"/>
    <x v="73"/>
    <s v="13017348-8"/>
    <s v="SANTANDER - ENF SPE RESIDENCIAL"/>
    <s v="GUIA PARA RECOLHIMENTO DE IMPOSTOS"/>
    <s v="185554_2025"/>
  </r>
  <r>
    <s v="*** Pagamento ***"/>
    <d v="2025-09-29T00:00:00"/>
    <d v="2025-09-25T00:00:00"/>
    <n v="801.17"/>
    <n v="617.63"/>
    <n v="617.63"/>
    <d v="2025-11-17T00:00:00"/>
    <n v="621.02778644789998"/>
    <n v="640.08454181321872"/>
    <n v="272403"/>
    <x v="3"/>
    <s v="2.20.03.02"/>
    <x v="2"/>
    <n v="27218"/>
    <x v="28"/>
    <n v="4"/>
    <s v="COZAC"/>
    <x v="74"/>
    <s v="13017348-8"/>
    <s v="SANTANDER - ENF SPE RESIDENCIAL"/>
    <s v="GUIA PARA RECOLHIMENTO DE IMPOSTOS"/>
    <s v="176881_2025"/>
  </r>
  <r>
    <s v="*** Pagamento ***"/>
    <d v="2025-09-29T00:00:00"/>
    <d v="2025-09-25T00:00:00"/>
    <n v="4222.66"/>
    <n v="3255.37"/>
    <n v="3255.37"/>
    <d v="2025-11-17T00:00:00"/>
    <n v="3273.2788646421"/>
    <n v="3373.7221554692901"/>
    <n v="272389"/>
    <x v="3"/>
    <s v="2.20.03.02"/>
    <x v="2"/>
    <n v="27193"/>
    <x v="30"/>
    <n v="4"/>
    <s v="COZAC"/>
    <x v="78"/>
    <s v="13017348-8"/>
    <s v="SANTANDER - ENF SPE RESIDENCIAL"/>
    <s v="GUIA PARA RECOLHIMENTO DE IMPOSTOS"/>
    <s v="102843_2025"/>
  </r>
  <r>
    <s v="*** Pagamento ***"/>
    <d v="2025-09-29T00:00:00"/>
    <d v="2025-09-25T00:00:00"/>
    <n v="714.5"/>
    <n v="550.82000000000005"/>
    <n v="550.82000000000005"/>
    <d v="2025-11-17T00:00:00"/>
    <n v="553.85024259060003"/>
    <n v="570.84559901811303"/>
    <n v="272400"/>
    <x v="3"/>
    <s v="2.20.03.02"/>
    <x v="2"/>
    <n v="27211"/>
    <x v="26"/>
    <n v="4"/>
    <s v="COZAC"/>
    <x v="72"/>
    <s v="13017348-8"/>
    <s v="SANTANDER - ENF SPE RESIDENCIAL"/>
    <s v="GUIA PARA RECOLHIMENTO DE IMPOSTOS"/>
    <s v="185555_2025"/>
  </r>
  <r>
    <s v="*** Pagamento ***"/>
    <d v="2025-09-29T00:00:00"/>
    <d v="2025-09-25T00:00:00"/>
    <n v="714.5"/>
    <n v="550.82000000000005"/>
    <n v="550.82000000000005"/>
    <d v="2025-11-17T00:00:00"/>
    <n v="553.85024259060003"/>
    <n v="570.84559901811303"/>
    <n v="272402"/>
    <x v="3"/>
    <s v="2.20.03.02"/>
    <x v="2"/>
    <n v="27215"/>
    <x v="22"/>
    <n v="4"/>
    <s v="COZAC"/>
    <x v="68"/>
    <s v="13017348-8"/>
    <s v="SANTANDER - ENF SPE RESIDENCIAL"/>
    <s v="GUIA PARA RECOLHIMENTO DE IMPOSTOS"/>
    <s v="185557_2025"/>
  </r>
  <r>
    <s v="*** Pagamento ***"/>
    <d v="2025-09-29T00:00:00"/>
    <d v="2025-09-25T00:00:00"/>
    <n v="798.89"/>
    <n v="615.89"/>
    <n v="615.89"/>
    <d v="2025-11-17T00:00:00"/>
    <n v="619.27821413369998"/>
    <n v="638.28128241397474"/>
    <n v="272405"/>
    <x v="3"/>
    <s v="2.20.03.02"/>
    <x v="2"/>
    <n v="27220"/>
    <x v="21"/>
    <n v="4"/>
    <s v="COZAC"/>
    <x v="67"/>
    <s v="13017348-8"/>
    <s v="SANTANDER - ENF SPE RESIDENCIAL"/>
    <s v="GUIA PARA RECOLHIMENTO DE IMPOSTOS"/>
    <s v="176878_2025"/>
  </r>
  <r>
    <s v="*** Pagamento ***"/>
    <d v="2025-09-29T00:00:00"/>
    <d v="2025-09-25T00:00:00"/>
    <n v="4169.22"/>
    <n v="3214.17"/>
    <n v="3214.17"/>
    <d v="2025-11-17T00:00:00"/>
    <n v="3231.8522098460999"/>
    <n v="3331.0242892343199"/>
    <n v="272391"/>
    <x v="3"/>
    <s v="2.20.03.02"/>
    <x v="2"/>
    <n v="27195"/>
    <x v="23"/>
    <n v="4"/>
    <s v="COZAC"/>
    <x v="69"/>
    <s v="13017348-8"/>
    <s v="SANTANDER - ENF SPE RESIDENCIAL"/>
    <s v="GUIA PARA RECOLHIMENTO DE IMPOSTOS"/>
    <s v="89369_2025"/>
  </r>
  <r>
    <s v="*** Pagamento ***"/>
    <d v="2025-09-29T00:00:00"/>
    <d v="2025-09-25T00:00:00"/>
    <n v="714.5"/>
    <n v="550.82000000000005"/>
    <n v="550.82000000000005"/>
    <d v="2025-11-17T00:00:00"/>
    <n v="553.85024259060003"/>
    <n v="570.84559901811303"/>
    <n v="272394"/>
    <x v="3"/>
    <s v="2.20.03.02"/>
    <x v="2"/>
    <n v="27203"/>
    <x v="19"/>
    <n v="4"/>
    <s v="COZAC"/>
    <x v="65"/>
    <s v="13017348-8"/>
    <s v="SANTANDER - ENF SPE RESIDENCIAL"/>
    <s v="GUIA PARA RECOLHIMENTO DE IMPOSTOS"/>
    <s v="185551_2025"/>
  </r>
  <r>
    <s v="*** Pagamento ***"/>
    <d v="2025-09-29T00:00:00"/>
    <d v="2025-09-25T00:00:00"/>
    <n v="329.83"/>
    <n v="254.26"/>
    <n v="254.26"/>
    <d v="2025-11-17T00:00:00"/>
    <n v="255.65876816579998"/>
    <n v="263.50387060445411"/>
    <n v="272411"/>
    <x v="3"/>
    <s v="2.20.03.02"/>
    <x v="2"/>
    <n v="27233"/>
    <x v="25"/>
    <n v="4"/>
    <s v="COZAC"/>
    <x v="71"/>
    <s v="13017348-8"/>
    <s v="SANTANDER - ENF SPE RESIDENCIAL"/>
    <s v="GUIA PARA RECOLHIMENTO DE IMPOSTOS"/>
    <s v="206871_2025"/>
  </r>
  <r>
    <s v="*** Pagamento ***"/>
    <d v="2025-09-29T00:00:00"/>
    <d v="2025-09-25T00:00:00"/>
    <n v="714.5"/>
    <n v="550.82000000000005"/>
    <n v="550.82000000000005"/>
    <d v="2025-11-17T00:00:00"/>
    <n v="553.85024259060003"/>
    <n v="570.84559901811303"/>
    <n v="272401"/>
    <x v="3"/>
    <s v="2.20.03.02"/>
    <x v="2"/>
    <n v="27213"/>
    <x v="24"/>
    <n v="4"/>
    <s v="COZAC"/>
    <x v="70"/>
    <s v="13017348-8"/>
    <s v="SANTANDER - ENF SPE RESIDENCIAL"/>
    <s v="GUIA PARA RECOLHIMENTO DE IMPOSTOS"/>
    <s v="185556_2025"/>
  </r>
  <r>
    <s v="*** Pagamento ***"/>
    <d v="2025-09-29T00:00:00"/>
    <d v="2025-09-25T00:00:00"/>
    <n v="329.83"/>
    <n v="254.26"/>
    <n v="254.26"/>
    <d v="2025-11-17T00:00:00"/>
    <n v="255.65876816579998"/>
    <n v="263.50387060445411"/>
    <n v="272414"/>
    <x v="3"/>
    <s v="2.20.03.02"/>
    <x v="2"/>
    <n v="27234"/>
    <x v="18"/>
    <n v="4"/>
    <s v="COZAC"/>
    <x v="64"/>
    <s v="13017348-8"/>
    <s v="SANTANDER - ENF SPE RESIDENCIAL"/>
    <s v="GUIA PARA RECOLHIMENTO DE IMPOSTOS"/>
    <s v="206870_2025"/>
  </r>
  <r>
    <s v="*** Pagamento ***"/>
    <d v="2025-07-30T00:00:00"/>
    <d v="2025-07-25T00:00:00"/>
    <n v="181.82"/>
    <n v="9.1221095043609992"/>
    <n v="9.1221095043609992"/>
    <d v="2025-11-17T00:00:00"/>
    <n v="9.1722444357547772"/>
    <n v="9.8835122673037965"/>
    <n v="263282"/>
    <x v="12"/>
    <s v="2.20.05.03"/>
    <x v="14"/>
    <n v="27211"/>
    <x v="26"/>
    <n v="4"/>
    <s v="COZAC"/>
    <x v="55"/>
    <s v="CAIXA"/>
    <s v="CAIXA"/>
    <s v="NOTA FISCAL DE SERVIÇOS"/>
    <s v="9.3"/>
  </r>
  <r>
    <s v="*** Pagamento ***"/>
    <d v="2025-07-30T00:00:00"/>
    <d v="2025-07-25T00:00:00"/>
    <n v="181.82"/>
    <n v="9.1221095043609992"/>
    <n v="9.1221095043609992"/>
    <d v="2025-11-17T00:00:00"/>
    <n v="9.1722444357547772"/>
    <n v="9.8835122673037965"/>
    <n v="263282"/>
    <x v="12"/>
    <s v="2.20.05.03"/>
    <x v="14"/>
    <n v="27228"/>
    <x v="31"/>
    <n v="4"/>
    <s v="COZAC"/>
    <x v="55"/>
    <s v="CAIXA"/>
    <s v="CAIXA"/>
    <s v="NOTA FISCAL DE SERVIÇOS"/>
    <s v="9.3"/>
  </r>
  <r>
    <s v="*** Pagamento ***"/>
    <d v="2025-07-30T00:00:00"/>
    <d v="2025-07-25T00:00:00"/>
    <n v="181.82"/>
    <n v="9.1221095043609992"/>
    <n v="9.1221095043609992"/>
    <d v="2025-11-17T00:00:00"/>
    <n v="9.1722444357547772"/>
    <n v="9.8835122673037965"/>
    <n v="263282"/>
    <x v="12"/>
    <s v="2.20.05.03"/>
    <x v="14"/>
    <n v="27220"/>
    <x v="21"/>
    <n v="4"/>
    <s v="COZAC"/>
    <x v="55"/>
    <s v="CAIXA"/>
    <s v="CAIXA"/>
    <s v="NOTA FISCAL DE SERVIÇOS"/>
    <s v="9.3"/>
  </r>
  <r>
    <s v="*** Pagamento ***"/>
    <d v="2025-07-30T00:00:00"/>
    <d v="2025-07-25T00:00:00"/>
    <n v="181.82"/>
    <n v="9.1221095043609992"/>
    <n v="9.1221095043609992"/>
    <d v="2025-11-17T00:00:00"/>
    <n v="9.1722444357547772"/>
    <n v="9.8835122673037965"/>
    <n v="263282"/>
    <x v="12"/>
    <s v="2.20.05.03"/>
    <x v="14"/>
    <n v="27189"/>
    <x v="40"/>
    <n v="4"/>
    <s v="COZAC"/>
    <x v="55"/>
    <s v="CAIXA"/>
    <s v="CAIXA"/>
    <s v="NOTA FISCAL DE SERVIÇOS"/>
    <s v="9.3"/>
  </r>
  <r>
    <s v="*** Pagamento ***"/>
    <d v="2025-07-30T00:00:00"/>
    <d v="2025-07-25T00:00:00"/>
    <n v="181.82"/>
    <n v="9.1221095043609992"/>
    <n v="9.1221095043609992"/>
    <d v="2025-11-17T00:00:00"/>
    <n v="9.1722444357547772"/>
    <n v="9.8835122673037965"/>
    <n v="263282"/>
    <x v="12"/>
    <s v="2.20.05.03"/>
    <x v="14"/>
    <n v="27205"/>
    <x v="20"/>
    <n v="4"/>
    <s v="COZAC"/>
    <x v="55"/>
    <s v="CAIXA"/>
    <s v="CAIXA"/>
    <s v="NOTA FISCAL DE SERVIÇOS"/>
    <s v="9.3"/>
  </r>
  <r>
    <s v="*** Pagamento ***"/>
    <d v="2025-07-30T00:00:00"/>
    <d v="2025-07-25T00:00:00"/>
    <n v="181.82"/>
    <n v="9.1221095043609992"/>
    <n v="9.1221095043609992"/>
    <d v="2025-11-17T00:00:00"/>
    <n v="9.1722444357547772"/>
    <n v="9.8835122673037965"/>
    <n v="263282"/>
    <x v="12"/>
    <s v="2.20.05.03"/>
    <x v="14"/>
    <n v="27195"/>
    <x v="23"/>
    <n v="4"/>
    <s v="COZAC"/>
    <x v="55"/>
    <s v="CAIXA"/>
    <s v="CAIXA"/>
    <s v="NOTA FISCAL DE SERVIÇOS"/>
    <s v="9.3"/>
  </r>
  <r>
    <s v="*** Pagamento ***"/>
    <d v="2025-07-30T00:00:00"/>
    <d v="2025-07-25T00:00:00"/>
    <n v="181.82"/>
    <n v="9.1221095043609992"/>
    <n v="9.1221095043609992"/>
    <d v="2025-11-17T00:00:00"/>
    <n v="9.1722444357547772"/>
    <n v="9.8835122673037965"/>
    <n v="263282"/>
    <x v="12"/>
    <s v="2.20.05.03"/>
    <x v="14"/>
    <n v="27234"/>
    <x v="18"/>
    <n v="4"/>
    <s v="COZAC"/>
    <x v="55"/>
    <s v="CAIXA"/>
    <s v="CAIXA"/>
    <s v="NOTA FISCAL DE SERVIÇOS"/>
    <s v="9.3"/>
  </r>
  <r>
    <s v="*** Pagamento ***"/>
    <d v="2025-07-30T00:00:00"/>
    <d v="2025-07-25T00:00:00"/>
    <n v="181.82"/>
    <n v="9.1221095043609992"/>
    <n v="9.1221095043609992"/>
    <d v="2025-11-17T00:00:00"/>
    <n v="9.1722444357547772"/>
    <n v="9.8835122673037965"/>
    <n v="263282"/>
    <x v="12"/>
    <s v="2.20.05.03"/>
    <x v="14"/>
    <n v="27222"/>
    <x v="32"/>
    <n v="4"/>
    <s v="COZAC"/>
    <x v="55"/>
    <s v="CAIXA"/>
    <s v="CAIXA"/>
    <s v="NOTA FISCAL DE SERVIÇOS"/>
    <s v="9.3"/>
  </r>
  <r>
    <s v="*** Pagamento ***"/>
    <d v="2025-07-30T00:00:00"/>
    <d v="2025-07-25T00:00:00"/>
    <n v="181.82"/>
    <n v="9.1221095043609992"/>
    <n v="9.1221095043609992"/>
    <d v="2025-11-17T00:00:00"/>
    <n v="9.1722444357547772"/>
    <n v="9.8835122673037965"/>
    <n v="263282"/>
    <x v="12"/>
    <s v="2.20.05.03"/>
    <x v="14"/>
    <n v="27180"/>
    <x v="15"/>
    <n v="4"/>
    <s v="COZAC"/>
    <x v="55"/>
    <s v="CAIXA"/>
    <s v="CAIXA"/>
    <s v="NOTA FISCAL DE SERVIÇOS"/>
    <s v="9.3"/>
  </r>
  <r>
    <s v="*** Pagamento ***"/>
    <d v="2025-07-30T00:00:00"/>
    <d v="2025-07-25T00:00:00"/>
    <n v="181.82"/>
    <n v="9.1221095043609992"/>
    <n v="9.1221095043609992"/>
    <d v="2025-11-17T00:00:00"/>
    <n v="9.1722444357547772"/>
    <n v="9.8835122673037965"/>
    <n v="263282"/>
    <x v="12"/>
    <s v="2.20.05.03"/>
    <x v="14"/>
    <n v="27218"/>
    <x v="28"/>
    <n v="4"/>
    <s v="COZAC"/>
    <x v="55"/>
    <s v="CAIXA"/>
    <s v="CAIXA"/>
    <s v="NOTA FISCAL DE SERVIÇOS"/>
    <s v="9.3"/>
  </r>
  <r>
    <s v="*** Pagamento ***"/>
    <d v="2025-07-30T00:00:00"/>
    <d v="2025-07-25T00:00:00"/>
    <n v="181.82"/>
    <n v="9.1221095043609992"/>
    <n v="9.1221095043609992"/>
    <d v="2025-11-17T00:00:00"/>
    <n v="9.1722444357547772"/>
    <n v="9.8835122673037965"/>
    <n v="263282"/>
    <x v="12"/>
    <s v="2.20.05.03"/>
    <x v="14"/>
    <n v="27203"/>
    <x v="19"/>
    <n v="4"/>
    <s v="COZAC"/>
    <x v="55"/>
    <s v="CAIXA"/>
    <s v="CAIXA"/>
    <s v="NOTA FISCAL DE SERVIÇOS"/>
    <s v="9.3"/>
  </r>
  <r>
    <s v="*** Pagamento ***"/>
    <d v="2025-07-30T00:00:00"/>
    <d v="2025-07-25T00:00:00"/>
    <n v="181.82"/>
    <n v="9.1221095043609992"/>
    <n v="9.1221095043609992"/>
    <d v="2025-11-17T00:00:00"/>
    <n v="9.1722444357547772"/>
    <n v="9.8835122673037965"/>
    <n v="263282"/>
    <x v="12"/>
    <s v="2.20.05.03"/>
    <x v="14"/>
    <n v="27215"/>
    <x v="22"/>
    <n v="4"/>
    <s v="COZAC"/>
    <x v="55"/>
    <s v="CAIXA"/>
    <s v="CAIXA"/>
    <s v="NOTA FISCAL DE SERVIÇOS"/>
    <s v="9.3"/>
  </r>
  <r>
    <s v="*** Pagamento ***"/>
    <d v="2025-07-30T00:00:00"/>
    <d v="2025-07-25T00:00:00"/>
    <n v="181.82"/>
    <n v="9.1221095043609992"/>
    <n v="9.1221095043609992"/>
    <d v="2025-11-17T00:00:00"/>
    <n v="9.1722444357547772"/>
    <n v="9.8835122673037965"/>
    <n v="263282"/>
    <x v="12"/>
    <s v="2.20.05.03"/>
    <x v="14"/>
    <n v="27233"/>
    <x v="25"/>
    <n v="4"/>
    <s v="COZAC"/>
    <x v="55"/>
    <s v="CAIXA"/>
    <s v="CAIXA"/>
    <s v="NOTA FISCAL DE SERVIÇOS"/>
    <s v="9.3"/>
  </r>
  <r>
    <s v="*** Pagamento ***"/>
    <d v="2025-07-30T00:00:00"/>
    <d v="2025-07-25T00:00:00"/>
    <n v="181.82"/>
    <n v="9.1221095043609992"/>
    <n v="9.1221095043609992"/>
    <d v="2025-11-17T00:00:00"/>
    <n v="9.1722444357547772"/>
    <n v="9.8835122673037965"/>
    <n v="263282"/>
    <x v="12"/>
    <s v="2.20.05.03"/>
    <x v="14"/>
    <n v="27209"/>
    <x v="27"/>
    <n v="4"/>
    <s v="COZAC"/>
    <x v="55"/>
    <s v="CAIXA"/>
    <s v="CAIXA"/>
    <s v="NOTA FISCAL DE SERVIÇOS"/>
    <s v="9.3"/>
  </r>
  <r>
    <s v="*** Pagamento ***"/>
    <d v="2025-07-30T00:00:00"/>
    <d v="2025-07-25T00:00:00"/>
    <n v="181.82"/>
    <n v="9.1221095043609992"/>
    <n v="9.1221095043609992"/>
    <d v="2025-11-17T00:00:00"/>
    <n v="9.1722444357547772"/>
    <n v="9.8835122673037965"/>
    <n v="263282"/>
    <x v="12"/>
    <s v="2.20.05.03"/>
    <x v="14"/>
    <n v="27201"/>
    <x v="29"/>
    <n v="4"/>
    <s v="COZAC"/>
    <x v="55"/>
    <s v="CAIXA"/>
    <s v="CAIXA"/>
    <s v="NOTA FISCAL DE SERVIÇOS"/>
    <s v="9.3"/>
  </r>
  <r>
    <s v="*** Pagamento ***"/>
    <d v="2025-07-30T00:00:00"/>
    <d v="2025-07-25T00:00:00"/>
    <n v="181.82"/>
    <n v="9.1221095043609992"/>
    <n v="9.1221095043609992"/>
    <d v="2025-11-17T00:00:00"/>
    <n v="9.1722444357547772"/>
    <n v="9.8835122673037965"/>
    <n v="263282"/>
    <x v="12"/>
    <s v="2.20.05.03"/>
    <x v="14"/>
    <n v="27230"/>
    <x v="37"/>
    <n v="4"/>
    <s v="COZAC"/>
    <x v="55"/>
    <s v="CAIXA"/>
    <s v="CAIXA"/>
    <s v="NOTA FISCAL DE SERVIÇOS"/>
    <s v="9.3"/>
  </r>
  <r>
    <s v="*** Pagamento ***"/>
    <d v="2025-07-30T00:00:00"/>
    <d v="2025-07-25T00:00:00"/>
    <n v="181.82"/>
    <n v="9.1221095043609992"/>
    <n v="9.1221095043609992"/>
    <d v="2025-11-17T00:00:00"/>
    <n v="9.1722444357547772"/>
    <n v="9.8835122673037965"/>
    <n v="263282"/>
    <x v="12"/>
    <s v="2.20.05.03"/>
    <x v="14"/>
    <n v="27213"/>
    <x v="24"/>
    <n v="4"/>
    <s v="COZAC"/>
    <x v="55"/>
    <s v="CAIXA"/>
    <s v="CAIXA"/>
    <s v="NOTA FISCAL DE SERVIÇOS"/>
    <s v="9.3"/>
  </r>
  <r>
    <s v="*** Pagamento ***"/>
    <d v="2025-07-30T00:00:00"/>
    <d v="2025-07-25T00:00:00"/>
    <n v="181.82"/>
    <n v="9.1221095043609992"/>
    <n v="9.1221095043609992"/>
    <d v="2025-11-17T00:00:00"/>
    <n v="9.1722444357547772"/>
    <n v="9.8835122673037965"/>
    <n v="263282"/>
    <x v="12"/>
    <s v="2.20.05.03"/>
    <x v="14"/>
    <n v="27196"/>
    <x v="41"/>
    <n v="4"/>
    <s v="COZAC"/>
    <x v="55"/>
    <s v="CAIXA"/>
    <s v="CAIXA"/>
    <s v="NOTA FISCAL DE SERVIÇOS"/>
    <s v="9.3"/>
  </r>
  <r>
    <s v="*** Pagamento ***"/>
    <d v="2025-07-30T00:00:00"/>
    <d v="2025-07-16T00:00:00"/>
    <n v="3860"/>
    <n v="3860"/>
    <n v="3860"/>
    <d v="2025-11-17T00:00:00"/>
    <n v="3881.2144828"/>
    <n v="4182.1858566326291"/>
    <n v="262762"/>
    <x v="3"/>
    <s v="2.20.02.01"/>
    <x v="5"/>
    <n v="27218"/>
    <x v="28"/>
    <n v="4"/>
    <s v="COZAC"/>
    <x v="151"/>
    <s v="13017348-8"/>
    <s v="SANTANDER - ENF SPE RESIDENCIAL"/>
    <s v="GUIA PARA RECOLHIMENTO DE IMPOSTOS"/>
    <s v="13378"/>
  </r>
  <r>
    <s v="*** Pagamento ***"/>
    <d v="2025-07-30T00:00:00"/>
    <d v="2025-07-25T00:00:00"/>
    <n v="181.82"/>
    <n v="8.4999194171409993"/>
    <n v="8.4999194171409993"/>
    <d v="2025-11-17T00:00:00"/>
    <n v="8.5466348042592184"/>
    <n v="9.209389318363769"/>
    <n v="263282"/>
    <x v="12"/>
    <s v="2.20.05.03"/>
    <x v="14"/>
    <n v="27223"/>
    <x v="17"/>
    <n v="4"/>
    <s v="COZAC"/>
    <x v="55"/>
    <s v="CAIXA"/>
    <s v="CAIXA"/>
    <s v="NOTA FISCAL DE SERVIÇOS"/>
    <s v="9.3"/>
  </r>
  <r>
    <s v="*** Pagamento ***"/>
    <d v="2025-07-30T00:00:00"/>
    <d v="2025-07-25T00:00:00"/>
    <n v="181.82"/>
    <n v="9.1221095043609992"/>
    <n v="9.1221095043609992"/>
    <d v="2025-11-17T00:00:00"/>
    <n v="9.1722444357547772"/>
    <n v="9.8835122673037965"/>
    <n v="263282"/>
    <x v="12"/>
    <s v="2.20.05.03"/>
    <x v="14"/>
    <n v="27193"/>
    <x v="30"/>
    <n v="4"/>
    <s v="COZAC"/>
    <x v="55"/>
    <s v="CAIXA"/>
    <s v="CAIXA"/>
    <s v="NOTA FISCAL DE SERVIÇOS"/>
    <s v="9.3"/>
  </r>
  <r>
    <s v="*** Pagamento ***"/>
    <d v="2025-10-30T00:00:00"/>
    <d v="2025-10-07T00:00:00"/>
    <n v="1082.1300000000001"/>
    <n v="541.06999999999596"/>
    <n v="541.06999999999596"/>
    <d v="2025-11-17T00:00:00"/>
    <n v="541.23196389379598"/>
    <n v="548.21463157074186"/>
    <n v="278195"/>
    <x v="10"/>
    <s v="2.20.05.03"/>
    <x v="14"/>
    <n v="27191"/>
    <x v="38"/>
    <n v="4"/>
    <s v="COZAC"/>
    <x v="56"/>
    <s v="CAIXA"/>
    <s v="CAIXA"/>
    <s v="NOTA FISCAL DE SERVIÇOS"/>
    <s v="947.3"/>
  </r>
  <r>
    <s v="*** Pagamento ***"/>
    <d v="2025-10-30T00:00:00"/>
    <d v="2025-10-07T00:00:00"/>
    <n v="1082.1300000000001"/>
    <n v="541.06000000000404"/>
    <n v="541.06000000000404"/>
    <d v="2025-11-17T00:00:00"/>
    <n v="541.22196090040404"/>
    <n v="548.20449952440538"/>
    <n v="278195"/>
    <x v="10"/>
    <s v="2.20.05.03"/>
    <x v="14"/>
    <n v="27198"/>
    <x v="33"/>
    <n v="4"/>
    <s v="COZAC"/>
    <x v="56"/>
    <s v="CAIXA"/>
    <s v="CAIXA"/>
    <s v="NOTA FISCAL DE SERVIÇOS"/>
    <s v="947.3"/>
  </r>
  <r>
    <s v="*** Pagamento ***"/>
    <d v="2025-10-31T00:00:00"/>
    <d v="2025-10-30T00:00:00"/>
    <n v="4507.6400000000003"/>
    <n v="1227.58"/>
    <n v="1227.58"/>
    <d v="2025-11-17T00:00:00"/>
    <n v="1227.9474637971998"/>
    <n v="1242.8836143476403"/>
    <n v="277830"/>
    <x v="3"/>
    <s v="2.20.03.15"/>
    <x v="16"/>
    <n v="27198"/>
    <x v="33"/>
    <n v="4"/>
    <s v="COZAC"/>
    <x v="152"/>
    <s v="13017348-8"/>
    <s v="SANTANDER - ENF SPE RESIDENCIAL"/>
    <s v="GUIA PARA RECOLHIMENTO DE IMPOSTOS"/>
    <s v="176875"/>
  </r>
  <r>
    <s v="*** Pagamento ***"/>
    <d v="2025-10-31T00:00:00"/>
    <d v="2025-10-30T00:00:00"/>
    <n v="4507.6400000000003"/>
    <n v="3280.06"/>
    <n v="3280.06"/>
    <d v="2025-11-17T00:00:00"/>
    <n v="3281.0418531604"/>
    <n v="3320.9508366681771"/>
    <n v="277830"/>
    <x v="3"/>
    <s v="2.20.03.15"/>
    <x v="16"/>
    <n v="27198"/>
    <x v="33"/>
    <n v="4"/>
    <s v="COZAC"/>
    <x v="152"/>
    <s v="13017348-8"/>
    <s v="SANTANDER - ENF SPE RESIDENCIAL"/>
    <s v="GUIA PARA RECOLHIMENTO DE IMPOSTOS"/>
    <s v="17687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0">
  <r>
    <s v="*** Pagamento ***"/>
    <x v="0"/>
    <d v="2023-06-01T00:00:00"/>
    <d v="2023-05-25T00:00:00"/>
    <n v="800"/>
    <n v="800"/>
    <n v="800"/>
    <d v="2025-11-17T00:00:00"/>
    <n v="876.47702400000003"/>
    <n v="1688.8804821947183"/>
    <n v="174426"/>
    <s v="FELSBERG E PEDRETTI ADVOGADOS E CONSULTORES LEGAIS"/>
    <s v="2.20.04.02"/>
    <x v="0"/>
    <n v="10027"/>
    <s v="0015292_COZAC_FALENCIA"/>
    <n v="44"/>
    <s v="FALENCIA E RJ_TOMBADO"/>
    <x v="0"/>
    <s v="13013697-3"/>
    <s v="SANTANDER - ENFORCE"/>
    <s v="NOTA DE DEBITO"/>
    <s v="169312"/>
  </r>
  <r>
    <s v="*** Pagamento ***"/>
    <x v="0"/>
    <d v="2023-06-01T00:00:00"/>
    <d v="2023-05-11T00:00:00"/>
    <n v="100"/>
    <n v="100"/>
    <n v="100"/>
    <d v="2025-11-17T00:00:00"/>
    <n v="109.559628"/>
    <n v="211.11006027433979"/>
    <n v="174392"/>
    <s v="FELSBERG E PEDRETTI ADVOGADOS E CONSULTORES LEGAIS"/>
    <s v="2.20.04.02"/>
    <x v="0"/>
    <n v="10027"/>
    <s v="0015292_COZAC_FALENCIA"/>
    <n v="44"/>
    <s v="FALENCIA E RJ_TOMBADO"/>
    <x v="1"/>
    <s v="13013697-3"/>
    <s v="SANTANDER - ENFORCE"/>
    <s v="NOTA DE DEBITO"/>
    <s v="170497"/>
  </r>
  <r>
    <s v="*** Pagamento ***"/>
    <x v="0"/>
    <d v="2022-07-01T00:00:00"/>
    <d v="2022-07-01T00:00:00"/>
    <n v="1297.47"/>
    <n v="1297.47"/>
    <n v="1297.47"/>
    <d v="2025-11-17T00:00:00"/>
    <n v="1465.5993154521"/>
    <n v="3604.9915721399439"/>
    <n v="152297"/>
    <s v="GOVERNO DO ESTADO DE SÃO PAULO - SECRETARIA DA FAZENDA"/>
    <s v="2.20.04.04"/>
    <x v="1"/>
    <n v="10027"/>
    <s v="0015292_COZAC_FALENCIA"/>
    <n v="44"/>
    <s v="FALENCIA E RJ_TOMBADO"/>
    <x v="2"/>
    <s v="13013697-3"/>
    <s v="SANTANDER - ENFORCE"/>
    <s v="GUIA PARA RECOLHIMENTO DE IMPOSTOS"/>
    <s v="220590074051094"/>
  </r>
  <r>
    <s v="*** Pagamento ***"/>
    <x v="0"/>
    <d v="2022-09-01T00:00:00"/>
    <d v="2022-08-26T00:00:00"/>
    <n v="66.650000000000006"/>
    <n v="66.650000000000006"/>
    <n v="66.650000000000006"/>
    <d v="2025-11-17T00:00:00"/>
    <n v="75.976678414000006"/>
    <n v="178.62643299988292"/>
    <n v="156817"/>
    <s v="OPERADOR NACIONAL DO SISTEMA DE REGISTRO ELETRONICO DE IMOVEIS ( ONR )"/>
    <s v="2.20.02.03"/>
    <x v="2"/>
    <n v="10027"/>
    <s v="0015292_COZAC_FALENCIA"/>
    <n v="44"/>
    <s v="FALENCIA E RJ_TOMBADO"/>
    <x v="3"/>
    <s v="13013697-3"/>
    <s v="SANTANDER - ENFORCE"/>
    <s v="BOLETO"/>
    <s v="61351049"/>
  </r>
  <r>
    <s v="*** Pagamento ***"/>
    <x v="0"/>
    <d v="2025-09-01T00:00:00"/>
    <d v="2025-08-14T00:00:00"/>
    <n v="3000"/>
    <n v="73.179999999990002"/>
    <n v="73.179999999990002"/>
    <d v="2025-11-17T00:00:00"/>
    <n v="73.582587329389952"/>
    <n v="77.829863998843379"/>
    <n v="268132"/>
    <s v="R.P.D. - DOCUMENTOS, APOIO EMPRESARIAL E NEGOCIOS LTDA"/>
    <s v="2.20.02.11"/>
    <x v="3"/>
    <n v="10027"/>
    <s v="0015292_COZAC_FALENCIA"/>
    <n v="44"/>
    <s v="FALENCIA E RJ_TOMBADO"/>
    <x v="4"/>
    <s v="13013697-3"/>
    <s v="SANTANDER - ENFORCE"/>
    <s v="NOTA FISCAL DE SERVIÇOS"/>
    <s v="33435"/>
  </r>
  <r>
    <s v="*** Pagamento ***"/>
    <x v="0"/>
    <d v="2020-04-02T00:00:00"/>
    <d v="2020-03-12T00:00:00"/>
    <n v="5500"/>
    <n v="179.99999999998499"/>
    <n v="179.99999999998499"/>
    <d v="2025-11-17T00:00:00"/>
    <n v="248.09673419997929"/>
    <n v="1109.2966043946944"/>
    <n v="87902"/>
    <s v="NELSON HENRIQUE SANTANA ALEXANDRE 40012558800"/>
    <s v="2.20.02.10"/>
    <x v="4"/>
    <n v="10027"/>
    <s v="0015292_COZAC_FALENCIA"/>
    <n v="44"/>
    <s v="FALENCIA E RJ_TOMBADO"/>
    <x v="5"/>
    <s v="13013697-3"/>
    <s v="SANTANDER - ENFORCE"/>
    <s v="NOTA FISCAL DE SERVIÇOS"/>
    <s v="57"/>
  </r>
  <r>
    <s v="*** Pagamento ***"/>
    <x v="0"/>
    <d v="2022-09-02T00:00:00"/>
    <d v="2022-08-30T00:00:00"/>
    <n v="5663.85"/>
    <n v="5663.85"/>
    <n v="5663.85"/>
    <d v="2025-11-17T00:00:00"/>
    <n v="6456.421755966001"/>
    <n v="15168.436083833623"/>
    <n v="156908"/>
    <s v="SEXTO TABELIAO DE NOTAS DA COMARCA DE CAMPINAS-SP"/>
    <s v="2.20.05.02"/>
    <x v="5"/>
    <n v="10027"/>
    <s v="0015292_COZAC_FALENCIA"/>
    <n v="44"/>
    <s v="FALENCIA E RJ_TOMBADO"/>
    <x v="6"/>
    <s v="13013697-3"/>
    <s v="SANTANDER - ENFORCE"/>
    <s v="RECIBO"/>
    <s v="23558"/>
  </r>
  <r>
    <s v="*** Pagamento ***"/>
    <x v="0"/>
    <d v="2022-09-02T00:00:00"/>
    <d v="2022-08-26T00:00:00"/>
    <n v="66.650000000000006"/>
    <n v="66.650000000000006"/>
    <n v="66.650000000000006"/>
    <d v="2025-11-17T00:00:00"/>
    <n v="75.976678414000006"/>
    <n v="178.49629933481836"/>
    <n v="156899"/>
    <s v="OPERADOR NACIONAL DO SISTEMA DE REGISTRO ELETRONICO DE IMOVEIS ( ONR )"/>
    <s v="2.20.02.03"/>
    <x v="2"/>
    <n v="10027"/>
    <s v="0015292_COZAC_FALENCIA"/>
    <n v="44"/>
    <s v="FALENCIA E RJ_TOMBADO"/>
    <x v="7"/>
    <s v="13013697-3"/>
    <s v="SANTANDER - ENFORCE"/>
    <s v="BOLETO"/>
    <s v="61351053"/>
  </r>
  <r>
    <s v="*** Pagamento ***"/>
    <x v="0"/>
    <d v="2025-09-02T00:00:00"/>
    <d v="2025-08-14T00:00:00"/>
    <n v="50695.199999999997"/>
    <n v="568.69999999979098"/>
    <n v="568.69999999979098"/>
    <d v="2025-11-17T00:00:00"/>
    <n v="571.82860637078977"/>
    <n v="604.3946137659816"/>
    <n v="268144"/>
    <s v="R.P.D. - DOCUMENTOS, APOIO EMPRESARIAL E NEGOCIOS LTDA"/>
    <s v="2.20.02.11"/>
    <x v="3"/>
    <n v="10027"/>
    <s v="0015292_COZAC_FALENCIA"/>
    <n v="44"/>
    <s v="FALENCIA E RJ_TOMBADO"/>
    <x v="8"/>
    <s v="13013697-3"/>
    <s v="SANTANDER - ENFORCE"/>
    <s v="NOTA FISCAL DE SERVIÇOS"/>
    <s v="33432"/>
  </r>
  <r>
    <s v="*** Pagamento ***"/>
    <x v="0"/>
    <d v="2025-06-03T00:00:00"/>
    <d v="2025-05-16T00:00:00"/>
    <n v="18582"/>
    <n v="1175.99999999995"/>
    <n v="1175.99999999995"/>
    <d v="2025-11-17T00:00:00"/>
    <n v="1185.1836427199496"/>
    <n v="1338.5749828480048"/>
    <n v="254480"/>
    <s v="DINIZ E FRAIHA SOCIEDADE DE ADVOGADOS"/>
    <s v="2.20.05.11"/>
    <x v="6"/>
    <n v="10027"/>
    <s v="0015292_COZAC_FALENCIA"/>
    <n v="44"/>
    <s v="FALENCIA E RJ_TOMBADO"/>
    <x v="9"/>
    <s v="13013697-3"/>
    <s v="SANTANDER - ENFORCE"/>
    <s v="NOTA FISCAL DE SERVIÇOS"/>
    <s v="1015"/>
  </r>
  <r>
    <s v="*** Pagamento ***"/>
    <x v="0"/>
    <d v="2025-06-03T00:00:00"/>
    <d v="2025-05-01T00:00:00"/>
    <n v="7330.27"/>
    <n v="75.290000000036997"/>
    <n v="75.290000000036997"/>
    <d v="2025-11-17T00:00:00"/>
    <n v="75.877956173837276"/>
    <n v="85.698393247176938"/>
    <n v="255141"/>
    <s v="UBER DO BRASIL TECNOLOGIA LTDA."/>
    <s v="2.20.01.09"/>
    <x v="7"/>
    <n v="10027"/>
    <s v="0015292_COZAC_FALENCIA"/>
    <n v="44"/>
    <s v="FALENCIA E RJ_TOMBADO"/>
    <x v="10"/>
    <s v="13013697-3"/>
    <s v="SANTANDER - ENFORCE"/>
    <s v="FATURA"/>
    <s v="D32522"/>
  </r>
  <r>
    <s v="*** Pagamento ***"/>
    <x v="0"/>
    <d v="2023-07-03T00:00:00"/>
    <d v="2023-06-05T00:00:00"/>
    <n v="86989.25"/>
    <n v="130.18999999962799"/>
    <n v="130.18999999962799"/>
    <d v="2025-11-17T00:00:00"/>
    <n v="142.778390065092"/>
    <n v="268.7772854632949"/>
    <n v="176020"/>
    <s v="4MTI SOLUÇÕES LTDA ME"/>
    <s v="2.20.05.04"/>
    <x v="8"/>
    <n v="10027"/>
    <s v="0015292_COZAC_FALENCIA"/>
    <n v="44"/>
    <s v="FALENCIA E RJ_TOMBADO"/>
    <x v="11"/>
    <s v="13013697-3"/>
    <s v="SANTANDER - ENFORCE"/>
    <s v="NOTA FISCAL DE SERVIÇOS"/>
    <s v="2023/122"/>
  </r>
  <r>
    <s v="*** Pagamento ***"/>
    <x v="0"/>
    <d v="2025-09-03T00:00:00"/>
    <d v="2025-08-27T00:00:00"/>
    <n v="50700"/>
    <n v="539.99999999977194"/>
    <n v="539.99999999977194"/>
    <d v="2025-11-17T00:00:00"/>
    <n v="542.97071819977066"/>
    <n v="573.47515520327295"/>
    <n v="268202"/>
    <s v="ARTHUR EDUARDO BUAVA RIBEIRO SOCIEDADE INDIVIDUAL DE ADVOCACIA"/>
    <s v="2.20.05.03"/>
    <x v="9"/>
    <n v="10027"/>
    <s v="0015292_COZAC_FALENCIA"/>
    <n v="44"/>
    <s v="FALENCIA E RJ_TOMBADO"/>
    <x v="12"/>
    <s v="13013697-3"/>
    <s v="SANTANDER - ENFORCE"/>
    <s v="NOTA FISCAL DE SERVIÇOS"/>
    <s v="318"/>
  </r>
  <r>
    <s v="*** Pagamento ***"/>
    <x v="0"/>
    <d v="2021-03-04T00:00:00"/>
    <d v="2021-02-22T00:00:00"/>
    <n v="200"/>
    <n v="200"/>
    <n v="200"/>
    <d v="2025-11-17T00:00:00"/>
    <n v="259.99676399999998"/>
    <n v="910.01269286461809"/>
    <n v="104957"/>
    <s v="FELSBERG E PEDRETTI ADVOGADOS E CONSULTORES LEGAIS"/>
    <s v="2.20.04.02"/>
    <x v="0"/>
    <n v="10027"/>
    <s v="0015292_COZAC_FALENCIA"/>
    <n v="44"/>
    <s v="FALENCIA E RJ_TOMBADO"/>
    <x v="13"/>
    <s v="13013697-3"/>
    <s v="SANTANDER - ENFORCE"/>
    <s v="NOTA DE DEBITO"/>
    <s v="152844"/>
  </r>
  <r>
    <s v="*** Pagamento ***"/>
    <x v="0"/>
    <d v="2025-06-04T00:00:00"/>
    <d v="2025-05-29T00:00:00"/>
    <n v="13800"/>
    <n v="900.00000000003001"/>
    <n v="900.00000000003001"/>
    <d v="2025-11-17T00:00:00"/>
    <n v="907.02829800003019"/>
    <n v="1023.6733153205465"/>
    <n v="255285"/>
    <s v="APOIO JUS ADMINISTRATIVOS DE LIMEIRA LTDA"/>
    <s v="2.20.02.12"/>
    <x v="10"/>
    <n v="10027"/>
    <s v="0015292_COZAC_FALENCIA"/>
    <n v="44"/>
    <s v="FALENCIA E RJ_TOMBADO"/>
    <x v="14"/>
    <s v="13013697-3"/>
    <s v="SANTANDER - ENFORCE"/>
    <s v="NOTA FISCAL DE SERVIÇOS"/>
    <s v="4161"/>
  </r>
  <r>
    <s v="*** Pagamento ***"/>
    <x v="0"/>
    <d v="2023-07-04T00:00:00"/>
    <d v="2023-06-21T00:00:00"/>
    <n v="30765"/>
    <n v="630.00000000004002"/>
    <n v="630.00000000004002"/>
    <d v="2025-11-17T00:00:00"/>
    <n v="690.91624350004383"/>
    <n v="1299.6876033408214"/>
    <n v="176220"/>
    <s v="NATHALIA RAMBELLI - ME"/>
    <s v="2.20.05.03"/>
    <x v="9"/>
    <n v="10027"/>
    <s v="0015292_COZAC_FALENCIA"/>
    <n v="44"/>
    <s v="FALENCIA E RJ_TOMBADO"/>
    <x v="15"/>
    <s v="13013697-3"/>
    <s v="SANTANDER - ENFORCE"/>
    <s v="NOTA FISCAL DE SERVIÇOS"/>
    <s v="162"/>
  </r>
  <r>
    <s v="*** Pagamento ***"/>
    <x v="0"/>
    <d v="2023-08-04T00:00:00"/>
    <d v="2023-08-01T00:00:00"/>
    <n v="37250"/>
    <n v="37.959999999830004"/>
    <n v="37.959999999830004"/>
    <d v="2025-11-17T00:00:00"/>
    <n v="41.667960510613398"/>
    <n v="76.630918085612237"/>
    <n v="178654"/>
    <s v="R. DIAS TEIXEIRA FILHO"/>
    <s v="2.20.05.06"/>
    <x v="11"/>
    <n v="10027"/>
    <s v="0015292_COZAC_FALENCIA"/>
    <n v="44"/>
    <s v="FALENCIA E RJ_TOMBADO"/>
    <x v="16"/>
    <s v="13013697-3"/>
    <s v="SANTANDER - ENFORCE"/>
    <s v="NOTA FISCAL DE SERVIÇOS"/>
    <s v="80"/>
  </r>
  <r>
    <s v="*** Pagamento ***"/>
    <x v="0"/>
    <d v="2025-08-04T00:00:00"/>
    <d v="2025-07-25T00:00:00"/>
    <n v="4192.2"/>
    <n v="14.39999999998"/>
    <n v="14.39999999998"/>
    <d v="2025-11-17T00:00:00"/>
    <n v="14.448805343979933"/>
    <n v="15.597874367115967"/>
    <n v="263376"/>
    <s v="EWERTON FERREIRA DE SOUSA SOCIEDADE INDIVIDUAL DE ADVOCACIA"/>
    <s v="2.20.05.11"/>
    <x v="6"/>
    <n v="10027"/>
    <s v="0015292_COZAC_FALENCIA"/>
    <n v="44"/>
    <s v="FALENCIA E RJ_TOMBADO"/>
    <x v="17"/>
    <s v="13013697-3"/>
    <s v="SANTANDER - ENFORCE"/>
    <s v="NOTA FISCAL DE SERVIÇOS"/>
    <s v="61"/>
  </r>
  <r>
    <s v="*** Pagamento ***"/>
    <x v="0"/>
    <d v="2022-04-05T00:00:00"/>
    <d v="2022-03-24T00:00:00"/>
    <n v="12226.31"/>
    <n v="279.13999999998998"/>
    <n v="279.13999999998998"/>
    <d v="2025-11-17T00:00:00"/>
    <n v="322.00914602058845"/>
    <n v="843.90491747217141"/>
    <n v="147480"/>
    <s v="SEXTO TABELIAO DE NOTAS DA COMARCA DE CAMPINAS-SP"/>
    <s v="2.20.02.11"/>
    <x v="3"/>
    <n v="10027"/>
    <s v="0015292_COZAC_FALENCIA"/>
    <n v="44"/>
    <s v="FALENCIA E RJ_TOMBADO"/>
    <x v="18"/>
    <s v="13013697-3"/>
    <s v="SANTANDER - ENFORCE"/>
    <s v="BOLETO"/>
    <s v="04.2022"/>
  </r>
  <r>
    <s v="*** Pagamento ***"/>
    <x v="0"/>
    <d v="2023-04-05T00:00:00"/>
    <d v="2023-03-22T00:00:00"/>
    <n v="2900"/>
    <n v="49.999999999986002"/>
    <n v="49.999999999986002"/>
    <d v="2025-11-17T00:00:00"/>
    <n v="55.268415499984528"/>
    <n v="111.01366110838859"/>
    <n v="171165"/>
    <s v="KARINA REIS DA SILVEIRA 35961827860"/>
    <s v="2.20.02.12"/>
    <x v="10"/>
    <n v="10027"/>
    <s v="0015292_COZAC_FALENCIA"/>
    <n v="44"/>
    <s v="FALENCIA E RJ_TOMBADO"/>
    <x v="19"/>
    <s v="13013697-3"/>
    <s v="SANTANDER - ENFORCE"/>
    <s v="NOTA FISCAL DE SERVIÇOS"/>
    <s v="12"/>
  </r>
  <r>
    <s v="*** Pagamento ***"/>
    <x v="0"/>
    <d v="2025-05-05T00:00:00"/>
    <d v="2025-04-30T00:00:00"/>
    <n v="744.8"/>
    <n v="744.8"/>
    <n v="744.8"/>
    <d v="2025-11-17T00:00:00"/>
    <n v="753.24381249600003"/>
    <n v="868.90320271224493"/>
    <n v="250821"/>
    <s v="FELSBERG E PEDRETTI ADVOGADOS E CONSULTORES LEGAIS"/>
    <s v="2.20.04.02"/>
    <x v="0"/>
    <n v="10027"/>
    <s v="0015292_COZAC_FALENCIA"/>
    <n v="44"/>
    <s v="FALENCIA E RJ_TOMBADO"/>
    <x v="20"/>
    <s v="13013697-3"/>
    <s v="SANTANDER - ENFORCE"/>
    <s v="NOTA DE DEBITO"/>
    <s v="1810181"/>
  </r>
  <r>
    <s v="*** Pagamento ***"/>
    <x v="0"/>
    <d v="2023-06-05T00:00:00"/>
    <d v="2023-05-17T00:00:00"/>
    <n v="500"/>
    <n v="500"/>
    <n v="500"/>
    <d v="2025-11-17T00:00:00"/>
    <n v="547.79813999999999"/>
    <n v="1052.4776857015199"/>
    <n v="174769"/>
    <s v="FELSBERG E PEDRETTI ADVOGADOS E CONSULTORES LEGAIS"/>
    <s v="2.20.04.02"/>
    <x v="0"/>
    <n v="10027"/>
    <s v="0015292_COZAC_FALENCIA"/>
    <n v="44"/>
    <s v="FALENCIA E RJ_TOMBADO"/>
    <x v="21"/>
    <s v="13013697-3"/>
    <s v="SANTANDER - ENFORCE"/>
    <s v="NOTA DE DEBITO"/>
    <s v="171487"/>
  </r>
  <r>
    <s v="*** Pagamento ***"/>
    <x v="0"/>
    <d v="2023-06-05T00:00:00"/>
    <d v="2023-05-23T00:00:00"/>
    <n v="3210"/>
    <n v="2400.0000000000032"/>
    <n v="2400.0000000000032"/>
    <d v="2025-11-17T00:00:00"/>
    <n v="2629.4310720000035"/>
    <n v="5051.8928913673026"/>
    <n v="174696"/>
    <s v="KARINA REIS DA SILVEIRA 35961827860"/>
    <s v="2.20.02.12"/>
    <x v="10"/>
    <n v="10027"/>
    <s v="0015292_COZAC_FALENCIA"/>
    <n v="44"/>
    <s v="FALENCIA E RJ_TOMBADO"/>
    <x v="22"/>
    <s v="13013697-3"/>
    <s v="SANTANDER - ENFORCE"/>
    <s v="NOTA FISCAL DE SERVIÇOS"/>
    <s v="3"/>
  </r>
  <r>
    <s v="*** Pagamento ***"/>
    <x v="0"/>
    <d v="2022-07-05T00:00:00"/>
    <d v="2022-07-04T00:00:00"/>
    <n v="200"/>
    <n v="200"/>
    <n v="200"/>
    <d v="2025-11-17T00:00:00"/>
    <n v="225.91648599999999"/>
    <n v="554.07797534298686"/>
    <n v="152373"/>
    <s v="FELSBERG E PEDRETTI ADVOGADOS E CONSULTORES LEGAIS"/>
    <s v="2.20.04.02"/>
    <x v="0"/>
    <n v="10027"/>
    <s v="0015292_COZAC_FALENCIA"/>
    <n v="44"/>
    <s v="FALENCIA E RJ_TOMBADO"/>
    <x v="23"/>
    <s v="13013697-3"/>
    <s v="SANTANDER - ENFORCE"/>
    <s v="FATURA"/>
    <s v="163629"/>
  </r>
  <r>
    <s v="*** Pagamento ***"/>
    <x v="0"/>
    <d v="2022-08-05T00:00:00"/>
    <d v="2022-07-08T00:00:00"/>
    <n v="37170"/>
    <n v="2327.2800000000202"/>
    <n v="2327.2800000000202"/>
    <d v="2025-11-17T00:00:00"/>
    <n v="2644.7248552848228"/>
    <n v="6341.4952447137339"/>
    <n v="155649"/>
    <s v="HERPICH E GOMES SERVICOS DE ENGENHARIA LTDA."/>
    <s v="2.20.06.07"/>
    <x v="12"/>
    <n v="10027"/>
    <s v="0015292_COZAC_FALENCIA"/>
    <n v="44"/>
    <s v="FALENCIA E RJ_TOMBADO"/>
    <x v="24"/>
    <s v="13013697-3"/>
    <s v="SANTANDER - ENFORCE"/>
    <s v="NOTA FISCAL DE SERVIÇOS"/>
    <s v="29"/>
  </r>
  <r>
    <s v="*** Pagamento ***"/>
    <x v="0"/>
    <d v="2019-09-05T00:00:00"/>
    <d v="2019-09-01T00:00:00"/>
    <n v="3010.84"/>
    <n v="76.500000000005002"/>
    <n v="76.500000000005002"/>
    <d v="2025-11-17T00:00:00"/>
    <n v="107.87348844000705"/>
    <n v="562.09317863659624"/>
    <n v="78244"/>
    <s v="SEXTO TABELIAO DE NOTAS DA COMARCA DE CAMPINAS-SP"/>
    <s v="2.20.02.12"/>
    <x v="10"/>
    <n v="10027"/>
    <s v="0015292_COZAC_FALENCIA"/>
    <n v="44"/>
    <s v="FALENCIA E RJ_TOMBADO"/>
    <x v="25"/>
    <s v="13013697-3"/>
    <s v="SANTANDER - ENFORCE"/>
    <s v="BOLETO"/>
    <s v="08/2019"/>
  </r>
  <r>
    <s v="*** Pagamento ***"/>
    <x v="0"/>
    <d v="2022-09-05T00:00:00"/>
    <d v="2022-08-24T00:00:00"/>
    <n v="43226"/>
    <n v="3352.500000000055"/>
    <n v="3352.500000000055"/>
    <d v="2025-11-17T00:00:00"/>
    <n v="3821.6326239000628"/>
    <n v="8958.7686462187448"/>
    <n v="156775"/>
    <s v="SIG LOCAL PROJETOS LTDA EPP"/>
    <s v="2.20.06.07"/>
    <x v="12"/>
    <n v="10027"/>
    <s v="0015292_COZAC_FALENCIA"/>
    <n v="44"/>
    <s v="FALENCIA E RJ_TOMBADO"/>
    <x v="26"/>
    <s v="13013697-3"/>
    <s v="SANTANDER - ENFORCE"/>
    <s v="NOTA FISCAL DE SERVIÇOS"/>
    <s v="76"/>
  </r>
  <r>
    <s v="*** Pagamento ***"/>
    <x v="0"/>
    <d v="2022-09-05T00:00:00"/>
    <d v="2022-08-24T00:00:00"/>
    <n v="27620"/>
    <n v="699.99999999998704"/>
    <n v="699.99999999998704"/>
    <d v="2025-11-17T00:00:00"/>
    <n v="797.95461199998522"/>
    <n v="1870.5855488002692"/>
    <n v="156869"/>
    <s v="BRUNO ICARO DE AGUIAR COSTA 11136066659"/>
    <s v="2.20.06.02"/>
    <x v="13"/>
    <n v="10027"/>
    <s v="0015292_COZAC_FALENCIA"/>
    <n v="44"/>
    <s v="FALENCIA E RJ_TOMBADO"/>
    <x v="27"/>
    <s v="13013697-3"/>
    <s v="SANTANDER - ENFORCE"/>
    <s v="NOTA FISCAL DE SERVIÇOS"/>
    <s v="18"/>
  </r>
  <r>
    <s v="*** Pagamento ***"/>
    <x v="0"/>
    <d v="2023-10-05T00:00:00"/>
    <d v="2023-10-02T00:00:00"/>
    <n v="35000"/>
    <n v="38.22"/>
    <n v="38.22"/>
    <d v="2025-11-17T00:00:00"/>
    <n v="41.823634234199993"/>
    <n v="73.519065023028944"/>
    <n v="183103"/>
    <s v="R. DIAS TEIXEIRA FILHO"/>
    <s v="2.20.03.20"/>
    <x v="14"/>
    <n v="10027"/>
    <s v="0015292_COZAC_FALENCIA"/>
    <n v="44"/>
    <s v="FALENCIA E RJ_TOMBADO"/>
    <x v="28"/>
    <s v="13013697-3"/>
    <s v="SANTANDER - ENFORCE"/>
    <s v="NOTA FISCAL DE SERVIÇOS"/>
    <s v="83"/>
  </r>
  <r>
    <s v="*** Pagamento ***"/>
    <x v="0"/>
    <d v="2023-06-06T00:00:00"/>
    <d v="2023-06-01T00:00:00"/>
    <n v="7700"/>
    <n v="60.000000000017003"/>
    <n v="60.000000000017003"/>
    <d v="2025-11-17T00:00:00"/>
    <n v="65.735776800018641"/>
    <n v="126.20531163853342"/>
    <n v="174887"/>
    <s v="BRUNO ICARO DE AGUIAR COSTA 11136066659"/>
    <s v="2.20.06.07"/>
    <x v="12"/>
    <n v="10027"/>
    <s v="0015292_COZAC_FALENCIA"/>
    <n v="44"/>
    <s v="FALENCIA E RJ_TOMBADO"/>
    <x v="29"/>
    <s v="13013697-3"/>
    <s v="SANTANDER - ENFORCE"/>
    <s v="NOTA FISCAL DE SERVIÇOS"/>
    <s v="27"/>
  </r>
  <r>
    <s v="*** Pagamento ***"/>
    <x v="0"/>
    <d v="2023-06-06T00:00:00"/>
    <d v="2023-06-02T00:00:00"/>
    <n v="500"/>
    <n v="250"/>
    <n v="250"/>
    <d v="2025-11-17T00:00:00"/>
    <n v="273.89906999999999"/>
    <n v="525.85546516040677"/>
    <n v="174903"/>
    <s v="DEBORAH MARTINS REIS IWAI"/>
    <s v="2.20.02.16"/>
    <x v="15"/>
    <n v="10027"/>
    <s v="0015292_COZAC_FALENCIA"/>
    <n v="44"/>
    <s v="FALENCIA E RJ_TOMBADO"/>
    <x v="30"/>
    <s v="13013697-3"/>
    <s v="SANTANDER - ENFORCE"/>
    <s v="RECIBO PROVISÓRIO AUTONOMO"/>
    <s v="020620231"/>
  </r>
  <r>
    <s v="*** Pagamento ***"/>
    <x v="0"/>
    <d v="2023-07-06T00:00:00"/>
    <d v="2023-07-03T00:00:00"/>
    <n v="38250"/>
    <n v="36.759999999847999"/>
    <n v="36.759999999847999"/>
    <d v="2025-11-17T00:00:00"/>
    <n v="40.314414461833302"/>
    <n v="75.725284074286733"/>
    <n v="176587"/>
    <s v="R. DIAS TEIXEIRA FILHO"/>
    <s v="2.20.05.06"/>
    <x v="11"/>
    <n v="10027"/>
    <s v="0015292_COZAC_FALENCIA"/>
    <n v="44"/>
    <s v="FALENCIA E RJ_TOMBADO"/>
    <x v="31"/>
    <s v="13013697-3"/>
    <s v="SANTANDER - ENFORCE"/>
    <s v="NOTA FISCAL DE SERVIÇOS"/>
    <s v="79"/>
  </r>
  <r>
    <s v="*** Pagamento ***"/>
    <x v="0"/>
    <d v="2025-08-06T00:00:00"/>
    <d v="2025-07-01T00:00:00"/>
    <n v="21930"/>
    <n v="540.00000000008902"/>
    <n v="540.00000000008902"/>
    <d v="2025-11-17T00:00:00"/>
    <n v="541.83020040008932"/>
    <n v="584.06834213437492"/>
    <n v="263377"/>
    <s v="ARTHUR EDUARDO BUAVA RIBEIRO SOCIEDADE INDIVIDUAL DE ADVOCACIA"/>
    <s v="2.20.02.12"/>
    <x v="10"/>
    <n v="10027"/>
    <s v="0015292_COZAC_FALENCIA"/>
    <n v="44"/>
    <s v="FALENCIA E RJ_TOMBADO"/>
    <x v="32"/>
    <s v="13013697-3"/>
    <s v="SANTANDER - ENFORCE"/>
    <s v="NOTA FISCAL DE SERVIÇOS"/>
    <s v="302"/>
  </r>
  <r>
    <s v="*** Pagamento ***"/>
    <x v="0"/>
    <d v="2023-09-06T00:00:00"/>
    <d v="2023-09-01T00:00:00"/>
    <n v="39250"/>
    <n v="98.290000000155004"/>
    <n v="98.290000000155004"/>
    <d v="2025-11-17T00:00:00"/>
    <n v="107.6756924421698"/>
    <n v="193.31904934804777"/>
    <n v="180942"/>
    <s v="R. DIAS TEIXEIRA FILHO"/>
    <s v="2.20.03.20"/>
    <x v="14"/>
    <n v="10027"/>
    <s v="0015292_COZAC_FALENCIA"/>
    <n v="44"/>
    <s v="FALENCIA E RJ_TOMBADO"/>
    <x v="33"/>
    <s v="13013697-3"/>
    <s v="SANTANDER - ENFORCE"/>
    <s v="NOTA FISCAL DE SERVIÇOS"/>
    <s v="82"/>
  </r>
  <r>
    <s v="*** Pagamento ***"/>
    <x v="0"/>
    <d v="2023-09-06T00:00:00"/>
    <d v="2023-09-01T00:00:00"/>
    <n v="6915"/>
    <n v="149.99999999999099"/>
    <n v="149.99999999999099"/>
    <d v="2025-11-17T00:00:00"/>
    <n v="164.32346999999012"/>
    <n v="295.02347545182312"/>
    <n v="181067"/>
    <s v="BRUNO ICARO DE AGUIAR COSTA 11136066659"/>
    <s v="2.20.06.07"/>
    <x v="12"/>
    <n v="10027"/>
    <s v="0015292_COZAC_FALENCIA"/>
    <n v="44"/>
    <s v="FALENCIA E RJ_TOMBADO"/>
    <x v="34"/>
    <s v="13013697-3"/>
    <s v="SANTANDER - ENFORCE"/>
    <s v="NOTA FISCAL DE SERVIÇOS"/>
    <s v="2"/>
  </r>
  <r>
    <s v="*** Abatimento de Adiantamento ***"/>
    <x v="0"/>
    <d v="2024-12-06T00:00:00"/>
    <d v="2024-12-01T00:00:00"/>
    <n v="49871.14"/>
    <n v="61.150000000205999"/>
    <n v="61.150000000205999"/>
    <d v="2025-11-17T00:00:00"/>
    <n v="63.68562572071454"/>
    <n v="81.950883899979274"/>
    <n v="227609"/>
    <s v="OPERADOR NACIONAL DO SISTEMA DE REGISTRO ELETRONICO DE IMOVEIS ( ONR )"/>
    <s v="2.20.05.01"/>
    <x v="16"/>
    <n v="10027"/>
    <s v="0015292_COZAC_FALENCIA"/>
    <n v="44"/>
    <s v="FALENCIA E RJ_TOMBADO"/>
    <x v="35"/>
    <s v="REA"/>
    <s v="Reapropriação Financeira"/>
    <s v="PRESTAÇÃO DE CONTAS"/>
    <s v="ARISP - 49871,14"/>
  </r>
  <r>
    <s v="*** Pagamento ***"/>
    <x v="0"/>
    <d v="2024-03-07T00:00:00"/>
    <d v="2024-02-08T00:00:00"/>
    <n v="107622.6"/>
    <n v="61.250000000158003"/>
    <n v="61.250000000158003"/>
    <d v="2025-11-17T00:00:00"/>
    <n v="65.603760862669233"/>
    <n v="103.07765035210163"/>
    <n v="193477"/>
    <s v="4MTI SOLUÇÕES LTDA ME"/>
    <s v="2.20.05.04"/>
    <x v="8"/>
    <n v="10027"/>
    <s v="0015292_COZAC_FALENCIA"/>
    <n v="44"/>
    <s v="FALENCIA E RJ_TOMBADO"/>
    <x v="36"/>
    <s v="13013697-3"/>
    <s v="SANTANDER - ENFORCE"/>
    <s v="NOTA FISCAL DE SERVIÇOS"/>
    <s v="2024/36"/>
  </r>
  <r>
    <s v="*** Pagamento ***"/>
    <x v="0"/>
    <d v="2022-06-07T00:00:00"/>
    <d v="2022-06-02T00:00:00"/>
    <n v="5856.19"/>
    <n v="802.44000000002802"/>
    <n v="802.44000000002802"/>
    <d v="2025-11-17T00:00:00"/>
    <n v="912.04236674283186"/>
    <n v="2282.9701687820971"/>
    <n v="151019"/>
    <s v="DMS ADMINISTRAÇÃO E DILIGENCIAS LTDA"/>
    <s v="2.20.05.01"/>
    <x v="16"/>
    <n v="10027"/>
    <s v="0015292_COZAC_FALENCIA"/>
    <n v="44"/>
    <s v="FALENCIA E RJ_TOMBADO"/>
    <x v="37"/>
    <s v="13013697-3"/>
    <s v="SANTANDER - ENFORCE"/>
    <s v="ADIANTAMENTO"/>
    <s v="02062022"/>
  </r>
  <r>
    <s v="*** Pagamento ***"/>
    <x v="0"/>
    <d v="2023-06-07T00:00:00"/>
    <d v="2023-06-05T00:00:00"/>
    <n v="12160"/>
    <n v="74.999999999942006"/>
    <n v="74.999999999942006"/>
    <d v="2025-11-17T00:00:00"/>
    <n v="82.169720999936473"/>
    <n v="157.64171003086267"/>
    <n v="174897"/>
    <s v="SIG LOCAL PROJETOS LTDA EPP"/>
    <s v="2.20.06.07"/>
    <x v="12"/>
    <n v="10027"/>
    <s v="0015292_COZAC_FALENCIA"/>
    <n v="44"/>
    <s v="FALENCIA E RJ_TOMBADO"/>
    <x v="38"/>
    <s v="13013697-3"/>
    <s v="SANTANDER - ENFORCE"/>
    <s v="NOTA FISCAL DE SERVIÇOS"/>
    <s v="94"/>
  </r>
  <r>
    <s v="*** Pagamento ***"/>
    <x v="0"/>
    <d v="2023-07-07T00:00:00"/>
    <d v="2023-07-03T00:00:00"/>
    <n v="2100"/>
    <n v="1040.00000000001"/>
    <n v="1040.00000000001"/>
    <d v="2025-11-17T00:00:00"/>
    <n v="1140.5601480000109"/>
    <n v="2140.8302783932681"/>
    <n v="176844"/>
    <s v="PAMELA GUEDES DE LIMA"/>
    <s v="2.20.02.12"/>
    <x v="10"/>
    <n v="10027"/>
    <s v="0015292_COZAC_FALENCIA"/>
    <n v="44"/>
    <s v="FALENCIA E RJ_TOMBADO"/>
    <x v="39"/>
    <s v="13013697-3"/>
    <s v="SANTANDER - ENFORCE"/>
    <s v="RECIBO PROVISÓRIO AUTONOMO"/>
    <s v="030720234"/>
  </r>
  <r>
    <s v="*** Pagamento ***"/>
    <x v="0"/>
    <d v="2023-07-07T00:00:00"/>
    <d v="2023-07-01T00:00:00"/>
    <n v="574.95000000000005"/>
    <n v="53.57"/>
    <n v="53.57"/>
    <d v="2025-11-17T00:00:00"/>
    <n v="58.749814546499998"/>
    <n v="110.27334424377526"/>
    <n v="176711"/>
    <s v="PREFEITURA MUNICIPAL DE CAMPINAS"/>
    <s v="2.08.02"/>
    <x v="17"/>
    <n v="10027"/>
    <s v="0015292_COZAC_FALENCIA"/>
    <n v="44"/>
    <s v="FALENCIA E RJ_TOMBADO"/>
    <x v="40"/>
    <s v="13013697-3"/>
    <s v="SANTANDER - ENFORCE"/>
    <s v="GUIA PARA RECOLHIMENTO DE IMPOSTOS"/>
    <s v="ISS RPA - 06/2023"/>
  </r>
  <r>
    <s v="*** Pagamento ***"/>
    <x v="0"/>
    <d v="2023-08-07T00:00:00"/>
    <d v="2023-08-03T00:00:00"/>
    <n v="43026"/>
    <n v="43026"/>
    <n v="43026"/>
    <d v="2025-11-17T00:00:00"/>
    <n v="47228.811088980001"/>
    <n v="86668.098831599767"/>
    <n v="178651"/>
    <s v="CALLEGARI ENGENHARIA DE AVALIACOES E CONSTRUCOES LTDA"/>
    <s v="2.20.06.02"/>
    <x v="13"/>
    <n v="10027"/>
    <s v="0015292_COZAC_FALENCIA"/>
    <n v="44"/>
    <s v="FALENCIA E RJ_TOMBADO"/>
    <x v="41"/>
    <s v="BTG-35"/>
    <s v="BAIXA BTG"/>
    <s v="DESPESA INDIVIDUAL"/>
    <s v="28"/>
  </r>
  <r>
    <s v="*** Pagamento ***"/>
    <x v="0"/>
    <d v="2024-08-07T00:00:00"/>
    <d v="2024-08-06T00:00:00"/>
    <n v="2680"/>
    <n v="2680"/>
    <n v="2680"/>
    <d v="2025-11-17T00:00:00"/>
    <n v="2826.9821344000002"/>
    <n v="3973.1312558294835"/>
    <n v="204435"/>
    <s v="FELSBERG E PEDRETTI ADVOGADOS E CONSULTORES LEGAIS"/>
    <s v="2.20.01.04"/>
    <x v="18"/>
    <n v="10027"/>
    <s v="0015292_COZAC_FALENCIA"/>
    <n v="44"/>
    <s v="FALENCIA E RJ_TOMBADO"/>
    <x v="42"/>
    <s v="13013697-3"/>
    <s v="SANTANDER - ENFORCE"/>
    <s v="ADIANTAMENTO"/>
    <s v="18020"/>
  </r>
  <r>
    <s v="*** Pagamento ***"/>
    <x v="0"/>
    <d v="2022-10-07T00:00:00"/>
    <d v="2022-09-29T00:00:00"/>
    <n v="7540"/>
    <n v="5280.0000000000009"/>
    <n v="5280.0000000000009"/>
    <d v="2025-11-17T00:00:00"/>
    <n v="6038.1793824000015"/>
    <n v="13828.56446546601"/>
    <n v="159501"/>
    <s v="REAVIVARE - SOLUÇÕES EM MEIO AMBIENTE LTDA EPP"/>
    <s v="2.20.02.16"/>
    <x v="15"/>
    <n v="10027"/>
    <s v="0015292_COZAC_FALENCIA"/>
    <n v="44"/>
    <s v="FALENCIA E RJ_TOMBADO"/>
    <x v="43"/>
    <s v="13013697-3"/>
    <s v="SANTANDER - ENFORCE"/>
    <s v="NOTA FISCAL DE SERVIÇOS"/>
    <s v="195"/>
  </r>
  <r>
    <s v="*** Pagamento ***"/>
    <x v="0"/>
    <d v="2023-11-07T00:00:00"/>
    <d v="2023-11-02T00:00:00"/>
    <n v="46750"/>
    <n v="48.280000000127998"/>
    <n v="48.280000000127998"/>
    <d v="2025-11-17T00:00:00"/>
    <n v="52.768848932539903"/>
    <n v="90.554705187658016"/>
    <n v="185060"/>
    <s v="R. DIAS TEIXEIRA FILHO"/>
    <s v="2.20.05.06"/>
    <x v="11"/>
    <n v="10027"/>
    <s v="0015292_COZAC_FALENCIA"/>
    <n v="44"/>
    <s v="FALENCIA E RJ_TOMBADO"/>
    <x v="44"/>
    <s v="13013697-3"/>
    <s v="SANTANDER - ENFORCE"/>
    <s v="NOTA FISCAL DE SERVIÇOS"/>
    <s v="85"/>
  </r>
  <r>
    <s v="*** Pagamento ***"/>
    <x v="0"/>
    <d v="2022-12-07T00:00:00"/>
    <d v="2022-11-24T00:00:00"/>
    <n v="9570"/>
    <n v="54.999999999985"/>
    <n v="54.999999999985"/>
    <d v="2025-11-17T00:00:00"/>
    <n v="62.366486599982991"/>
    <n v="136.62032009913571"/>
    <n v="162778"/>
    <s v="NELSON HENRIQUE SANTANA ALEXANDRE 40012558800"/>
    <s v="2.20.02.10"/>
    <x v="4"/>
    <n v="10027"/>
    <s v="0015292_COZAC_FALENCIA"/>
    <n v="44"/>
    <s v="FALENCIA E RJ_TOMBADO"/>
    <x v="45"/>
    <s v="13013697-3"/>
    <s v="SANTANDER - ENFORCE"/>
    <s v="NOTA FISCAL DE SERVIÇOS"/>
    <s v="152"/>
  </r>
  <r>
    <s v="*** Pagamento ***"/>
    <x v="0"/>
    <d v="2023-05-08T00:00:00"/>
    <d v="2023-05-03T00:00:00"/>
    <n v="31340"/>
    <n v="1025.0000000000671"/>
    <n v="1025.0000000000671"/>
    <d v="2025-11-17T00:00:00"/>
    <n v="1127.0294737500737"/>
    <n v="2209.9878090438701"/>
    <n v="173128"/>
    <s v="SIG LOCAL PROJETOS LTDA EPP"/>
    <s v="2.20.06.02"/>
    <x v="13"/>
    <n v="10027"/>
    <s v="0015292_COZAC_FALENCIA"/>
    <n v="44"/>
    <s v="FALENCIA E RJ_TOMBADO"/>
    <x v="46"/>
    <s v="13013697-3"/>
    <s v="SANTANDER - ENFORCE"/>
    <s v="NOTA FISCAL DE SERVIÇOS"/>
    <s v="93"/>
  </r>
  <r>
    <s v="*** Pagamento ***"/>
    <x v="0"/>
    <d v="2023-05-08T00:00:00"/>
    <d v="2023-05-03T00:00:00"/>
    <n v="3920"/>
    <n v="1210.0000000000191"/>
    <n v="1210.0000000000191"/>
    <d v="2025-11-17T00:00:00"/>
    <n v="1330.4445495000209"/>
    <n v="2608.863657505317"/>
    <n v="173126"/>
    <s v="RM ARQUITETURA E ENGENHARIA DE AVALIACOES LTDA"/>
    <s v="2.20.06.02"/>
    <x v="13"/>
    <n v="10027"/>
    <s v="0015292_COZAC_FALENCIA"/>
    <n v="44"/>
    <s v="FALENCIA E RJ_TOMBADO"/>
    <x v="47"/>
    <s v="13013697-3"/>
    <s v="SANTANDER - ENFORCE"/>
    <s v="NOTA FISCAL DE SERVIÇOS"/>
    <s v="7807"/>
  </r>
  <r>
    <s v="*** Pagamento ***"/>
    <x v="0"/>
    <d v="2023-05-08T00:00:00"/>
    <d v="2023-05-02T00:00:00"/>
    <n v="77775"/>
    <n v="1874.999999999952"/>
    <n v="1759.6875602699649"/>
    <d v="2025-11-17T00:00:00"/>
    <n v="1934.8485317224195"/>
    <n v="3794.0371277292861"/>
    <n v="173122"/>
    <s v="AGROFFICIO ENGENHARIA LTDA ME"/>
    <s v="2.20.06.02"/>
    <x v="13"/>
    <n v="10027"/>
    <s v="0015292_COZAC_FALENCIA"/>
    <n v="44"/>
    <s v="FALENCIA E RJ_TOMBADO"/>
    <x v="48"/>
    <s v="13013697-3"/>
    <s v="SANTANDER - ENFORCE"/>
    <s v="NOTA FISCAL DE SERVIÇOS"/>
    <s v="594"/>
  </r>
  <r>
    <s v="*** Pagamento ***"/>
    <x v="0"/>
    <d v="2019-07-08T00:00:00"/>
    <d v="2019-06-18T00:00:00"/>
    <n v="68.05"/>
    <n v="68.05"/>
    <n v="68.05"/>
    <d v="2025-11-17T00:00:00"/>
    <n v="96.169216102500002"/>
    <n v="523.12288205173707"/>
    <n v="75532"/>
    <s v="DOSSO TOLEDO SOCIEDADE DE ADVOGADOS"/>
    <s v="2.20.04.02"/>
    <x v="0"/>
    <n v="10027"/>
    <s v="0015292_COZAC_FALENCIA"/>
    <n v="44"/>
    <s v="FALENCIA E RJ_TOMBADO"/>
    <x v="49"/>
    <s v="13013697-3"/>
    <s v="SANTANDER - ENFORCE"/>
    <s v="NOTA DE DEBITO"/>
    <s v="0207"/>
  </r>
  <r>
    <s v="*** Pagamento ***"/>
    <x v="0"/>
    <d v="2022-07-08T00:00:00"/>
    <d v="2022-07-01T00:00:00"/>
    <n v="11000"/>
    <n v="269.99999999994998"/>
    <n v="269.99999999994998"/>
    <d v="2025-11-17T00:00:00"/>
    <n v="304.98725609994347"/>
    <n v="746.3716377912034"/>
    <n v="153084"/>
    <s v="ADRIANO S BORGES"/>
    <s v="2.20.06.02"/>
    <x v="13"/>
    <n v="10027"/>
    <s v="0015292_COZAC_FALENCIA"/>
    <n v="44"/>
    <s v="FALENCIA E RJ_TOMBADO"/>
    <x v="50"/>
    <s v="13013697-3"/>
    <s v="SANTANDER - ENFORCE"/>
    <s v="NOTA FISCAL DE SERVIÇOS"/>
    <s v="7"/>
  </r>
  <r>
    <s v="*** Pagamento ***"/>
    <x v="0"/>
    <d v="2023-08-08T00:00:00"/>
    <d v="2023-08-01T00:00:00"/>
    <n v="1209.48"/>
    <n v="61.899999999998997"/>
    <n v="61.899999999998997"/>
    <d v="2025-11-17T00:00:00"/>
    <n v="67.946437186998892"/>
    <n v="124.59552280073602"/>
    <n v="178713"/>
    <s v="PREFEITURA MUNICIPAL DE CAMPINAS"/>
    <s v="2.08.02"/>
    <x v="17"/>
    <n v="10027"/>
    <s v="0015292_COZAC_FALENCIA"/>
    <n v="44"/>
    <s v="FALENCIA E RJ_TOMBADO"/>
    <x v="51"/>
    <s v="13013697-3"/>
    <s v="SANTANDER - ENFORCE"/>
    <s v="GUIA PARA RECOLHIMENTO DE IMPOSTOS"/>
    <s v="ISS RPA - 07.2023"/>
  </r>
  <r>
    <s v="*** Pagamento ***"/>
    <x v="0"/>
    <d v="2023-08-08T00:00:00"/>
    <d v="2023-08-01T00:00:00"/>
    <n v="9900"/>
    <n v="9900"/>
    <n v="9291.15"/>
    <d v="2025-11-17T00:00:00"/>
    <n v="10198.716314539499"/>
    <n v="18701.707458321118"/>
    <n v="178767"/>
    <s v="AGROFFICIO ENGENHARIA LTDA ME"/>
    <s v="2.20.06.02"/>
    <x v="13"/>
    <n v="10027"/>
    <s v="0015292_COZAC_FALENCIA"/>
    <n v="44"/>
    <s v="FALENCIA E RJ_TOMBADO"/>
    <x v="52"/>
    <s v="13013697-3"/>
    <s v="SANTANDER - ENFORCE"/>
    <s v="NOTA FISCAL DE SERVIÇOS"/>
    <s v="637"/>
  </r>
  <r>
    <s v="*** Pagamento ***"/>
    <x v="0"/>
    <d v="2020-06-09T00:00:00"/>
    <d v="2020-04-06T00:00:00"/>
    <n v="42863"/>
    <n v="42863"/>
    <n v="42005.74"/>
    <d v="2025-11-17T00:00:00"/>
    <n v="58176.068462905394"/>
    <n v="247541.70115076809"/>
    <n v="89682"/>
    <s v="NOGARA, NOGARA E RONDINONI ADVOGADOS ASSOCIADOS"/>
    <s v="2.20.04.01"/>
    <x v="19"/>
    <n v="10027"/>
    <s v="0015292_COZAC_FALENCIA"/>
    <n v="44"/>
    <s v="FALENCIA E RJ_TOMBADO"/>
    <x v="53"/>
    <s v="13013697-3"/>
    <s v="SANTANDER - ENFORCE"/>
    <s v="NOTA FISCAL DE SERVIÇOS"/>
    <s v="59"/>
  </r>
  <r>
    <s v="*** Pagamento ***"/>
    <x v="0"/>
    <d v="2025-06-09T00:00:00"/>
    <d v="2025-06-03T00:00:00"/>
    <n v="15025"/>
    <n v="1999.9999999999311"/>
    <n v="1999.9999999999311"/>
    <d v="2025-11-17T00:00:00"/>
    <n v="2015.6184399999304"/>
    <n v="2266.5553132727209"/>
    <n v="255692"/>
    <s v="LIBARINO ENGENHARIA LTDA"/>
    <s v="2.20.06.03"/>
    <x v="20"/>
    <n v="10027"/>
    <s v="0015292_COZAC_FALENCIA"/>
    <n v="44"/>
    <s v="FALENCIA E RJ_TOMBADO"/>
    <x v="54"/>
    <s v="13013697-3"/>
    <s v="SANTANDER - ENFORCE"/>
    <s v="NOTA FISCAL DE SERVIÇOS"/>
    <s v="36"/>
  </r>
  <r>
    <s v="*** Pagamento ***"/>
    <x v="0"/>
    <d v="2023-08-09T00:00:00"/>
    <d v="2023-08-01T00:00:00"/>
    <n v="13325"/>
    <n v="10075.000000000004"/>
    <n v="9455.3856097561002"/>
    <d v="2025-11-17T00:00:00"/>
    <n v="10378.994578548571"/>
    <n v="19018.423909543049"/>
    <n v="178823"/>
    <s v="VALIDAR ENGENHARIA DE AVALIACOES LTDA"/>
    <s v="2.20.06.02"/>
    <x v="13"/>
    <n v="10027"/>
    <s v="0015292_COZAC_FALENCIA"/>
    <n v="44"/>
    <s v="FALENCIA E RJ_TOMBADO"/>
    <x v="55"/>
    <s v="32183-4"/>
    <s v="BRADESCO - ENFORCE"/>
    <s v="NOTA FISCAL DE SERVIÇOS"/>
    <s v="2286"/>
  </r>
  <r>
    <s v="*** Pagamento ***"/>
    <x v="0"/>
    <d v="2023-08-09T00:00:00"/>
    <d v="2023-08-01T00:00:00"/>
    <n v="3600"/>
    <n v="1099.99999999998"/>
    <n v="1032.349999999981"/>
    <d v="2025-11-17T00:00:00"/>
    <n v="1133.1907016154792"/>
    <n v="2076.453645926224"/>
    <n v="178825"/>
    <s v="MK AVALIACOES IMOBILIARIAS LTDA"/>
    <s v="2.20.06.02"/>
    <x v="13"/>
    <n v="10027"/>
    <s v="0015292_COZAC_FALENCIA"/>
    <n v="44"/>
    <s v="FALENCIA E RJ_TOMBADO"/>
    <x v="56"/>
    <s v="13013697-3"/>
    <s v="SANTANDER - ENFORCE"/>
    <s v="NOTA FISCAL DE SERVIÇOS"/>
    <s v="16165"/>
  </r>
  <r>
    <s v="*** Pagamento ***"/>
    <x v="0"/>
    <d v="2023-08-09T00:00:00"/>
    <d v="2023-08-03T00:00:00"/>
    <n v="13900"/>
    <n v="13900"/>
    <n v="13045.15"/>
    <d v="2025-11-17T00:00:00"/>
    <n v="14319.4097749595"/>
    <n v="26238.823343977314"/>
    <n v="178820"/>
    <s v="AHEAD ARQUITETURA E ENGENHARIA DE AVALIACOES LTDA"/>
    <s v="2.20.06.02"/>
    <x v="13"/>
    <n v="10027"/>
    <s v="0015292_COZAC_FALENCIA"/>
    <n v="44"/>
    <s v="FALENCIA E RJ_TOMBADO"/>
    <x v="57"/>
    <s v="13013697-3"/>
    <s v="SANTANDER - ENFORCE"/>
    <s v="NOTA FISCAL DE SERVIÇOS"/>
    <s v="280"/>
  </r>
  <r>
    <s v="*** Pagamento ***"/>
    <x v="0"/>
    <d v="2022-09-09T00:00:00"/>
    <d v="2022-09-01T00:00:00"/>
    <n v="1635.88"/>
    <n v="1.79"/>
    <n v="1.79"/>
    <d v="2025-11-17T00:00:00"/>
    <n v="2.0404839364000003"/>
    <n v="4.7694305434559405"/>
    <n v="157154"/>
    <s v="PREFEITURA MUNICIPAL DE CAMPINAS"/>
    <s v="2.08.02"/>
    <x v="17"/>
    <n v="10027"/>
    <s v="0015292_COZAC_FALENCIA"/>
    <n v="44"/>
    <s v="FALENCIA E RJ_TOMBADO"/>
    <x v="58"/>
    <s v="13013697-3"/>
    <s v="SANTANDER - ENFORCE"/>
    <s v="GUIA PARA RECOLHIMENTO DE IMPOSTOS"/>
    <s v="RPA 07/2022"/>
  </r>
  <r>
    <s v="*** Pagamento ***"/>
    <x v="0"/>
    <d v="2025-09-09T00:00:00"/>
    <d v="2025-09-01T00:00:00"/>
    <n v="40328.230000000003"/>
    <n v="200.00000000012699"/>
    <n v="200.00000000012699"/>
    <d v="2025-11-17T00:00:00"/>
    <n v="201.10026600012768"/>
    <n v="211.47147164016545"/>
    <n v="269876"/>
    <s v="HERPICH E GOMES SERVICOS DE ENGENHARIA LTDA."/>
    <s v="2.20.06.07"/>
    <x v="12"/>
    <n v="10027"/>
    <s v="0015292_COZAC_FALENCIA"/>
    <n v="44"/>
    <s v="FALENCIA E RJ_TOMBADO"/>
    <x v="59"/>
    <s v="13013697-3"/>
    <s v="SANTANDER - ENFORCE"/>
    <s v="NOTA FISCAL DE SERVIÇOS"/>
    <s v="103"/>
  </r>
  <r>
    <s v="*** Pagamento ***"/>
    <x v="0"/>
    <d v="2024-12-09T00:00:00"/>
    <d v="2024-12-03T00:00:00"/>
    <n v="1396.28"/>
    <n v="73.719999999997995"/>
    <n v="73.719999999997995"/>
    <d v="2025-11-17T00:00:00"/>
    <n v="76.776849192397918"/>
    <n v="98.580945533983254"/>
    <n v="227981"/>
    <s v="SERVIR IMOVEIS LTDA"/>
    <s v="2.20.05.01"/>
    <x v="16"/>
    <n v="10027"/>
    <s v="0015292_COZAC_FALENCIA"/>
    <n v="44"/>
    <s v="FALENCIA E RJ_TOMBADO"/>
    <x v="60"/>
    <s v="13013697-3"/>
    <s v="SANTANDER - ENFORCE"/>
    <s v="NOTA DE DEBITO"/>
    <s v="4121"/>
  </r>
  <r>
    <s v="*** Pagamento ***"/>
    <x v="0"/>
    <d v="2020-01-10T00:00:00"/>
    <d v="2019-11-28T00:00:00"/>
    <n v="200"/>
    <n v="200"/>
    <n v="229.71"/>
    <d v="2025-11-17T00:00:00"/>
    <n v="318.32544722160003"/>
    <n v="1512.0573614206426"/>
    <n v="82926"/>
    <s v="PREFEITURA MUNICIPAL DE CAMPINAS"/>
    <s v="2.08.02"/>
    <x v="17"/>
    <n v="10027"/>
    <s v="0015292_COZAC_FALENCIA"/>
    <n v="44"/>
    <s v="FALENCIA E RJ_TOMBADO"/>
    <x v="61"/>
    <s v="13013697-3"/>
    <s v="SANTANDER - ENFORCE"/>
    <s v="GUIA PARA RECOLHIMENTO DE IMPOSTOS"/>
    <s v="51"/>
  </r>
  <r>
    <s v="*** Pagamento ***"/>
    <x v="0"/>
    <d v="2020-03-10T00:00:00"/>
    <d v="2020-03-06T00:00:00"/>
    <n v="18394.04"/>
    <n v="38.359999999982001"/>
    <n v="38.359999999982001"/>
    <d v="2025-11-17T00:00:00"/>
    <n v="52.967388647575149"/>
    <n v="240.83239938193154"/>
    <n v="86892"/>
    <s v="ASSOCIACAO DOS REGISTRADORES IMOBILIARIOS DE SAO PAULO"/>
    <s v="2.20.05.01"/>
    <x v="16"/>
    <n v="10027"/>
    <s v="0015292_COZAC_FALENCIA"/>
    <n v="44"/>
    <s v="FALENCIA E RJ_TOMBADO"/>
    <x v="62"/>
    <s v="13013697-3"/>
    <s v="SANTANDER - ENFORCE"/>
    <s v="BOLETO"/>
    <s v="06032020"/>
  </r>
  <r>
    <s v="*** Pagamento ***"/>
    <x v="0"/>
    <d v="2022-03-10T00:00:00"/>
    <d v="2022-03-09T00:00:00"/>
    <n v="8896.17"/>
    <n v="63.670000000035998"/>
    <n v="63.670000000035998"/>
    <d v="2025-11-17T00:00:00"/>
    <n v="74.704156167642225"/>
    <n v="199.5259177085795"/>
    <n v="146412"/>
    <s v="OPERADOR NACIONAL DO SISTEMA DE REGISTRO ELETRONICO DE IMOVEIS ( ONR )"/>
    <s v="2.20.02.11"/>
    <x v="3"/>
    <n v="10027"/>
    <s v="0015292_COZAC_FALENCIA"/>
    <n v="44"/>
    <s v="FALENCIA E RJ_TOMBADO"/>
    <x v="63"/>
    <s v="13013697-3"/>
    <s v="SANTANDER - ENFORCE"/>
    <s v="BOLETO"/>
    <s v="CPAGT832831"/>
  </r>
  <r>
    <s v="*** Pagamento ***"/>
    <x v="0"/>
    <d v="2023-04-10T00:00:00"/>
    <d v="2023-04-05T00:00:00"/>
    <n v="76078.710000000006"/>
    <n v="40.959999999685998"/>
    <n v="40.959999999685998"/>
    <d v="2025-11-17T00:00:00"/>
    <n v="45.275885977252912"/>
    <n v="90.611604874263591"/>
    <n v="171331"/>
    <s v="OPERADOR NACIONAL DO SISTEMA DE REGISTRO ELETRONICO DE IMOVEIS ( ONR )"/>
    <s v="2.20.02.11"/>
    <x v="3"/>
    <n v="10027"/>
    <s v="0015292_COZAC_FALENCIA"/>
    <n v="44"/>
    <s v="FALENCIA E RJ_TOMBADO"/>
    <x v="64"/>
    <s v="13013697-3"/>
    <s v="SANTANDER - ENFORCE"/>
    <s v="BOLETO"/>
    <s v="81296145"/>
  </r>
  <r>
    <s v="*** Abatimento de Adiantamento ***"/>
    <x v="0"/>
    <d v="2025-04-10T00:00:00"/>
    <d v="2025-04-01T00:00:00"/>
    <n v="90474.95"/>
    <n v="3945.0700000000152"/>
    <n v="3945.0700000000152"/>
    <d v="2025-11-17T00:00:00"/>
    <n v="4008.9446678207155"/>
    <n v="4709.5414112495118"/>
    <n v="245772"/>
    <s v="OPERADOR NACIONAL DO SISTEMA DE REGISTRO ELETRONICO DE IMOVEIS ( ONR )"/>
    <s v="2.20.05.01"/>
    <x v="16"/>
    <n v="10027"/>
    <s v="0015292_COZAC_FALENCIA"/>
    <n v="44"/>
    <s v="FALENCIA E RJ_TOMBADO"/>
    <x v="65"/>
    <s v="REA"/>
    <s v="Reapropriação Financeira"/>
    <s v="PRESTAÇÃO DE CONTAS"/>
    <s v="ARISP - 90.474,95"/>
  </r>
  <r>
    <s v="*** Pagamento ***"/>
    <x v="0"/>
    <d v="2025-04-10T00:00:00"/>
    <d v="2025-04-01T00:00:00"/>
    <n v="13665"/>
    <n v="60.000000000040998"/>
    <n v="60.000000000040998"/>
    <d v="2025-11-17T00:00:00"/>
    <n v="60.971460600041659"/>
    <n v="71.626735311455221"/>
    <n v="245757"/>
    <s v="ARTHUR JAYME LIMA DA SILVA 39471256828"/>
    <s v="2.20.06.03"/>
    <x v="20"/>
    <n v="10027"/>
    <s v="0015292_COZAC_FALENCIA"/>
    <n v="44"/>
    <s v="FALENCIA E RJ_TOMBADO"/>
    <x v="66"/>
    <s v="13013697-3"/>
    <s v="SANTANDER - ENFORCE"/>
    <s v="NOTA FISCAL DE SERVIÇOS"/>
    <s v="139"/>
  </r>
  <r>
    <s v="*** Pagamento ***"/>
    <x v="0"/>
    <d v="2025-04-10T00:00:00"/>
    <d v="2025-04-02T00:00:00"/>
    <n v="17450"/>
    <n v="74.999999999983004"/>
    <n v="74.999999999983004"/>
    <d v="2025-11-17T00:00:00"/>
    <n v="76.214325749982734"/>
    <n v="89.53341913923758"/>
    <n v="245760"/>
    <s v="UNISAFE TREIN E CONSULT EM SILVICULTURA MEIO-AMBIENTE E AGRO LTDA"/>
    <s v="2.20.06.07"/>
    <x v="12"/>
    <n v="10027"/>
    <s v="0015292_COZAC_FALENCIA"/>
    <n v="44"/>
    <s v="FALENCIA E RJ_TOMBADO"/>
    <x v="67"/>
    <s v="13013697-3"/>
    <s v="SANTANDER - ENFORCE"/>
    <s v="NOTA FISCAL DE SERVIÇOS"/>
    <s v="2359"/>
  </r>
  <r>
    <s v="*** Pagamento ***"/>
    <x v="0"/>
    <d v="2022-06-10T00:00:00"/>
    <d v="2022-06-07T00:00:00"/>
    <n v="778.56"/>
    <n v="778.56"/>
    <n v="778.56"/>
    <d v="2025-11-17T00:00:00"/>
    <n v="884.90068422720003"/>
    <n v="2210.1931406237991"/>
    <n v="151248"/>
    <s v="2 TABELIAO DE PROTESTO DE LETRAS E TITULOS DE RIBEIRAO PRETO"/>
    <s v="2.20.03.15"/>
    <x v="21"/>
    <n v="10027"/>
    <s v="0015292_COZAC_FALENCIA"/>
    <n v="44"/>
    <s v="FALENCIA E RJ_TOMBADO"/>
    <x v="68"/>
    <s v="13013697-3"/>
    <s v="SANTANDER - ENFORCE"/>
    <s v="BOLETO"/>
    <s v="3234771"/>
  </r>
  <r>
    <s v="*** Pagamento ***"/>
    <x v="0"/>
    <d v="2022-06-10T00:00:00"/>
    <d v="2022-06-08T00:00:00"/>
    <n v="3977.25"/>
    <n v="3977.25"/>
    <n v="3977.25"/>
    <d v="2025-11-17T00:00:00"/>
    <n v="4520.4881400825006"/>
    <n v="11290.704208469489"/>
    <n v="151247"/>
    <s v="2 TABELIAO DE PROTESTO DE LETRAS E TITULOS DE RIBEIRAO PRETO"/>
    <s v="2.20.03.15"/>
    <x v="21"/>
    <n v="10027"/>
    <s v="0015292_COZAC_FALENCIA"/>
    <n v="44"/>
    <s v="FALENCIA E RJ_TOMBADO"/>
    <x v="69"/>
    <s v="13013697-3"/>
    <s v="SANTANDER - ENFORCE"/>
    <s v="BOLETO"/>
    <s v="3240114"/>
  </r>
  <r>
    <s v="*** Pagamento ***"/>
    <x v="0"/>
    <d v="2022-06-10T00:00:00"/>
    <d v="2022-06-09T00:00:00"/>
    <n v="4030.38"/>
    <n v="4030.38"/>
    <n v="4030.38"/>
    <d v="2025-11-17T00:00:00"/>
    <n v="4580.8749739206005"/>
    <n v="11441.530813434221"/>
    <n v="151254"/>
    <s v="1 TABELIAO DE PROTESTO DE LETRAS E TITULOS DA COMARCA DE RIBEIRÃO PRETO"/>
    <s v="2.20.03.15"/>
    <x v="21"/>
    <n v="10027"/>
    <s v="0015292_COZAC_FALENCIA"/>
    <n v="44"/>
    <s v="FALENCIA E RJ_TOMBADO"/>
    <x v="70"/>
    <s v="13013697-3"/>
    <s v="SANTANDER - ENFORCE"/>
    <s v="BOLETO"/>
    <s v="321"/>
  </r>
  <r>
    <s v="*** Pagamento ***"/>
    <x v="0"/>
    <d v="2022-06-10T00:00:00"/>
    <d v="2022-06-09T00:00:00"/>
    <n v="682.21"/>
    <n v="682.21"/>
    <n v="682.21"/>
    <d v="2025-11-17T00:00:00"/>
    <n v="775.39058747770014"/>
    <n v="1936.6726552416796"/>
    <n v="151249"/>
    <s v="2 TABELIAO DE PROTESTO DE LETRAS E TITULOS DE RIBEIRAO PRETO"/>
    <s v="2.20.03.15"/>
    <x v="21"/>
    <n v="10027"/>
    <s v="0015292_COZAC_FALENCIA"/>
    <n v="44"/>
    <s v="FALENCIA E RJ_TOMBADO"/>
    <x v="71"/>
    <s v="13013697-3"/>
    <s v="SANTANDER - ENFORCE"/>
    <s v="BOLETO"/>
    <s v="3241205"/>
  </r>
  <r>
    <s v="*** Pagamento ***"/>
    <x v="0"/>
    <d v="2022-06-10T00:00:00"/>
    <d v="2022-06-07T00:00:00"/>
    <n v="876.22"/>
    <n v="876.22"/>
    <n v="876.22"/>
    <d v="2025-11-17T00:00:00"/>
    <n v="995.89970912140006"/>
    <n v="2487.4324826312491"/>
    <n v="151250"/>
    <s v="1 TABELIAO DE PROTESTO DE LETRAS E TITULOS DA COMARCA DE RIBEIRÃO PRETO"/>
    <s v="2.20.03.15"/>
    <x v="21"/>
    <n v="10027"/>
    <s v="0015292_COZAC_FALENCIA"/>
    <n v="44"/>
    <s v="FALENCIA E RJ_TOMBADO"/>
    <x v="72"/>
    <s v="13013697-3"/>
    <s v="SANTANDER - ENFORCE"/>
    <s v="BOLETO"/>
    <s v="343"/>
  </r>
  <r>
    <s v="*** Pagamento ***"/>
    <x v="0"/>
    <d v="2020-07-10T00:00:00"/>
    <d v="2020-04-06T00:00:00"/>
    <n v="857.26"/>
    <n v="857.26"/>
    <n v="968.71"/>
    <d v="2025-11-17T00:00:00"/>
    <n v="1337.6069349976001"/>
    <n v="5564.4305452766012"/>
    <n v="89867"/>
    <s v="PREFEITURA MUNICIPAL DE CAMPINAS"/>
    <s v="2.08.02"/>
    <x v="17"/>
    <n v="10027"/>
    <s v="0015292_COZAC_FALENCIA"/>
    <n v="44"/>
    <s v="FALENCIA E RJ_TOMBADO"/>
    <x v="73"/>
    <s v="32183-4"/>
    <s v="BRADESCO - ENFORCE"/>
    <s v="GUIA PARA RECOLHIMENTO DE IMPOSTOS"/>
    <s v="59"/>
  </r>
  <r>
    <s v="*** Pagamento ***"/>
    <x v="0"/>
    <d v="2022-08-10T00:00:00"/>
    <d v="2022-08-01T00:00:00"/>
    <n v="31440.05"/>
    <n v="1604.680000000056"/>
    <n v="1604.680000000056"/>
    <d v="2025-11-17T00:00:00"/>
    <n v="1823.5610157688636"/>
    <n v="4356.6124380326846"/>
    <n v="155674"/>
    <s v="OPERADOR NACIONAL DO SISTEMA DE REGISTRO ELETRONICO DE IMOVEIS ( ONR )"/>
    <s v="2.20.02.11"/>
    <x v="3"/>
    <n v="10027"/>
    <s v="0015292_COZAC_FALENCIA"/>
    <n v="44"/>
    <s v="FALENCIA E RJ_TOMBADO"/>
    <x v="74"/>
    <s v="13013697-3"/>
    <s v="SANTANDER - ENFORCE"/>
    <s v="BOLETO"/>
    <s v="CPAGT940521"/>
  </r>
  <r>
    <s v="*** Pagamento ***"/>
    <x v="0"/>
    <d v="2022-08-10T00:00:00"/>
    <d v="2022-08-01T00:00:00"/>
    <n v="15621.48"/>
    <n v="87.000000000067999"/>
    <n v="87.000000000067999"/>
    <d v="2025-11-17T00:00:00"/>
    <n v="98.866944420077274"/>
    <n v="236.19991656225952"/>
    <n v="155811"/>
    <s v="PREFEITURA MUNICIPAL DE CAMPINAS"/>
    <s v="2.08.02"/>
    <x v="17"/>
    <n v="10027"/>
    <s v="0015292_COZAC_FALENCIA"/>
    <n v="44"/>
    <s v="FALENCIA E RJ_TOMBADO"/>
    <x v="75"/>
    <s v="13013697-3"/>
    <s v="SANTANDER - ENFORCE"/>
    <s v="GUIA PARA RECOLHIMENTO DE IMPOSTOS"/>
    <s v="ISS 07/2022"/>
  </r>
  <r>
    <s v="*** Pagamento ***"/>
    <x v="0"/>
    <d v="2019-09-10T00:00:00"/>
    <d v="2019-09-06T00:00:00"/>
    <n v="13686.9"/>
    <n v="18.47999999996"/>
    <n v="18.47999999996"/>
    <d v="2025-11-17T00:00:00"/>
    <n v="26.058850540743595"/>
    <n v="135.29018792908545"/>
    <n v="78430"/>
    <s v="ASSOCIACAO DOS REGISTRADORES IMOBILIARIOS DE SAO PAULO"/>
    <s v="2.20.05.01"/>
    <x v="16"/>
    <n v="10027"/>
    <s v="0015292_COZAC_FALENCIA"/>
    <n v="44"/>
    <s v="FALENCIA E RJ_TOMBADO"/>
    <x v="76"/>
    <s v="32183-4"/>
    <s v="BRADESCO - ENFORCE"/>
    <s v="BOLETO"/>
    <s v="09/2019"/>
  </r>
  <r>
    <s v="*** Pagamento ***"/>
    <x v="0"/>
    <d v="2024-09-10T00:00:00"/>
    <d v="2024-09-03T00:00:00"/>
    <n v="4200"/>
    <n v="99.999999999983999"/>
    <n v="99.999999999983999"/>
    <d v="2025-11-17T00:00:00"/>
    <n v="105.63224299998311"/>
    <n v="144.82549908360451"/>
    <n v="215781"/>
    <s v="PAMELA GUEDES DE LIMA"/>
    <s v="2.20.02.12"/>
    <x v="10"/>
    <n v="10027"/>
    <s v="0015292_COZAC_FALENCIA"/>
    <n v="44"/>
    <s v="FALENCIA E RJ_TOMBADO"/>
    <x v="77"/>
    <s v="13013697-3"/>
    <s v="SANTANDER - ENFORCE"/>
    <s v="NOTA FISCAL DE SERVIÇOS"/>
    <s v="12"/>
  </r>
  <r>
    <s v="*** Pagamento ***"/>
    <x v="0"/>
    <d v="2024-10-10T00:00:00"/>
    <d v="2024-10-01T00:00:00"/>
    <n v="11070.77"/>
    <n v="450.00000000003502"/>
    <n v="422.32509572508201"/>
    <d v="2025-11-17T00:00:00"/>
    <n v="443.98022888697938"/>
    <n v="595.54815490492683"/>
    <n v="220081"/>
    <s v="LEME INTELIGENCIA FORENSE E CONS. EMPRESARIAL LTDA"/>
    <s v="2.20.05.03"/>
    <x v="9"/>
    <n v="10027"/>
    <s v="0015292_COZAC_FALENCIA"/>
    <n v="44"/>
    <s v="FALENCIA E RJ_TOMBADO"/>
    <x v="78"/>
    <s v="13013697-3"/>
    <s v="SANTANDER - ENFORCE"/>
    <s v="NOTA FISCAL DE SERVIÇOS"/>
    <s v="6464"/>
  </r>
  <r>
    <s v="*** Pagamento ***"/>
    <x v="0"/>
    <d v="2020-11-10T00:00:00"/>
    <d v="2020-11-05T00:00:00"/>
    <n v="47411.49"/>
    <n v="16.490000000155"/>
    <n v="16.490000000155"/>
    <d v="2025-11-17T00:00:00"/>
    <n v="22.196130342208633"/>
    <n v="84.418734075405013"/>
    <n v="98482"/>
    <s v="ASSOCIACAO DOS REGISTRADORES IMOBILIARIOS DE SAO PAULO"/>
    <s v="2.20.05.01"/>
    <x v="16"/>
    <n v="10027"/>
    <s v="0015292_COZAC_FALENCIA"/>
    <n v="44"/>
    <s v="FALENCIA E RJ_TOMBADO"/>
    <x v="79"/>
    <s v="13013697-3"/>
    <s v="SANTANDER - ENFORCE"/>
    <s v="BOLETO"/>
    <s v="17118650"/>
  </r>
  <r>
    <s v="*** Pagamento ***"/>
    <x v="0"/>
    <d v="2020-12-10T00:00:00"/>
    <d v="2020-12-07T00:00:00"/>
    <n v="34699.980000000003"/>
    <n v="16.59999999986"/>
    <n v="16.59999999986"/>
    <d v="2025-11-17T00:00:00"/>
    <n v="22.133929217813328"/>
    <n v="82.361605952627585"/>
    <n v="100560"/>
    <s v="ASSOCIACAO DOS REGISTRADORES IMOBILIARIOS DE SAO PAULO"/>
    <s v="2.20.05.01"/>
    <x v="16"/>
    <n v="10027"/>
    <s v="0015292_COZAC_FALENCIA"/>
    <n v="44"/>
    <s v="FALENCIA E RJ_TOMBADO"/>
    <x v="80"/>
    <s v="13013697-3"/>
    <s v="SANTANDER - ENFORCE"/>
    <s v="BOLETO"/>
    <s v="17121591"/>
  </r>
  <r>
    <s v="*** Pagamento ***"/>
    <x v="0"/>
    <d v="2023-09-11T00:00:00"/>
    <d v="2023-09-06T00:00:00"/>
    <n v="531.6"/>
    <n v="36.9"/>
    <n v="36.9"/>
    <d v="2025-11-17T00:00:00"/>
    <n v="40.423573619999999"/>
    <n v="72.311793861418124"/>
    <n v="181141"/>
    <s v="PREFEITURA MUNICIPAL DE CAMPINAS"/>
    <s v="2.08.02"/>
    <x v="17"/>
    <n v="10027"/>
    <s v="0015292_COZAC_FALENCIA"/>
    <n v="44"/>
    <s v="FALENCIA E RJ_TOMBADO"/>
    <x v="81"/>
    <s v="13013697-3"/>
    <s v="SANTANDER - ENFORCE"/>
    <s v="GUIA PARA RECOLHIMENTO DE IMPOSTOS"/>
    <s v="ISS RPA - 08.2023"/>
  </r>
  <r>
    <s v="*** Pagamento ***"/>
    <x v="0"/>
    <d v="2019-11-11T00:00:00"/>
    <d v="2019-11-11T00:00:00"/>
    <n v="13854.71"/>
    <n v="749.99999999995703"/>
    <n v="749.99999999995703"/>
    <d v="2025-11-17T00:00:00"/>
    <n v="1057.6898624999394"/>
    <n v="5248.6282005615012"/>
    <n v="81274"/>
    <s v="PREFEITURA MUNICIPAL DE CAMPINAS"/>
    <s v="2.08.02"/>
    <x v="17"/>
    <n v="10027"/>
    <s v="0015292_COZAC_FALENCIA"/>
    <n v="44"/>
    <s v="FALENCIA E RJ_TOMBADO"/>
    <x v="82"/>
    <s v="13013697-3"/>
    <s v="SANTANDER - ENFORCE"/>
    <s v="GUIA PARA RECOLHIMENTO DE IMPOSTOS"/>
    <s v="ISS - 10/2019"/>
  </r>
  <r>
    <s v="*** Pagamento ***"/>
    <x v="0"/>
    <d v="2022-11-11T00:00:00"/>
    <d v="2022-11-04T00:00:00"/>
    <n v="934.94"/>
    <n v="934.94"/>
    <n v="934.94"/>
    <d v="2025-11-17T00:00:00"/>
    <n v="1064.1903876252002"/>
    <n v="2375.814855679047"/>
    <n v="161503"/>
    <s v="1 TABELIAO DE PROTESTO DE LETRAS E TITULOS DA COMARCA DE RIBEIRÃO PRETO"/>
    <s v="2.20.03.10"/>
    <x v="22"/>
    <n v="10027"/>
    <s v="0015292_COZAC_FALENCIA"/>
    <n v="44"/>
    <s v="FALENCIA E RJ_TOMBADO"/>
    <x v="83"/>
    <s v="13013697-3"/>
    <s v="SANTANDER - ENFORCE"/>
    <s v="BOLETO"/>
    <s v="658"/>
  </r>
  <r>
    <s v="*** Pagamento ***"/>
    <x v="0"/>
    <d v="2022-11-11T00:00:00"/>
    <d v="2022-10-28T00:00:00"/>
    <n v="10762.5"/>
    <n v="2999.9999999999659"/>
    <n v="2999.9999999999659"/>
    <d v="2025-11-17T00:00:00"/>
    <n v="3414.7337399999615"/>
    <n v="7623.4245695307291"/>
    <n v="161481"/>
    <s v="REAVIVARE - SOLUÇÕES EM MEIO AMBIENTE LTDA EPP"/>
    <s v="2.20.02.16"/>
    <x v="15"/>
    <n v="10027"/>
    <s v="0015292_COZAC_FALENCIA"/>
    <n v="44"/>
    <s v="FALENCIA E RJ_TOMBADO"/>
    <x v="84"/>
    <s v="13013697-3"/>
    <s v="SANTANDER - ENFORCE"/>
    <s v="NOTA FISCAL DE SERVIÇOS"/>
    <s v="200"/>
  </r>
  <r>
    <s v="*** Pagamento ***"/>
    <x v="0"/>
    <d v="2023-04-12T00:00:00"/>
    <d v="2023-04-11T00:00:00"/>
    <n v="922.5"/>
    <n v="922.5"/>
    <n v="922.5"/>
    <d v="2025-11-17T00:00:00"/>
    <n v="1019.702265975"/>
    <n v="2037.7796962159346"/>
    <n v="171576"/>
    <s v="SAO PAULO TRIBUNAL DE JUSTIÇA"/>
    <s v="2.20.04.04"/>
    <x v="1"/>
    <n v="10027"/>
    <s v="0015292_COZAC_FALENCIA"/>
    <n v="44"/>
    <s v="FALENCIA E RJ_TOMBADO"/>
    <x v="85"/>
    <s v="98434-5"/>
    <s v="BANCO DO BRASIL - ENFORCE"/>
    <s v="GUIA PARA RECOLHIMENTO DE IMPOSTOS"/>
    <s v="81020000137809472"/>
  </r>
  <r>
    <s v="*** Pagamento ***"/>
    <x v="0"/>
    <d v="2025-05-12T00:00:00"/>
    <d v="2025-05-06T00:00:00"/>
    <n v="31007.96"/>
    <n v="100.000000000149"/>
    <n v="100.000000000149"/>
    <d v="2025-11-17T00:00:00"/>
    <n v="101.13370200015069"/>
    <n v="116.06897917565692"/>
    <n v="251784"/>
    <s v="HERPICH E GOMES SERVICOS DE ENGENHARIA LTDA."/>
    <s v="2.20.06.07"/>
    <x v="12"/>
    <n v="10027"/>
    <s v="0015292_COZAC_FALENCIA"/>
    <n v="44"/>
    <s v="FALENCIA E RJ_TOMBADO"/>
    <x v="86"/>
    <s v="13013697-3"/>
    <s v="SANTANDER - ENFORCE"/>
    <s v="NOTA FISCAL DE SERVIÇOS"/>
    <s v="95"/>
  </r>
  <r>
    <s v="*** Pagamento ***"/>
    <x v="0"/>
    <d v="2023-06-12T00:00:00"/>
    <d v="2023-06-01T00:00:00"/>
    <n v="70402.63"/>
    <n v="2798.7400000000098"/>
    <n v="2798.7400000000098"/>
    <d v="2025-11-17T00:00:00"/>
    <n v="3066.2891326872109"/>
    <n v="5861.2450929070346"/>
    <n v="174747"/>
    <s v="OPERADOR NACIONAL DO SISTEMA DE REGISTRO ELETRONICO DE IMOVEIS ( ONR )"/>
    <s v="2.20.02.11"/>
    <x v="3"/>
    <n v="10027"/>
    <s v="0015292_COZAC_FALENCIA"/>
    <n v="44"/>
    <s v="FALENCIA E RJ_TOMBADO"/>
    <x v="87"/>
    <s v="32183-4"/>
    <s v="BRADESCO - ENFORCE"/>
    <s v="BOLETO"/>
    <s v="81341482"/>
  </r>
  <r>
    <s v="*** Pagamento ***"/>
    <x v="0"/>
    <d v="2019-08-12T00:00:00"/>
    <d v="2019-07-26T00:00:00"/>
    <n v="1517.19"/>
    <n v="18.590000000006999"/>
    <n v="18.590000000006999"/>
    <d v="2025-11-17T00:00:00"/>
    <n v="26.245423347009883"/>
    <n v="139.16928549737111"/>
    <n v="76991"/>
    <s v="EMPRESA BRASILEIRA DE CORREIOS E TELEGRAFOS"/>
    <s v="2.20.02.10"/>
    <x v="4"/>
    <n v="10027"/>
    <s v="0015292_COZAC_FALENCIA"/>
    <n v="44"/>
    <s v="FALENCIA E RJ_TOMBADO"/>
    <x v="88"/>
    <s v="13013697-3"/>
    <s v="SANTANDER - ENFORCE"/>
    <s v="BOLETO"/>
    <s v="07/2019"/>
  </r>
  <r>
    <s v="*** Pagamento ***"/>
    <x v="0"/>
    <d v="2022-08-12T00:00:00"/>
    <d v="2022-08-01T00:00:00"/>
    <n v="1380"/>
    <n v="29.999999999996"/>
    <n v="29.999999999996"/>
    <d v="2025-11-17T00:00:00"/>
    <n v="34.092049799995451"/>
    <n v="81.329616293589623"/>
    <n v="155907"/>
    <s v="PAMELA GUEDES DE LIMA"/>
    <s v="2.20.02.12"/>
    <x v="10"/>
    <n v="10027"/>
    <s v="0015292_COZAC_FALENCIA"/>
    <n v="44"/>
    <s v="FALENCIA E RJ_TOMBADO"/>
    <x v="89"/>
    <s v="13013697-3"/>
    <s v="SANTANDER - ENFORCE"/>
    <s v="RECIBO PROVISÓRIO AUTONOMO"/>
    <s v="050820223"/>
  </r>
  <r>
    <s v="*** Pagamento ***"/>
    <x v="0"/>
    <d v="2023-01-13T00:00:00"/>
    <d v="2022-12-22T00:00:00"/>
    <n v="18211"/>
    <n v="5100.0000000000373"/>
    <n v="5100.0000000000373"/>
    <d v="2025-11-17T00:00:00"/>
    <n v="5743.4404290000421"/>
    <n v="12246.875307190005"/>
    <n v="165151"/>
    <s v="REAVIVARE - SOLUÇÕES EM MEIO AMBIENTE LTDA EPP"/>
    <s v="2.20.02.16"/>
    <x v="15"/>
    <n v="10027"/>
    <s v="0015292_COZAC_FALENCIA"/>
    <n v="44"/>
    <s v="FALENCIA E RJ_TOMBADO"/>
    <x v="90"/>
    <s v="32183-4"/>
    <s v="BRADESCO - ENFORCE"/>
    <s v="NOTA FISCAL DE SERVIÇOS"/>
    <s v="215"/>
  </r>
  <r>
    <s v="*** Pagamento ***"/>
    <x v="0"/>
    <d v="2023-04-13T00:00:00"/>
    <d v="2023-04-11T00:00:00"/>
    <n v="922.5"/>
    <n v="922.5"/>
    <n v="922.5"/>
    <d v="2025-11-17T00:00:00"/>
    <n v="1019.702265975"/>
    <n v="2036.2951245542311"/>
    <n v="171664"/>
    <s v="SAO PAULO TRIBUNAL DE JUSTIÇA"/>
    <s v="2.20.04.04"/>
    <x v="1"/>
    <n v="10027"/>
    <s v="0015292_COZAC_FALENCIA"/>
    <n v="44"/>
    <s v="FALENCIA E RJ_TOMBADO"/>
    <x v="91"/>
    <s v="13013697-3"/>
    <s v="SANTANDER - ENFORCE"/>
    <s v="GUIA PARA RECOLHIMENTO DE IMPOSTOS"/>
    <s v="81020000137809405"/>
  </r>
  <r>
    <s v="*** Pagamento ***"/>
    <x v="0"/>
    <d v="2023-06-13T00:00:00"/>
    <d v="2023-06-01T00:00:00"/>
    <n v="38150"/>
    <n v="1199.9999999999341"/>
    <n v="1126.1998427260191"/>
    <d v="2025-11-17T00:00:00"/>
    <n v="1233.8603582272117"/>
    <n v="2356.8192696284532"/>
    <n v="175018"/>
    <s v="AGROFFICIO ENGENHARIA LTDA ME"/>
    <s v="2.20.06.02"/>
    <x v="13"/>
    <n v="10027"/>
    <s v="0015292_COZAC_FALENCIA"/>
    <n v="44"/>
    <s v="FALENCIA E RJ_TOMBADO"/>
    <x v="92"/>
    <s v="32183-4"/>
    <s v="BRADESCO - ENFORCE"/>
    <s v="NOTA FISCAL DE SERVIÇOS"/>
    <s v="608"/>
  </r>
  <r>
    <s v="*** Pagamento ***"/>
    <x v="0"/>
    <d v="2023-06-13T00:00:00"/>
    <d v="2023-06-02T00:00:00"/>
    <n v="650"/>
    <n v="500.00000000000102"/>
    <n v="500.00000000000102"/>
    <d v="2025-11-17T00:00:00"/>
    <n v="547.79814000000113"/>
    <n v="1046.3592606813313"/>
    <n v="174931"/>
    <s v="Brunna Gomes Martins"/>
    <s v="2.20.02.16"/>
    <x v="15"/>
    <n v="10027"/>
    <s v="0015292_COZAC_FALENCIA"/>
    <n v="44"/>
    <s v="FALENCIA E RJ_TOMBADO"/>
    <x v="93"/>
    <s v="32183-4"/>
    <s v="BRADESCO - ENFORCE"/>
    <s v="RECIBO PROVISÓRIO AUTONOMO"/>
    <s v="05062023"/>
  </r>
  <r>
    <s v="*** Pagamento ***"/>
    <x v="0"/>
    <d v="2022-07-13T00:00:00"/>
    <d v="2022-07-12T00:00:00"/>
    <n v="687.16"/>
    <n v="687.16"/>
    <n v="687.16"/>
    <d v="2025-11-17T00:00:00"/>
    <n v="776.2038625987999"/>
    <n v="1892.634219856305"/>
    <n v="153403"/>
    <s v="2 TABELIAO DE PROTESTO DE LETRAS E TITULOS DE RIBEIRAO PRETO"/>
    <s v="2.20.03.15"/>
    <x v="21"/>
    <n v="10027"/>
    <s v="0015292_COZAC_FALENCIA"/>
    <n v="44"/>
    <s v="FALENCIA E RJ_TOMBADO"/>
    <x v="94"/>
    <s v="13013697-3"/>
    <s v="SANTANDER - ENFORCE"/>
    <s v="BOLETO"/>
    <s v="3260183"/>
  </r>
  <r>
    <s v="*** Pagamento ***"/>
    <x v="0"/>
    <d v="2022-07-13T00:00:00"/>
    <d v="2022-07-12T00:00:00"/>
    <n v="687.16"/>
    <n v="687.16"/>
    <n v="687.16"/>
    <d v="2025-11-17T00:00:00"/>
    <n v="776.2038625987999"/>
    <n v="1892.634219856305"/>
    <n v="153405"/>
    <s v="2 TABELIAO DE PROTESTO DE LETRAS E TITULOS DE RIBEIRAO PRETO"/>
    <s v="2.20.03.15"/>
    <x v="21"/>
    <n v="10027"/>
    <s v="0015292_COZAC_FALENCIA"/>
    <n v="44"/>
    <s v="FALENCIA E RJ_TOMBADO"/>
    <x v="95"/>
    <s v="13013697-3"/>
    <s v="SANTANDER - ENFORCE"/>
    <s v="BOLETO"/>
    <s v="3260185"/>
  </r>
  <r>
    <s v="*** Pagamento ***"/>
    <x v="0"/>
    <d v="2022-07-13T00:00:00"/>
    <d v="2022-07-12T00:00:00"/>
    <n v="687.16"/>
    <n v="687.16"/>
    <n v="687.16"/>
    <d v="2025-11-17T00:00:00"/>
    <n v="776.2038625987999"/>
    <n v="1892.634219856305"/>
    <n v="153404"/>
    <s v="2 TABELIAO DE PROTESTO DE LETRAS E TITULOS DE RIBEIRAO PRETO"/>
    <s v="2.20.03.15"/>
    <x v="21"/>
    <n v="10027"/>
    <s v="0015292_COZAC_FALENCIA"/>
    <n v="44"/>
    <s v="FALENCIA E RJ_TOMBADO"/>
    <x v="96"/>
    <s v="13013697-3"/>
    <s v="SANTANDER - ENFORCE"/>
    <s v="BOLETO"/>
    <s v="3260187"/>
  </r>
  <r>
    <s v="*** Pagamento ***"/>
    <x v="0"/>
    <d v="2022-07-13T00:00:00"/>
    <d v="2022-07-11T00:00:00"/>
    <n v="786.48"/>
    <n v="786.48"/>
    <n v="786.48"/>
    <d v="2025-11-17T00:00:00"/>
    <n v="888.39398954640001"/>
    <n v="2166.1897683692109"/>
    <n v="153402"/>
    <s v="2 TABELIAO DE PROTESTO DE LETRAS E TITULOS DE RIBEIRAO PRETO"/>
    <s v="2.20.03.15"/>
    <x v="21"/>
    <n v="10027"/>
    <s v="0015292_COZAC_FALENCIA"/>
    <n v="44"/>
    <s v="FALENCIA E RJ_TOMBADO"/>
    <x v="97"/>
    <s v="13013697-3"/>
    <s v="SANTANDER - ENFORCE"/>
    <s v="BOLETO"/>
    <s v="3257911"/>
  </r>
  <r>
    <s v="*** Pagamento ***"/>
    <x v="0"/>
    <d v="2021-08-13T00:00:00"/>
    <d v="2021-08-04T00:00:00"/>
    <n v="500"/>
    <n v="500"/>
    <n v="500"/>
    <d v="2025-11-17T00:00:00"/>
    <n v="625.73056500000007"/>
    <n v="1946.2219581916145"/>
    <n v="114011"/>
    <s v="FELSBERG E PEDRETTI ADVOGADOS E CONSULTORES LEGAIS"/>
    <s v="2.20.04.01"/>
    <x v="19"/>
    <n v="10027"/>
    <s v="0015292_COZAC_FALENCIA"/>
    <n v="44"/>
    <s v="FALENCIA E RJ_TOMBADO"/>
    <x v="98"/>
    <s v="13013697-3"/>
    <s v="SANTANDER - ENFORCE"/>
    <s v="FATURA"/>
    <s v="157063"/>
  </r>
  <r>
    <s v="*** Pagamento ***"/>
    <x v="0"/>
    <d v="2025-08-13T00:00:00"/>
    <d v="2025-08-01T00:00:00"/>
    <n v="840.93"/>
    <n v="125.400000000002"/>
    <n v="125.400000000002"/>
    <d v="2025-11-17T00:00:00"/>
    <n v="125.825013204002"/>
    <n v="134.94347154625368"/>
    <n v="265204"/>
    <s v="CLAUDIO JESUS"/>
    <s v="2.20.01.07"/>
    <x v="23"/>
    <n v="10027"/>
    <s v="0015292_COZAC_FALENCIA"/>
    <n v="44"/>
    <s v="FALENCIA E RJ_TOMBADO"/>
    <x v="99"/>
    <s v="13013697-3"/>
    <s v="SANTANDER - ENFORCE"/>
    <s v="RELATÓRIO DE DESPESAS VIAGENS"/>
    <s v="8021498"/>
  </r>
  <r>
    <s v="*** Pagamento ***"/>
    <x v="0"/>
    <d v="2025-08-13T00:00:00"/>
    <d v="2025-08-01T00:00:00"/>
    <n v="840.93"/>
    <n v="715.52999999999804"/>
    <n v="715.52999999999804"/>
    <d v="2025-11-17T00:00:00"/>
    <n v="717.95511720779803"/>
    <n v="769.98486599273599"/>
    <n v="265204"/>
    <s v="CLAUDIO JESUS"/>
    <s v="2.20.01.06"/>
    <x v="24"/>
    <n v="10027"/>
    <s v="0015292_COZAC_FALENCIA"/>
    <n v="44"/>
    <s v="FALENCIA E RJ_TOMBADO"/>
    <x v="99"/>
    <s v="13013697-3"/>
    <s v="SANTANDER - ENFORCE"/>
    <s v="RELATÓRIO DE DESPESAS VIAGENS"/>
    <s v="8021498"/>
  </r>
  <r>
    <s v="*** Pagamento ***"/>
    <x v="0"/>
    <d v="2022-09-13T00:00:00"/>
    <d v="2022-08-25T00:00:00"/>
    <n v="12600"/>
    <n v="254.54999999998799"/>
    <n v="254.54999999998799"/>
    <d v="2025-11-17T00:00:00"/>
    <n v="290.17049497798632"/>
    <n v="676.27068456620316"/>
    <n v="156928"/>
    <s v="KARINA REIS DA SILVEIRA 35961827860"/>
    <s v="2.20.02.12"/>
    <x v="10"/>
    <n v="10027"/>
    <s v="0015292_COZAC_FALENCIA"/>
    <n v="44"/>
    <s v="FALENCIA E RJ_TOMBADO"/>
    <x v="100"/>
    <s v="13013697-3"/>
    <s v="SANTANDER - ENFORCE"/>
    <s v="NOTA FISCAL DE SERVIÇOS"/>
    <s v="1"/>
  </r>
  <r>
    <s v="*** Estorno ***"/>
    <x v="0"/>
    <d v="2022-09-13T00:00:00"/>
    <d v="2022-08-25T00:00:00"/>
    <n v="12600"/>
    <n v="-254.54999999998799"/>
    <n v="-254.54999999998799"/>
    <d v="2025-11-17T00:00:00"/>
    <n v="-290.17049497798632"/>
    <n v="-676.27068456620316"/>
    <n v="156928"/>
    <s v="KARINA REIS DA SILVEIRA 35961827860"/>
    <s v="2.20.02.12"/>
    <x v="10"/>
    <n v="10027"/>
    <s v="0015292_COZAC_FALENCIA"/>
    <n v="44"/>
    <s v="FALENCIA E RJ_TOMBADO"/>
    <x v="100"/>
    <s v="13013697-3"/>
    <s v="SANTANDER - ENFORCE"/>
    <s v="NOTA FISCAL DE SERVIÇOS"/>
    <s v="1"/>
  </r>
  <r>
    <s v="*** Pagamento ***"/>
    <x v="1"/>
    <d v="2019-12-13T00:00:00"/>
    <d v="2019-12-01T00:00:00"/>
    <n v="847.17"/>
    <n v="847.17"/>
    <n v="847.17"/>
    <d v="2025-11-17T00:00:00"/>
    <n v="1188.3069161091"/>
    <n v="5760.8662787388339"/>
    <n v="82746"/>
    <s v="PREFEITURA MUNICIPAL DE RIBEIRÃO PRETO"/>
    <s v="2.20.03.02"/>
    <x v="25"/>
    <n v="10027"/>
    <s v="0015292_COZAC_FALENCIA"/>
    <n v="44"/>
    <s v="FALENCIA E RJ_TOMBADO"/>
    <x v="101"/>
    <s v="32183-4"/>
    <s v="BRADESCO - ENFORCE"/>
    <s v="GUIA PARA RECOLHIMENTO DE IMPOSTOS"/>
    <s v="201900222356"/>
  </r>
  <r>
    <s v="*** Pagamento ***"/>
    <x v="1"/>
    <d v="2019-12-13T00:00:00"/>
    <d v="2019-12-01T00:00:00"/>
    <n v="877.47"/>
    <n v="877.47"/>
    <n v="877.47"/>
    <d v="2025-11-17T00:00:00"/>
    <n v="1230.8080664781"/>
    <n v="5966.9102229835389"/>
    <n v="82744"/>
    <s v="PREFEITURA MUNICIPAL DE RIBEIRÃO PRETO"/>
    <s v="2.20.03.02"/>
    <x v="25"/>
    <n v="10027"/>
    <s v="0015292_COZAC_FALENCIA"/>
    <n v="44"/>
    <s v="FALENCIA E RJ_TOMBADO"/>
    <x v="102"/>
    <s v="32183-4"/>
    <s v="BRADESCO - ENFORCE"/>
    <s v="GUIA PARA RECOLHIMENTO DE IMPOSTOS"/>
    <s v="201900222354"/>
  </r>
  <r>
    <s v="*** Pagamento ***"/>
    <x v="1"/>
    <d v="2019-12-13T00:00:00"/>
    <d v="2019-12-01T00:00:00"/>
    <n v="858.55"/>
    <n v="858.55"/>
    <n v="858.55"/>
    <d v="2025-11-17T00:00:00"/>
    <n v="1204.2693943664999"/>
    <n v="5838.2517601086274"/>
    <n v="82733"/>
    <s v="PREFEITURA MUNICIPAL DE RIBEIRÃO PRETO"/>
    <s v="2.20.03.02"/>
    <x v="25"/>
    <n v="10027"/>
    <s v="0015292_COZAC_FALENCIA"/>
    <n v="44"/>
    <s v="FALENCIA E RJ_TOMBADO"/>
    <x v="103"/>
    <s v="32183-4"/>
    <s v="BRADESCO - ENFORCE"/>
    <s v="GUIA PARA RECOLHIMENTO DE IMPOSTOS"/>
    <s v="201900222331"/>
  </r>
  <r>
    <s v="*** Pagamento ***"/>
    <x v="1"/>
    <d v="2019-12-13T00:00:00"/>
    <d v="2019-12-01T00:00:00"/>
    <n v="15555.21"/>
    <n v="15555.21"/>
    <n v="15555.21"/>
    <d v="2025-11-17T00:00:00"/>
    <n v="21818.954430078298"/>
    <n v="105777.45286979129"/>
    <n v="82735"/>
    <s v="PREFEITURA MUNICIPAL DE RIBEIRÃO PRETO"/>
    <s v="2.20.03.02"/>
    <x v="25"/>
    <n v="10027"/>
    <s v="0015292_COZAC_FALENCIA"/>
    <n v="44"/>
    <s v="FALENCIA E RJ_TOMBADO"/>
    <x v="104"/>
    <s v="32183-4"/>
    <s v="BRADESCO - ENFORCE"/>
    <s v="GUIA PARA RECOLHIMENTO DE IMPOSTOS"/>
    <s v="201900222334"/>
  </r>
  <r>
    <s v="*** Pagamento ***"/>
    <x v="1"/>
    <d v="2019-12-13T00:00:00"/>
    <d v="2019-12-01T00:00:00"/>
    <n v="945.84"/>
    <n v="945.84"/>
    <n v="945.84"/>
    <d v="2025-11-17T00:00:00"/>
    <n v="1326.7091770632001"/>
    <n v="6431.8351229178788"/>
    <n v="82742"/>
    <s v="PREFEITURA MUNICIPAL DE RIBEIRÃO PRETO"/>
    <s v="2.20.03.02"/>
    <x v="25"/>
    <n v="10027"/>
    <s v="0015292_COZAC_FALENCIA"/>
    <n v="44"/>
    <s v="FALENCIA E RJ_TOMBADO"/>
    <x v="105"/>
    <s v="32183-4"/>
    <s v="BRADESCO - ENFORCE"/>
    <s v="GUIA PARA RECOLHIMENTO DE IMPOSTOS"/>
    <s v="201900222350"/>
  </r>
  <r>
    <s v="*** Pagamento ***"/>
    <x v="1"/>
    <d v="2019-12-13T00:00:00"/>
    <d v="2019-12-01T00:00:00"/>
    <n v="7786.17"/>
    <n v="7786.17"/>
    <n v="7786.17"/>
    <d v="2025-11-17T00:00:00"/>
    <n v="10921.4911540791"/>
    <n v="52946.969549828187"/>
    <n v="82729"/>
    <s v="PREFEITURA MUNICIPAL DE RIBEIRÃO PRETO"/>
    <s v="2.20.03.02"/>
    <x v="25"/>
    <n v="10027"/>
    <s v="0015292_COZAC_FALENCIA"/>
    <n v="44"/>
    <s v="FALENCIA E RJ_TOMBADO"/>
    <x v="106"/>
    <s v="32183-4"/>
    <s v="BRADESCO - ENFORCE"/>
    <s v="GUIA PARA RECOLHIMENTO DE IMPOSTOS"/>
    <s v="201900222323"/>
  </r>
  <r>
    <s v="*** Pagamento ***"/>
    <x v="1"/>
    <d v="2019-12-13T00:00:00"/>
    <d v="2019-12-01T00:00:00"/>
    <n v="12965.31"/>
    <n v="12965.31"/>
    <n v="12965.31"/>
    <d v="2025-11-17T00:00:00"/>
    <n v="18186.158082201298"/>
    <n v="88165.795734498839"/>
    <n v="82723"/>
    <s v="PREFEITURA MUNICIPAL DE RIBEIRÃO PRETO"/>
    <s v="2.20.03.02"/>
    <x v="25"/>
    <n v="10027"/>
    <s v="0015292_COZAC_FALENCIA"/>
    <n v="44"/>
    <s v="FALENCIA E RJ_TOMBADO"/>
    <x v="107"/>
    <s v="32183-4"/>
    <s v="BRADESCO - ENFORCE"/>
    <s v="GUIA PARA RECOLHIMENTO DE IMPOSTOS"/>
    <s v="201900222311"/>
  </r>
  <r>
    <s v="*** Pagamento ***"/>
    <x v="1"/>
    <d v="2019-12-13T00:00:00"/>
    <d v="2019-12-01T00:00:00"/>
    <n v="256.58999999999997"/>
    <n v="256.58999999999997"/>
    <n v="256.58999999999997"/>
    <d v="2025-11-17T00:00:00"/>
    <n v="359.9132070357"/>
    <n v="1744.8454011138231"/>
    <n v="82725"/>
    <s v="PREFEITURA MUNICIPAL DE RIBEIRÃO PRETO"/>
    <s v="2.20.03.02"/>
    <x v="25"/>
    <n v="10027"/>
    <s v="0015292_COZAC_FALENCIA"/>
    <n v="44"/>
    <s v="FALENCIA E RJ_TOMBADO"/>
    <x v="108"/>
    <s v="32183-4"/>
    <s v="BRADESCO - ENFORCE"/>
    <s v="GUIA PARA RECOLHIMENTO DE IMPOSTOS"/>
    <s v="201900222316"/>
  </r>
  <r>
    <s v="*** Pagamento ***"/>
    <x v="1"/>
    <d v="2019-12-13T00:00:00"/>
    <d v="2019-12-01T00:00:00"/>
    <n v="71265.66"/>
    <n v="71265.66"/>
    <n v="71265.66"/>
    <d v="2025-11-17T00:00:00"/>
    <n v="99962.789828581808"/>
    <n v="484615.76487135643"/>
    <n v="82736"/>
    <s v="PREFEITURA MUNICIPAL DE RIBEIRÃO PRETO"/>
    <s v="2.20.03.02"/>
    <x v="25"/>
    <n v="10027"/>
    <s v="0015292_COZAC_FALENCIA"/>
    <n v="44"/>
    <s v="FALENCIA E RJ_TOMBADO"/>
    <x v="109"/>
    <s v="32183-4"/>
    <s v="BRADESCO - ENFORCE"/>
    <s v="GUIA PARA RECOLHIMENTO DE IMPOSTOS"/>
    <s v="201900222338"/>
  </r>
  <r>
    <s v="*** Pagamento ***"/>
    <x v="1"/>
    <d v="2019-12-13T00:00:00"/>
    <d v="2019-12-01T00:00:00"/>
    <n v="216320.05"/>
    <n v="216320.05"/>
    <n v="216320.05"/>
    <d v="2025-11-17T00:00:00"/>
    <n v="303427.42484751152"/>
    <n v="1471004.4990498938"/>
    <n v="82738"/>
    <s v="PREFEITURA MUNICIPAL DE RIBEIRÃO PRETO"/>
    <s v="2.20.03.02"/>
    <x v="25"/>
    <n v="10027"/>
    <s v="0015292_COZAC_FALENCIA"/>
    <n v="44"/>
    <s v="FALENCIA E RJ_TOMBADO"/>
    <x v="110"/>
    <s v="32183-4"/>
    <s v="BRADESCO - ENFORCE"/>
    <s v="GUIA PARA RECOLHIMENTO DE IMPOSTOS"/>
    <s v="201900222340"/>
  </r>
  <r>
    <s v="*** Pagamento ***"/>
    <x v="1"/>
    <d v="2019-12-13T00:00:00"/>
    <d v="2019-12-01T00:00:00"/>
    <n v="825.34"/>
    <n v="825.34"/>
    <n v="825.34"/>
    <d v="2025-11-17T00:00:00"/>
    <n v="1157.6864503482"/>
    <n v="5612.4194370602236"/>
    <n v="82750"/>
    <s v="PREFEITURA MUNICIPAL DE RIBEIRÃO PRETO"/>
    <s v="2.20.03.02"/>
    <x v="25"/>
    <n v="10027"/>
    <s v="0015292_COZAC_FALENCIA"/>
    <n v="44"/>
    <s v="FALENCIA E RJ_TOMBADO"/>
    <x v="111"/>
    <s v="32183-4"/>
    <s v="BRADESCO - ENFORCE"/>
    <s v="GUIA PARA RECOLHIMENTO DE IMPOSTOS"/>
    <s v="201900222361"/>
  </r>
  <r>
    <s v="*** Pagamento ***"/>
    <x v="1"/>
    <d v="2019-12-13T00:00:00"/>
    <d v="2019-12-01T00:00:00"/>
    <n v="16673.25"/>
    <n v="16673.25"/>
    <n v="16673.25"/>
    <d v="2025-11-17T00:00:00"/>
    <n v="23387.204798347502"/>
    <n v="113380.27040851573"/>
    <n v="82724"/>
    <s v="PREFEITURA MUNICIPAL DE RIBEIRÃO PRETO"/>
    <s v="2.20.03.02"/>
    <x v="25"/>
    <n v="10027"/>
    <s v="0015292_COZAC_FALENCIA"/>
    <n v="44"/>
    <s v="FALENCIA E RJ_TOMBADO"/>
    <x v="112"/>
    <s v="32183-4"/>
    <s v="BRADESCO - ENFORCE"/>
    <s v="GUIA PARA RECOLHIMENTO DE IMPOSTOS"/>
    <s v="201900222315"/>
  </r>
  <r>
    <s v="*** Pagamento ***"/>
    <x v="1"/>
    <d v="2019-12-13T00:00:00"/>
    <d v="2019-12-01T00:00:00"/>
    <n v="803.29"/>
    <n v="803.29"/>
    <n v="803.29"/>
    <d v="2025-11-17T00:00:00"/>
    <n v="1126.7573953767001"/>
    <n v="5462.4765667435322"/>
    <n v="82747"/>
    <s v="PREFEITURA MUNICIPAL DE RIBEIRÃO PRETO"/>
    <s v="2.20.03.02"/>
    <x v="25"/>
    <n v="10027"/>
    <s v="0015292_COZAC_FALENCIA"/>
    <n v="44"/>
    <s v="FALENCIA E RJ_TOMBADO"/>
    <x v="113"/>
    <s v="32183-4"/>
    <s v="BRADESCO - ENFORCE"/>
    <s v="GUIA PARA RECOLHIMENTO DE IMPOSTOS"/>
    <s v="201900222359"/>
  </r>
  <r>
    <s v="*** Pagamento ***"/>
    <x v="1"/>
    <d v="2019-12-13T00:00:00"/>
    <d v="2019-12-01T00:00:00"/>
    <n v="814.9"/>
    <n v="814.9"/>
    <n v="814.9"/>
    <d v="2025-11-17T00:00:00"/>
    <n v="1143.0424896269999"/>
    <n v="5541.4260780531367"/>
    <n v="82749"/>
    <s v="PREFEITURA MUNICIPAL DE RIBEIRÃO PRETO"/>
    <s v="2.20.03.02"/>
    <x v="25"/>
    <n v="10027"/>
    <s v="0015292_COZAC_FALENCIA"/>
    <n v="44"/>
    <s v="FALENCIA E RJ_TOMBADO"/>
    <x v="114"/>
    <s v="32183-4"/>
    <s v="BRADESCO - ENFORCE"/>
    <s v="GUIA PARA RECOLHIMENTO DE IMPOSTOS"/>
    <s v="201900222360"/>
  </r>
  <r>
    <s v="*** Pagamento ***"/>
    <x v="1"/>
    <d v="2019-12-13T00:00:00"/>
    <d v="2019-12-01T00:00:00"/>
    <n v="1724.38"/>
    <n v="1724.38"/>
    <n v="1724.38"/>
    <d v="2025-11-17T00:00:00"/>
    <n v="2418.7502862474003"/>
    <n v="11726.008467877371"/>
    <n v="82741"/>
    <s v="PREFEITURA MUNICIPAL DE RIBEIRÃO PRETO"/>
    <s v="2.20.03.02"/>
    <x v="25"/>
    <n v="10027"/>
    <s v="0015292_COZAC_FALENCIA"/>
    <n v="44"/>
    <s v="FALENCIA E RJ_TOMBADO"/>
    <x v="115"/>
    <s v="32183-4"/>
    <s v="BRADESCO - ENFORCE"/>
    <s v="GUIA PARA RECOLHIMENTO DE IMPOSTOS"/>
    <s v="201900222349"/>
  </r>
  <r>
    <s v="*** Pagamento ***"/>
    <x v="1"/>
    <d v="2019-12-13T00:00:00"/>
    <d v="2019-12-01T00:00:00"/>
    <n v="782.62"/>
    <n v="782.62"/>
    <n v="782.62"/>
    <d v="2025-11-17T00:00:00"/>
    <n v="1097.7640363626001"/>
    <n v="5321.9178760657096"/>
    <n v="82745"/>
    <s v="PREFEITURA MUNICIPAL DE RIBEIRÃO PRETO"/>
    <s v="2.20.03.02"/>
    <x v="25"/>
    <n v="10027"/>
    <s v="0015292_COZAC_FALENCIA"/>
    <n v="44"/>
    <s v="FALENCIA E RJ_TOMBADO"/>
    <x v="116"/>
    <s v="32183-4"/>
    <s v="BRADESCO - ENFORCE"/>
    <s v="GUIA PARA RECOLHIMENTO DE IMPOSTOS"/>
    <s v="201900222355"/>
  </r>
  <r>
    <s v="*** Pagamento ***"/>
    <x v="1"/>
    <d v="2019-12-13T00:00:00"/>
    <d v="2019-12-01T00:00:00"/>
    <n v="1112.06"/>
    <n v="1112.06"/>
    <n v="1112.06"/>
    <d v="2025-11-17T00:00:00"/>
    <n v="1559.8623524538"/>
    <n v="7562.1527602893257"/>
    <n v="82726"/>
    <s v="PREFEITURA MUNICIPAL DE RIBEIRÃO PRETO"/>
    <s v="2.20.03.02"/>
    <x v="25"/>
    <n v="10027"/>
    <s v="0015292_COZAC_FALENCIA"/>
    <n v="44"/>
    <s v="FALENCIA E RJ_TOMBADO"/>
    <x v="117"/>
    <s v="32183-4"/>
    <s v="BRADESCO - ENFORCE"/>
    <s v="GUIA PARA RECOLHIMENTO DE IMPOSTOS"/>
    <s v="201900222317"/>
  </r>
  <r>
    <s v="*** Pagamento ***"/>
    <x v="1"/>
    <d v="2019-12-13T00:00:00"/>
    <d v="2019-12-01T00:00:00"/>
    <n v="16120.3"/>
    <n v="16120.3"/>
    <n v="16120.3"/>
    <d v="2025-11-17T00:00:00"/>
    <n v="22611.593871068999"/>
    <n v="109620.13842930418"/>
    <n v="82732"/>
    <s v="PREFEITURA MUNICIPAL DE RIBEIRÃO PRETO"/>
    <s v="2.20.03.02"/>
    <x v="25"/>
    <n v="10027"/>
    <s v="0015292_COZAC_FALENCIA"/>
    <n v="44"/>
    <s v="FALENCIA E RJ_TOMBADO"/>
    <x v="118"/>
    <s v="32183-4"/>
    <s v="BRADESCO - ENFORCE"/>
    <s v="GUIA PARA RECOLHIMENTO DE IMPOSTOS"/>
    <s v="201900222329"/>
  </r>
  <r>
    <s v="*** Pagamento ***"/>
    <x v="1"/>
    <d v="2019-12-13T00:00:00"/>
    <d v="2019-12-01T00:00:00"/>
    <n v="93824.33"/>
    <n v="93824.33"/>
    <n v="93824.33"/>
    <d v="2025-11-17T00:00:00"/>
    <n v="131605.3451353359"/>
    <n v="638017.65740319458"/>
    <n v="82739"/>
    <s v="PREFEITURA MUNICIPAL DE RIBEIRÃO PRETO"/>
    <s v="2.20.03.02"/>
    <x v="25"/>
    <n v="10027"/>
    <s v="0015292_COZAC_FALENCIA"/>
    <n v="44"/>
    <s v="FALENCIA E RJ_TOMBADO"/>
    <x v="119"/>
    <s v="32183-4"/>
    <s v="BRADESCO - ENFORCE"/>
    <s v="GUIA PARA RECOLHIMENTO DE IMPOSTOS"/>
    <s v="201900222347"/>
  </r>
  <r>
    <s v="*** Pagamento ***"/>
    <x v="1"/>
    <d v="2019-12-13T00:00:00"/>
    <d v="2019-12-01T00:00:00"/>
    <n v="168"/>
    <n v="168"/>
    <n v="168"/>
    <d v="2025-11-17T00:00:00"/>
    <n v="235.64994264000001"/>
    <n v="1142.4218690795522"/>
    <n v="82754"/>
    <s v="PREFEITURA MUNICIPAL DE RIBEIRÃO PRETO"/>
    <s v="2.20.03.02"/>
    <x v="25"/>
    <n v="10027"/>
    <s v="0015292_COZAC_FALENCIA"/>
    <n v="44"/>
    <s v="FALENCIA E RJ_TOMBADO"/>
    <x v="120"/>
    <s v="32183-4"/>
    <s v="BRADESCO - ENFORCE"/>
    <s v="GUIA PARA RECOLHIMENTO DE IMPOSTOS"/>
    <s v="201900222366"/>
  </r>
  <r>
    <s v="*** Pagamento ***"/>
    <x v="1"/>
    <d v="2019-12-13T00:00:00"/>
    <d v="2019-12-01T00:00:00"/>
    <n v="782.62"/>
    <n v="782.62"/>
    <n v="782.62"/>
    <d v="2025-11-17T00:00:00"/>
    <n v="1097.7640363626001"/>
    <n v="5321.9178760657096"/>
    <n v="82752"/>
    <s v="PREFEITURA MUNICIPAL DE RIBEIRÃO PRETO"/>
    <s v="2.20.03.02"/>
    <x v="25"/>
    <n v="10027"/>
    <s v="0015292_COZAC_FALENCIA"/>
    <n v="44"/>
    <s v="FALENCIA E RJ_TOMBADO"/>
    <x v="121"/>
    <s v="32183-4"/>
    <s v="BRADESCO - ENFORCE"/>
    <s v="GUIA PARA RECOLHIMENTO DE IMPOSTOS"/>
    <s v="201900222362"/>
  </r>
  <r>
    <s v="*** Pagamento ***"/>
    <x v="1"/>
    <d v="2019-12-13T00:00:00"/>
    <d v="2019-12-01T00:00:00"/>
    <n v="16044.01"/>
    <n v="16044.01"/>
    <n v="16044.01"/>
    <d v="2025-11-17T00:00:00"/>
    <n v="22504.583548902301"/>
    <n v="109101.35649839896"/>
    <n v="82722"/>
    <s v="PREFEITURA MUNICIPAL DE RIBEIRÃO PRETO"/>
    <s v="2.20.03.02"/>
    <x v="25"/>
    <n v="10027"/>
    <s v="0015292_COZAC_FALENCIA"/>
    <n v="44"/>
    <s v="FALENCIA E RJ_TOMBADO"/>
    <x v="122"/>
    <s v="32183-4"/>
    <s v="BRADESCO - ENFORCE"/>
    <s v="GUIA PARA RECOLHIMENTO DE IMPOSTOS"/>
    <s v="201900222313"/>
  </r>
  <r>
    <s v="*** Pagamento ***"/>
    <x v="1"/>
    <d v="2019-12-13T00:00:00"/>
    <d v="2019-12-01T00:00:00"/>
    <n v="779.9"/>
    <n v="779.9"/>
    <n v="779.9"/>
    <d v="2025-11-17T00:00:00"/>
    <n v="1093.9487515769999"/>
    <n v="5303.4215219948965"/>
    <n v="82753"/>
    <s v="PREFEITURA MUNICIPAL DE RIBEIRÃO PRETO"/>
    <s v="2.20.03.02"/>
    <x v="25"/>
    <n v="10027"/>
    <s v="0015292_COZAC_FALENCIA"/>
    <n v="44"/>
    <s v="FALENCIA E RJ_TOMBADO"/>
    <x v="123"/>
    <s v="32183-4"/>
    <s v="BRADESCO - ENFORCE"/>
    <s v="GUIA PARA RECOLHIMENTO DE IMPOSTOS"/>
    <s v="201900222364"/>
  </r>
  <r>
    <s v="*** Pagamento ***"/>
    <x v="1"/>
    <d v="2019-12-13T00:00:00"/>
    <d v="2019-12-01T00:00:00"/>
    <n v="52596.11"/>
    <n v="52596.11"/>
    <n v="52596.11"/>
    <d v="2025-11-17T00:00:00"/>
    <n v="73775.418479685308"/>
    <n v="357660.39459829597"/>
    <n v="82727"/>
    <s v="PREFEITURA MUNICIPAL DE RIBEIRÃO PRETO"/>
    <s v="2.20.03.02"/>
    <x v="25"/>
    <n v="10027"/>
    <s v="0015292_COZAC_FALENCIA"/>
    <n v="44"/>
    <s v="FALENCIA E RJ_TOMBADO"/>
    <x v="124"/>
    <s v="32183-4"/>
    <s v="BRADESCO - ENFORCE"/>
    <s v="GUIA PARA RECOLHIMENTO DE IMPOSTOS"/>
    <s v="201900222320"/>
  </r>
  <r>
    <s v="*** Pagamento ***"/>
    <x v="1"/>
    <d v="2019-12-13T00:00:00"/>
    <d v="2019-12-01T00:00:00"/>
    <n v="9917.0400000000009"/>
    <n v="9917.0400000000009"/>
    <n v="9917.0400000000009"/>
    <d v="2025-11-17T00:00:00"/>
    <n v="13910.416114039201"/>
    <n v="67437.162931765968"/>
    <n v="82728"/>
    <s v="PREFEITURA MUNICIPAL DE RIBEIRÃO PRETO"/>
    <s v="2.20.03.02"/>
    <x v="25"/>
    <n v="10027"/>
    <s v="0015292_COZAC_FALENCIA"/>
    <n v="44"/>
    <s v="FALENCIA E RJ_TOMBADO"/>
    <x v="125"/>
    <s v="32183-4"/>
    <s v="BRADESCO - ENFORCE"/>
    <s v="GUIA PARA RECOLHIMENTO DE IMPOSTOS"/>
    <s v="201900222322"/>
  </r>
  <r>
    <s v="*** Pagamento ***"/>
    <x v="1"/>
    <d v="2019-12-13T00:00:00"/>
    <d v="2019-12-01T00:00:00"/>
    <n v="11623.45"/>
    <n v="11623.45"/>
    <n v="11623.45"/>
    <d v="2025-11-17T00:00:00"/>
    <n v="16303.960272493501"/>
    <n v="79040.973060432865"/>
    <n v="82721"/>
    <s v="PREFEITURA MUNICIPAL DE RIBEIRÃO PRETO"/>
    <s v="2.20.03.02"/>
    <x v="25"/>
    <n v="10027"/>
    <s v="0015292_COZAC_FALENCIA"/>
    <n v="44"/>
    <s v="FALENCIA E RJ_TOMBADO"/>
    <x v="126"/>
    <s v="32183-4"/>
    <s v="BRADESCO - ENFORCE"/>
    <s v="GUIA PARA RECOLHIMENTO DE IMPOSTOS"/>
    <s v="201900222306"/>
  </r>
  <r>
    <s v="*** Pagamento ***"/>
    <x v="0"/>
    <d v="2024-03-14T00:00:00"/>
    <d v="2024-02-01T00:00:00"/>
    <n v="3853.22"/>
    <n v="5.0300000000100002"/>
    <n v="5.0300000000100002"/>
    <d v="2025-11-17T00:00:00"/>
    <n v="5.3875415043107102"/>
    <n v="8.4219146745822329"/>
    <n v="193938"/>
    <s v="BRAIN SOLUCOES DE TECNOLOGIA DIGITAL LTDA."/>
    <s v="2.20.05.04"/>
    <x v="8"/>
    <n v="10027"/>
    <s v="0015292_COZAC_FALENCIA"/>
    <n v="44"/>
    <s v="FALENCIA E RJ_TOMBADO"/>
    <x v="127"/>
    <s v="13013697-3"/>
    <s v="SANTANDER - ENFORCE"/>
    <s v="NOTA FISCAL DE SERVIÇOS"/>
    <s v="3573"/>
  </r>
  <r>
    <s v="*** Pagamento ***"/>
    <x v="0"/>
    <d v="2025-04-14T00:00:00"/>
    <d v="2025-04-04T00:00:00"/>
    <n v="9190"/>
    <n v="2660.0000000000209"/>
    <n v="2660.0000000000209"/>
    <d v="2025-11-17T00:00:00"/>
    <n v="2703.0680866000212"/>
    <n v="3166.2084660968112"/>
    <n v="246376"/>
    <s v="PAMELA GUEDES DE LIMA"/>
    <s v="2.20.02.12"/>
    <x v="10"/>
    <n v="10027"/>
    <s v="0015292_COZAC_FALENCIA"/>
    <n v="44"/>
    <s v="FALENCIA E RJ_TOMBADO"/>
    <x v="128"/>
    <s v="13013697-3"/>
    <s v="SANTANDER - ENFORCE"/>
    <s v="NOTA FISCAL DE SERVIÇOS"/>
    <s v="17"/>
  </r>
  <r>
    <s v="*** Pagamento ***"/>
    <x v="0"/>
    <d v="2024-06-14T00:00:00"/>
    <d v="2024-06-06T00:00:00"/>
    <n v="63700"/>
    <n v="149.99999999975901"/>
    <n v="149.99999999975901"/>
    <d v="2025-11-17T00:00:00"/>
    <n v="159.03471599974449"/>
    <n v="232.48411773176025"/>
    <n v="200593"/>
    <s v="REAVIVARE - SOLUÇÕES EM MEIO AMBIENTE LTDA EPP"/>
    <s v="2.20.02.16"/>
    <x v="15"/>
    <n v="10027"/>
    <s v="0015292_COZAC_FALENCIA"/>
    <n v="44"/>
    <s v="FALENCIA E RJ_TOMBADO"/>
    <x v="129"/>
    <s v="13013697-3"/>
    <s v="SANTANDER - ENFORCE"/>
    <s v="NOTA FISCAL DE SERVIÇOS"/>
    <s v="286"/>
  </r>
  <r>
    <s v="*** Pagamento ***"/>
    <x v="0"/>
    <d v="2023-07-14T00:00:00"/>
    <d v="2023-07-02T00:00:00"/>
    <n v="30407.81"/>
    <n v="37.449999999993999"/>
    <n v="35.146825387945995"/>
    <d v="2025-11-17T00:00:00"/>
    <n v="38.545258044428692"/>
    <n v="71.981258885284902"/>
    <n v="176814"/>
    <s v="SERASA S.A"/>
    <s v="2.20.05.04"/>
    <x v="8"/>
    <n v="10027"/>
    <s v="0015292_COZAC_FALENCIA"/>
    <n v="44"/>
    <s v="FALENCIA E RJ_TOMBADO"/>
    <x v="130"/>
    <s v="13013697-3"/>
    <s v="SANTANDER - ENFORCE"/>
    <s v="NOTA FISCAL DE SERVIÇOS"/>
    <s v="2165624"/>
  </r>
  <r>
    <s v="*** Pagamento ***"/>
    <x v="0"/>
    <d v="2019-11-14T00:00:00"/>
    <d v="2019-10-24T00:00:00"/>
    <n v="15000"/>
    <n v="15000"/>
    <n v="13327.5"/>
    <d v="2025-11-17T00:00:00"/>
    <n v="18795.148856625001"/>
    <n v="93064.427361148992"/>
    <n v="80597"/>
    <s v="T.C. IMOVEIS S/S LTDA"/>
    <s v="2.20.05.03"/>
    <x v="9"/>
    <n v="10027"/>
    <s v="0015292_COZAC_FALENCIA"/>
    <n v="44"/>
    <s v="FALENCIA E RJ_TOMBADO"/>
    <x v="131"/>
    <s v="13013697-3"/>
    <s v="SANTANDER - ENFORCE"/>
    <s v="NOTA FISCAL DE SERVIÇOS"/>
    <s v="896"/>
  </r>
  <r>
    <s v="*** Pagamento ***"/>
    <x v="0"/>
    <d v="2021-12-14T00:00:00"/>
    <d v="2021-12-08T00:00:00"/>
    <n v="900"/>
    <n v="900"/>
    <n v="900"/>
    <d v="2025-11-17T00:00:00"/>
    <n v="1081.514817"/>
    <n v="3075.4369442719985"/>
    <n v="121049"/>
    <s v="FELSBERG E PEDRETTI ADVOGADOS E CONSULTORES LEGAIS"/>
    <s v="2.20.04.02"/>
    <x v="0"/>
    <n v="10027"/>
    <s v="0015292_COZAC_FALENCIA"/>
    <n v="44"/>
    <s v="FALENCIA E RJ_TOMBADO"/>
    <x v="132"/>
    <s v="13013697-3"/>
    <s v="SANTANDER - ENFORCE"/>
    <s v="NOTA DE DEBITO"/>
    <s v="160522"/>
  </r>
  <r>
    <s v="*** Pagamento ***"/>
    <x v="0"/>
    <d v="2024-02-15T00:00:00"/>
    <d v="2024-02-01T00:00:00"/>
    <n v="30794.25"/>
    <n v="91.020000000032994"/>
    <n v="85.422288842915989"/>
    <d v="2025-11-17T00:00:00"/>
    <n v="92.235304937708676"/>
    <n v="147.15657012353674"/>
    <n v="191429"/>
    <s v="SERASA S.A"/>
    <s v="2.20.05.04"/>
    <x v="8"/>
    <n v="10027"/>
    <s v="0015292_COZAC_FALENCIA"/>
    <n v="44"/>
    <s v="FALENCIA E RJ_TOMBADO"/>
    <x v="133"/>
    <s v="13013697-3"/>
    <s v="SANTANDER - ENFORCE"/>
    <s v="NOTA FISCAL DE SERVIÇOS"/>
    <s v="3034407"/>
  </r>
  <r>
    <s v="*** Pagamento ***"/>
    <x v="0"/>
    <d v="2022-06-15T00:00:00"/>
    <d v="2022-06-01T00:00:00"/>
    <n v="701"/>
    <n v="311.99999999999699"/>
    <n v="311.99999999999699"/>
    <d v="2025-11-17T00:00:00"/>
    <n v="354.61494743999657"/>
    <n v="882.49080080603858"/>
    <n v="151441"/>
    <s v="BRUNO LUIS GOMES DE MORAIS 27744757831"/>
    <s v="2.20.05.11"/>
    <x v="6"/>
    <n v="10027"/>
    <s v="0015292_COZAC_FALENCIA"/>
    <n v="44"/>
    <s v="FALENCIA E RJ_TOMBADO"/>
    <x v="134"/>
    <s v="13013697-3"/>
    <s v="SANTANDER - ENFORCE"/>
    <s v="NOTA FISCAL DE SERVIÇOS"/>
    <s v="27"/>
  </r>
  <r>
    <s v="*** Pagamento ***"/>
    <x v="0"/>
    <d v="2022-06-15T00:00:00"/>
    <d v="2022-06-01T00:00:00"/>
    <n v="3180"/>
    <n v="119.99999999998801"/>
    <n v="119.99999999998801"/>
    <d v="2025-11-17T00:00:00"/>
    <n v="136.39036439998637"/>
    <n v="339.41953877152264"/>
    <n v="151463"/>
    <s v="DMS ADMINISTRAÇÃO E DILIGENCIAS LTDA"/>
    <s v="2.20.05.03"/>
    <x v="9"/>
    <n v="10027"/>
    <s v="0015292_COZAC_FALENCIA"/>
    <n v="44"/>
    <s v="FALENCIA E RJ_TOMBADO"/>
    <x v="135"/>
    <s v="13013697-3"/>
    <s v="SANTANDER - ENFORCE"/>
    <s v="NOTA FISCAL DE SERVIÇOS"/>
    <s v="6"/>
  </r>
  <r>
    <s v="*** Pagamento ***"/>
    <x v="0"/>
    <d v="2023-06-15T00:00:00"/>
    <d v="2023-06-01T00:00:00"/>
    <n v="34510.49"/>
    <n v="620.47958174735595"/>
    <n v="582.3199999998759"/>
    <d v="2025-11-17T00:00:00"/>
    <n v="637.9876257694641"/>
    <n v="1216.8568907518957"/>
    <n v="175227"/>
    <s v="SERASA S.A"/>
    <s v="2.20.05.04"/>
    <x v="8"/>
    <n v="10027"/>
    <s v="0015292_COZAC_FALENCIA"/>
    <n v="44"/>
    <s v="FALENCIA E RJ_TOMBADO"/>
    <x v="136"/>
    <s v="32183-4"/>
    <s v="BRADESCO - ENFORCE"/>
    <s v="NOTA FISCAL DE SERVIÇOS"/>
    <s v="2027523"/>
  </r>
  <r>
    <s v="*** Pagamento ***"/>
    <x v="0"/>
    <d v="2022-07-15T00:00:00"/>
    <d v="2022-07-12T00:00:00"/>
    <n v="696.16"/>
    <n v="696.16"/>
    <n v="696.16"/>
    <d v="2025-11-17T00:00:00"/>
    <n v="786.37010446879992"/>
    <n v="1914.6300216160355"/>
    <n v="153637"/>
    <s v="1 TABELIAO DE PROTESTO DE LETRAS E TITULOS DA COMARCA DE RIBEIRÃO PRETO"/>
    <s v="2.20.03.15"/>
    <x v="21"/>
    <n v="10027"/>
    <s v="0015292_COZAC_FALENCIA"/>
    <n v="44"/>
    <s v="FALENCIA E RJ_TOMBADO"/>
    <x v="137"/>
    <s v="13013697-3"/>
    <s v="SANTANDER - ENFORCE"/>
    <s v="BOLETO"/>
    <s v="25"/>
  </r>
  <r>
    <s v="*** Pagamento ***"/>
    <x v="0"/>
    <d v="2022-07-15T00:00:00"/>
    <d v="2022-07-08T00:00:00"/>
    <n v="5000"/>
    <n v="1170"/>
    <n v="1170"/>
    <d v="2025-11-17T00:00:00"/>
    <n v="1321.6114430999999"/>
    <n v="3217.8193594730546"/>
    <n v="153559"/>
    <s v="JULIA ORIANI DE JORGE 44212908824"/>
    <s v="2.20.06.02"/>
    <x v="13"/>
    <n v="10027"/>
    <s v="0015292_COZAC_FALENCIA"/>
    <n v="44"/>
    <s v="FALENCIA E RJ_TOMBADO"/>
    <x v="138"/>
    <s v="13013697-3"/>
    <s v="SANTANDER - ENFORCE"/>
    <s v="NOTA FISCAL DE SERVIÇOS"/>
    <s v="20"/>
  </r>
  <r>
    <s v="*** Pagamento ***"/>
    <x v="0"/>
    <d v="2022-07-15T00:00:00"/>
    <d v="2022-07-12T00:00:00"/>
    <n v="696.16"/>
    <n v="696.16"/>
    <n v="696.16"/>
    <d v="2025-11-17T00:00:00"/>
    <n v="786.37010446879992"/>
    <n v="1914.6300216160355"/>
    <n v="153631"/>
    <s v="1 TABELIAO DE PROTESTO DE LETRAS E TITULOS DA COMARCA DE RIBEIRÃO PRETO"/>
    <s v="2.20.03.15"/>
    <x v="21"/>
    <n v="10027"/>
    <s v="0015292_COZAC_FALENCIA"/>
    <n v="44"/>
    <s v="FALENCIA E RJ_TOMBADO"/>
    <x v="139"/>
    <s v="13013697-3"/>
    <s v="SANTANDER - ENFORCE"/>
    <s v="BOLETO"/>
    <s v="26"/>
  </r>
  <r>
    <s v="*** Pagamento ***"/>
    <x v="0"/>
    <d v="2022-07-15T00:00:00"/>
    <d v="2022-07-12T00:00:00"/>
    <n v="696.16"/>
    <n v="696.16"/>
    <n v="696.16"/>
    <d v="2025-11-17T00:00:00"/>
    <n v="786.37010446879992"/>
    <n v="1914.6300216160355"/>
    <n v="153621"/>
    <s v="1 TABELIAO DE PROTESTO DE LETRAS E TITULOS DA COMARCA DE RIBEIRÃO PRETO"/>
    <s v="2.20.03.15"/>
    <x v="21"/>
    <n v="10027"/>
    <s v="0015292_COZAC_FALENCIA"/>
    <n v="44"/>
    <s v="FALENCIA E RJ_TOMBADO"/>
    <x v="140"/>
    <s v="13013697-3"/>
    <s v="SANTANDER - ENFORCE"/>
    <s v="BOLETO"/>
    <s v="23"/>
  </r>
  <r>
    <s v="*** Pagamento ***"/>
    <x v="0"/>
    <d v="2022-07-15T00:00:00"/>
    <d v="2022-07-06T00:00:00"/>
    <n v="30000"/>
    <n v="1740"/>
    <n v="1653"/>
    <d v="2025-11-17T00:00:00"/>
    <n v="1867.1997567899998"/>
    <n v="4546.201197614495"/>
    <n v="153443"/>
    <s v="INATIVADO_MARIA CAROLINA PEDROSO ZANETTI 21589874803"/>
    <s v="2.20.06.02"/>
    <x v="13"/>
    <n v="10027"/>
    <s v="0015292_COZAC_FALENCIA"/>
    <n v="44"/>
    <s v="FALENCIA E RJ_TOMBADO"/>
    <x v="141"/>
    <s v="13013697-3"/>
    <s v="SANTANDER - ENFORCE"/>
    <s v="NOTA FISCAL DE SERVIÇOS"/>
    <s v="30"/>
  </r>
  <r>
    <s v="*** Pagamento ***"/>
    <x v="0"/>
    <d v="2022-07-15T00:00:00"/>
    <d v="2022-07-12T00:00:00"/>
    <n v="696.16"/>
    <n v="696.16"/>
    <n v="696.16"/>
    <d v="2025-11-17T00:00:00"/>
    <n v="786.37010446879992"/>
    <n v="1914.6300216160355"/>
    <n v="153646"/>
    <s v="1 TABELIAO DE PROTESTO DE LETRAS E TITULOS DA COMARCA DE RIBEIRÃO PRETO"/>
    <s v="2.20.03.15"/>
    <x v="21"/>
    <n v="10027"/>
    <s v="0015292_COZAC_FALENCIA"/>
    <n v="44"/>
    <s v="FALENCIA E RJ_TOMBADO"/>
    <x v="142"/>
    <s v="13013697-3"/>
    <s v="SANTANDER - ENFORCE"/>
    <s v="BOLETO"/>
    <s v="24"/>
  </r>
  <r>
    <s v="*** Pagamento ***"/>
    <x v="0"/>
    <d v="2022-08-15T00:00:00"/>
    <d v="2022-08-11T00:00:00"/>
    <n v="5663.85"/>
    <n v="5663.85"/>
    <n v="5663.85"/>
    <d v="2025-11-17T00:00:00"/>
    <n v="6436.4085419910007"/>
    <n v="15321.090706657455"/>
    <n v="155955"/>
    <s v="SEXTO TABELIAO DE NOTAS DA COMARCA DE CAMPINAS-SP"/>
    <s v="2.20.05.02"/>
    <x v="5"/>
    <n v="10027"/>
    <s v="0015292_COZAC_FALENCIA"/>
    <n v="44"/>
    <s v="FALENCIA E RJ_TOMBADO"/>
    <x v="143"/>
    <s v="13013697-3"/>
    <s v="SANTANDER - ENFORCE"/>
    <s v="RECIBO"/>
    <s v="110820224"/>
  </r>
  <r>
    <s v="*** Pagamento ***"/>
    <x v="0"/>
    <d v="2023-08-15T00:00:00"/>
    <d v="2023-08-04T00:00:00"/>
    <n v="1890"/>
    <n v="620.00000000000398"/>
    <n v="620.00000000000398"/>
    <d v="2025-11-17T00:00:00"/>
    <n v="680.56205260000434"/>
    <n v="1241.6177484070161"/>
    <n v="179152"/>
    <s v="Brunna Gomes Martins"/>
    <s v="2.20.02.12"/>
    <x v="10"/>
    <n v="10027"/>
    <s v="0015292_COZAC_FALENCIA"/>
    <n v="44"/>
    <s v="FALENCIA E RJ_TOMBADO"/>
    <x v="144"/>
    <s v="13013697-3"/>
    <s v="SANTANDER - ENFORCE"/>
    <s v="RECIBO PROVISÓRIO AUTONOMO"/>
    <s v="09082023"/>
  </r>
  <r>
    <s v="*** Pagamento ***"/>
    <x v="0"/>
    <d v="2023-09-15T00:00:00"/>
    <d v="2023-08-25T00:00:00"/>
    <n v="2430"/>
    <n v="599.99999999999102"/>
    <n v="599.99999999999102"/>
    <d v="2025-11-17T00:00:00"/>
    <n v="657.29387999999017"/>
    <n v="1172.3788696125075"/>
    <n v="181473"/>
    <s v="KARINA REIS DA SILVEIRA 35961827860"/>
    <s v="2.20.02.12"/>
    <x v="10"/>
    <n v="10027"/>
    <s v="0015292_COZAC_FALENCIA"/>
    <n v="44"/>
    <s v="FALENCIA E RJ_TOMBADO"/>
    <x v="145"/>
    <s v="13013697-3"/>
    <s v="SANTANDER - ENFORCE"/>
    <s v="NOTA FISCAL DE SERVIÇOS"/>
    <s v="22"/>
  </r>
  <r>
    <s v="*** Pagamento ***"/>
    <x v="0"/>
    <d v="2023-01-16T00:00:00"/>
    <d v="2022-11-03T00:00:00"/>
    <n v="16460"/>
    <n v="1050.0000000000359"/>
    <n v="1050.0000000000359"/>
    <d v="2025-11-17T00:00:00"/>
    <n v="1182.4730295000404"/>
    <n v="2515.9087821096459"/>
    <n v="165258"/>
    <s v="NATHALIA VICENTINI AGUIAR 44639096860"/>
    <s v="2.20.02.11"/>
    <x v="3"/>
    <n v="10027"/>
    <s v="0015292_COZAC_FALENCIA"/>
    <n v="44"/>
    <s v="FALENCIA E RJ_TOMBADO"/>
    <x v="146"/>
    <s v="13013697-3"/>
    <s v="SANTANDER - ENFORCE"/>
    <s v="NOTA FISCAL DE SERVIÇOS"/>
    <s v="47"/>
  </r>
  <r>
    <s v="*** Pagamento ***"/>
    <x v="0"/>
    <d v="2023-02-16T00:00:00"/>
    <d v="2023-02-03T00:00:00"/>
    <n v="54164.47"/>
    <n v="0.89999999997500002"/>
    <n v="0.84464991531800004"/>
    <d v="2025-11-17T00:00:00"/>
    <n v="0.9468592024663115"/>
    <n v="1.969596495893309"/>
    <n v="167204"/>
    <s v="4MTI SOLUÇÕES LTDA ME"/>
    <s v="2.20.05.04"/>
    <x v="8"/>
    <n v="10027"/>
    <s v="0015292_COZAC_FALENCIA"/>
    <n v="44"/>
    <s v="FALENCIA E RJ_TOMBADO"/>
    <x v="147"/>
    <s v="13013697-3"/>
    <s v="SANTANDER - ENFORCE"/>
    <s v="NOTA FISCAL DE SERVIÇOS"/>
    <s v="2023/22"/>
  </r>
  <r>
    <s v="*** Pagamento ***"/>
    <x v="0"/>
    <d v="2022-03-16T00:00:00"/>
    <d v="2022-03-08T00:00:00"/>
    <n v="200"/>
    <n v="200"/>
    <n v="200"/>
    <d v="2025-11-17T00:00:00"/>
    <n v="234.66045599999998"/>
    <n v="624.01554255225631"/>
    <n v="146615"/>
    <s v="FELSBERG E PEDRETTI ADVOGADOS E CONSULTORES LEGAIS"/>
    <s v="2.20.04.02"/>
    <x v="0"/>
    <n v="10027"/>
    <s v="0015292_COZAC_FALENCIA"/>
    <n v="44"/>
    <s v="FALENCIA E RJ_TOMBADO"/>
    <x v="148"/>
    <s v="13013697-3"/>
    <s v="SANTANDER - ENFORCE"/>
    <s v="NOTA DE DEBITO"/>
    <s v="162572"/>
  </r>
  <r>
    <s v="*** Pagamento ***"/>
    <x v="0"/>
    <d v="2023-03-16T00:00:00"/>
    <d v="2023-02-03T00:00:00"/>
    <n v="2518.65"/>
    <n v="4.1850035639999998E-2"/>
    <n v="4.1850035639999998E-2"/>
    <d v="2025-11-17T00:00:00"/>
    <n v="4.6555773756963882E-2"/>
    <n v="9.4886220195980822E-2"/>
    <n v="167946"/>
    <s v="MINISTERIO DA ECONOMIA"/>
    <s v="2.08.01"/>
    <x v="26"/>
    <n v="10027"/>
    <s v="0015292_COZAC_FALENCIA"/>
    <n v="44"/>
    <s v="FALENCIA E RJ_TOMBADO"/>
    <x v="149"/>
    <s v="13013697-3"/>
    <s v="SANTANDER - ENFORCE"/>
    <s v="GUIA PARA RECOLHIMENTO DE IMPOSTOS"/>
    <s v="2023/22"/>
  </r>
  <r>
    <s v="*** Pagamento ***"/>
    <x v="0"/>
    <d v="2023-03-16T00:00:00"/>
    <d v="2023-02-03T00:00:00"/>
    <n v="812.47"/>
    <n v="1.3500049017E-2"/>
    <n v="1.3500049017E-2"/>
    <d v="2025-11-17T00:00:00"/>
    <n v="1.5018033273612159E-2"/>
    <n v="3.060854319701594E-2"/>
    <n v="167945"/>
    <s v="MINISTERIO DA ECONOMIA"/>
    <s v="2.08.04"/>
    <x v="27"/>
    <n v="10027"/>
    <s v="0015292_COZAC_FALENCIA"/>
    <n v="44"/>
    <s v="FALENCIA E RJ_TOMBADO"/>
    <x v="150"/>
    <s v="13013697-3"/>
    <s v="SANTANDER - ENFORCE"/>
    <s v="GUIA PARA RECOLHIMENTO DE IMPOSTOS"/>
    <s v="2023/22"/>
  </r>
  <r>
    <s v="*** Abatimento de Adiantamento ***"/>
    <x v="0"/>
    <d v="2024-05-16T00:00:00"/>
    <d v="2024-05-01T00:00:00"/>
    <n v="98159.06"/>
    <n v="2817.7399999999111"/>
    <n v="2817.7399999999111"/>
    <d v="2025-11-17T00:00:00"/>
    <n v="3001.2002618373053"/>
    <n v="4481.0015820893641"/>
    <n v="198396"/>
    <s v="OPERADOR NACIONAL DO SISTEMA DE REGISTRO ELETRONICO DE IMOVEIS ( ONR )"/>
    <s v="2.20.05.01"/>
    <x v="16"/>
    <n v="10027"/>
    <s v="0015292_COZAC_FALENCIA"/>
    <n v="44"/>
    <s v="FALENCIA E RJ_TOMBADO"/>
    <x v="151"/>
    <s v="REA"/>
    <s v="Reapropriação Financeira"/>
    <s v="PRESTAÇÃO DE CONTAS"/>
    <s v="ARISP - 05.2024"/>
  </r>
  <r>
    <s v="*** Pagamento ***"/>
    <x v="0"/>
    <d v="2025-06-16T00:00:00"/>
    <d v="2025-06-13T00:00:00"/>
    <n v="1581.1"/>
    <n v="1581.1"/>
    <n v="1581.1"/>
    <d v="2025-11-17T00:00:00"/>
    <n v="1593.4471577419997"/>
    <n v="1782.7075341403922"/>
    <n v="256643"/>
    <s v="FELSBERG E PEDRETTI ADVOGADOS E CONSULTORES LEGAIS"/>
    <s v="2.02.02.31"/>
    <x v="28"/>
    <n v="10027"/>
    <s v="0015292_COZAC_FALENCIA"/>
    <n v="44"/>
    <s v="FALENCIA E RJ_TOMBADO"/>
    <x v="152"/>
    <s v="13013697-3"/>
    <s v="SANTANDER - ENFORCE"/>
    <s v="NOTA DE DEBITO"/>
    <s v="181862"/>
  </r>
  <r>
    <s v="*** Pagamento ***"/>
    <x v="0"/>
    <d v="2022-08-16T00:00:00"/>
    <d v="2022-08-02T00:00:00"/>
    <n v="3892"/>
    <n v="306.00000000000801"/>
    <n v="306.00000000000801"/>
    <d v="2025-11-17T00:00:00"/>
    <n v="347.7389079600091"/>
    <n v="827.14730268124072"/>
    <n v="156039"/>
    <s v="F. RUIZ ASSETS CONSULTANT LTDA"/>
    <s v="2.20.05.11"/>
    <x v="6"/>
    <n v="10027"/>
    <s v="0015292_COZAC_FALENCIA"/>
    <n v="44"/>
    <s v="FALENCIA E RJ_TOMBADO"/>
    <x v="153"/>
    <s v="32183-4"/>
    <s v="BRADESCO - ENFORCE"/>
    <s v="NOTA FISCAL DE SERVIÇOS"/>
    <s v="89"/>
  </r>
  <r>
    <s v="*** Pagamento ***"/>
    <x v="0"/>
    <d v="2024-09-16T00:00:00"/>
    <d v="2024-09-10T00:00:00"/>
    <n v="166.54"/>
    <n v="166.54"/>
    <n v="166.54"/>
    <d v="2025-11-17T00:00:00"/>
    <n v="175.91993749220001"/>
    <n v="240.14001766657034"/>
    <n v="216478"/>
    <s v="FELSBERG E PEDRETTI ADVOGADOS E CONSULTORES LEGAIS"/>
    <s v="2.20.04.02"/>
    <x v="0"/>
    <n v="10027"/>
    <s v="0015292_COZAC_FALENCIA"/>
    <n v="44"/>
    <s v="FALENCIA E RJ_TOMBADO"/>
    <x v="154"/>
    <s v="13013697-3"/>
    <s v="SANTANDER - ENFORCE"/>
    <s v="NOTA DE DEBITO"/>
    <s v="178493"/>
  </r>
  <r>
    <s v="*** Pagamento ***"/>
    <x v="0"/>
    <d v="2021-11-16T00:00:00"/>
    <d v="2021-11-05T00:00:00"/>
    <n v="400"/>
    <n v="400"/>
    <n v="400"/>
    <d v="2025-11-17T00:00:00"/>
    <n v="484.71076799999997"/>
    <n v="1406.757638226152"/>
    <n v="118564"/>
    <s v="FELSBERG E PEDRETTI ADVOGADOS E CONSULTORES LEGAIS"/>
    <s v="2.20.04.01"/>
    <x v="19"/>
    <n v="10027"/>
    <s v="0015292_COZAC_FALENCIA"/>
    <n v="44"/>
    <s v="FALENCIA E RJ_TOMBADO"/>
    <x v="155"/>
    <s v="13013697-3"/>
    <s v="SANTANDER - ENFORCE"/>
    <s v="FATURA"/>
    <s v="159504"/>
  </r>
  <r>
    <s v="*** Pagamento ***"/>
    <x v="0"/>
    <d v="2022-11-16T00:00:00"/>
    <d v="2022-11-11T00:00:00"/>
    <n v="4281.74"/>
    <n v="4281.74"/>
    <n v="4281.74"/>
    <d v="2025-11-17T00:00:00"/>
    <n v="4873.6673479691999"/>
    <n v="10840.931451304818"/>
    <n v="161619"/>
    <s v="2 TABELIAO DE PROTESTO DE LETRAS E TITULOS DE RIBEIRAO PRETO"/>
    <s v="2.20.03.02"/>
    <x v="25"/>
    <n v="10027"/>
    <s v="0015292_COZAC_FALENCIA"/>
    <n v="44"/>
    <s v="FALENCIA E RJ_TOMBADO"/>
    <x v="156"/>
    <s v="13013697-3"/>
    <s v="SANTANDER - ENFORCE"/>
    <s v="BOLETO"/>
    <s v="PIX"/>
  </r>
  <r>
    <s v="*** Pagamento ***"/>
    <x v="0"/>
    <d v="2022-11-16T00:00:00"/>
    <d v="2022-11-11T00:00:00"/>
    <n v="2061.09"/>
    <n v="2061.09"/>
    <n v="2061.09"/>
    <d v="2025-11-17T00:00:00"/>
    <n v="2346.0245213922003"/>
    <n v="5218.4708564671955"/>
    <n v="161618"/>
    <s v="1 TABELIAO DE PROTESTO DE LETRAS E TITULOS DA COMARCA DE RIBEIRÃO PRETO"/>
    <s v="2.20.03.02"/>
    <x v="25"/>
    <n v="10027"/>
    <s v="0015292_COZAC_FALENCIA"/>
    <n v="44"/>
    <s v="FALENCIA E RJ_TOMBADO"/>
    <x v="157"/>
    <s v="13013697-3"/>
    <s v="SANTANDER - ENFORCE"/>
    <s v="BOLETO"/>
    <s v="160"/>
  </r>
  <r>
    <s v="*** Pagamento ***"/>
    <x v="0"/>
    <d v="2023-11-16T00:00:00"/>
    <d v="2023-09-28T00:00:00"/>
    <n v="720.98"/>
    <n v="124.619567881329"/>
    <n v="124.619567881329"/>
    <d v="2025-11-17T00:00:00"/>
    <n v="136.20611332955298"/>
    <n v="232.21026644070915"/>
    <n v="184520"/>
    <s v="MINISTERIO DA ECONOMIA"/>
    <s v="2.08.01"/>
    <x v="26"/>
    <n v="10027"/>
    <s v="0015292_COZAC_FALENCIA"/>
    <n v="44"/>
    <s v="FALENCIA E RJ_TOMBADO"/>
    <x v="158"/>
    <s v="13013697-3"/>
    <s v="SANTANDER - ENFORCE"/>
    <s v="GUIA PARA RECOLHIMENTO DE IMPOSTOS"/>
    <s v="1584"/>
  </r>
  <r>
    <s v="*** Pagamento ***"/>
    <x v="1"/>
    <d v="2019-12-16T00:00:00"/>
    <d v="2019-12-01T00:00:00"/>
    <n v="265390.2"/>
    <n v="265390.2"/>
    <n v="265390.2"/>
    <d v="2025-11-17T00:00:00"/>
    <n v="372257.05599534605"/>
    <n v="1800746.5034535665"/>
    <n v="82730"/>
    <s v="PREFEITURA MUNICIPAL DE RIBEIRÃO PRETO"/>
    <s v="2.20.03.02"/>
    <x v="25"/>
    <n v="10027"/>
    <s v="0015292_COZAC_FALENCIA"/>
    <n v="44"/>
    <s v="FALENCIA E RJ_TOMBADO"/>
    <x v="159"/>
    <s v="13013697-3"/>
    <s v="SANTANDER - ENFORCE"/>
    <s v="GUIA PARA RECOLHIMENTO DE IMPOSTOS"/>
    <s v="201900222326"/>
  </r>
  <r>
    <s v="*** Pagamento ***"/>
    <x v="1"/>
    <d v="2019-12-16T00:00:00"/>
    <d v="2019-12-01T00:00:00"/>
    <n v="167751.10999999999"/>
    <n v="167751.10999999999"/>
    <n v="167751.10999999999"/>
    <d v="2025-11-17T00:00:00"/>
    <n v="235300.83005533527"/>
    <n v="1138238.0539407807"/>
    <n v="82847"/>
    <s v="PREFEITURA MUNICIPAL DE RIBEIRÃO PRETO"/>
    <s v="2.20.03.02"/>
    <x v="25"/>
    <n v="10027"/>
    <s v="0015292_COZAC_FALENCIA"/>
    <n v="44"/>
    <s v="FALENCIA E RJ_TOMBADO"/>
    <x v="160"/>
    <s v="13013697-3"/>
    <s v="SANTANDER - ENFORCE"/>
    <s v="GUIA PARA RECOLHIMENTO DE IMPOSTOS"/>
    <s v="147124"/>
  </r>
  <r>
    <s v="*** Pagamento ***"/>
    <x v="0"/>
    <d v="2019-12-16T00:00:00"/>
    <d v="2019-10-24T00:00:00"/>
    <n v="697.5"/>
    <n v="697.5"/>
    <n v="697.5"/>
    <d v="2025-11-17T00:00:00"/>
    <n v="978.36806542500005"/>
    <n v="4732.7319778909041"/>
    <n v="80892"/>
    <s v="MINISTERIO DA ECONOMIA"/>
    <s v="2.08.01"/>
    <x v="26"/>
    <n v="10027"/>
    <s v="0015292_COZAC_FALENCIA"/>
    <n v="44"/>
    <s v="FALENCIA E RJ_TOMBADO"/>
    <x v="161"/>
    <s v="13013697-3"/>
    <s v="SANTANDER - ENFORCE"/>
    <s v="GUIA PARA RECOLHIMENTO DE IMPOSTOS"/>
    <s v="896"/>
  </r>
  <r>
    <s v="*** Pagamento ***"/>
    <x v="0"/>
    <d v="2020-12-16T00:00:00"/>
    <d v="2020-12-04T00:00:00"/>
    <n v="170"/>
    <n v="170"/>
    <n v="170"/>
    <d v="2025-11-17T00:00:00"/>
    <n v="226.67276909999998"/>
    <n v="839.78204262803024"/>
    <n v="101108"/>
    <s v="FELSBERG E PEDRETTI ADVOGADOS E CONSULTORES LEGAIS"/>
    <s v="2.20.04.02"/>
    <x v="0"/>
    <n v="10027"/>
    <s v="0015292_COZAC_FALENCIA"/>
    <n v="44"/>
    <s v="FALENCIA E RJ_TOMBADO"/>
    <x v="162"/>
    <s v="13013697-3"/>
    <s v="SANTANDER - ENFORCE"/>
    <s v="NOTA DE DEBITO"/>
    <s v="150804"/>
  </r>
  <r>
    <s v="*** Pagamento ***"/>
    <x v="0"/>
    <d v="2025-01-17T00:00:00"/>
    <d v="2025-01-10T00:00:00"/>
    <n v="3889.3"/>
    <n v="3889.3"/>
    <n v="3889.3"/>
    <d v="2025-11-17T00:00:00"/>
    <n v="4031.2211403950005"/>
    <n v="5031.0131641604066"/>
    <n v="232898"/>
    <s v="FELSBERG E PEDRETTI ADVOGADOS E CONSULTORES LEGAIS"/>
    <s v="2.20.04.02"/>
    <x v="0"/>
    <n v="10027"/>
    <s v="0015292_COZAC_FALENCIA"/>
    <n v="44"/>
    <s v="FALENCIA E RJ_TOMBADO"/>
    <x v="163"/>
    <s v="13013697-3"/>
    <s v="SANTANDER - ENFORCE"/>
    <s v="NOTA DE DEBITO"/>
    <s v="180022"/>
  </r>
  <r>
    <s v="*** Pagamento ***"/>
    <x v="0"/>
    <d v="2020-02-17T00:00:00"/>
    <d v="2020-02-01T00:00:00"/>
    <n v="866.15"/>
    <n v="285.85000000000298"/>
    <n v="285.85000000000298"/>
    <d v="2025-11-17T00:00:00"/>
    <n v="395.3717638530041"/>
    <n v="1826.733550753054"/>
    <n v="85907"/>
    <s v="DOSSO TOLEDO SOCIEDADE DE ADVOGADOS"/>
    <s v="2.20.06.01"/>
    <x v="16"/>
    <n v="10027"/>
    <s v="0015292_COZAC_FALENCIA"/>
    <n v="44"/>
    <s v="FALENCIA E RJ_TOMBADO"/>
    <x v="164"/>
    <s v="13013697-3"/>
    <s v="SANTANDER - ENFORCE"/>
    <s v="NOTA DE DEBITO"/>
    <s v="17022020"/>
  </r>
  <r>
    <s v="*** Pagamento ***"/>
    <x v="0"/>
    <d v="2020-02-17T00:00:00"/>
    <d v="2020-02-01T00:00:00"/>
    <n v="866.15"/>
    <n v="34.999999999998003"/>
    <n v="34.999999999998003"/>
    <d v="2025-11-17T00:00:00"/>
    <n v="48.410046299997234"/>
    <n v="223.66861737398136"/>
    <n v="85907"/>
    <s v="DOSSO TOLEDO SOCIEDADE DE ADVOGADOS"/>
    <s v="2.20.01.09"/>
    <x v="7"/>
    <n v="10027"/>
    <s v="0015292_COZAC_FALENCIA"/>
    <n v="44"/>
    <s v="FALENCIA E RJ_TOMBADO"/>
    <x v="164"/>
    <s v="13013697-3"/>
    <s v="SANTANDER - ENFORCE"/>
    <s v="NOTA DE DEBITO"/>
    <s v="17022020"/>
  </r>
  <r>
    <s v="*** Pagamento ***"/>
    <x v="0"/>
    <d v="2020-02-17T00:00:00"/>
    <d v="2020-02-01T00:00:00"/>
    <n v="866.15"/>
    <n v="480.299999999997"/>
    <n v="480.299999999997"/>
    <d v="2025-11-17T00:00:00"/>
    <n v="664.32414965399585"/>
    <n v="3069.3724835636776"/>
    <n v="85907"/>
    <s v="DOSSO TOLEDO SOCIEDADE DE ADVOGADOS"/>
    <s v="2.20.04.04"/>
    <x v="1"/>
    <n v="10027"/>
    <s v="0015292_COZAC_FALENCIA"/>
    <n v="44"/>
    <s v="FALENCIA E RJ_TOMBADO"/>
    <x v="164"/>
    <s v="13013697-3"/>
    <s v="SANTANDER - ENFORCE"/>
    <s v="NOTA DE DEBITO"/>
    <s v="17022020"/>
  </r>
  <r>
    <s v="*** Pagamento ***"/>
    <x v="0"/>
    <d v="2020-02-17T00:00:00"/>
    <d v="2020-02-01T00:00:00"/>
    <n v="866.15"/>
    <n v="65.000000000002998"/>
    <n v="65.000000000002998"/>
    <d v="2025-11-17T00:00:00"/>
    <n v="89.904371700004148"/>
    <n v="415.38457512315114"/>
    <n v="85907"/>
    <s v="DOSSO TOLEDO SOCIEDADE DE ADVOGADOS"/>
    <s v="2.20.05.06"/>
    <x v="11"/>
    <n v="10027"/>
    <s v="0015292_COZAC_FALENCIA"/>
    <n v="44"/>
    <s v="FALENCIA E RJ_TOMBADO"/>
    <x v="164"/>
    <s v="13013697-3"/>
    <s v="SANTANDER - ENFORCE"/>
    <s v="NOTA DE DEBITO"/>
    <s v="17022020"/>
  </r>
  <r>
    <s v="*** Pagamento ***"/>
    <x v="0"/>
    <d v="2024-04-17T00:00:00"/>
    <d v="2024-04-04T00:00:00"/>
    <n v="1740"/>
    <n v="1199.999999999995"/>
    <n v="1199.999999999995"/>
    <d v="2025-11-17T00:00:00"/>
    <n v="1282.8601919999946"/>
    <n v="1956.3124578104976"/>
    <n v="195803"/>
    <s v="HIGOR HAMILTON LUIS LIMA 44432643889"/>
    <s v="2.20.02.12"/>
    <x v="10"/>
    <n v="10027"/>
    <s v="0015292_COZAC_FALENCIA"/>
    <n v="44"/>
    <s v="FALENCIA E RJ_TOMBADO"/>
    <x v="165"/>
    <s v="13013697-3"/>
    <s v="SANTANDER - ENFORCE"/>
    <s v="NOTA FISCAL DE SERVIÇOS"/>
    <s v="27"/>
  </r>
  <r>
    <s v="*** Pagamento ***"/>
    <x v="0"/>
    <d v="2023-08-17T00:00:00"/>
    <d v="2023-08-17T00:00:00"/>
    <n v="1571391.91"/>
    <n v="383.81000000236298"/>
    <n v="383.81000000236298"/>
    <d v="2025-11-17T00:00:00"/>
    <n v="421.30084098389381"/>
    <n v="767.501953937184"/>
    <n v="179352"/>
    <s v="MINISTERIO DA PREVIDENCIA SOCIAL"/>
    <s v="2.08.03"/>
    <x v="29"/>
    <n v="10027"/>
    <s v="0015292_COZAC_FALENCIA"/>
    <n v="44"/>
    <s v="FALENCIA E RJ_TOMBADO"/>
    <x v="166"/>
    <s v="13013697-3"/>
    <s v="SANTANDER - ENFORCE"/>
    <s v="GUIA PARA RECOLHIMENTO DE IMPOSTOS"/>
    <s v="INSS/IRRF - 07/2023"/>
  </r>
  <r>
    <s v="*** Pagamento ***"/>
    <x v="0"/>
    <d v="2023-08-17T00:00:00"/>
    <d v="2023-07-02T00:00:00"/>
    <n v="1413.96"/>
    <n v="1.7414211020129999"/>
    <n v="1.7414211020129999"/>
    <d v="2025-11-17T00:00:00"/>
    <n v="1.9115243864950342"/>
    <n v="3.4823066059096766"/>
    <n v="176946"/>
    <s v="MINISTERIO DA ECONOMIA"/>
    <s v="2.08.01"/>
    <x v="26"/>
    <n v="10027"/>
    <s v="0015292_COZAC_FALENCIA"/>
    <n v="44"/>
    <s v="FALENCIA E RJ_TOMBADO"/>
    <x v="167"/>
    <s v="13013697-3"/>
    <s v="SANTANDER - ENFORCE"/>
    <s v="GUIA PARA RECOLHIMENTO DE IMPOSTOS"/>
    <s v="2165624"/>
  </r>
  <r>
    <s v="*** Pagamento ***"/>
    <x v="0"/>
    <d v="2023-08-17T00:00:00"/>
    <d v="2023-07-02T00:00:00"/>
    <n v="456.12"/>
    <n v="0.56175351003600005"/>
    <n v="0.56175351003600005"/>
    <d v="2025-11-17T00:00:00"/>
    <n v="0.61662600297637882"/>
    <n v="1.1233342450197938"/>
    <n v="176945"/>
    <s v="MINISTERIO DA ECONOMIA"/>
    <s v="2.08.04"/>
    <x v="27"/>
    <n v="10027"/>
    <s v="0015292_COZAC_FALENCIA"/>
    <n v="44"/>
    <s v="FALENCIA E RJ_TOMBADO"/>
    <x v="168"/>
    <s v="13013697-3"/>
    <s v="SANTANDER - ENFORCE"/>
    <s v="GUIA PARA RECOLHIMENTO DE IMPOSTOS"/>
    <s v="2165624"/>
  </r>
  <r>
    <s v="*** Pagamento ***"/>
    <x v="0"/>
    <d v="2022-11-17T00:00:00"/>
    <d v="2022-11-16T00:00:00"/>
    <n v="751.34"/>
    <n v="751.34"/>
    <n v="751.34"/>
    <d v="2025-11-17T00:00:00"/>
    <n v="855.20868273720009"/>
    <n v="1900.9307999605055"/>
    <n v="161710"/>
    <s v="PREFEITURA MUNICIPAL DE RIBEIRÃO PRETO"/>
    <s v="2.20.03.02"/>
    <x v="25"/>
    <n v="10027"/>
    <s v="0015292_COZAC_FALENCIA"/>
    <n v="44"/>
    <s v="FALENCIA E RJ_TOMBADO"/>
    <x v="169"/>
    <s v="13013697-3"/>
    <s v="SANTANDER - ENFORCE"/>
    <s v="BOLETO"/>
    <s v="02200092927"/>
  </r>
  <r>
    <s v="*** Pagamento ***"/>
    <x v="0"/>
    <d v="2022-11-17T00:00:00"/>
    <d v="2022-11-16T00:00:00"/>
    <n v="3981.49"/>
    <n v="3981.49"/>
    <n v="3981.49"/>
    <d v="2025-11-17T00:00:00"/>
    <n v="4531.9094128242004"/>
    <n v="10073.384846720197"/>
    <n v="161711"/>
    <s v="PREFEITURA MUNICIPAL DE RIBEIRÃO PRETO"/>
    <s v="2.20.03.02"/>
    <x v="25"/>
    <n v="10027"/>
    <s v="0015292_COZAC_FALENCIA"/>
    <n v="44"/>
    <s v="FALENCIA E RJ_TOMBADO"/>
    <x v="170"/>
    <s v="13013697-3"/>
    <s v="SANTANDER - ENFORCE"/>
    <s v="BOLETO"/>
    <s v="02200092926"/>
  </r>
  <r>
    <s v="*** Pagamento ***"/>
    <x v="0"/>
    <d v="2023-11-17T00:00:00"/>
    <d v="2023-11-06T00:00:00"/>
    <n v="5900"/>
    <n v="324.99999999998897"/>
    <n v="305.01249999998998"/>
    <d v="2025-11-17T00:00:00"/>
    <n v="333.37113784161409"/>
    <n v="567.93195397324189"/>
    <n v="185620"/>
    <s v="VALIDAR ENGENHARIA DE AVALIACOES LTDA"/>
    <s v="2.20.06.02"/>
    <x v="13"/>
    <n v="10027"/>
    <s v="0015292_COZAC_FALENCIA"/>
    <n v="44"/>
    <s v="FALENCIA E RJ_TOMBADO"/>
    <x v="171"/>
    <s v="32183-4"/>
    <s v="BRADESCO - ENFORCE"/>
    <s v="NOTA FISCAL DE SERVIÇOS"/>
    <s v="2370"/>
  </r>
  <r>
    <s v="*** Pagamento ***"/>
    <x v="1"/>
    <d v="2019-12-17T00:00:00"/>
    <d v="2019-12-01T00:00:00"/>
    <n v="320887.21000000002"/>
    <n v="320887.21000000002"/>
    <n v="320887.21000000002"/>
    <d v="2025-11-17T00:00:00"/>
    <n v="450101.50375243835"/>
    <n v="2175722.9677912211"/>
    <n v="82849"/>
    <s v="PREFEITURA MUNICIPAL DE RIBEIRÃO PRETO"/>
    <s v="2.20.03.02"/>
    <x v="25"/>
    <n v="10027"/>
    <s v="0015292_COZAC_FALENCIA"/>
    <n v="44"/>
    <s v="FALENCIA E RJ_TOMBADO"/>
    <x v="172"/>
    <s v="13013697-3"/>
    <s v="SANTANDER - ENFORCE"/>
    <s v="GUIA PARA RECOLHIMENTO DE IMPOSTOS"/>
    <s v="147125"/>
  </r>
  <r>
    <s v="*** Pagamento ***"/>
    <x v="1"/>
    <d v="2019-12-17T00:00:00"/>
    <d v="2019-12-01T00:00:00"/>
    <n v="12692.59"/>
    <n v="12692.59"/>
    <n v="12692.59"/>
    <d v="2025-11-17T00:00:00"/>
    <n v="17803.619675315702"/>
    <n v="86060.019605509282"/>
    <n v="82853"/>
    <s v="PREFEITURA MUNICIPAL DE RIBEIRÃO PRETO"/>
    <s v="2.20.03.02"/>
    <x v="25"/>
    <n v="10027"/>
    <s v="0015292_COZAC_FALENCIA"/>
    <n v="44"/>
    <s v="FALENCIA E RJ_TOMBADO"/>
    <x v="173"/>
    <s v="13013697-3"/>
    <s v="SANTANDER - ENFORCE"/>
    <s v="GUIA PARA RECOLHIMENTO DE IMPOSTOS"/>
    <s v="201900223744"/>
  </r>
  <r>
    <s v="*** Pagamento ***"/>
    <x v="1"/>
    <d v="2019-12-17T00:00:00"/>
    <d v="2019-12-16T00:00:00"/>
    <n v="10953.86"/>
    <n v="10953.86"/>
    <n v="10953.86"/>
    <d v="2025-11-17T00:00:00"/>
    <n v="15364.740956467802"/>
    <n v="74270.846718912682"/>
    <n v="82854"/>
    <s v="PREFEITURA MUNICIPAL DE RIBEIRÃO PRETO"/>
    <s v="2.20.03.02"/>
    <x v="25"/>
    <n v="10027"/>
    <s v="0015292_COZAC_FALENCIA"/>
    <n v="44"/>
    <s v="FALENCIA E RJ_TOMBADO"/>
    <x v="174"/>
    <s v="13013697-3"/>
    <s v="SANTANDER - ENFORCE"/>
    <s v="GUIA PARA RECOLHIMENTO DE IMPOSTOS"/>
    <s v="201900223761"/>
  </r>
  <r>
    <s v="*** Pagamento ***"/>
    <x v="1"/>
    <d v="2019-12-17T00:00:00"/>
    <d v="2019-12-01T00:00:00"/>
    <n v="474048.75"/>
    <n v="474048.75"/>
    <n v="474048.75"/>
    <d v="2025-11-17T00:00:00"/>
    <n v="664937.86158371251"/>
    <n v="3214209.6072564512"/>
    <n v="82848"/>
    <s v="PREFEITURA MUNICIPAL DE RIBEIRÃO PRETO"/>
    <s v="2.20.03.02"/>
    <x v="25"/>
    <n v="10027"/>
    <s v="0015292_COZAC_FALENCIA"/>
    <n v="44"/>
    <s v="FALENCIA E RJ_TOMBADO"/>
    <x v="175"/>
    <s v="13013697-3"/>
    <s v="SANTANDER - ENFORCE"/>
    <s v="GUIA PARA RECOLHIMENTO DE IMPOSTOS"/>
    <s v="147127"/>
  </r>
  <r>
    <s v="*** Pagamento ***"/>
    <x v="1"/>
    <d v="2019-12-17T00:00:00"/>
    <d v="2019-12-01T00:00:00"/>
    <n v="15779.06"/>
    <n v="15779.06"/>
    <n v="15779.06"/>
    <d v="2025-11-17T00:00:00"/>
    <n v="22132.943951863799"/>
    <n v="106987.3219694725"/>
    <n v="82852"/>
    <s v="PREFEITURA MUNICIPAL DE RIBEIRÃO PRETO"/>
    <s v="2.20.03.02"/>
    <x v="25"/>
    <n v="10027"/>
    <s v="0015292_COZAC_FALENCIA"/>
    <n v="44"/>
    <s v="FALENCIA E RJ_TOMBADO"/>
    <x v="176"/>
    <s v="13013697-3"/>
    <s v="SANTANDER - ENFORCE"/>
    <s v="GUIA PARA RECOLHIMENTO DE IMPOSTOS"/>
    <s v="201900223751"/>
  </r>
  <r>
    <s v="*** Pagamento ***"/>
    <x v="0"/>
    <d v="2025-03-18T00:00:00"/>
    <d v="2025-03-01T00:00:00"/>
    <n v="802.34"/>
    <n v="667.49999999999795"/>
    <n v="667.49999999999795"/>
    <d v="2025-11-17T00:00:00"/>
    <n v="681.76683794999781"/>
    <n v="814.44946970035676"/>
    <n v="242129"/>
    <s v="MARCELLO BORGES NAPOLIS SILVA"/>
    <s v="2.20.01.06"/>
    <x v="24"/>
    <n v="10027"/>
    <s v="0015292_COZAC_FALENCIA"/>
    <n v="44"/>
    <s v="FALENCIA E RJ_TOMBADO"/>
    <x v="177"/>
    <s v="13013697-3"/>
    <s v="SANTANDER - ENFORCE"/>
    <s v="RELATÓRIO DE DESPESAS VIAGENS"/>
    <s v="#6212281"/>
  </r>
  <r>
    <s v="*** Pagamento ***"/>
    <x v="0"/>
    <d v="2025-03-18T00:00:00"/>
    <d v="2025-03-01T00:00:00"/>
    <n v="802.34"/>
    <n v="31.999999999999002"/>
    <n v="31.999999999999002"/>
    <d v="2025-11-17T00:00:00"/>
    <n v="32.683953279998974"/>
    <n v="39.04476858488492"/>
    <n v="242129"/>
    <s v="MARCELLO BORGES NAPOLIS SILVA"/>
    <s v="2.20.01.08"/>
    <x v="30"/>
    <n v="10027"/>
    <s v="0015292_COZAC_FALENCIA"/>
    <n v="44"/>
    <s v="FALENCIA E RJ_TOMBADO"/>
    <x v="177"/>
    <s v="13013697-3"/>
    <s v="SANTANDER - ENFORCE"/>
    <s v="RELATÓRIO DE DESPESAS VIAGENS"/>
    <s v="#6212281"/>
  </r>
  <r>
    <s v="*** Pagamento ***"/>
    <x v="0"/>
    <d v="2025-03-18T00:00:00"/>
    <d v="2025-03-01T00:00:00"/>
    <n v="802.34"/>
    <n v="102.840000000003"/>
    <n v="102.840000000003"/>
    <d v="2025-11-17T00:00:00"/>
    <n v="105.03805485360306"/>
    <n v="125.4801250396815"/>
    <n v="242129"/>
    <s v="MARCELLO BORGES NAPOLIS SILVA"/>
    <s v="2.20.01.07"/>
    <x v="23"/>
    <n v="10027"/>
    <s v="0015292_COZAC_FALENCIA"/>
    <n v="44"/>
    <s v="FALENCIA E RJ_TOMBADO"/>
    <x v="177"/>
    <s v="13013697-3"/>
    <s v="SANTANDER - ENFORCE"/>
    <s v="RELATÓRIO DE DESPESAS VIAGENS"/>
    <s v="#6212281"/>
  </r>
  <r>
    <s v="*** Pagamento ***"/>
    <x v="0"/>
    <d v="2025-03-18T00:00:00"/>
    <d v="2025-03-01T00:00:00"/>
    <n v="1506.68"/>
    <n v="32.000000000005002"/>
    <n v="32.000000000005002"/>
    <d v="2025-11-17T00:00:00"/>
    <n v="32.683953280005106"/>
    <n v="39.044768584892246"/>
    <n v="242131"/>
    <s v="MARCELLO BORGES NAPOLIS SILVA"/>
    <s v="2.20.01.08"/>
    <x v="30"/>
    <n v="10027"/>
    <s v="0015292_COZAC_FALENCIA"/>
    <n v="44"/>
    <s v="FALENCIA E RJ_TOMBADO"/>
    <x v="178"/>
    <s v="13013697-3"/>
    <s v="SANTANDER - ENFORCE"/>
    <s v="RELATÓRIO DE DESPESAS VIAGENS"/>
    <s v="6212193"/>
  </r>
  <r>
    <s v="*** Pagamento ***"/>
    <x v="0"/>
    <d v="2025-03-18T00:00:00"/>
    <d v="2025-03-01T00:00:00"/>
    <n v="1506.68"/>
    <n v="1355.9999999999959"/>
    <n v="1355.9999999999959"/>
    <d v="2025-11-17T00:00:00"/>
    <n v="1384.9825202399957"/>
    <n v="1654.5220687845451"/>
    <n v="242131"/>
    <s v="MARCELLO BORGES NAPOLIS SILVA"/>
    <s v="2.20.01.06"/>
    <x v="24"/>
    <n v="10027"/>
    <s v="0015292_COZAC_FALENCIA"/>
    <n v="44"/>
    <s v="FALENCIA E RJ_TOMBADO"/>
    <x v="178"/>
    <s v="13013697-3"/>
    <s v="SANTANDER - ENFORCE"/>
    <s v="RELATÓRIO DE DESPESAS VIAGENS"/>
    <s v="6212193"/>
  </r>
  <r>
    <s v="*** Pagamento ***"/>
    <x v="0"/>
    <d v="2025-03-18T00:00:00"/>
    <d v="2025-03-01T00:00:00"/>
    <n v="1506.68"/>
    <n v="118.679999999999"/>
    <n v="118.679999999999"/>
    <d v="2025-11-17T00:00:00"/>
    <n v="121.21661172719897"/>
    <n v="144.80728548919524"/>
    <n v="242131"/>
    <s v="MARCELLO BORGES NAPOLIS SILVA"/>
    <s v="2.20.01.07"/>
    <x v="23"/>
    <n v="10027"/>
    <s v="0015292_COZAC_FALENCIA"/>
    <n v="44"/>
    <s v="FALENCIA E RJ_TOMBADO"/>
    <x v="178"/>
    <s v="13013697-3"/>
    <s v="SANTANDER - ENFORCE"/>
    <s v="RELATÓRIO DE DESPESAS VIAGENS"/>
    <s v="6212193"/>
  </r>
  <r>
    <s v="*** Pagamento ***"/>
    <x v="0"/>
    <d v="2025-03-18T00:00:00"/>
    <d v="2025-03-17T00:00:00"/>
    <n v="4665.34"/>
    <n v="4665.34"/>
    <n v="4665.34"/>
    <d v="2025-11-17T00:00:00"/>
    <n v="4765.0548311036"/>
    <n v="5692.4100209316475"/>
    <n v="242144"/>
    <s v="FELSBERG E PEDRETTI ADVOGADOS E CONSULTORES LEGAIS"/>
    <s v="2.20.04.02"/>
    <x v="0"/>
    <n v="10027"/>
    <s v="0015292_COZAC_FALENCIA"/>
    <n v="44"/>
    <s v="FALENCIA E RJ_TOMBADO"/>
    <x v="179"/>
    <s v="13013697-3"/>
    <s v="SANTANDER - ENFORCE"/>
    <s v="NOTA DE DEBITO"/>
    <s v="180777"/>
  </r>
  <r>
    <s v="*** Pagamento ***"/>
    <x v="0"/>
    <d v="2022-07-18T00:00:00"/>
    <d v="2022-06-28T00:00:00"/>
    <n v="13855"/>
    <n v="5099.9999999999663"/>
    <n v="5099.9999999999663"/>
    <d v="2025-11-17T00:00:00"/>
    <n v="5760.870392999962"/>
    <n v="13995.758712867477"/>
    <n v="154067"/>
    <s v="REAVIVARE - SOLUÇÕES EM MEIO AMBIENTE LTDA EPP"/>
    <s v="2.20.02.12"/>
    <x v="10"/>
    <n v="10027"/>
    <s v="0015292_COZAC_FALENCIA"/>
    <n v="44"/>
    <s v="FALENCIA E RJ_TOMBADO"/>
    <x v="180"/>
    <s v="13013697-3"/>
    <s v="SANTANDER - ENFORCE"/>
    <s v="NOTA FISCAL DE SERVIÇOS"/>
    <s v="183"/>
  </r>
  <r>
    <s v="*** Pagamento ***"/>
    <x v="0"/>
    <d v="2022-07-18T00:00:00"/>
    <d v="2022-07-06T00:00:00"/>
    <n v="7110"/>
    <n v="239.99999999997601"/>
    <n v="239.99999999997601"/>
    <d v="2025-11-17T00:00:00"/>
    <n v="271.09978319997288"/>
    <n v="658.62393942899621"/>
    <n v="153442"/>
    <s v="BRUNO ICARO DE AGUIAR COSTA 11136066659"/>
    <s v="2.20.06.02"/>
    <x v="13"/>
    <n v="10027"/>
    <s v="0015292_COZAC_FALENCIA"/>
    <n v="44"/>
    <s v="FALENCIA E RJ_TOMBADO"/>
    <x v="181"/>
    <s v="13013697-3"/>
    <s v="SANTANDER - ENFORCE"/>
    <s v="NOTA FISCAL DE SERVIÇOS"/>
    <s v="16"/>
  </r>
  <r>
    <s v="*** Pagamento ***"/>
    <x v="0"/>
    <d v="2023-07-18T00:00:00"/>
    <d v="2023-07-01T00:00:00"/>
    <n v="1499342.34"/>
    <n v="332.14000000324302"/>
    <n v="332.14000000324302"/>
    <d v="2025-11-17T00:00:00"/>
    <n v="364.25543034655658"/>
    <n v="678.24793173653279"/>
    <n v="177403"/>
    <s v="MINISTERIO DA ECONOMIA"/>
    <s v="2.08.03"/>
    <x v="29"/>
    <n v="10027"/>
    <s v="0015292_COZAC_FALENCIA"/>
    <n v="44"/>
    <s v="FALENCIA E RJ_TOMBADO"/>
    <x v="182"/>
    <s v="13013697-3"/>
    <s v="SANTANDER - ENFORCE"/>
    <s v="GUIA PARA RECOLHIMENTO DE IMPOSTOS"/>
    <s v="INSS/ RPA - 06.2023"/>
  </r>
  <r>
    <s v="*** Pagamento ***"/>
    <x v="0"/>
    <d v="2023-09-18T00:00:00"/>
    <d v="2023-09-01T00:00:00"/>
    <n v="2260608.11"/>
    <n v="228.81000000044699"/>
    <n v="228.81000000044699"/>
    <d v="2025-11-17T00:00:00"/>
    <n v="250.65902113848966"/>
    <n v="446.11025332930711"/>
    <n v="181546"/>
    <s v="MINISTERIO DA PREVIDENCIA SOCIAL"/>
    <s v="2.08.03"/>
    <x v="29"/>
    <n v="10027"/>
    <s v="0015292_COZAC_FALENCIA"/>
    <n v="44"/>
    <s v="FALENCIA E RJ_TOMBADO"/>
    <x v="183"/>
    <s v="13013697-3"/>
    <s v="SANTANDER - ENFORCE"/>
    <s v="GUIA PARA RECOLHIMENTO DE IMPOSTOS"/>
    <s v="INSS/IR - REF. 08/23"/>
  </r>
  <r>
    <s v="*** Pagamento ***"/>
    <x v="0"/>
    <d v="2024-09-18T00:00:00"/>
    <d v="2024-09-05T00:00:00"/>
    <n v="4640"/>
    <n v="1259.999999999995"/>
    <n v="1259.999999999995"/>
    <d v="2025-11-17T00:00:00"/>
    <n v="1330.9662617999948"/>
    <n v="1814.1930731805103"/>
    <n v="216732"/>
    <s v="HIGOR HAMILTON LUIS LIMA 44432643889"/>
    <s v="2.20.05.03"/>
    <x v="9"/>
    <n v="10027"/>
    <s v="0015292_COZAC_FALENCIA"/>
    <n v="44"/>
    <s v="FALENCIA E RJ_TOMBADO"/>
    <x v="184"/>
    <s v="13013697-3"/>
    <s v="SANTANDER - ENFORCE"/>
    <s v="NOTA FISCAL DE SERVIÇOS"/>
    <s v="40"/>
  </r>
  <r>
    <s v="*** Abatimento de Adiantamento ***"/>
    <x v="0"/>
    <d v="2024-09-18T00:00:00"/>
    <d v="2024-09-01T00:00:00"/>
    <n v="50451.85"/>
    <n v="105.93000000023299"/>
    <n v="105.93000000023299"/>
    <d v="2025-11-17T00:00:00"/>
    <n v="111.89623501014611"/>
    <n v="152.52180336701181"/>
    <n v="216549"/>
    <s v="OPERADOR NACIONAL DO SISTEMA DE REGISTRO ELETRONICO DE IMOVEIS ( ONR )"/>
    <s v="2.20.05.01"/>
    <x v="16"/>
    <n v="10027"/>
    <s v="0015292_COZAC_FALENCIA"/>
    <n v="44"/>
    <s v="FALENCIA E RJ_TOMBADO"/>
    <x v="185"/>
    <s v="REA"/>
    <s v="Reapropriação Financeira"/>
    <s v="PRESTAÇÃO DE CONTAS"/>
    <s v="ARISP - 50.451,85"/>
  </r>
  <r>
    <s v="*** Pagamento ***"/>
    <x v="0"/>
    <d v="2019-10-18T00:00:00"/>
    <d v="2019-10-03T00:00:00"/>
    <n v="1320"/>
    <n v="959.99999999999"/>
    <n v="959.99999999999"/>
    <d v="2025-11-17T00:00:00"/>
    <n v="1354.3842527999859"/>
    <n v="6839.5194172784186"/>
    <n v="80387"/>
    <s v="DAIANA FERREIRA VASCONCELOS 35966287848"/>
    <s v="2.20.06.02"/>
    <x v="13"/>
    <n v="10027"/>
    <s v="0015292_COZAC_FALENCIA"/>
    <n v="44"/>
    <s v="FALENCIA E RJ_TOMBADO"/>
    <x v="186"/>
    <s v="13013697-3"/>
    <s v="SANTANDER - ENFORCE"/>
    <s v="NOTA FISCAL DE SERVIÇOS"/>
    <s v="01"/>
  </r>
  <r>
    <s v="*** Pagamento ***"/>
    <x v="0"/>
    <d v="2019-11-18T00:00:00"/>
    <d v="2019-10-24T00:00:00"/>
    <n v="225"/>
    <n v="225"/>
    <n v="225"/>
    <d v="2025-11-17T00:00:00"/>
    <n v="317.30695874999998"/>
    <n v="1566.5761090423655"/>
    <n v="80890"/>
    <s v="MINISTERIO DA ECONOMIA"/>
    <s v="2.08.04"/>
    <x v="27"/>
    <n v="10027"/>
    <s v="0015292_COZAC_FALENCIA"/>
    <n v="44"/>
    <s v="FALENCIA E RJ_TOMBADO"/>
    <x v="187"/>
    <s v="13013697-3"/>
    <s v="SANTANDER - ENFORCE"/>
    <s v="GUIA PARA RECOLHIMENTO DE IMPOSTOS"/>
    <s v="896"/>
  </r>
  <r>
    <s v="*** Pagamento ***"/>
    <x v="0"/>
    <d v="2024-11-18T00:00:00"/>
    <d v="2024-11-01T00:00:00"/>
    <n v="1725397.04"/>
    <n v="6.7500000040190002"/>
    <n v="6.7500000040190002"/>
    <d v="2025-11-17T00:00:00"/>
    <n v="7.0530905966994615"/>
    <n v="9.1957859134860325"/>
    <n v="224886"/>
    <s v="MINISTERIO DA PREVIDENCIA SOCIAL"/>
    <s v="2.08.04"/>
    <x v="27"/>
    <n v="10027"/>
    <s v="0015292_COZAC_FALENCIA"/>
    <n v="44"/>
    <s v="FALENCIA E RJ_TOMBADO"/>
    <x v="188"/>
    <s v="13013697-3"/>
    <s v="SANTANDER - ENFORCE"/>
    <s v="GUIA PARA RECOLHIMENTO DE IMPOSTOS"/>
    <s v="DCTF - 010.2024"/>
  </r>
  <r>
    <s v="*** Pagamento ***"/>
    <x v="0"/>
    <d v="2024-11-18T00:00:00"/>
    <d v="2024-11-01T00:00:00"/>
    <n v="1725397.04"/>
    <n v="20.919999996453001"/>
    <n v="20.919999996453001"/>
    <d v="2025-11-17T00:00:00"/>
    <n v="21.859356321493731"/>
    <n v="28.500124616736052"/>
    <n v="224886"/>
    <s v="MINISTERIO DA PREVIDENCIA SOCIAL"/>
    <s v="2.08.01"/>
    <x v="26"/>
    <n v="10027"/>
    <s v="0015292_COZAC_FALENCIA"/>
    <n v="44"/>
    <s v="FALENCIA E RJ_TOMBADO"/>
    <x v="188"/>
    <s v="13013697-3"/>
    <s v="SANTANDER - ENFORCE"/>
    <s v="GUIA PARA RECOLHIMENTO DE IMPOSTOS"/>
    <s v="DCTF - 010.2024"/>
  </r>
  <r>
    <s v="*** Pagamento ***"/>
    <x v="0"/>
    <d v="2025-02-19T00:00:00"/>
    <d v="2025-01-28T00:00:00"/>
    <n v="100"/>
    <n v="100"/>
    <n v="100"/>
    <d v="2025-11-17T00:00:00"/>
    <n v="103.64901500000001"/>
    <n v="126.28134615013498"/>
    <n v="238366"/>
    <s v="FELSBERG E PEDRETTI ADVOGADOS E CONSULTORES LEGAIS"/>
    <s v="2.20.04.02"/>
    <x v="0"/>
    <n v="10027"/>
    <s v="0015292_COZAC_FALENCIA"/>
    <n v="44"/>
    <s v="FALENCIA E RJ_TOMBADO"/>
    <x v="189"/>
    <s v="13013697-3"/>
    <s v="SANTANDER - ENFORCE"/>
    <s v="NOTA DE DEBITO"/>
    <s v="179575"/>
  </r>
  <r>
    <s v="*** Pagamento ***"/>
    <x v="0"/>
    <d v="2023-07-19T00:00:00"/>
    <d v="2023-06-01T00:00:00"/>
    <n v="572.25"/>
    <n v="17.999999999999002"/>
    <n v="17.999999999999002"/>
    <d v="2025-11-17T00:00:00"/>
    <n v="19.740464099998903"/>
    <n v="36.730199950413216"/>
    <n v="175045"/>
    <s v="MINISTERIO DA ECONOMIA"/>
    <s v="2.08.04"/>
    <x v="27"/>
    <n v="10027"/>
    <s v="0015292_COZAC_FALENCIA"/>
    <n v="44"/>
    <s v="FALENCIA E RJ_TOMBADO"/>
    <x v="190"/>
    <s v="13013697-3"/>
    <s v="SANTANDER - ENFORCE"/>
    <s v="GUIA PARA RECOLHIMENTO DE IMPOSTOS"/>
    <s v="608"/>
  </r>
  <r>
    <s v="*** Pagamento ***"/>
    <x v="0"/>
    <d v="2023-07-19T00:00:00"/>
    <d v="2023-06-01T00:00:00"/>
    <n v="1604.74"/>
    <n v="28.852340375731"/>
    <n v="28.852340375731"/>
    <d v="2025-11-17T00:00:00"/>
    <n v="31.64214385489435"/>
    <n v="58.875123946557714"/>
    <n v="175319"/>
    <s v="MINISTERIO DA ECONOMIA"/>
    <s v="2.08.01"/>
    <x v="26"/>
    <n v="10027"/>
    <s v="0015292_COZAC_FALENCIA"/>
    <n v="44"/>
    <s v="FALENCIA E RJ_TOMBADO"/>
    <x v="191"/>
    <s v="13013697-3"/>
    <s v="SANTANDER - ENFORCE"/>
    <s v="GUIA PARA RECOLHIMENTO DE IMPOSTOS"/>
    <s v="2027523"/>
  </r>
  <r>
    <s v="*** Pagamento ***"/>
    <x v="0"/>
    <d v="2023-07-19T00:00:00"/>
    <d v="2023-06-01T00:00:00"/>
    <n v="1773.98"/>
    <n v="55.800157273916"/>
    <n v="55.800157273916"/>
    <d v="2025-11-17T00:00:00"/>
    <n v="61.195611191116257"/>
    <n v="113.86394077419739"/>
    <n v="175046"/>
    <s v="MINISTERIO DA ECONOMIA"/>
    <s v="2.08.01"/>
    <x v="26"/>
    <n v="10027"/>
    <s v="0015292_COZAC_FALENCIA"/>
    <n v="44"/>
    <s v="FALENCIA E RJ_TOMBADO"/>
    <x v="192"/>
    <s v="13013697-3"/>
    <s v="SANTANDER - ENFORCE"/>
    <s v="GUIA PARA RECOLHIMENTO DE IMPOSTOS"/>
    <s v="608"/>
  </r>
  <r>
    <s v="*** Pagamento ***"/>
    <x v="0"/>
    <d v="2023-07-19T00:00:00"/>
    <d v="2023-06-01T00:00:00"/>
    <n v="517.66"/>
    <n v="9.3072413717490008"/>
    <n v="9.3072413717490008"/>
    <d v="2025-11-17T00:00:00"/>
    <n v="10.207181342724772"/>
    <n v="18.992046476173218"/>
    <n v="175318"/>
    <s v="MINISTERIO DA ECONOMIA"/>
    <s v="2.08.04"/>
    <x v="27"/>
    <n v="10027"/>
    <s v="0015292_COZAC_FALENCIA"/>
    <n v="44"/>
    <s v="FALENCIA E RJ_TOMBADO"/>
    <x v="193"/>
    <s v="13013697-3"/>
    <s v="SANTANDER - ENFORCE"/>
    <s v="GUIA PARA RECOLHIMENTO DE IMPOSTOS"/>
    <s v="2027523"/>
  </r>
  <r>
    <s v="*** Pagamento ***"/>
    <x v="0"/>
    <d v="2022-09-19T00:00:00"/>
    <d v="2022-08-25T00:00:00"/>
    <n v="12600"/>
    <n v="254.54999999998799"/>
    <n v="254.54999999998799"/>
    <d v="2025-11-17T00:00:00"/>
    <n v="290.17049497798632"/>
    <n v="673.3199862372071"/>
    <n v="156928"/>
    <s v="KARINA REIS DA SILVEIRA 35961827860"/>
    <s v="2.20.02.12"/>
    <x v="10"/>
    <n v="10027"/>
    <s v="0015292_COZAC_FALENCIA"/>
    <n v="44"/>
    <s v="FALENCIA E RJ_TOMBADO"/>
    <x v="100"/>
    <s v="13013697-3"/>
    <s v="SANTANDER - ENFORCE"/>
    <s v="NOTA FISCAL DE SERVIÇOS"/>
    <s v="1"/>
  </r>
  <r>
    <s v="*** Estorno ***"/>
    <x v="0"/>
    <d v="2022-09-19T00:00:00"/>
    <d v="2022-08-25T00:00:00"/>
    <n v="12600"/>
    <n v="-254.54999999998799"/>
    <n v="-254.54999999998799"/>
    <d v="2025-11-17T00:00:00"/>
    <n v="-290.17049497798632"/>
    <n v="-673.3199862372071"/>
    <n v="156928"/>
    <s v="KARINA REIS DA SILVEIRA 35961827860"/>
    <s v="2.20.02.12"/>
    <x v="10"/>
    <n v="10027"/>
    <s v="0015292_COZAC_FALENCIA"/>
    <n v="44"/>
    <s v="FALENCIA E RJ_TOMBADO"/>
    <x v="100"/>
    <s v="13013697-3"/>
    <s v="SANTANDER - ENFORCE"/>
    <s v="NOTA FISCAL DE SERVIÇOS"/>
    <s v="1"/>
  </r>
  <r>
    <s v="*** Pagamento ***"/>
    <x v="0"/>
    <d v="2022-09-19T00:00:00"/>
    <d v="2022-09-01T00:00:00"/>
    <n v="678293.05"/>
    <n v="11.070000001778"/>
    <n v="11.070000001778"/>
    <d v="2025-11-17T00:00:00"/>
    <n v="12.619082223226807"/>
    <n v="29.28168237612806"/>
    <n v="158957"/>
    <s v="MINISTERIO DA PREVIDENCIA SOCIAL"/>
    <s v="2.08.03"/>
    <x v="29"/>
    <n v="10027"/>
    <s v="0015292_COZAC_FALENCIA"/>
    <n v="44"/>
    <s v="FALENCIA E RJ_TOMBADO"/>
    <x v="194"/>
    <s v="13013697-3"/>
    <s v="SANTANDER - ENFORCE"/>
    <s v="GUIA PARA RECOLHIMENTO DE IMPOSTOS"/>
    <s v="INSS 08.2022"/>
  </r>
  <r>
    <s v="*** Pagamento ***"/>
    <x v="0"/>
    <d v="2023-12-19T00:00:00"/>
    <d v="2023-11-06T00:00:00"/>
    <n v="274.35000000000002"/>
    <n v="15.112499999999001"/>
    <n v="15.112499999999001"/>
    <d v="2025-11-17T00:00:00"/>
    <n v="16.501088033623912"/>
    <n v="27.463291735914474"/>
    <n v="185702"/>
    <s v="MINISTERIO DA ECONOMIA"/>
    <s v="2.08.01"/>
    <x v="26"/>
    <n v="10027"/>
    <s v="0015292_COZAC_FALENCIA"/>
    <n v="44"/>
    <s v="FALENCIA E RJ_TOMBADO"/>
    <x v="195"/>
    <s v="13013697-3"/>
    <s v="SANTANDER - ENFORCE"/>
    <s v="GUIA PARA RECOLHIMENTO DE IMPOSTOS"/>
    <s v="2370"/>
  </r>
  <r>
    <s v="*** Pagamento ***"/>
    <x v="0"/>
    <d v="2023-12-19T00:00:00"/>
    <d v="2023-11-08T00:00:00"/>
    <n v="52.5"/>
    <n v="52.5"/>
    <n v="52.5"/>
    <d v="2025-11-17T00:00:00"/>
    <n v="57.323879025000004"/>
    <n v="95.405976253803487"/>
    <n v="185954"/>
    <s v="MINISTERIO DA ECONOMIA"/>
    <s v="2.08.04"/>
    <x v="27"/>
    <n v="10027"/>
    <s v="0015292_COZAC_FALENCIA"/>
    <n v="44"/>
    <s v="FALENCIA E RJ_TOMBADO"/>
    <x v="196"/>
    <s v="13013697-3"/>
    <s v="SANTANDER - ENFORCE"/>
    <s v="GUIA PARA RECOLHIMENTO DE IMPOSTOS"/>
    <s v="284"/>
  </r>
  <r>
    <s v="*** Pagamento ***"/>
    <x v="0"/>
    <d v="2023-12-19T00:00:00"/>
    <d v="2023-11-08T00:00:00"/>
    <n v="162.75"/>
    <n v="162.75"/>
    <n v="162.75"/>
    <d v="2025-11-17T00:00:00"/>
    <n v="177.70402497750001"/>
    <n v="295.75852638679078"/>
    <n v="185955"/>
    <s v="MINISTERIO DA ECONOMIA"/>
    <s v="2.08.01"/>
    <x v="26"/>
    <n v="10027"/>
    <s v="0015292_COZAC_FALENCIA"/>
    <n v="44"/>
    <s v="FALENCIA E RJ_TOMBADO"/>
    <x v="197"/>
    <s v="13013697-3"/>
    <s v="SANTANDER - ENFORCE"/>
    <s v="GUIA PARA RECOLHIMENTO DE IMPOSTOS"/>
    <s v="284"/>
  </r>
  <r>
    <s v="*** Pagamento ***"/>
    <x v="0"/>
    <d v="2023-12-19T00:00:00"/>
    <d v="2023-11-06T00:00:00"/>
    <n v="88.5"/>
    <n v="4.875"/>
    <n v="4.875"/>
    <d v="2025-11-17T00:00:00"/>
    <n v="5.3229316237500006"/>
    <n v="8.8591263664246096"/>
    <n v="185701"/>
    <s v="MINISTERIO DA ECONOMIA"/>
    <s v="2.08.04"/>
    <x v="27"/>
    <n v="10027"/>
    <s v="0015292_COZAC_FALENCIA"/>
    <n v="44"/>
    <s v="FALENCIA E RJ_TOMBADO"/>
    <x v="198"/>
    <s v="13013697-3"/>
    <s v="SANTANDER - ENFORCE"/>
    <s v="GUIA PARA RECOLHIMENTO DE IMPOSTOS"/>
    <s v="2370"/>
  </r>
  <r>
    <s v="*** Pagamento ***"/>
    <x v="0"/>
    <d v="2025-05-20T00:00:00"/>
    <d v="2025-05-13T00:00:00"/>
    <n v="836.15"/>
    <n v="715.549999999997"/>
    <n v="715.549999999997"/>
    <d v="2025-11-17T00:00:00"/>
    <n v="723.66220466099696"/>
    <n v="825.703406675976"/>
    <n v="252911"/>
    <s v="RICARDO GUIMARAES ZAMBRONE"/>
    <s v="2.20.01.06"/>
    <x v="24"/>
    <n v="10027"/>
    <s v="0015292_COZAC_FALENCIA"/>
    <n v="44"/>
    <s v="FALENCIA E RJ_TOMBADO"/>
    <x v="199"/>
    <s v="13013697-3"/>
    <s v="SANTANDER - ENFORCE"/>
    <s v="RELATÓRIO DE DESPESAS VIAGENS"/>
    <s v="7401067"/>
  </r>
  <r>
    <s v="*** Pagamento ***"/>
    <x v="0"/>
    <d v="2022-06-20T00:00:00"/>
    <d v="2022-06-09T00:00:00"/>
    <n v="700"/>
    <n v="700"/>
    <n v="700"/>
    <d v="2025-11-17T00:00:00"/>
    <n v="795.61045899999999"/>
    <n v="1972.7456135015159"/>
    <n v="151508"/>
    <s v="FELSBERG E PEDRETTI ADVOGADOS E CONSULTORES LEGAIS"/>
    <s v="2.20.05.08"/>
    <x v="31"/>
    <n v="10027"/>
    <s v="0015292_COZAC_FALENCIA"/>
    <n v="44"/>
    <s v="FALENCIA E RJ_TOMBADO"/>
    <x v="200"/>
    <s v="13013697-3"/>
    <s v="SANTANDER - ENFORCE"/>
    <s v="NOTA DE DEBITO"/>
    <s v="165268"/>
  </r>
  <r>
    <s v="*** Pagamento ***"/>
    <x v="0"/>
    <d v="2023-06-20T00:00:00"/>
    <d v="2023-05-02T00:00:00"/>
    <n v="3616.54"/>
    <n v="87.187560270006998"/>
    <n v="87.187560270006998"/>
    <d v="2025-11-17T00:00:00"/>
    <n v="95.522366694095467"/>
    <n v="181.5305727834342"/>
    <n v="173152"/>
    <s v="MINISTERIO DA ECONOMIA"/>
    <s v="2.08.01"/>
    <x v="26"/>
    <n v="10027"/>
    <s v="0015292_COZAC_FALENCIA"/>
    <n v="44"/>
    <s v="FALENCIA E RJ_TOMBADO"/>
    <x v="201"/>
    <s v="32183-4"/>
    <s v="BRADESCO - ENFORCE"/>
    <s v="GUIA PARA RECOLHIMENTO DE IMPOSTOS"/>
    <s v="594"/>
  </r>
  <r>
    <s v="*** Pagamento ***"/>
    <x v="0"/>
    <d v="2023-06-20T00:00:00"/>
    <d v="2023-05-02T00:00:00"/>
    <n v="1166.6199999999999"/>
    <n v="28.124879459980001"/>
    <n v="28.124879459980001"/>
    <d v="2025-11-17T00:00:00"/>
    <n v="30.813513311802499"/>
    <n v="58.557957832793512"/>
    <n v="173151"/>
    <s v="MINISTERIO DA ECONOMIA"/>
    <s v="2.08.04"/>
    <x v="27"/>
    <n v="10027"/>
    <s v="0015292_COZAC_FALENCIA"/>
    <n v="44"/>
    <s v="FALENCIA E RJ_TOMBADO"/>
    <x v="202"/>
    <s v="32183-4"/>
    <s v="BRADESCO - ENFORCE"/>
    <s v="GUIA PARA RECOLHIMENTO DE IMPOSTOS"/>
    <s v="594"/>
  </r>
  <r>
    <s v="*** Pagamento ***"/>
    <x v="0"/>
    <d v="2021-07-20T00:00:00"/>
    <d v="2021-07-08T00:00:00"/>
    <n v="200"/>
    <n v="200"/>
    <n v="200"/>
    <d v="2025-11-17T00:00:00"/>
    <n v="252.84509000000003"/>
    <n v="800.3053989406086"/>
    <n v="112804"/>
    <s v="FELSBERG E PEDRETTI ADVOGADOS E CONSULTORES LEGAIS"/>
    <s v="2.20.04.01"/>
    <x v="19"/>
    <n v="10027"/>
    <s v="0015292_COZAC_FALENCIA"/>
    <n v="44"/>
    <s v="FALENCIA E RJ_TOMBADO"/>
    <x v="203"/>
    <s v="13013697-3"/>
    <s v="SANTANDER - ENFORCE"/>
    <s v="FATURA"/>
    <s v="156352"/>
  </r>
  <r>
    <s v="*** Pagamento ***"/>
    <x v="0"/>
    <d v="2023-09-20T00:00:00"/>
    <d v="2023-08-03T00:00:00"/>
    <n v="208.5"/>
    <n v="208.5"/>
    <n v="208.5"/>
    <d v="2025-11-17T00:00:00"/>
    <n v="228.40962329999999"/>
    <n v="405.91980821862023"/>
    <n v="178845"/>
    <s v="MINISTERIO DA ECONOMIA"/>
    <s v="2.08.04"/>
    <x v="27"/>
    <n v="10027"/>
    <s v="0015292_COZAC_FALENCIA"/>
    <n v="44"/>
    <s v="FALENCIA E RJ_TOMBADO"/>
    <x v="204"/>
    <s v="13013697-3"/>
    <s v="SANTANDER - ENFORCE"/>
    <s v="GUIA PARA RECOLHIMENTO DE IMPOSTOS"/>
    <s v="280"/>
  </r>
  <r>
    <s v="*** Pagamento ***"/>
    <x v="0"/>
    <d v="2023-09-20T00:00:00"/>
    <d v="2023-08-01T00:00:00"/>
    <n v="148.5"/>
    <n v="148.5"/>
    <n v="148.5"/>
    <d v="2025-11-17T00:00:00"/>
    <n v="162.68023529999999"/>
    <n v="289.1083526161396"/>
    <n v="178800"/>
    <s v="MINISTERIO DA ECONOMIA"/>
    <s v="2.08.04"/>
    <x v="27"/>
    <n v="10027"/>
    <s v="0015292_COZAC_FALENCIA"/>
    <n v="44"/>
    <s v="FALENCIA E RJ_TOMBADO"/>
    <x v="205"/>
    <s v="13013697-3"/>
    <s v="SANTANDER - ENFORCE"/>
    <s v="GUIA PARA RECOLHIMENTO DE IMPOSTOS"/>
    <s v="637"/>
  </r>
  <r>
    <s v="*** Pagamento ***"/>
    <x v="0"/>
    <d v="2023-09-20T00:00:00"/>
    <d v="2023-08-01T00:00:00"/>
    <n v="167.4"/>
    <n v="51.149999999998997"/>
    <n v="51.149999999998997"/>
    <d v="2025-11-17T00:00:00"/>
    <n v="56.034303269998901"/>
    <n v="99.581765901112789"/>
    <n v="178854"/>
    <s v="MINISTERIO DA ECONOMIA"/>
    <s v="2.08.01"/>
    <x v="26"/>
    <n v="10027"/>
    <s v="0015292_COZAC_FALENCIA"/>
    <n v="44"/>
    <s v="FALENCIA E RJ_TOMBADO"/>
    <x v="206"/>
    <s v="13013697-3"/>
    <s v="SANTANDER - ENFORCE"/>
    <s v="GUIA PARA RECOLHIMENTO DE IMPOSTOS"/>
    <s v="16165"/>
  </r>
  <r>
    <s v="*** Pagamento ***"/>
    <x v="0"/>
    <d v="2023-09-20T00:00:00"/>
    <d v="2023-08-01T00:00:00"/>
    <n v="54"/>
    <n v="16.5"/>
    <n v="16.5"/>
    <d v="2025-11-17T00:00:00"/>
    <n v="18.075581700000001"/>
    <n v="32.123150290682176"/>
    <n v="178853"/>
    <s v="MINISTERIO DA ECONOMIA"/>
    <s v="2.08.04"/>
    <x v="27"/>
    <n v="10027"/>
    <s v="0015292_COZAC_FALENCIA"/>
    <n v="44"/>
    <s v="FALENCIA E RJ_TOMBADO"/>
    <x v="207"/>
    <s v="13013697-3"/>
    <s v="SANTANDER - ENFORCE"/>
    <s v="GUIA PARA RECOLHIMENTO DE IMPOSTOS"/>
    <s v="16165"/>
  </r>
  <r>
    <s v="*** Pagamento ***"/>
    <x v="0"/>
    <d v="2023-09-20T00:00:00"/>
    <d v="2023-08-01T00:00:00"/>
    <n v="460.35"/>
    <n v="460.35"/>
    <n v="460.35"/>
    <d v="2025-11-17T00:00:00"/>
    <n v="504.30872943000003"/>
    <n v="896.23589311003275"/>
    <n v="178801"/>
    <s v="MINISTERIO DA ECONOMIA"/>
    <s v="2.08.01"/>
    <x v="26"/>
    <n v="10027"/>
    <s v="0015292_COZAC_FALENCIA"/>
    <n v="44"/>
    <s v="FALENCIA E RJ_TOMBADO"/>
    <x v="208"/>
    <s v="13013697-3"/>
    <s v="SANTANDER - ENFORCE"/>
    <s v="GUIA PARA RECOLHIMENTO DE IMPOSTOS"/>
    <s v="637"/>
  </r>
  <r>
    <s v="*** Pagamento ***"/>
    <x v="0"/>
    <d v="2023-09-20T00:00:00"/>
    <d v="2023-08-03T00:00:00"/>
    <n v="646.35"/>
    <n v="646.35"/>
    <n v="646.35"/>
    <d v="2025-11-17T00:00:00"/>
    <n v="708.06983222999997"/>
    <n v="1258.3514054777227"/>
    <n v="178846"/>
    <s v="MINISTERIO DA ECONOMIA"/>
    <s v="2.08.01"/>
    <x v="26"/>
    <n v="10027"/>
    <s v="0015292_COZAC_FALENCIA"/>
    <n v="44"/>
    <s v="FALENCIA E RJ_TOMBADO"/>
    <x v="209"/>
    <s v="13013697-3"/>
    <s v="SANTANDER - ENFORCE"/>
    <s v="GUIA PARA RECOLHIMENTO DE IMPOSTOS"/>
    <s v="280"/>
  </r>
  <r>
    <s v="*** Pagamento ***"/>
    <x v="0"/>
    <d v="2023-09-20T00:00:00"/>
    <d v="2023-08-01T00:00:00"/>
    <n v="199.88"/>
    <n v="151.12878048780499"/>
    <n v="151.12878048780499"/>
    <d v="2025-11-17T00:00:00"/>
    <n v="165.56003751082937"/>
    <n v="294.22621387013788"/>
    <n v="178847"/>
    <s v="MINISTERIO DA ECONOMIA"/>
    <s v="2.08.04"/>
    <x v="27"/>
    <n v="10027"/>
    <s v="0015292_COZAC_FALENCIA"/>
    <n v="44"/>
    <s v="FALENCIA E RJ_TOMBADO"/>
    <x v="210"/>
    <s v="13013697-3"/>
    <s v="SANTANDER - ENFORCE"/>
    <s v="GUIA PARA RECOLHIMENTO DE IMPOSTOS"/>
    <s v="2286"/>
  </r>
  <r>
    <s v="*** Pagamento ***"/>
    <x v="0"/>
    <d v="2023-09-20T00:00:00"/>
    <d v="2023-08-01T00:00:00"/>
    <n v="619.61"/>
    <n v="468.48560975609797"/>
    <n v="468.48560975609797"/>
    <d v="2025-11-17T00:00:00"/>
    <n v="513.22120693458578"/>
    <n v="912.07476674042505"/>
    <n v="178848"/>
    <s v="MINISTERIO DA ECONOMIA"/>
    <s v="2.08.01"/>
    <x v="26"/>
    <n v="10027"/>
    <s v="0015292_COZAC_FALENCIA"/>
    <n v="44"/>
    <s v="FALENCIA E RJ_TOMBADO"/>
    <x v="211"/>
    <s v="13013697-3"/>
    <s v="SANTANDER - ENFORCE"/>
    <s v="GUIA PARA RECOLHIMENTO DE IMPOSTOS"/>
    <s v="2286"/>
  </r>
  <r>
    <s v="*** Pagamento ***"/>
    <x v="0"/>
    <d v="2019-08-21T00:00:00"/>
    <d v="2019-08-21T00:00:00"/>
    <n v="2796.37"/>
    <n v="46.749999999982997"/>
    <n v="46.749999999982997"/>
    <d v="2025-11-17T00:00:00"/>
    <n v="66.001804274975996"/>
    <n v="347.69387419401062"/>
    <n v="77572"/>
    <s v="SEXTO TABELIAO DE NOTAS DA COMARCA DE CAMPINAS-SP"/>
    <s v="2.20.02.12"/>
    <x v="10"/>
    <n v="10027"/>
    <s v="0015292_COZAC_FALENCIA"/>
    <n v="44"/>
    <s v="FALENCIA E RJ_TOMBADO"/>
    <x v="212"/>
    <s v="13013697-3"/>
    <s v="SANTANDER - ENFORCE"/>
    <s v="BOLETO"/>
    <s v="08/2019"/>
  </r>
  <r>
    <s v="*** Abatimento de Adiantamento ***"/>
    <x v="0"/>
    <d v="2025-04-22T00:00:00"/>
    <d v="2025-04-01T00:00:00"/>
    <n v="46431.23"/>
    <n v="810.920000000188"/>
    <n v="810.920000000188"/>
    <d v="2025-11-17T00:00:00"/>
    <n v="824.04961382939109"/>
    <n v="959.62997780144599"/>
    <n v="249404"/>
    <s v="OPERADOR NACIONAL DO SISTEMA DE REGISTRO ELETRONICO DE IMOVEIS ( ONR )"/>
    <s v="2.20.05.01"/>
    <x v="16"/>
    <n v="10027"/>
    <s v="0015292_COZAC_FALENCIA"/>
    <n v="44"/>
    <s v="FALENCIA E RJ_TOMBADO"/>
    <x v="213"/>
    <s v="REA"/>
    <s v="Reapropriação Financeira"/>
    <s v="PRESTAÇÃO DE CONTAS"/>
    <s v="ARISP - 46.431,23"/>
  </r>
  <r>
    <s v="*** Pagamento ***"/>
    <x v="0"/>
    <d v="2025-05-22T00:00:00"/>
    <d v="2025-05-14T00:00:00"/>
    <n v="63710"/>
    <n v="80.000000000103"/>
    <n v="80.000000000103"/>
    <d v="2025-11-17T00:00:00"/>
    <n v="80.906961600104168"/>
    <n v="92.180924348552495"/>
    <n v="253262"/>
    <s v="REAVIVARE - SOLUÇÕES EM MEIO AMBIENTE LTDA EPP"/>
    <s v="2.20.02.16"/>
    <x v="15"/>
    <n v="10027"/>
    <s v="0015292_COZAC_FALENCIA"/>
    <n v="44"/>
    <s v="FALENCIA E RJ_TOMBADO"/>
    <x v="214"/>
    <s v="13013697-3"/>
    <s v="SANTANDER - ENFORCE"/>
    <s v="NOTA FISCAL DE SERVIÇOS"/>
    <s v="334"/>
  </r>
  <r>
    <s v="*** Pagamento ***"/>
    <x v="0"/>
    <d v="2021-06-22T00:00:00"/>
    <d v="2021-06-07T00:00:00"/>
    <n v="581.20000000000005"/>
    <n v="581.20000000000005"/>
    <n v="581.20000000000005"/>
    <d v="2025-11-17T00:00:00"/>
    <n v="739.17655901199998"/>
    <n v="2387.8754410227289"/>
    <n v="111592"/>
    <s v="FELSBERG E PEDRETTI ADVOGADOS E CONSULTORES LEGAIS"/>
    <s v="2.20.04.02"/>
    <x v="0"/>
    <n v="10027"/>
    <s v="0015292_COZAC_FALENCIA"/>
    <n v="44"/>
    <s v="FALENCIA E RJ_TOMBADO"/>
    <x v="215"/>
    <s v="13013697-3"/>
    <s v="SANTANDER - ENFORCE"/>
    <s v="NOTA DE DEBITO"/>
    <s v="155360"/>
  </r>
  <r>
    <s v="*** Pagamento ***"/>
    <x v="0"/>
    <d v="2022-06-22T00:00:00"/>
    <d v="2022-06-10T00:00:00"/>
    <n v="503.11"/>
    <n v="503.11"/>
    <n v="503.11"/>
    <d v="2025-11-17T00:00:00"/>
    <n v="571.82796861070005"/>
    <n v="1415.80348611007"/>
    <n v="151748"/>
    <s v="LUIZ FERNANDO COZAC"/>
    <s v="2.20.03.15"/>
    <x v="21"/>
    <n v="10027"/>
    <s v="0015292_COZAC_FALENCIA"/>
    <n v="44"/>
    <s v="FALENCIA E RJ_TOMBADO"/>
    <x v="216"/>
    <s v="13013697-3"/>
    <s v="SANTANDER - ENFORCE"/>
    <s v="NOTA DE DEBITO"/>
    <s v="22062022"/>
  </r>
  <r>
    <s v="*** Pagamento ***"/>
    <x v="0"/>
    <d v="2021-07-22T00:00:00"/>
    <d v="2021-07-08T00:00:00"/>
    <n v="82.7"/>
    <n v="82.7"/>
    <n v="82.7"/>
    <d v="2025-11-17T00:00:00"/>
    <n v="104.55144471500002"/>
    <n v="330.4442825422002"/>
    <n v="112857"/>
    <s v="FELSBERG E PEDRETTI ADVOGADOS E CONSULTORES LEGAIS"/>
    <s v="2.20.04.06"/>
    <x v="32"/>
    <n v="10027"/>
    <s v="0015292_COZAC_FALENCIA"/>
    <n v="44"/>
    <s v="FALENCIA E RJ_TOMBADO"/>
    <x v="217"/>
    <s v="13013697-3"/>
    <s v="SANTANDER - ENFORCE"/>
    <s v="FATURA"/>
    <s v="156388"/>
  </r>
  <r>
    <s v="*** Pagamento ***"/>
    <x v="0"/>
    <d v="2019-08-22T00:00:00"/>
    <d v="2019-08-20T00:00:00"/>
    <n v="2289.41"/>
    <n v="273.99"/>
    <n v="273.99"/>
    <d v="2025-11-17T00:00:00"/>
    <n v="386.81998616700002"/>
    <n v="2036.261860941215"/>
    <n v="77560"/>
    <s v="DOSSO TOLEDO SOCIEDADE DE ADVOGADOS"/>
    <s v="2.20.05.06"/>
    <x v="11"/>
    <n v="10027"/>
    <s v="0015292_COZAC_FALENCIA"/>
    <n v="44"/>
    <s v="FALENCIA E RJ_TOMBADO"/>
    <x v="218"/>
    <s v="13013697-3"/>
    <s v="SANTANDER - ENFORCE"/>
    <s v="NOTA DE DEBITO"/>
    <s v="20082019"/>
  </r>
  <r>
    <s v="*** Pagamento ***"/>
    <x v="0"/>
    <d v="2019-08-22T00:00:00"/>
    <d v="2019-08-20T00:00:00"/>
    <n v="2289.41"/>
    <n v="89.320000000006004"/>
    <n v="89.320000000006004"/>
    <d v="2025-11-17T00:00:00"/>
    <n v="126.10227075600848"/>
    <n v="663.81586707281849"/>
    <n v="77560"/>
    <s v="DOSSO TOLEDO SOCIEDADE DE ADVOGADOS"/>
    <s v="2.20.01.05"/>
    <x v="33"/>
    <n v="10027"/>
    <s v="0015292_COZAC_FALENCIA"/>
    <n v="44"/>
    <s v="FALENCIA E RJ_TOMBADO"/>
    <x v="218"/>
    <s v="13013697-3"/>
    <s v="SANTANDER - ENFORCE"/>
    <s v="NOTA DE DEBITO"/>
    <s v="20082019"/>
  </r>
  <r>
    <s v="*** Pagamento ***"/>
    <x v="0"/>
    <d v="2019-08-22T00:00:00"/>
    <d v="2019-08-20T00:00:00"/>
    <n v="2289.41"/>
    <n v="1926.0999999999949"/>
    <n v="1926.0999999999949"/>
    <d v="2025-11-17T00:00:00"/>
    <n v="2719.2743361299931"/>
    <n v="14314.551517788474"/>
    <n v="77560"/>
    <s v="DOSSO TOLEDO SOCIEDADE DE ADVOGADOS"/>
    <s v="2.20.01.06"/>
    <x v="24"/>
    <n v="10027"/>
    <s v="0015292_COZAC_FALENCIA"/>
    <n v="44"/>
    <s v="FALENCIA E RJ_TOMBADO"/>
    <x v="218"/>
    <s v="13013697-3"/>
    <s v="SANTANDER - ENFORCE"/>
    <s v="NOTA DE DEBITO"/>
    <s v="20082019"/>
  </r>
  <r>
    <s v="*** Pagamento ***"/>
    <x v="0"/>
    <d v="2023-09-22T00:00:00"/>
    <d v="2023-09-15T00:00:00"/>
    <n v="212.48"/>
    <n v="169.67999999999901"/>
    <n v="169.67999999999901"/>
    <d v="2025-11-17T00:00:00"/>
    <n v="185.88270926399892"/>
    <n v="329.8616463816648"/>
    <n v="182087"/>
    <s v="CLAUDIO HIDEKI OKADA"/>
    <s v="2.20.01.11"/>
    <x v="34"/>
    <n v="10027"/>
    <s v="0015292_COZAC_FALENCIA"/>
    <n v="44"/>
    <s v="FALENCIA E RJ_TOMBADO"/>
    <x v="219"/>
    <s v="13013697-3"/>
    <s v="SANTANDER - ENFORCE"/>
    <s v="RELATÓRIO DE DESPESAS VIAGENS"/>
    <s v="3857511"/>
  </r>
  <r>
    <s v="*** Pagamento ***"/>
    <x v="0"/>
    <d v="2023-09-22T00:00:00"/>
    <d v="2023-09-15T00:00:00"/>
    <n v="212.48"/>
    <n v="42.800000000000999"/>
    <n v="42.800000000000999"/>
    <d v="2025-11-17T00:00:00"/>
    <n v="46.88696344000109"/>
    <n v="83.204139940686375"/>
    <n v="182087"/>
    <s v="CLAUDIO HIDEKI OKADA"/>
    <s v="2.20.01.05"/>
    <x v="33"/>
    <n v="10027"/>
    <s v="0015292_COZAC_FALENCIA"/>
    <n v="44"/>
    <s v="FALENCIA E RJ_TOMBADO"/>
    <x v="219"/>
    <s v="13013697-3"/>
    <s v="SANTANDER - ENFORCE"/>
    <s v="RELATÓRIO DE DESPESAS VIAGENS"/>
    <s v="3857511"/>
  </r>
  <r>
    <s v="*** Pagamento ***"/>
    <x v="0"/>
    <d v="2025-05-23T00:00:00"/>
    <d v="2025-05-13T00:00:00"/>
    <n v="1760"/>
    <n v="319.99999999999699"/>
    <n v="319.99999999999699"/>
    <d v="2025-11-17T00:00:00"/>
    <n v="323.62784639999694"/>
    <n v="368.45507328624564"/>
    <n v="253259"/>
    <s v="PAMELA GUEDES DE LIMA"/>
    <s v="2.20.02.12"/>
    <x v="10"/>
    <n v="10027"/>
    <s v="0015292_COZAC_FALENCIA"/>
    <n v="44"/>
    <s v="FALENCIA E RJ_TOMBADO"/>
    <x v="220"/>
    <s v="13013697-3"/>
    <s v="SANTANDER - ENFORCE"/>
    <s v="NOTA FISCAL DE SERVIÇOS"/>
    <s v="18"/>
  </r>
  <r>
    <s v="*** Abatimento de Adiantamento ***"/>
    <x v="0"/>
    <d v="2025-05-23T00:00:00"/>
    <d v="2025-05-01T00:00:00"/>
    <n v="58157.74"/>
    <n v="663.48000000018101"/>
    <n v="663.48000000018101"/>
    <d v="2025-11-17T00:00:00"/>
    <n v="671.00188602978312"/>
    <n v="763.94553757508527"/>
    <n v="253412"/>
    <s v="OPERADOR NACIONAL DO SISTEMA DE REGISTRO ELETRONICO DE IMOVEIS ( ONR )"/>
    <s v="2.20.05.01"/>
    <x v="16"/>
    <n v="10027"/>
    <s v="0015292_COZAC_FALENCIA"/>
    <n v="44"/>
    <s v="FALENCIA E RJ_TOMBADO"/>
    <x v="65"/>
    <s v="REA"/>
    <s v="Reapropriação Financeira"/>
    <s v="PRESTAÇÃO DE CONTAS"/>
    <s v="ARISP -  58.157,74"/>
  </r>
  <r>
    <s v="*** Pagamento ***"/>
    <x v="0"/>
    <d v="2023-06-23T00:00:00"/>
    <d v="2023-06-13T00:00:00"/>
    <n v="500"/>
    <n v="150"/>
    <n v="150"/>
    <d v="2025-11-17T00:00:00"/>
    <n v="164.33944200000002"/>
    <n v="311.62836703439939"/>
    <n v="175827"/>
    <s v="BIANCA NOGUEIRA DE SOUSA"/>
    <s v="2.20.02.16"/>
    <x v="15"/>
    <n v="10027"/>
    <s v="0015292_COZAC_FALENCIA"/>
    <n v="44"/>
    <s v="FALENCIA E RJ_TOMBADO"/>
    <x v="221"/>
    <s v="32183-4"/>
    <s v="BRADESCO - ENFORCE"/>
    <s v="RECIBO PROVISÓRIO AUTONOMO"/>
    <s v="140620232"/>
  </r>
  <r>
    <s v="*** Pagamento ***"/>
    <x v="0"/>
    <d v="2022-09-23T00:00:00"/>
    <d v="2022-09-22T00:00:00"/>
    <n v="3951.7"/>
    <n v="3951.7"/>
    <n v="3951.7"/>
    <d v="2025-11-17T00:00:00"/>
    <n v="4504.6817717719996"/>
    <n v="10422.366338220336"/>
    <n v="159084"/>
    <s v="FELSBERG E PEDRETTI ADVOGADOS E CONSULTORES LEGAIS"/>
    <s v="2.20.04.02"/>
    <x v="0"/>
    <n v="10027"/>
    <s v="0015292_COZAC_FALENCIA"/>
    <n v="44"/>
    <s v="FALENCIA E RJ_TOMBADO"/>
    <x v="222"/>
    <s v="13013697-3"/>
    <s v="SANTANDER - ENFORCE"/>
    <s v="NOTA DE DEBITO"/>
    <s v="167894"/>
  </r>
  <r>
    <s v="*** Pagamento ***"/>
    <x v="0"/>
    <d v="2023-10-23T00:00:00"/>
    <d v="2023-10-16T00:00:00"/>
    <n v="4381"/>
    <n v="370.00000000001103"/>
    <n v="370.00000000001103"/>
    <d v="2025-11-17T00:00:00"/>
    <n v="404.88604570001206"/>
    <n v="702.44746412992913"/>
    <n v="184147"/>
    <s v="CPX - ADMINISTRACAO E GESTAO LTDA"/>
    <s v="2.20.05.11"/>
    <x v="6"/>
    <n v="10027"/>
    <s v="0015292_COZAC_FALENCIA"/>
    <n v="44"/>
    <s v="FALENCIA E RJ_TOMBADO"/>
    <x v="223"/>
    <s v="13013697-3"/>
    <s v="SANTANDER - ENFORCE"/>
    <s v="NOTA FISCAL DE SERVIÇOS"/>
    <s v="98"/>
  </r>
  <r>
    <s v="*** Abatimento de Adiantamento ***"/>
    <x v="0"/>
    <d v="2024-10-23T00:00:00"/>
    <d v="2024-10-01T00:00:00"/>
    <n v="1851.98"/>
    <n v="887.45999999999401"/>
    <n v="887.45999999999401"/>
    <d v="2025-11-17T00:00:00"/>
    <n v="932.96538121079368"/>
    <n v="1239.6644889009181"/>
    <n v="221727"/>
    <s v="OPERADOR NACIONAL DO SISTEMA DE REGISTRO ELETRONICO DE IMOVEIS ( ONR )"/>
    <s v="2.20.05.01"/>
    <x v="16"/>
    <n v="10027"/>
    <s v="0015292_COZAC_FALENCIA"/>
    <n v="44"/>
    <s v="FALENCIA E RJ_TOMBADO"/>
    <x v="224"/>
    <s v="REA"/>
    <s v="Reapropriação Financeira"/>
    <s v="PRESTAÇÃO DE CONTAS"/>
    <s v="ARISP - 1.851,98"/>
  </r>
  <r>
    <s v="*** Pagamento ***"/>
    <x v="0"/>
    <d v="2020-11-23T00:00:00"/>
    <d v="2020-11-04T00:00:00"/>
    <n v="120"/>
    <n v="120"/>
    <n v="120"/>
    <d v="2025-11-17T00:00:00"/>
    <n v="161.52429599999999"/>
    <n v="608.53393903391566"/>
    <n v="98851"/>
    <s v="FELSBERG E PEDRETTI ADVOGADOS E CONSULTORES LEGAIS"/>
    <s v="2.20.04.02"/>
    <x v="0"/>
    <n v="10027"/>
    <s v="0015292_COZAC_FALENCIA"/>
    <n v="44"/>
    <s v="FALENCIA E RJ_TOMBADO"/>
    <x v="225"/>
    <s v="13013697-3"/>
    <s v="SANTANDER - ENFORCE"/>
    <s v="NOTA DE DEBITO"/>
    <s v="149797"/>
  </r>
  <r>
    <s v="*** Pagamento ***"/>
    <x v="0"/>
    <d v="2023-11-23T00:00:00"/>
    <d v="2023-11-22T00:00:00"/>
    <n v="3499.98"/>
    <n v="3499.98"/>
    <n v="3284.73"/>
    <d v="2025-11-17T00:00:00"/>
    <n v="3590.1288557109001"/>
    <n v="6089.4670882857636"/>
    <n v="185621"/>
    <s v="AHEAD ARQUITETURA E ENGENHARIA DE AVALIACOES LTDA"/>
    <s v="2.20.06.02"/>
    <x v="13"/>
    <n v="10027"/>
    <s v="0015292_COZAC_FALENCIA"/>
    <n v="44"/>
    <s v="FALENCIA E RJ_TOMBADO"/>
    <x v="226"/>
    <s v="13013697-3"/>
    <s v="SANTANDER - ENFORCE"/>
    <s v="NOTA FISCAL DE SERVIÇOS"/>
    <s v="285"/>
  </r>
  <r>
    <s v="*** Pagamento ***"/>
    <x v="1"/>
    <d v="2019-12-23T00:00:00"/>
    <d v="2019-12-20T00:00:00"/>
    <n v="192607.53"/>
    <n v="192607.53"/>
    <n v="192607.53"/>
    <d v="2025-11-17T00:00:00"/>
    <n v="270166.38926507189"/>
    <n v="1300245.6069636261"/>
    <n v="83554"/>
    <s v="PREFEITURA MUNICIPAL DE RIBEIRÃO PRETO"/>
    <s v="2.20.03.02"/>
    <x v="25"/>
    <n v="10027"/>
    <s v="0015292_COZAC_FALENCIA"/>
    <n v="44"/>
    <s v="FALENCIA E RJ_TOMBADO"/>
    <x v="227"/>
    <s v="13013697-3"/>
    <s v="SANTANDER - ENFORCE"/>
    <s v="GUIA PARA RECOLHIMENTO DE IMPOSTOS"/>
    <s v="201900230427"/>
  </r>
  <r>
    <s v="*** Pagamento ***"/>
    <x v="0"/>
    <d v="2025-01-24T00:00:00"/>
    <d v="2025-01-17T00:00:00"/>
    <n v="3150"/>
    <n v="349.99999999999699"/>
    <n v="349.99999999999699"/>
    <d v="2025-11-17T00:00:00"/>
    <n v="362.77155249999691"/>
    <n v="450.43952233263991"/>
    <n v="233867"/>
    <s v="SERVIR IMOVEIS LTDA"/>
    <s v="2.20.05.03"/>
    <x v="9"/>
    <n v="10027"/>
    <s v="0015292_COZAC_FALENCIA"/>
    <n v="44"/>
    <s v="FALENCIA E RJ_TOMBADO"/>
    <x v="228"/>
    <s v="13013697-3"/>
    <s v="SANTANDER - ENFORCE"/>
    <s v="NOTA FISCAL DE SERVIÇOS"/>
    <s v="68"/>
  </r>
  <r>
    <s v="*** Pagamento ***"/>
    <x v="0"/>
    <d v="2023-05-24T00:00:00"/>
    <d v="2023-05-11T00:00:00"/>
    <n v="463"/>
    <n v="463"/>
    <n v="463"/>
    <d v="2025-11-17T00:00:00"/>
    <n v="509.08745984999996"/>
    <n v="986.69483454138481"/>
    <n v="174198"/>
    <s v="FELSBERG E PEDRETTI ADVOGADOS E CONSULTORES LEGAIS"/>
    <s v="2.20.04.02"/>
    <x v="0"/>
    <n v="10027"/>
    <s v="0015292_COZAC_FALENCIA"/>
    <n v="44"/>
    <s v="FALENCIA E RJ_TOMBADO"/>
    <x v="229"/>
    <s v="13013697-3"/>
    <s v="SANTANDER - ENFORCE"/>
    <s v="NOTA DE DEBITO"/>
    <s v="170105"/>
  </r>
  <r>
    <s v="*** Pagamento ***"/>
    <x v="0"/>
    <d v="2023-05-24T00:00:00"/>
    <d v="2023-05-11T00:00:00"/>
    <n v="100"/>
    <n v="100"/>
    <n v="100"/>
    <d v="2025-11-17T00:00:00"/>
    <n v="109.954095"/>
    <n v="213.10903553809609"/>
    <n v="174176"/>
    <s v="FELSBERG E PEDRETTI ADVOGADOS E CONSULTORES LEGAIS"/>
    <s v="2.20.04.02"/>
    <x v="0"/>
    <n v="10027"/>
    <s v="0015292_COZAC_FALENCIA"/>
    <n v="44"/>
    <s v="FALENCIA E RJ_TOMBADO"/>
    <x v="230"/>
    <s v="13013697-3"/>
    <s v="SANTANDER - ENFORCE"/>
    <s v="NOTA DE DEBITO"/>
    <s v="170494"/>
  </r>
  <r>
    <s v="*** Pagamento ***"/>
    <x v="0"/>
    <d v="2023-05-24T00:00:00"/>
    <d v="2023-05-11T00:00:00"/>
    <n v="100"/>
    <n v="100"/>
    <n v="100"/>
    <d v="2025-11-17T00:00:00"/>
    <n v="109.954095"/>
    <n v="213.10903553809609"/>
    <n v="174193"/>
    <s v="FELSBERG E PEDRETTI ADVOGADOS E CONSULTORES LEGAIS"/>
    <s v="2.20.04.02"/>
    <x v="0"/>
    <n v="10027"/>
    <s v="0015292_COZAC_FALENCIA"/>
    <n v="44"/>
    <s v="FALENCIA E RJ_TOMBADO"/>
    <x v="231"/>
    <s v="13013697-3"/>
    <s v="SANTANDER - ENFORCE"/>
    <s v="NOTA DE DEBITO"/>
    <s v="170496"/>
  </r>
  <r>
    <s v="*** Pagamento ***"/>
    <x v="0"/>
    <d v="2023-05-24T00:00:00"/>
    <d v="2023-05-11T00:00:00"/>
    <n v="400"/>
    <n v="400"/>
    <n v="400"/>
    <d v="2025-11-17T00:00:00"/>
    <n v="439.81637999999998"/>
    <n v="852.43614215238438"/>
    <n v="174195"/>
    <s v="FELSBERG E PEDRETTI ADVOGADOS E CONSULTORES LEGAIS"/>
    <s v="2.20.04.02"/>
    <x v="0"/>
    <n v="10027"/>
    <s v="0015292_COZAC_FALENCIA"/>
    <n v="44"/>
    <s v="FALENCIA E RJ_TOMBADO"/>
    <x v="232"/>
    <s v="13013697-3"/>
    <s v="SANTANDER - ENFORCE"/>
    <s v="NOTA DE DEBITO"/>
    <s v="170023"/>
  </r>
  <r>
    <s v="*** Pagamento ***"/>
    <x v="0"/>
    <d v="2023-05-24T00:00:00"/>
    <d v="2023-05-11T00:00:00"/>
    <n v="100"/>
    <n v="100"/>
    <n v="100"/>
    <d v="2025-11-17T00:00:00"/>
    <n v="109.954095"/>
    <n v="213.10903553809609"/>
    <n v="174177"/>
    <s v="FELSBERG E PEDRETTI ADVOGADOS E CONSULTORES LEGAIS"/>
    <s v="2.20.04.02"/>
    <x v="0"/>
    <n v="10027"/>
    <s v="0015292_COZAC_FALENCIA"/>
    <n v="44"/>
    <s v="FALENCIA E RJ_TOMBADO"/>
    <x v="233"/>
    <s v="13013697-3"/>
    <s v="SANTANDER - ENFORCE"/>
    <s v="NOTA DE DEBITO"/>
    <s v="170495"/>
  </r>
  <r>
    <s v="*** Pagamento ***"/>
    <x v="0"/>
    <d v="2021-06-24T00:00:00"/>
    <d v="2021-06-21T00:00:00"/>
    <n v="347.9"/>
    <n v="347.9"/>
    <n v="347.9"/>
    <d v="2025-11-17T00:00:00"/>
    <n v="442.46305037899998"/>
    <n v="1427.2743906930491"/>
    <n v="111682"/>
    <s v="FELSBERG E PEDRETTI ADVOGADOS E CONSULTORES LEGAIS"/>
    <s v="2.20.04.01"/>
    <x v="19"/>
    <n v="10027"/>
    <s v="0015292_COZAC_FALENCIA"/>
    <n v="44"/>
    <s v="FALENCIA E RJ_TOMBADO"/>
    <x v="203"/>
    <s v="13013697-3"/>
    <s v="SANTANDER - ENFORCE"/>
    <s v="FATURA"/>
    <s v="153382"/>
  </r>
  <r>
    <s v="*** Pagamento ***"/>
    <x v="0"/>
    <d v="2022-06-24T00:00:00"/>
    <d v="2022-06-10T00:00:00"/>
    <n v="33329"/>
    <n v="451.26000000004802"/>
    <n v="451.26000000004802"/>
    <d v="2025-11-17T00:00:00"/>
    <n v="512.89596532625467"/>
    <n v="1268.0426123447403"/>
    <n v="151881"/>
    <s v="HERPICH E GOMES SERVICOS DE ENGENHARIA LTDA."/>
    <s v="2.20.06.07"/>
    <x v="12"/>
    <n v="10027"/>
    <s v="0015292_COZAC_FALENCIA"/>
    <n v="44"/>
    <s v="FALENCIA E RJ_TOMBADO"/>
    <x v="234"/>
    <s v="32183-4"/>
    <s v="BRADESCO - ENFORCE"/>
    <s v="NOTA FISCAL DE SERVIÇOS"/>
    <s v="28"/>
  </r>
  <r>
    <s v="*** Pagamento ***"/>
    <x v="0"/>
    <d v="2023-07-24T00:00:00"/>
    <d v="2023-07-17T00:00:00"/>
    <n v="79975.98"/>
    <n v="129.680000000229"/>
    <n v="129.680000000229"/>
    <d v="2025-11-17T00:00:00"/>
    <n v="142.21907691625114"/>
    <n v="263.6581756617187"/>
    <n v="177446"/>
    <s v="OPERADOR NACIONAL DO SISTEMA DE REGISTRO ELETRONICO DE IMOVEIS ( ONR )"/>
    <s v="2.20.05.01"/>
    <x v="16"/>
    <n v="10027"/>
    <s v="0015292_COZAC_FALENCIA"/>
    <n v="44"/>
    <s v="FALENCIA E RJ_TOMBADO"/>
    <x v="235"/>
    <s v="13013697-3"/>
    <s v="SANTANDER - ENFORCE"/>
    <s v="BOLETO"/>
    <s v="81378787"/>
  </r>
  <r>
    <s v="*** Pagamento ***"/>
    <x v="0"/>
    <d v="2023-10-24T00:00:00"/>
    <d v="2023-10-04T00:00:00"/>
    <n v="200"/>
    <n v="200"/>
    <n v="200"/>
    <d v="2025-11-17T00:00:00"/>
    <n v="218.85732199999998"/>
    <n v="379.42471038305331"/>
    <n v="184182"/>
    <s v="FELSBERG E PEDRETTI ADVOGADOS E CONSULTORES LEGAIS"/>
    <s v="2.20.04.02"/>
    <x v="0"/>
    <n v="10027"/>
    <s v="0015292_COZAC_FALENCIA"/>
    <n v="44"/>
    <s v="FALENCIA E RJ_TOMBADO"/>
    <x v="236"/>
    <s v="13013697-3"/>
    <s v="SANTANDER - ENFORCE"/>
    <s v="NOTA DE DEBITO"/>
    <s v="173526"/>
  </r>
  <r>
    <s v="*** Pagamento ***"/>
    <x v="0"/>
    <d v="2023-10-24T00:00:00"/>
    <d v="2023-10-05T00:00:00"/>
    <n v="15485.01"/>
    <n v="888.97000000005403"/>
    <n v="888.97000000005403"/>
    <d v="2025-11-17T00:00:00"/>
    <n v="972.78796769175904"/>
    <n v="1686.4859239462169"/>
    <n v="184305"/>
    <s v="MULTICIDADES VIAG E TUR LTDA"/>
    <s v="2.20.01.10"/>
    <x v="35"/>
    <n v="10027"/>
    <s v="0015292_COZAC_FALENCIA"/>
    <n v="44"/>
    <s v="FALENCIA E RJ_TOMBADO"/>
    <x v="237"/>
    <s v="13013697-3"/>
    <s v="SANTANDER - ENFORCE"/>
    <s v="FATURA"/>
    <s v="FT00574733"/>
  </r>
  <r>
    <s v="*** Pagamento ***"/>
    <x v="0"/>
    <d v="2023-10-24T00:00:00"/>
    <d v="2023-10-05T00:00:00"/>
    <n v="15485.01"/>
    <n v="260.50999999997998"/>
    <n v="260.50999999997998"/>
    <d v="2025-11-17T00:00:00"/>
    <n v="285.07260477107809"/>
    <n v="494.21965650940814"/>
    <n v="184305"/>
    <s v="MULTICIDADES VIAG E TUR LTDA"/>
    <s v="2.20.01.03"/>
    <x v="36"/>
    <n v="10027"/>
    <s v="0015292_COZAC_FALENCIA"/>
    <n v="44"/>
    <s v="FALENCIA E RJ_TOMBADO"/>
    <x v="237"/>
    <s v="13013697-3"/>
    <s v="SANTANDER - ENFORCE"/>
    <s v="FATURA"/>
    <s v="FT00574733"/>
  </r>
  <r>
    <s v="*** Pagamento ***"/>
    <x v="0"/>
    <d v="2023-10-24T00:00:00"/>
    <d v="2023-10-04T00:00:00"/>
    <n v="100"/>
    <n v="100"/>
    <n v="100"/>
    <d v="2025-11-17T00:00:00"/>
    <n v="109.42866099999999"/>
    <n v="189.71235519152665"/>
    <n v="184185"/>
    <s v="FELSBERG E PEDRETTI ADVOGADOS E CONSULTORES LEGAIS"/>
    <s v="2.20.04.02"/>
    <x v="0"/>
    <n v="10027"/>
    <s v="0015292_COZAC_FALENCIA"/>
    <n v="44"/>
    <s v="FALENCIA E RJ_TOMBADO"/>
    <x v="238"/>
    <s v="13013697-3"/>
    <s v="SANTANDER - ENFORCE"/>
    <s v="NOTA DE DEBITO"/>
    <s v="172674"/>
  </r>
  <r>
    <s v="*** Pagamento ***"/>
    <x v="0"/>
    <d v="2023-10-24T00:00:00"/>
    <d v="2023-10-17T00:00:00"/>
    <n v="3901"/>
    <n v="75.999999999997996"/>
    <n v="75.999999999997996"/>
    <d v="2025-11-17T00:00:00"/>
    <n v="83.165782359997806"/>
    <n v="144.18138994555645"/>
    <n v="184274"/>
    <s v="F. RUIZ ASSETS CONSULTANT LTDA"/>
    <s v="2.20.05.11"/>
    <x v="6"/>
    <n v="10027"/>
    <s v="0015292_COZAC_FALENCIA"/>
    <n v="44"/>
    <s v="FALENCIA E RJ_TOMBADO"/>
    <x v="239"/>
    <s v="32183-4"/>
    <s v="BRADESCO - ENFORCE"/>
    <s v="NOTA FISCAL DE SERVIÇOS"/>
    <s v="272"/>
  </r>
  <r>
    <s v="*** Pagamento ***"/>
    <x v="0"/>
    <d v="2019-12-24T00:00:00"/>
    <d v="2019-11-28T00:00:00"/>
    <n v="10000"/>
    <n v="10000"/>
    <n v="9800"/>
    <d v="2025-11-17T00:00:00"/>
    <n v="13746.246654"/>
    <n v="66109.169238730465"/>
    <n v="82866"/>
    <s v="NOGARA, NOGARA E RONDINONI ADVOGADOS ASSOCIADOS"/>
    <s v="2.20.04.01"/>
    <x v="19"/>
    <n v="10027"/>
    <s v="0015292_COZAC_FALENCIA"/>
    <n v="44"/>
    <s v="FALENCIA E RJ_TOMBADO"/>
    <x v="240"/>
    <s v="13013697-3"/>
    <s v="SANTANDER - ENFORCE"/>
    <s v="NOTA FISCAL DE SERVIÇOS"/>
    <s v="51"/>
  </r>
  <r>
    <s v="*** Pagamento ***"/>
    <x v="0"/>
    <d v="2023-01-25T00:00:00"/>
    <d v="2023-01-16T00:00:00"/>
    <n v="8688"/>
    <n v="60.000000000032003"/>
    <n v="60.000000000032003"/>
    <d v="2025-11-17T00:00:00"/>
    <n v="67.569887400036038"/>
    <n v="142.82632397797062"/>
    <n v="166077"/>
    <s v="NELSON HENRIQUE SANTANA ALEXANDRE 40012558800"/>
    <s v="2.20.05.03"/>
    <x v="9"/>
    <n v="10027"/>
    <s v="0015292_COZAC_FALENCIA"/>
    <n v="44"/>
    <s v="FALENCIA E RJ_TOMBADO"/>
    <x v="241"/>
    <s v="13013697-3"/>
    <s v="SANTANDER - ENFORCE"/>
    <s v="NOTA FISCAL DE SERVIÇOS"/>
    <s v="154"/>
  </r>
  <r>
    <s v="*** Pagamento ***"/>
    <x v="0"/>
    <d v="2023-05-25T00:00:00"/>
    <d v="2023-05-17T00:00:00"/>
    <n v="43724.87"/>
    <n v="20.480000000164999"/>
    <n v="20.480000000164999"/>
    <d v="2025-11-17T00:00:00"/>
    <n v="22.518598656181421"/>
    <n v="43.612934239651395"/>
    <n v="173769"/>
    <s v="OPERADOR NACIONAL DO SISTEMA DE REGISTRO ELETRONICO DE IMOVEIS ( ONR )"/>
    <s v="2.20.02.11"/>
    <x v="3"/>
    <n v="10027"/>
    <s v="0015292_COZAC_FALENCIA"/>
    <n v="44"/>
    <s v="FALENCIA E RJ_TOMBADO"/>
    <x v="242"/>
    <s v="13013697-3"/>
    <s v="SANTANDER - ENFORCE"/>
    <s v="BOLETO"/>
    <s v="81328000"/>
  </r>
  <r>
    <s v="*** Pagamento ***"/>
    <x v="0"/>
    <d v="2025-08-25T00:00:00"/>
    <d v="2025-08-07T00:00:00"/>
    <n v="105.42"/>
    <n v="105.42"/>
    <n v="105.42"/>
    <d v="2025-11-17T00:00:00"/>
    <n v="105.77729578920001"/>
    <n v="112.45512230417584"/>
    <n v="266631"/>
    <s v="FELSBERG E PEDRETTI ADVOGADOS E CONSULTORES LEGAIS"/>
    <s v="2.20.04.02"/>
    <x v="0"/>
    <n v="10027"/>
    <s v="0015292_COZAC_FALENCIA"/>
    <n v="44"/>
    <s v="FALENCIA E RJ_TOMBADO"/>
    <x v="243"/>
    <s v="13013697-3"/>
    <s v="SANTANDER - ENFORCE"/>
    <s v="NOTA DE DEBITO"/>
    <s v="182394"/>
  </r>
  <r>
    <s v="*** Pagamento ***"/>
    <x v="0"/>
    <d v="2024-10-25T00:00:00"/>
    <d v="2024-10-21T00:00:00"/>
    <n v="402.2"/>
    <n v="402.2"/>
    <n v="402.2"/>
    <d v="2025-11-17T00:00:00"/>
    <n v="422.82319915599999"/>
    <n v="561.0020146544548"/>
    <n v="222346"/>
    <s v="1. OFICIAL DE REGISTRO DE IMOVEIS DE RIBEIRAO PRETO"/>
    <s v="2.20.02.03"/>
    <x v="2"/>
    <n v="10027"/>
    <s v="0015292_COZAC_FALENCIA"/>
    <n v="44"/>
    <s v="FALENCIA E RJ_TOMBADO"/>
    <x v="244"/>
    <s v="13013697-3"/>
    <s v="SANTANDER - ENFORCE"/>
    <s v="BOLETO"/>
    <s v="41226"/>
  </r>
  <r>
    <s v="*** Pagamento ***"/>
    <x v="0"/>
    <d v="2023-01-26T00:00:00"/>
    <d v="2023-01-24T00:00:00"/>
    <n v="922.5"/>
    <n v="922.5"/>
    <n v="922.5"/>
    <d v="2025-11-17T00:00:00"/>
    <n v="1038.8870187750001"/>
    <n v="2194.3549251701484"/>
    <n v="166214"/>
    <s v="SAO PAULO TRIBUNAL DE JUSTIÇA"/>
    <s v="2.20.04.05"/>
    <x v="37"/>
    <n v="10027"/>
    <s v="0015292_COZAC_FALENCIA"/>
    <n v="44"/>
    <s v="FALENCIA E RJ_TOMBADO"/>
    <x v="245"/>
    <s v="13013697-3"/>
    <s v="SANTANDER - ENFORCE"/>
    <s v="GUIA PARA RECOLHIMENTO DE IMPOSTOS"/>
    <s v="81020000134402835"/>
  </r>
  <r>
    <s v="*** Pagamento ***"/>
    <x v="0"/>
    <d v="2025-03-26T00:00:00"/>
    <d v="2025-03-21T00:00:00"/>
    <n v="2921.66"/>
    <n v="2921.66"/>
    <n v="2921.66"/>
    <d v="2025-11-17T00:00:00"/>
    <n v="2984.1062168763997"/>
    <n v="3544.1367853895099"/>
    <n v="243435"/>
    <s v="Tribunal de Justiça Fundo Especial de Despesa (F.E.D.T.J)"/>
    <s v="2.20.04.04"/>
    <x v="1"/>
    <n v="10027"/>
    <s v="0015292_COZAC_FALENCIA"/>
    <n v="44"/>
    <s v="FALENCIA E RJ_TOMBADO"/>
    <x v="246"/>
    <s v="98434-5"/>
    <s v="BANCO DO BRASIL - ENFORCE"/>
    <s v="GUIA PARA RECOLHIMENTO DE IMPOSTOS"/>
    <s v="2025032112163908"/>
  </r>
  <r>
    <s v="*** Pagamento ***"/>
    <x v="0"/>
    <d v="2025-05-26T00:00:00"/>
    <d v="2025-05-13T00:00:00"/>
    <n v="3000"/>
    <n v="36.140000000009998"/>
    <n v="36.140000000009998"/>
    <d v="2025-11-17T00:00:00"/>
    <n v="36.549719902810111"/>
    <n v="41.521514180095586"/>
    <n v="253558"/>
    <s v="R.P.D. - DOCUMENTOS, APOIO EMPRESARIAL E NEGOCIOS LTDA"/>
    <s v="2.20.05.01"/>
    <x v="16"/>
    <n v="10027"/>
    <s v="0015292_COZAC_FALENCIA"/>
    <n v="44"/>
    <s v="FALENCIA E RJ_TOMBADO"/>
    <x v="247"/>
    <s v="13013697-3"/>
    <s v="SANTANDER - ENFORCE"/>
    <s v="NOTA FISCAL DE SERVIÇOS"/>
    <s v="32141"/>
  </r>
  <r>
    <s v="*** Pagamento ***"/>
    <x v="0"/>
    <d v="2025-05-26T00:00:00"/>
    <d v="2025-05-13T00:00:00"/>
    <n v="23227.8"/>
    <n v="490.10000000001401"/>
    <n v="490.10000000001401"/>
    <d v="2025-11-17T00:00:00"/>
    <n v="495.65627350201419"/>
    <n v="563.07952683065298"/>
    <n v="253557"/>
    <s v="R.P.D. - DOCUMENTOS, APOIO EMPRESARIAL E NEGOCIOS LTDA"/>
    <s v="2.20.05.01"/>
    <x v="16"/>
    <n v="10027"/>
    <s v="0015292_COZAC_FALENCIA"/>
    <n v="44"/>
    <s v="FALENCIA E RJ_TOMBADO"/>
    <x v="248"/>
    <s v="13013697-3"/>
    <s v="SANTANDER - ENFORCE"/>
    <s v="NOTA FISCAL DE SERVIÇOS"/>
    <s v="32137"/>
  </r>
  <r>
    <s v="*** Pagamento ***"/>
    <x v="0"/>
    <d v="2022-07-26T00:00:00"/>
    <d v="2022-07-25T00:00:00"/>
    <n v="711.87"/>
    <n v="711.87"/>
    <n v="711.87"/>
    <d v="2025-11-17T00:00:00"/>
    <n v="804.11584444409993"/>
    <n v="1942.2041917170875"/>
    <n v="154786"/>
    <s v="PREFEITURA MUNICIPAL DE RIBEIRÃO PRETO"/>
    <s v="2.20.03.02"/>
    <x v="25"/>
    <n v="10027"/>
    <s v="0015292_COZAC_FALENCIA"/>
    <n v="44"/>
    <s v="FALENCIA E RJ_TOMBADO"/>
    <x v="249"/>
    <s v="13013697-3"/>
    <s v="SANTANDER - ENFORCE"/>
    <s v="BOLETO"/>
    <s v="02200069170"/>
  </r>
  <r>
    <s v="*** Pagamento ***"/>
    <x v="0"/>
    <d v="2022-07-26T00:00:00"/>
    <d v="2022-07-25T00:00:00"/>
    <n v="942.5"/>
    <n v="942.5"/>
    <n v="942.5"/>
    <d v="2025-11-17T00:00:00"/>
    <n v="1064.6314402749999"/>
    <n v="2571.4350242226178"/>
    <n v="154785"/>
    <s v="PREFEITURA MUNICIPAL DE RIBEIRÃO PRETO"/>
    <s v="2.20.03.02"/>
    <x v="25"/>
    <n v="10027"/>
    <s v="0015292_COZAC_FALENCIA"/>
    <n v="44"/>
    <s v="FALENCIA E RJ_TOMBADO"/>
    <x v="250"/>
    <s v="13013697-3"/>
    <s v="SANTANDER - ENFORCE"/>
    <s v="BOLETO"/>
    <s v="02200069169"/>
  </r>
  <r>
    <s v="*** Pagamento ***"/>
    <x v="0"/>
    <d v="2022-07-26T00:00:00"/>
    <d v="2022-07-20T00:00:00"/>
    <n v="3007.36"/>
    <n v="1242.8199999999961"/>
    <n v="1242.8199999999961"/>
    <d v="2025-11-17T00:00:00"/>
    <n v="1403.8676356525955"/>
    <n v="3390.8019913043436"/>
    <n v="154803"/>
    <s v="OTAIR GUIMARÃES"/>
    <s v="2.20.01.09"/>
    <x v="7"/>
    <n v="10027"/>
    <s v="0015292_COZAC_FALENCIA"/>
    <n v="44"/>
    <s v="FALENCIA E RJ_TOMBADO"/>
    <x v="251"/>
    <s v="32183-4"/>
    <s v="BRADESCO - ENFORCE"/>
    <s v="RELATÓRIO DE DESPESAS VIAGENS"/>
    <s v="2144470"/>
  </r>
  <r>
    <s v="*** Pagamento ***"/>
    <x v="0"/>
    <d v="2024-08-26T00:00:00"/>
    <d v="2024-06-10T00:00:00"/>
    <n v="2513.88"/>
    <n v="2513.88"/>
    <n v="2513.88"/>
    <d v="2025-11-17T00:00:00"/>
    <n v="2651.7514358304002"/>
    <n v="3675.6062763174759"/>
    <n v="205712"/>
    <s v="FELSBERG E PEDRETTI ADVOGADOS E CONSULTORES LEGAIS"/>
    <s v="2.20.04.02"/>
    <x v="0"/>
    <n v="10027"/>
    <s v="0015292_COZAC_FALENCIA"/>
    <n v="44"/>
    <s v="FALENCIA E RJ_TOMBADO"/>
    <x v="252"/>
    <s v="13013697-3"/>
    <s v="SANTANDER - ENFORCE"/>
    <s v="NOTA DE DEBITO"/>
    <s v="177304"/>
  </r>
  <r>
    <s v="*** Pagamento ***"/>
    <x v="0"/>
    <d v="2022-09-26T00:00:00"/>
    <d v="2022-08-25T00:00:00"/>
    <n v="12600"/>
    <n v="254.54999999998799"/>
    <n v="254.54999999998799"/>
    <d v="2025-11-17T00:00:00"/>
    <n v="290.17049497798632"/>
    <n v="669.89377279383757"/>
    <n v="156928"/>
    <s v="KARINA REIS DA SILVEIRA 35961827860"/>
    <s v="2.20.02.12"/>
    <x v="10"/>
    <n v="10027"/>
    <s v="0015292_COZAC_FALENCIA"/>
    <n v="44"/>
    <s v="FALENCIA E RJ_TOMBADO"/>
    <x v="100"/>
    <s v="13013697-3"/>
    <s v="SANTANDER - ENFORCE"/>
    <s v="NOTA FISCAL DE SERVIÇOS"/>
    <s v="1"/>
  </r>
  <r>
    <s v="*** Pagamento ***"/>
    <x v="0"/>
    <d v="2020-10-26T00:00:00"/>
    <d v="2020-06-26T00:00:00"/>
    <n v="1686.51"/>
    <n v="1686.51"/>
    <n v="1686.51"/>
    <d v="2025-11-17T00:00:00"/>
    <n v="2290.3047308232003"/>
    <n v="8806.4825456910839"/>
    <n v="96885"/>
    <s v="FELSBERG E PEDRETTI ADVOGADOS E CONSULTORES LEGAIS"/>
    <s v="2.20.04.02"/>
    <x v="0"/>
    <n v="10027"/>
    <s v="0015292_COZAC_FALENCIA"/>
    <n v="44"/>
    <s v="FALENCIA E RJ_TOMBADO"/>
    <x v="253"/>
    <s v="13013697-3"/>
    <s v="SANTANDER - ENFORCE"/>
    <s v="NOTA DE DEBITO"/>
    <s v="146556"/>
  </r>
  <r>
    <s v="*** Pagamento ***"/>
    <x v="0"/>
    <d v="2020-10-26T00:00:00"/>
    <d v="2020-10-06T00:00:00"/>
    <n v="120"/>
    <n v="120"/>
    <n v="120"/>
    <d v="2025-11-17T00:00:00"/>
    <n v="162.96171840000002"/>
    <n v="626.60636787385204"/>
    <n v="96884"/>
    <s v="FELSBERG E PEDRETTI ADVOGADOS E CONSULTORES LEGAIS"/>
    <s v="2.20.04.02"/>
    <x v="0"/>
    <n v="10027"/>
    <s v="0015292_COZAC_FALENCIA"/>
    <n v="44"/>
    <s v="FALENCIA E RJ_TOMBADO"/>
    <x v="254"/>
    <s v="13013697-3"/>
    <s v="SANTANDER - ENFORCE"/>
    <s v="NOTA DE DEBITO"/>
    <s v="149042"/>
  </r>
  <r>
    <s v="*** Pagamento ***"/>
    <x v="0"/>
    <d v="2023-10-26T00:00:00"/>
    <d v="2023-09-28T00:00:00"/>
    <n v="15505"/>
    <n v="2680.0000000000082"/>
    <n v="2515.179567881336"/>
    <d v="2025-11-17T00:00:00"/>
    <n v="2752.3273228781318"/>
    <n v="4764.6564673325774"/>
    <n v="184489"/>
    <s v="LEME INTELIGENCIA FORENSE E CONS. EMPRESARIAL LTDA"/>
    <s v="2.20.05.03"/>
    <x v="9"/>
    <n v="10027"/>
    <s v="0015292_COZAC_FALENCIA"/>
    <n v="44"/>
    <s v="FALENCIA E RJ_TOMBADO"/>
    <x v="255"/>
    <s v="13013697-3"/>
    <s v="SANTANDER - ENFORCE"/>
    <s v="NOTA FISCAL DE SERVIÇOS"/>
    <s v="1584"/>
  </r>
  <r>
    <s v="*** Abatimento de Adiantamento ***"/>
    <x v="0"/>
    <d v="2024-11-26T00:00:00"/>
    <d v="2024-11-01T00:00:00"/>
    <n v="2385.71"/>
    <n v="36.480000000010001"/>
    <n v="36.480000000010001"/>
    <d v="2025-11-17T00:00:00"/>
    <n v="38.118036268810449"/>
    <n v="49.409201348921918"/>
    <n v="226025"/>
    <s v="OPERADOR NACIONAL DO SISTEMA DE REGISTRO ELETRONICO DE IMOVEIS ( ONR )"/>
    <s v="2.20.05.01"/>
    <x v="16"/>
    <n v="10027"/>
    <s v="0015292_COZAC_FALENCIA"/>
    <n v="44"/>
    <s v="FALENCIA E RJ_TOMBADO"/>
    <x v="256"/>
    <s v="REA"/>
    <s v="Reapropriação Financeira"/>
    <s v="PRESTAÇÃO DE CONTAS"/>
    <s v="ARISP - 2.385,71"/>
  </r>
  <r>
    <s v="*** Pagamento ***"/>
    <x v="1"/>
    <d v="2019-12-26T00:00:00"/>
    <d v="2019-12-26T00:00:00"/>
    <n v="180480.79"/>
    <n v="180480.79"/>
    <n v="180480.79"/>
    <d v="2025-11-17T00:00:00"/>
    <n v="253156.4750662017"/>
    <n v="1215720.0761742848"/>
    <n v="83575"/>
    <s v="MINISTERIO DA ECONOMIA"/>
    <s v="2.20.03.10"/>
    <x v="22"/>
    <n v="10027"/>
    <s v="0015292_COZAC_FALENCIA"/>
    <n v="44"/>
    <s v="FALENCIA E RJ_TOMBADO"/>
    <x v="257"/>
    <s v="32183-4"/>
    <s v="BRADESCO - ENFORCE"/>
    <s v="GUIA PARA RECOLHIMENTO DE IMPOSTOS"/>
    <s v="07.17.19357.0972899-"/>
  </r>
  <r>
    <s v="*** Pagamento ***"/>
    <x v="1"/>
    <d v="2019-12-26T00:00:00"/>
    <d v="2019-12-26T00:00:00"/>
    <n v="29.34"/>
    <n v="29.34"/>
    <n v="29.34"/>
    <d v="2025-11-17T00:00:00"/>
    <n v="41.154579268200003"/>
    <n v="197.63447974132603"/>
    <n v="83577"/>
    <s v="CAIXA ECONOMICA FEDERAL"/>
    <s v="2.20.03.10"/>
    <x v="22"/>
    <n v="10027"/>
    <s v="0015292_COZAC_FALENCIA"/>
    <n v="44"/>
    <s v="FALENCIA E RJ_TOMBADO"/>
    <x v="258"/>
    <s v="32183-4"/>
    <s v="BRADESCO - ENFORCE"/>
    <s v="GUIA PARA RECOLHIMENTO DE IMPOSTOS"/>
    <s v="160"/>
  </r>
  <r>
    <s v="*** Pagamento ***"/>
    <x v="1"/>
    <d v="2019-12-26T00:00:00"/>
    <d v="2019-12-26T00:00:00"/>
    <n v="154903.85"/>
    <n v="154903.85"/>
    <n v="154903.85"/>
    <d v="2025-11-17T00:00:00"/>
    <n v="217280.25813818551"/>
    <n v="1043433.5993414589"/>
    <n v="83576"/>
    <s v="MINISTERIO DA ECONOMIA"/>
    <s v="2.20.03.10"/>
    <x v="22"/>
    <n v="10027"/>
    <s v="0015292_COZAC_FALENCIA"/>
    <n v="44"/>
    <s v="FALENCIA E RJ_TOMBADO"/>
    <x v="259"/>
    <s v="32183-4"/>
    <s v="BRADESCO - ENFORCE"/>
    <s v="GUIA PARA RECOLHIMENTO DE IMPOSTOS"/>
    <s v="07.17.19357.0982752-"/>
  </r>
  <r>
    <s v="*** Pagamento ***"/>
    <x v="1"/>
    <d v="2019-12-26T00:00:00"/>
    <d v="2019-12-26T00:00:00"/>
    <n v="33384.49"/>
    <n v="33384.49"/>
    <n v="33384.49"/>
    <d v="2025-11-17T00:00:00"/>
    <n v="46827.697342652697"/>
    <n v="224878.19742943082"/>
    <n v="83574"/>
    <s v="CAIXA ECONOMICA FEDERAL"/>
    <s v="2.20.03.10"/>
    <x v="22"/>
    <n v="10027"/>
    <s v="0015292_COZAC_FALENCIA"/>
    <n v="44"/>
    <s v="FALENCIA E RJ_TOMBADO"/>
    <x v="260"/>
    <s v="32183-4"/>
    <s v="BRADESCO - ENFORCE"/>
    <s v="GUIA PARA RECOLHIMENTO DE IMPOSTOS"/>
    <s v="160"/>
  </r>
  <r>
    <s v="*** Pagamento ***"/>
    <x v="1"/>
    <d v="2019-12-26T00:00:00"/>
    <d v="2019-12-26T00:00:00"/>
    <n v="1105423.32"/>
    <n v="1105423.32"/>
    <n v="1105423.32"/>
    <d v="2025-11-17T00:00:00"/>
    <n v="1550553.2258983238"/>
    <n v="7446140.5160916625"/>
    <n v="83573"/>
    <s v="MINISTERIO DA ECONOMIA"/>
    <s v="2.20.03.10"/>
    <x v="22"/>
    <n v="10027"/>
    <s v="0015292_COZAC_FALENCIA"/>
    <n v="44"/>
    <s v="FALENCIA E RJ_TOMBADO"/>
    <x v="261"/>
    <s v="13013697-3"/>
    <s v="SANTANDER - ENFORCE"/>
    <s v="GUIA PARA RECOLHIMENTO DE IMPOSTOS"/>
    <s v="07.17.193570975753-0"/>
  </r>
  <r>
    <s v="*** Pagamento ***"/>
    <x v="0"/>
    <d v="2024-03-27T00:00:00"/>
    <d v="2024-02-29T00:00:00"/>
    <n v="28051.75"/>
    <n v="452.4900000001"/>
    <n v="452.4900000001"/>
    <d v="2025-11-17T00:00:00"/>
    <n v="484.65380820700705"/>
    <n v="750.47670603509277"/>
    <n v="194284"/>
    <s v="MULTICIDADES VIAG E TUR LTDA"/>
    <s v="2.20.01.10"/>
    <x v="35"/>
    <n v="10027"/>
    <s v="0015292_COZAC_FALENCIA"/>
    <n v="44"/>
    <s v="FALENCIA E RJ_TOMBADO"/>
    <x v="262"/>
    <s v="13013697-3"/>
    <s v="SANTANDER - ENFORCE"/>
    <s v="FATURA"/>
    <s v="FT01001065"/>
  </r>
  <r>
    <s v="*** Pagamento ***"/>
    <x v="0"/>
    <d v="2025-05-27T00:00:00"/>
    <d v="2025-05-16T00:00:00"/>
    <n v="16680"/>
    <n v="144.00000000000199"/>
    <n v="144.00000000000199"/>
    <d v="2025-11-17T00:00:00"/>
    <n v="145.63253088000201"/>
    <n v="165.32213959013905"/>
    <n v="253899"/>
    <s v="EWERTON FERREIRA DE SOUSA SOCIEDADE INDIVIDUAL DE ADVOCACIA"/>
    <s v="2.20.05.11"/>
    <x v="6"/>
    <n v="10027"/>
    <s v="0015292_COZAC_FALENCIA"/>
    <n v="44"/>
    <s v="FALENCIA E RJ_TOMBADO"/>
    <x v="263"/>
    <s v="13013697-3"/>
    <s v="SANTANDER - ENFORCE"/>
    <s v="NOTA FISCAL DE SERVIÇOS"/>
    <s v="56"/>
  </r>
  <r>
    <s v="*** Pagamento ***"/>
    <x v="0"/>
    <d v="2025-06-27T00:00:00"/>
    <d v="2025-06-18T00:00:00"/>
    <n v="12319.49"/>
    <n v="503.78999999994301"/>
    <n v="503.78999999994301"/>
    <d v="2025-11-17T00:00:00"/>
    <n v="507.72420694374256"/>
    <n v="563.49322852974888"/>
    <n v="258240"/>
    <s v="MULTICIDADES VIAG E TUR LTDA"/>
    <s v="2.20.01.10"/>
    <x v="35"/>
    <n v="10027"/>
    <s v="0015292_COZAC_FALENCIA"/>
    <n v="44"/>
    <s v="FALENCIA E RJ_TOMBADO"/>
    <x v="264"/>
    <s v="13013697-3"/>
    <s v="SANTANDER - ENFORCE"/>
    <s v="FATURA"/>
    <s v="FT01015408"/>
  </r>
  <r>
    <s v="*** Abatimento de Adiantamento ***"/>
    <x v="0"/>
    <d v="2024-08-27T00:00:00"/>
    <d v="2024-08-01T00:00:00"/>
    <n v="53768.72"/>
    <n v="2542.469999999767"/>
    <n v="2542.469999999767"/>
    <d v="2025-11-17T00:00:00"/>
    <n v="2681.9094280773543"/>
    <n v="3714.7002024641174"/>
    <n v="205812"/>
    <s v="OPERADOR NACIONAL DO SISTEMA DE REGISTRO ELETRONICO DE IMOVEIS ( ONR )"/>
    <s v="2.20.02.11"/>
    <x v="3"/>
    <n v="10027"/>
    <s v="0015292_COZAC_FALENCIA"/>
    <n v="44"/>
    <s v="FALENCIA E RJ_TOMBADO"/>
    <x v="265"/>
    <s v="REA"/>
    <s v="Reapropriação Financeira"/>
    <s v="PRESTAÇÃO DE CONTAS"/>
    <s v="26082024"/>
  </r>
  <r>
    <s v="*** Pagamento ***"/>
    <x v="0"/>
    <d v="2025-08-27T00:00:00"/>
    <d v="2025-08-01T00:00:00"/>
    <n v="200"/>
    <n v="200"/>
    <n v="200"/>
    <d v="2025-11-17T00:00:00"/>
    <n v="200.677852"/>
    <n v="213.0361021650769"/>
    <n v="267517"/>
    <s v="CLAUDIO JESUS"/>
    <s v="2.20.01.04"/>
    <x v="18"/>
    <n v="10027"/>
    <s v="0015292_COZAC_FALENCIA"/>
    <n v="44"/>
    <s v="FALENCIA E RJ_TOMBADO"/>
    <x v="266"/>
    <s v="13013697-3"/>
    <s v="SANTANDER - ENFORCE"/>
    <s v="RELATÓRIO DE DESPESAS VIAGENS"/>
    <s v="8107530"/>
  </r>
  <r>
    <s v="*** Pagamento ***"/>
    <x v="0"/>
    <d v="2024-09-27T00:00:00"/>
    <d v="2024-09-25T00:00:00"/>
    <n v="410.59"/>
    <n v="365.389999999998"/>
    <n v="365.389999999998"/>
    <d v="2025-11-17T00:00:00"/>
    <n v="385.96965269769788"/>
    <n v="522.6621286656391"/>
    <n v="218571"/>
    <s v="CLAUDIO JESUS"/>
    <s v="2.20.01.06"/>
    <x v="24"/>
    <n v="10027"/>
    <s v="0015292_COZAC_FALENCIA"/>
    <n v="44"/>
    <s v="FALENCIA E RJ_TOMBADO"/>
    <x v="267"/>
    <s v="13013697-3"/>
    <s v="SANTANDER - ENFORCE"/>
    <s v="RELATÓRIO DE DESPESAS VIAGENS"/>
    <s v="5804654"/>
  </r>
  <r>
    <s v="*** Pagamento ***"/>
    <x v="0"/>
    <d v="2024-09-27T00:00:00"/>
    <d v="2024-09-25T00:00:00"/>
    <n v="410.59"/>
    <n v="45.200000000001999"/>
    <n v="45.200000000001999"/>
    <d v="2025-11-17T00:00:00"/>
    <n v="47.745773836002115"/>
    <n v="64.655103357202066"/>
    <n v="218571"/>
    <s v="CLAUDIO JESUS"/>
    <s v="2.20.01.07"/>
    <x v="23"/>
    <n v="10027"/>
    <s v="0015292_COZAC_FALENCIA"/>
    <n v="44"/>
    <s v="FALENCIA E RJ_TOMBADO"/>
    <x v="267"/>
    <s v="13013697-3"/>
    <s v="SANTANDER - ENFORCE"/>
    <s v="RELATÓRIO DE DESPESAS VIAGENS"/>
    <s v="5804654"/>
  </r>
  <r>
    <s v="*** Pagamento ***"/>
    <x v="0"/>
    <d v="2024-09-27T00:00:00"/>
    <d v="2024-09-25T00:00:00"/>
    <n v="1369.79"/>
    <n v="846.94"/>
    <n v="846.94"/>
    <d v="2025-11-17T00:00:00"/>
    <n v="894.64171886420013"/>
    <n v="1211.4821512687233"/>
    <n v="218569"/>
    <s v="CLAUDIO JESUS"/>
    <s v="2.20.01.06"/>
    <x v="24"/>
    <n v="10027"/>
    <s v="0015292_COZAC_FALENCIA"/>
    <n v="44"/>
    <s v="FALENCIA E RJ_TOMBADO"/>
    <x v="268"/>
    <s v="13013697-3"/>
    <s v="SANTANDER - ENFORCE"/>
    <s v="RELATÓRIO DE DESPESAS VIAGENS"/>
    <s v="5854396"/>
  </r>
  <r>
    <s v="*** Pagamento ***"/>
    <x v="0"/>
    <d v="2024-09-27T00:00:00"/>
    <d v="2024-09-25T00:00:00"/>
    <n v="1369.79"/>
    <n v="119.360000000003"/>
    <n v="119.360000000003"/>
    <d v="2025-11-17T00:00:00"/>
    <n v="126.08264524480317"/>
    <n v="170.73524638751087"/>
    <n v="218569"/>
    <s v="CLAUDIO JESUS"/>
    <s v="2.20.01.05"/>
    <x v="33"/>
    <n v="10027"/>
    <s v="0015292_COZAC_FALENCIA"/>
    <n v="44"/>
    <s v="FALENCIA E RJ_TOMBADO"/>
    <x v="268"/>
    <s v="13013697-3"/>
    <s v="SANTANDER - ENFORCE"/>
    <s v="RELATÓRIO DE DESPESAS VIAGENS"/>
    <s v="5854396"/>
  </r>
  <r>
    <s v="*** Pagamento ***"/>
    <x v="0"/>
    <d v="2024-09-27T00:00:00"/>
    <d v="2024-09-25T00:00:00"/>
    <n v="1369.79"/>
    <n v="271.80999999999602"/>
    <n v="271.80999999999602"/>
    <d v="2025-11-17T00:00:00"/>
    <n v="287.1189996982958"/>
    <n v="388.80317795398355"/>
    <n v="218569"/>
    <s v="CLAUDIO JESUS"/>
    <s v="2.20.01.03"/>
    <x v="36"/>
    <n v="10027"/>
    <s v="0015292_COZAC_FALENCIA"/>
    <n v="44"/>
    <s v="FALENCIA E RJ_TOMBADO"/>
    <x v="268"/>
    <s v="13013697-3"/>
    <s v="SANTANDER - ENFORCE"/>
    <s v="RELATÓRIO DE DESPESAS VIAGENS"/>
    <s v="5854396"/>
  </r>
  <r>
    <s v="*** Pagamento ***"/>
    <x v="0"/>
    <d v="2024-09-27T00:00:00"/>
    <d v="2024-09-25T00:00:00"/>
    <n v="1369.79"/>
    <n v="12.999999999998"/>
    <n v="12.999999999998"/>
    <d v="2025-11-17T00:00:00"/>
    <n v="13.732191589997887"/>
    <n v="18.595494328395141"/>
    <n v="218569"/>
    <s v="CLAUDIO JESUS"/>
    <s v="2.20.01.08"/>
    <x v="30"/>
    <n v="10027"/>
    <s v="0015292_COZAC_FALENCIA"/>
    <n v="44"/>
    <s v="FALENCIA E RJ_TOMBADO"/>
    <x v="268"/>
    <s v="13013697-3"/>
    <s v="SANTANDER - ENFORCE"/>
    <s v="RELATÓRIO DE DESPESAS VIAGENS"/>
    <s v="5854396"/>
  </r>
  <r>
    <s v="*** Pagamento ***"/>
    <x v="0"/>
    <d v="2024-09-27T00:00:00"/>
    <d v="2024-09-25T00:00:00"/>
    <n v="1369.79"/>
    <n v="118.68000000000301"/>
    <n v="118.68000000000301"/>
    <d v="2025-11-17T00:00:00"/>
    <n v="125.36434599240317"/>
    <n v="169.76255899187157"/>
    <n v="218569"/>
    <s v="CLAUDIO JESUS"/>
    <s v="2.20.01.07"/>
    <x v="23"/>
    <n v="10027"/>
    <s v="0015292_COZAC_FALENCIA"/>
    <n v="44"/>
    <s v="FALENCIA E RJ_TOMBADO"/>
    <x v="268"/>
    <s v="13013697-3"/>
    <s v="SANTANDER - ENFORCE"/>
    <s v="RELATÓRIO DE DESPESAS VIAGENS"/>
    <s v="5854396"/>
  </r>
  <r>
    <s v="*** Pagamento ***"/>
    <x v="0"/>
    <d v="2024-09-27T00:00:00"/>
    <d v="2024-09-25T00:00:00"/>
    <n v="361.35"/>
    <n v="89.54"/>
    <n v="89.54"/>
    <d v="2025-11-17T00:00:00"/>
    <n v="94.583110382200005"/>
    <n v="128.08004324344284"/>
    <n v="218576"/>
    <s v="RICARDO GUIMARAES ZAMBRONE"/>
    <s v="2.20.01.05"/>
    <x v="33"/>
    <n v="10027"/>
    <s v="0015292_COZAC_FALENCIA"/>
    <n v="44"/>
    <s v="FALENCIA E RJ_TOMBADO"/>
    <x v="269"/>
    <s v="13013697-3"/>
    <s v="SANTANDER - ENFORCE"/>
    <s v="RELATÓRIO DE DESPESAS VIAGENS"/>
    <s v="5874133"/>
  </r>
  <r>
    <s v="*** Pagamento ***"/>
    <x v="0"/>
    <d v="2024-09-27T00:00:00"/>
    <d v="2024-09-25T00:00:00"/>
    <n v="361.35"/>
    <n v="271.81"/>
    <n v="271.81"/>
    <d v="2025-11-17T00:00:00"/>
    <n v="287.1189996983"/>
    <n v="388.80317795398929"/>
    <n v="218576"/>
    <s v="RICARDO GUIMARAES ZAMBRONE"/>
    <s v="2.20.01.03"/>
    <x v="36"/>
    <n v="10027"/>
    <s v="0015292_COZAC_FALENCIA"/>
    <n v="44"/>
    <s v="FALENCIA E RJ_TOMBADO"/>
    <x v="269"/>
    <s v="13013697-3"/>
    <s v="SANTANDER - ENFORCE"/>
    <s v="RELATÓRIO DE DESPESAS VIAGENS"/>
    <s v="5874133"/>
  </r>
  <r>
    <s v="*** Pagamento ***"/>
    <x v="0"/>
    <d v="2023-10-27T00:00:00"/>
    <d v="2023-09-28T00:00:00"/>
    <n v="232.58"/>
    <n v="40.200864237342998"/>
    <n v="40.862870041922001"/>
    <d v="2025-11-17T00:00:00"/>
    <n v="44.71569153304538"/>
    <n v="77.352606808180482"/>
    <n v="184519"/>
    <s v="MINISTERIO DA ECONOMIA"/>
    <s v="2.08.04"/>
    <x v="27"/>
    <n v="10027"/>
    <s v="0015292_COZAC_FALENCIA"/>
    <n v="44"/>
    <s v="FALENCIA E RJ_TOMBADO"/>
    <x v="270"/>
    <s v="13013697-3"/>
    <s v="SANTANDER - ENFORCE"/>
    <s v="GUIA PARA RECOLHIMENTO DE IMPOSTOS"/>
    <s v="1584"/>
  </r>
  <r>
    <s v="*** Pagamento ***"/>
    <x v="0"/>
    <d v="2023-02-28T00:00:00"/>
    <d v="2023-02-03T00:00:00"/>
    <n v="22234.41"/>
    <n v="731.94000000003302"/>
    <n v="731.94000000003302"/>
    <d v="2025-11-17T00:00:00"/>
    <n v="820.51050036783693"/>
    <n v="1691.9124648872623"/>
    <n v="168690"/>
    <s v="DIGESTO PESQUISA E BANCO DE DADOS LTDA"/>
    <s v="2.20.05.04"/>
    <x v="8"/>
    <n v="10027"/>
    <s v="0015292_COZAC_FALENCIA"/>
    <n v="44"/>
    <s v="FALENCIA E RJ_TOMBADO"/>
    <x v="271"/>
    <s v="13013697-3"/>
    <s v="SANTANDER - ENFORCE"/>
    <s v="NOTA FISCAL DE SERVIÇOS"/>
    <s v="20150"/>
  </r>
  <r>
    <s v="*** Pagamento ***"/>
    <x v="0"/>
    <d v="2025-03-28T00:00:00"/>
    <d v="2025-03-25T00:00:00"/>
    <n v="863.6"/>
    <n v="11.999999999999"/>
    <n v="11.999999999999"/>
    <d v="2025-11-17T00:00:00"/>
    <n v="12.256482479998978"/>
    <n v="14.535468281014111"/>
    <n v="244168"/>
    <s v="RENATO DOS SANTOS GOMES"/>
    <s v="2.20.01.08"/>
    <x v="30"/>
    <n v="10027"/>
    <s v="0015292_COZAC_FALENCIA"/>
    <n v="44"/>
    <s v="FALENCIA E RJ_TOMBADO"/>
    <x v="272"/>
    <s v="13013697-3"/>
    <s v="SANTANDER - ENFORCE"/>
    <s v="RELATÓRIO DE DESPESAS VIAGENS"/>
    <s v="7013059"/>
  </r>
  <r>
    <s v="*** Pagamento ***"/>
    <x v="0"/>
    <d v="2025-03-28T00:00:00"/>
    <d v="2025-03-25T00:00:00"/>
    <n v="863.6"/>
    <n v="120.599999999997"/>
    <n v="120.599999999997"/>
    <d v="2025-11-17T00:00:00"/>
    <n v="123.17764892399693"/>
    <n v="146.08145622420037"/>
    <n v="244168"/>
    <s v="RENATO DOS SANTOS GOMES"/>
    <s v="2.20.01.07"/>
    <x v="23"/>
    <n v="10027"/>
    <s v="0015292_COZAC_FALENCIA"/>
    <n v="44"/>
    <s v="FALENCIA E RJ_TOMBADO"/>
    <x v="272"/>
    <s v="13013697-3"/>
    <s v="SANTANDER - ENFORCE"/>
    <s v="RELATÓRIO DE DESPESAS VIAGENS"/>
    <s v="7013059"/>
  </r>
  <r>
    <s v="*** Pagamento ***"/>
    <x v="0"/>
    <d v="2025-03-28T00:00:00"/>
    <d v="2025-03-25T00:00:00"/>
    <n v="863.6"/>
    <n v="701.45"/>
    <n v="701.45"/>
    <d v="2025-11-17T00:00:00"/>
    <n v="716.44246963299997"/>
    <n v="849.65868547651655"/>
    <n v="244168"/>
    <s v="RENATO DOS SANTOS GOMES"/>
    <s v="2.20.01.06"/>
    <x v="24"/>
    <n v="10027"/>
    <s v="0015292_COZAC_FALENCIA"/>
    <n v="44"/>
    <s v="FALENCIA E RJ_TOMBADO"/>
    <x v="272"/>
    <s v="13013697-3"/>
    <s v="SANTANDER - ENFORCE"/>
    <s v="RELATÓRIO DE DESPESAS VIAGENS"/>
    <s v="7013059"/>
  </r>
  <r>
    <s v="*** Pagamento ***"/>
    <x v="0"/>
    <d v="2025-03-28T00:00:00"/>
    <d v="2025-03-25T00:00:00"/>
    <n v="863.6"/>
    <n v="29.550000000002999"/>
    <n v="29.550000000002999"/>
    <d v="2025-11-17T00:00:00"/>
    <n v="30.181588107003062"/>
    <n v="35.793590642003871"/>
    <n v="244168"/>
    <s v="RENATO DOS SANTOS GOMES"/>
    <s v="2.20.01.05"/>
    <x v="33"/>
    <n v="10027"/>
    <s v="0015292_COZAC_FALENCIA"/>
    <n v="44"/>
    <s v="FALENCIA E RJ_TOMBADO"/>
    <x v="272"/>
    <s v="13013697-3"/>
    <s v="SANTANDER - ENFORCE"/>
    <s v="RELATÓRIO DE DESPESAS VIAGENS"/>
    <s v="7013059"/>
  </r>
  <r>
    <s v="*** Pagamento ***"/>
    <x v="0"/>
    <d v="2023-04-28T00:00:00"/>
    <d v="2023-04-19T00:00:00"/>
    <n v="922.5"/>
    <n v="922.5"/>
    <n v="922.5"/>
    <d v="2025-11-17T00:00:00"/>
    <n v="1019.702265975"/>
    <n v="2014.1558949811272"/>
    <n v="172709"/>
    <s v="SAO PAULO TRIBUNAL DE JUSTIÇA"/>
    <s v="2.20.04.05"/>
    <x v="37"/>
    <n v="10027"/>
    <s v="0015292_COZAC_FALENCIA"/>
    <n v="44"/>
    <s v="FALENCIA E RJ_TOMBADO"/>
    <x v="273"/>
    <s v="13013697-3"/>
    <s v="SANTANDER - ENFORCE"/>
    <s v="GUIA PARA RECOLHIMENTO DE IMPOSTOS"/>
    <s v="81020000138222734"/>
  </r>
  <r>
    <s v="*** Pagamento ***"/>
    <x v="0"/>
    <d v="2025-05-28T00:00:00"/>
    <d v="2025-05-22T00:00:00"/>
    <n v="9359.07"/>
    <n v="368.59999999999502"/>
    <n v="368.59999999999502"/>
    <d v="2025-11-17T00:00:00"/>
    <n v="372.77882557199496"/>
    <n v="422.87045860407551"/>
    <n v="254110"/>
    <s v="APOIO JUS ADMINISTRATIVOS DE LIMEIRA LTDA"/>
    <s v="2.20.05.01"/>
    <x v="16"/>
    <n v="10027"/>
    <s v="0015292_COZAC_FALENCIA"/>
    <n v="44"/>
    <s v="FALENCIA E RJ_TOMBADO"/>
    <x v="274"/>
    <s v="13013697-3"/>
    <s v="SANTANDER - ENFORCE"/>
    <s v="NOTA DE DEBITO"/>
    <s v="185"/>
  </r>
  <r>
    <s v="*** Pagamento ***"/>
    <x v="0"/>
    <d v="2023-07-28T00:00:00"/>
    <d v="2023-07-21T00:00:00"/>
    <n v="220"/>
    <n v="220"/>
    <n v="220"/>
    <d v="2025-11-17T00:00:00"/>
    <n v="241.27233899999999"/>
    <n v="445.98975702804427"/>
    <n v="178083"/>
    <s v="FELSBERG E PEDRETTI ADVOGADOS E CONSULTORES LEGAIS"/>
    <s v="2.20.04.02"/>
    <x v="0"/>
    <n v="10027"/>
    <s v="0015292_COZAC_FALENCIA"/>
    <n v="44"/>
    <s v="FALENCIA E RJ_TOMBADO"/>
    <x v="275"/>
    <s v="13013697-3"/>
    <s v="SANTANDER - ENFORCE"/>
    <s v="NOTA DE DEBITO"/>
    <s v="172442"/>
  </r>
  <r>
    <s v="*** Pagamento ***"/>
    <x v="0"/>
    <d v="2021-09-28T00:00:00"/>
    <d v="2021-09-10T00:00:00"/>
    <n v="400"/>
    <n v="400"/>
    <n v="400"/>
    <d v="2025-11-17T00:00:00"/>
    <n v="496.217376"/>
    <n v="1492.5109917889763"/>
    <n v="116037"/>
    <s v="FELSBERG E PEDRETTI ADVOGADOS E CONSULTORES LEGAIS"/>
    <s v="2.20.04.01"/>
    <x v="19"/>
    <n v="10027"/>
    <s v="0015292_COZAC_FALENCIA"/>
    <n v="44"/>
    <s v="FALENCIA E RJ_TOMBADO"/>
    <x v="203"/>
    <s v="13013697-3"/>
    <s v="SANTANDER - ENFORCE"/>
    <s v="FATURA"/>
    <s v="158027"/>
  </r>
  <r>
    <s v="*** Pagamento ***"/>
    <x v="0"/>
    <d v="2025-10-28T00:00:00"/>
    <d v="2025-10-27T00:00:00"/>
    <n v="361.18"/>
    <n v="361.18"/>
    <n v="361.18"/>
    <d v="2025-11-17T00:00:00"/>
    <n v="361.28811562120001"/>
    <n v="366.59274186686554"/>
    <n v="277150"/>
    <s v="FELSBERG E PEDRETTI ADVOGADOS E CONSULTORES LEGAIS"/>
    <s v="2.20.04.02"/>
    <x v="0"/>
    <n v="10027"/>
    <s v="0015292_COZAC_FALENCIA"/>
    <n v="44"/>
    <s v="FALENCIA E RJ_TOMBADO"/>
    <x v="276"/>
    <s v="13013697-3"/>
    <s v="SANTANDER - ENFORCE"/>
    <s v="NOTA DE DEBITO"/>
    <s v="183118"/>
  </r>
  <r>
    <s v="*** Pagamento ***"/>
    <x v="0"/>
    <d v="2023-11-28T00:00:00"/>
    <d v="2023-10-24T00:00:00"/>
    <n v="26012.51"/>
    <n v="4535.230000000106"/>
    <n v="4535.230000000106"/>
    <d v="2025-11-17T00:00:00"/>
    <n v="4956.8945058760155"/>
    <n v="8377.1517149304673"/>
    <n v="186043"/>
    <s v="LEME INTELIGENCIA FORENSE E CONS. EMPRESARIAL LTDA"/>
    <s v="2.20.05.01"/>
    <x v="16"/>
    <n v="10027"/>
    <s v="0015292_COZAC_FALENCIA"/>
    <n v="44"/>
    <s v="FALENCIA E RJ_TOMBADO"/>
    <x v="277"/>
    <s v="13013697-3"/>
    <s v="SANTANDER - ENFORCE"/>
    <s v="NOTA DE DEBITO"/>
    <s v="13201"/>
  </r>
  <r>
    <s v="*** Pagamento ***"/>
    <x v="0"/>
    <d v="2024-11-28T00:00:00"/>
    <d v="2024-11-26T00:00:00"/>
    <n v="472.62"/>
    <n v="472.62"/>
    <n v="472.62"/>
    <d v="2025-11-17T00:00:00"/>
    <n v="493.84172975219997"/>
    <n v="639.19310499378321"/>
    <n v="226475"/>
    <s v="2 OFICIAL DE REGISTRO DE IMOVEIS DE RIBEIRAO PRETO"/>
    <s v="2.20.02.03"/>
    <x v="2"/>
    <n v="10027"/>
    <s v="0015292_COZAC_FALENCIA"/>
    <n v="44"/>
    <s v="FALENCIA E RJ_TOMBADO"/>
    <x v="278"/>
    <s v="13013697-3"/>
    <s v="SANTANDER - ENFORCE"/>
    <s v="ADIANTAMENTO"/>
    <s v="261101"/>
  </r>
  <r>
    <s v="*** Pagamento ***"/>
    <x v="1"/>
    <d v="2020-05-29T00:00:00"/>
    <d v="2020-05-29T00:00:00"/>
    <n v="20008.939999999999"/>
    <n v="20008.939999999999"/>
    <n v="24758"/>
    <d v="2025-11-17T00:00:00"/>
    <n v="34202.979183580006"/>
    <n v="146706.56255875534"/>
    <n v="89559"/>
    <s v="MINISTERIO DA PREVIDENCIA SOCIAL"/>
    <s v="2.20.04.06"/>
    <x v="32"/>
    <n v="10027"/>
    <s v="0015292_COZAC_FALENCIA"/>
    <n v="44"/>
    <s v="FALENCIA E RJ_TOMBADO"/>
    <x v="279"/>
    <s v="32183-4"/>
    <s v="BRADESCO - ENFORCE"/>
    <s v="GUIA PARA RECOLHIMENTO DE IMPOSTOS"/>
    <s v="0717201257898624-7"/>
  </r>
  <r>
    <s v="*** Pagamento ***"/>
    <x v="0"/>
    <d v="2023-05-29T00:00:00"/>
    <d v="2023-05-25T00:00:00"/>
    <n v="600"/>
    <n v="600"/>
    <n v="600"/>
    <d v="2025-11-17T00:00:00"/>
    <n v="659.72456999999997"/>
    <n v="1274.0033425273102"/>
    <n v="174427"/>
    <s v="FELSBERG E PEDRETTI ADVOGADOS E CONSULTORES LEGAIS"/>
    <s v="2.20.04.02"/>
    <x v="0"/>
    <n v="10027"/>
    <s v="0015292_COZAC_FALENCIA"/>
    <n v="44"/>
    <s v="FALENCIA E RJ_TOMBADO"/>
    <x v="280"/>
    <s v="13013697-3"/>
    <s v="SANTANDER - ENFORCE"/>
    <s v="NOTA DE DEBITO"/>
    <s v="168105"/>
  </r>
  <r>
    <s v="*** Pagamento ***"/>
    <x v="0"/>
    <d v="2025-05-29T00:00:00"/>
    <d v="2025-05-12T00:00:00"/>
    <n v="132145.79999999999"/>
    <n v="2.00000000012"/>
    <n v="2.00000000012"/>
    <d v="2025-11-17T00:00:00"/>
    <n v="2.0226740401213603"/>
    <n v="2.2927964584934371"/>
    <n v="254289"/>
    <s v="4MTI SOLUÇÕES LTDA ME"/>
    <s v="2.20.05.04"/>
    <x v="8"/>
    <n v="10027"/>
    <s v="0015292_COZAC_FALENCIA"/>
    <n v="44"/>
    <s v="FALENCIA E RJ_TOMBADO"/>
    <x v="281"/>
    <s v="13013697-3"/>
    <s v="SANTANDER - ENFORCE"/>
    <s v="NOTA FISCAL DE SERVIÇOS"/>
    <s v="73"/>
  </r>
  <r>
    <s v="*** Pagamento ***"/>
    <x v="0"/>
    <d v="2023-06-29T00:00:00"/>
    <d v="2023-06-07T00:00:00"/>
    <n v="30"/>
    <n v="30"/>
    <n v="30"/>
    <d v="2025-11-17T00:00:00"/>
    <n v="32.867888400000005"/>
    <n v="62.053734574438536"/>
    <n v="175954"/>
    <s v="FELSBERG E PEDRETTI ADVOGADOS E CONSULTORES LEGAIS"/>
    <s v="2.20.04.02"/>
    <x v="0"/>
    <n v="10027"/>
    <s v="0015292_COZAC_FALENCIA"/>
    <n v="44"/>
    <s v="FALENCIA E RJ_TOMBADO"/>
    <x v="282"/>
    <s v="13013697-3"/>
    <s v="SANTANDER - ENFORCE"/>
    <s v="NOTA DE DEBITO"/>
    <s v="171863"/>
  </r>
  <r>
    <s v="*** Pagamento ***"/>
    <x v="0"/>
    <d v="2024-10-29T00:00:00"/>
    <d v="2024-10-18T00:00:00"/>
    <n v="41700"/>
    <n v="279.99999999991201"/>
    <n v="279.99999999991201"/>
    <d v="2025-11-17T00:00:00"/>
    <n v="294.35727439990751"/>
    <n v="389.41649965544809"/>
    <n v="222529"/>
    <s v="REAVIVARE - SOLUÇÕES EM MEIO AMBIENTE LTDA EPP"/>
    <s v="2.20.02.16"/>
    <x v="15"/>
    <n v="10027"/>
    <s v="0015292_COZAC_FALENCIA"/>
    <n v="44"/>
    <s v="FALENCIA E RJ_TOMBADO"/>
    <x v="283"/>
    <s v="13013697-3"/>
    <s v="SANTANDER - ENFORCE"/>
    <s v="NOTA FISCAL DE SERVIÇOS"/>
    <s v="307"/>
  </r>
  <r>
    <s v="*** Pagamento ***"/>
    <x v="0"/>
    <d v="2022-11-29T00:00:00"/>
    <d v="2022-11-25T00:00:00"/>
    <n v="3401.7"/>
    <n v="3401.7"/>
    <n v="3401.7"/>
    <d v="2025-11-17T00:00:00"/>
    <n v="3871.9665877860002"/>
    <n v="8531.5451838050976"/>
    <n v="162287"/>
    <s v="FELSBERG E PEDRETTI ADVOGADOS E CONSULTORES LEGAIS"/>
    <s v="2.20.04.06"/>
    <x v="32"/>
    <n v="10027"/>
    <s v="0015292_COZAC_FALENCIA"/>
    <n v="44"/>
    <s v="FALENCIA E RJ_TOMBADO"/>
    <x v="284"/>
    <s v="13013697-3"/>
    <s v="SANTANDER - ENFORCE"/>
    <s v="ADIANTAMENTO"/>
    <s v="25112022"/>
  </r>
  <r>
    <s v="*** Pagamento ***"/>
    <x v="0"/>
    <d v="2022-11-29T00:00:00"/>
    <d v="2022-10-21T00:00:00"/>
    <n v="3012.7"/>
    <n v="3012.7"/>
    <n v="3012.7"/>
    <d v="2025-11-17T00:00:00"/>
    <n v="3429.1894461659999"/>
    <n v="7555.9238543227266"/>
    <n v="162163"/>
    <s v="FELSBERG E PEDRETTI ADVOGADOS E CONSULTORES LEGAIS"/>
    <s v="2.20.04.02"/>
    <x v="0"/>
    <n v="10027"/>
    <s v="0015292_COZAC_FALENCIA"/>
    <n v="44"/>
    <s v="FALENCIA E RJ_TOMBADO"/>
    <x v="285"/>
    <s v="13013697-3"/>
    <s v="SANTANDER - ENFORCE"/>
    <s v="NOTA DE DEBITO"/>
    <s v="1667112"/>
  </r>
  <r>
    <s v="*** Pagamento ***"/>
    <x v="0"/>
    <d v="2025-01-30T00:00:00"/>
    <d v="2025-01-14T00:00:00"/>
    <n v="5136.03"/>
    <n v="710.05999999999699"/>
    <n v="710.05999999999699"/>
    <d v="2025-11-17T00:00:00"/>
    <n v="735.97019590899697"/>
    <n v="909.83876606531794"/>
    <n v="234934"/>
    <s v="MULTICIDADES VIAG E TUR LTDA"/>
    <s v="2.20.01.10"/>
    <x v="35"/>
    <n v="10027"/>
    <s v="0015292_COZAC_FALENCIA"/>
    <n v="44"/>
    <s v="FALENCIA E RJ_TOMBADO"/>
    <x v="286"/>
    <s v="13013697-3"/>
    <s v="SANTANDER - ENFORCE"/>
    <s v="FATURA"/>
    <s v="FT01010421"/>
  </r>
  <r>
    <s v="*** Abatimento de Adiantamento ***"/>
    <x v="0"/>
    <d v="2025-04-30T00:00:00"/>
    <d v="2025-04-01T00:00:00"/>
    <n v="24067.09"/>
    <n v="663.47999999996705"/>
    <n v="663.47999999996705"/>
    <d v="2025-11-17T00:00:00"/>
    <n v="674.22241131476653"/>
    <n v="780.58743491844041"/>
    <n v="250893"/>
    <s v="OPERADOR NACIONAL DO SISTEMA DE REGISTRO ELETRONICO DE IMOVEIS ( ONR )"/>
    <s v="2.20.05.01"/>
    <x v="16"/>
    <n v="10027"/>
    <s v="0015292_COZAC_FALENCIA"/>
    <n v="44"/>
    <s v="FALENCIA E RJ_TOMBADO"/>
    <x v="65"/>
    <s v="REA"/>
    <s v="Reapropriação Financeira"/>
    <s v="PRESTAÇÃO DE CONTAS"/>
    <s v="ARISP -  24.067,09"/>
  </r>
  <r>
    <s v="*** Pagamento ***"/>
    <x v="0"/>
    <d v="2020-06-30T00:00:00"/>
    <d v="2020-06-30T00:00:00"/>
    <n v="735.22"/>
    <n v="12.499999999993999"/>
    <n v="12.499999999993999"/>
    <d v="2025-11-17T00:00:00"/>
    <n v="17.31194012499169"/>
    <n v="72.54425895285425"/>
    <n v="90782"/>
    <s v="BANCO SANTANDER (BRASIL) S.A"/>
    <s v="2.03.01"/>
    <x v="38"/>
    <n v="10027"/>
    <s v="0015292_COZAC_FALENCIA"/>
    <n v="44"/>
    <s v="FALENCIA E RJ_TOMBADO"/>
    <x v="287"/>
    <s v="GERENCIAL"/>
    <s v="DESPESAS BANCARIAS (REEMBOLSAVEIS)"/>
    <s v="AVISO DE LANÇAMENTO"/>
    <s v="Tarifas 06/2020"/>
  </r>
  <r>
    <s v="*** Pagamento ***"/>
    <x v="0"/>
    <d v="2023-08-30T00:00:00"/>
    <d v="2023-07-04T00:00:00"/>
    <n v="84689.3"/>
    <n v="6.9200000001679998"/>
    <n v="6.9200000001679998"/>
    <d v="2025-11-17T00:00:00"/>
    <n v="7.5959506517844098"/>
    <n v="13.707387092873095"/>
    <n v="178286"/>
    <s v="4MTI SOLUÇÕES LTDA ME"/>
    <s v="2.20.05.04"/>
    <x v="8"/>
    <n v="10027"/>
    <s v="0015292_COZAC_FALENCIA"/>
    <n v="44"/>
    <s v="FALENCIA E RJ_TOMBADO"/>
    <x v="288"/>
    <s v="13013697-3"/>
    <s v="SANTANDER - ENFORCE"/>
    <s v="NOTA FISCAL DE SERVIÇOS"/>
    <s v="2023/131"/>
  </r>
  <r>
    <s v="*** Abatimento de Adiantamento ***"/>
    <x v="0"/>
    <d v="2025-09-30T00:00:00"/>
    <d v="2025-09-01T00:00:00"/>
    <n v="70852.399999999994"/>
    <n v="510.35999999972501"/>
    <n v="510.35999999972501"/>
    <d v="2025-11-17T00:00:00"/>
    <n v="513.16765877852345"/>
    <n v="531.4369232793947"/>
    <n v="273532"/>
    <s v="OPERADOR NACIONAL DO SISTEMA DE REGISTRO ELETRONICO DE IMOVEIS ( ONR )"/>
    <s v="2.20.05.01"/>
    <x v="16"/>
    <n v="10027"/>
    <s v="0015292_COZAC_FALENCIA"/>
    <n v="44"/>
    <s v="FALENCIA E RJ_TOMBADO"/>
    <x v="289"/>
    <s v="REA"/>
    <s v="Reapropriação Financeira"/>
    <s v="PRESTAÇÃO DE CONTAS"/>
    <s v="ARISP - 70.852,40"/>
  </r>
  <r>
    <s v="*** Pagamento ***"/>
    <x v="0"/>
    <d v="2022-11-30T00:00:00"/>
    <d v="2022-11-29T00:00:00"/>
    <n v="18510.71"/>
    <n v="18510.71"/>
    <n v="18510.71"/>
    <d v="2025-11-17T00:00:00"/>
    <n v="21069.715329451799"/>
    <n v="46391.482672656995"/>
    <n v="162400"/>
    <s v="PREFEITURA MUNICIPAL DE RIBEIRÃO PRETO"/>
    <s v="2.20.03.02"/>
    <x v="25"/>
    <n v="10027"/>
    <s v="0015292_COZAC_FALENCIA"/>
    <n v="44"/>
    <s v="FALENCIA E RJ_TOMBADO"/>
    <x v="290"/>
    <s v="13013697-3"/>
    <s v="SANTANDER - ENFORCE"/>
    <s v="BOLETO"/>
    <s v="202090009061"/>
  </r>
  <r>
    <s v="*** Pagamento ***"/>
    <x v="0"/>
    <d v="2022-11-30T00:00:00"/>
    <d v="2022-11-29T00:00:00"/>
    <n v="19018.57"/>
    <n v="19018.57"/>
    <n v="19018.57"/>
    <d v="2025-11-17T00:00:00"/>
    <n v="21647.784221850601"/>
    <n v="47664.279793358233"/>
    <n v="162410"/>
    <s v="PREFEITURA MUNICIPAL DE RIBEIRÃO PRETO"/>
    <s v="2.20.03.02"/>
    <x v="25"/>
    <n v="10027"/>
    <s v="0015292_COZAC_FALENCIA"/>
    <n v="44"/>
    <s v="FALENCIA E RJ_TOMBADO"/>
    <x v="291"/>
    <s v="13013697-3"/>
    <s v="SANTANDER - ENFORCE"/>
    <s v="BOLETO"/>
    <s v="202190009093"/>
  </r>
  <r>
    <s v="*** Pagamento ***"/>
    <x v="0"/>
    <d v="2020-01-31T00:00:00"/>
    <d v="2020-01-31T00:00:00"/>
    <n v="747.14"/>
    <n v="119.539999999998"/>
    <n v="119.539999999998"/>
    <d v="2025-11-17T00:00:00"/>
    <n v="165.65506055839725"/>
    <n v="774.91652275396291"/>
    <n v="85252"/>
    <s v="BANCO SANTANDER (BRASIL) S.A"/>
    <s v="2.03.01"/>
    <x v="38"/>
    <n v="10027"/>
    <s v="0015292_COZAC_FALENCIA"/>
    <n v="44"/>
    <s v="FALENCIA E RJ_TOMBADO"/>
    <x v="292"/>
    <s v="GERENCIAL"/>
    <s v="DESPESAS BANCARIAS (REEMBOLSAVEIS)"/>
    <s v="AVISO DE LANÇAMENTO"/>
    <s v="Tarifas 01/2020"/>
  </r>
  <r>
    <s v="*** Abatimento de Adiantamento ***"/>
    <x v="0"/>
    <d v="2025-01-31T00:00:00"/>
    <d v="2025-01-01T00:00:00"/>
    <n v="5277.52"/>
    <n v="3856.9699999999812"/>
    <n v="3856.9699999999812"/>
    <d v="2025-11-17T00:00:00"/>
    <n v="3997.7114138454808"/>
    <n v="4938.5464235896816"/>
    <n v="235492"/>
    <s v="OPERADOR NACIONAL DO SISTEMA DE REGISTRO ELETRONICO DE IMOVEIS ( ONR )"/>
    <s v="2.20.05.01"/>
    <x v="16"/>
    <n v="10027"/>
    <s v="0015292_COZAC_FALENCIA"/>
    <n v="44"/>
    <s v="FALENCIA E RJ_TOMBADO"/>
    <x v="293"/>
    <s v="REA"/>
    <s v="Reapropriação Financeira"/>
    <s v="PRESTAÇÃO DE CONTAS"/>
    <s v="31012025 RJ E FALENC"/>
  </r>
  <r>
    <s v="*** Pagamento ***"/>
    <x v="0"/>
    <d v="2023-03-31T00:00:00"/>
    <d v="2023-03-10T00:00:00"/>
    <n v="99.6"/>
    <n v="99.6"/>
    <n v="99.6"/>
    <d v="2025-11-17T00:00:00"/>
    <n v="110.79930985199999"/>
    <n v="223.36700105513148"/>
    <n v="170983"/>
    <s v="FELSBERG E PEDRETTI ADVOGADOS E CONSULTORES LEGAIS"/>
    <s v="2.20.04.02"/>
    <x v="0"/>
    <n v="10027"/>
    <s v="0015292_COZAC_FALENCIA"/>
    <n v="44"/>
    <s v="FALENCIA E RJ_TOMBADO"/>
    <x v="294"/>
    <s v="13013697-3"/>
    <s v="SANTANDER - ENFORCE"/>
    <s v="NOTA DE DEBITO"/>
    <s v="170498"/>
  </r>
  <r>
    <s v="*** Pagamento ***"/>
    <x v="0"/>
    <d v="2023-03-31T00:00:00"/>
    <d v="2023-03-23T00:00:00"/>
    <n v="4750"/>
    <n v="100.000000000013"/>
    <n v="100.000000000013"/>
    <d v="2025-11-17T00:00:00"/>
    <n v="111.24428700001447"/>
    <n v="224.26405728429773"/>
    <n v="171006"/>
    <s v="APOIO JUS ADMINISTRATIVOS DE LIMEIRA LTDA"/>
    <s v="2.20.02.11"/>
    <x v="3"/>
    <n v="10027"/>
    <s v="0015292_COZAC_FALENCIA"/>
    <n v="44"/>
    <s v="FALENCIA E RJ_TOMBADO"/>
    <x v="295"/>
    <s v="13013697-3"/>
    <s v="SANTANDER - ENFORCE"/>
    <s v="NOTA FISCAL DE SERVIÇOS"/>
    <s v="02580"/>
  </r>
  <r>
    <s v="*** Abatimento de Adiantamento ***"/>
    <x v="0"/>
    <d v="2025-10-31T00:00:00"/>
    <d v="2025-10-01T00:00:00"/>
    <n v="78066.42"/>
    <n v="379.83999999982302"/>
    <n v="379.83999999982302"/>
    <d v="2025-11-17T00:00:00"/>
    <n v="379.95370130542295"/>
    <n v="384.69039049450777"/>
    <n v="277917"/>
    <s v="OPERADOR NACIONAL DO SISTEMA DE REGISTRO ELETRONICO DE IMOVEIS ( ONR )"/>
    <s v="2.20.05.01"/>
    <x v="16"/>
    <n v="10027"/>
    <s v="0015292_COZAC_FALENCIA"/>
    <n v="44"/>
    <s v="FALENCIA E RJ_TOMBADO"/>
    <x v="296"/>
    <s v="REA"/>
    <s v="Reapropriação Financeira"/>
    <s v="PRESTAÇÃO DE CONTAS"/>
    <s v="ARISP - 80.274,6"/>
  </r>
  <r>
    <s v="*** Pagamento ***"/>
    <x v="0"/>
    <d v="2019-12-31T00:00:00"/>
    <d v="2019-12-31T00:00:00"/>
    <n v="652.46"/>
    <n v="267.50000000000102"/>
    <n v="267.50000000000102"/>
    <d v="2025-11-17T00:00:00"/>
    <n v="375.21642652500145"/>
    <n v="1795.3281690822714"/>
    <n v="83732"/>
    <s v="BANCO SANTANDER (BRASIL) S.A"/>
    <s v="2.03.01"/>
    <x v="38"/>
    <n v="10027"/>
    <s v="0015292_COZAC_FALENCIA"/>
    <n v="44"/>
    <s v="FALENCIA E RJ_TOMBADO"/>
    <x v="297"/>
    <s v="GERENCIAL"/>
    <s v="DESPESAS BANCARIAS (REEMBOLSAVEIS)"/>
    <s v="AVISO DE LANÇAMENTO"/>
    <s v="Tarifas 12/2019"/>
  </r>
  <r>
    <s v="*** Pagamento ***"/>
    <x v="0"/>
    <d v="2024-08-05T00:00:00"/>
    <d v="2024-07-30T00:00:00"/>
    <n v="250000"/>
    <n v="250000"/>
    <n v="250000"/>
    <d v="2025-11-17T00:00:00"/>
    <n v="263711.02"/>
    <n v="371168.52911173378"/>
    <n v="203921"/>
    <s v="DANIEL CARNIO ADVOGADOS"/>
    <s v="2.20.04.01"/>
    <x v="19"/>
    <n v="18799"/>
    <s v="0015292_COZAC_FALENCIA"/>
    <n v="243"/>
    <s v="FALENCIA E RJ_TOMBADO"/>
    <x v="298"/>
    <s v="DIRETAS"/>
    <s v="DIRETAS"/>
    <s v="NOTA FISCAL DE SERVIÇOS"/>
    <s v="38"/>
  </r>
  <r>
    <s v="*** Pagamento ***"/>
    <x v="0"/>
    <d v="2025-09-05T00:00:00"/>
    <d v="2025-08-21T00:00:00"/>
    <n v="917578.64"/>
    <n v="917578.64"/>
    <n v="917578.64"/>
    <d v="2025-11-17T00:00:00"/>
    <n v="922626.54289959115"/>
    <n v="973040.96485618071"/>
    <n v="267952"/>
    <s v="FELSBERG E PEDRETTI ADVOGADOS E CONSULTORES LEGAIS"/>
    <s v="2.20.04.14"/>
    <x v="39"/>
    <n v="18799"/>
    <s v="0015292_COZAC_FALENCIA"/>
    <n v="243"/>
    <s v="FALENCIA E RJ_TOMBADO"/>
    <x v="299"/>
    <s v="DIRETAS"/>
    <s v="DIRETAS"/>
    <s v="NOTA FISCAL DE SERVIÇOS"/>
    <s v="472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4B3F7B-6176-4C5A-BACC-07F1582E64AC}" name="Tabela dinâmica2"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G3:H26" firstHeaderRow="1" firstDataRow="1" firstDataCol="1"/>
  <pivotFields count="22">
    <pivotField showAll="0"/>
    <pivotField numFmtId="166" showAll="0"/>
    <pivotField numFmtId="166" showAll="0"/>
    <pivotField numFmtId="167" showAll="0"/>
    <pivotField numFmtId="167" showAll="0"/>
    <pivotField dataField="1" numFmtId="167" showAll="0"/>
    <pivotField numFmtId="15" showAll="0"/>
    <pivotField numFmtId="4" showAll="0"/>
    <pivotField numFmtId="4" showAll="0"/>
    <pivotField showAll="0"/>
    <pivotField showAll="0">
      <items count="22">
        <item x="13"/>
        <item x="12"/>
        <item x="6"/>
        <item x="19"/>
        <item x="2"/>
        <item x="1"/>
        <item x="16"/>
        <item x="17"/>
        <item x="4"/>
        <item x="9"/>
        <item x="8"/>
        <item x="15"/>
        <item x="10"/>
        <item x="0"/>
        <item x="18"/>
        <item x="3"/>
        <item x="20"/>
        <item x="14"/>
        <item x="7"/>
        <item x="11"/>
        <item x="5"/>
        <item t="default"/>
      </items>
    </pivotField>
    <pivotField showAll="0"/>
    <pivotField axis="axisRow" showAll="0" sortType="descending">
      <items count="23">
        <item sd="0" x="7"/>
        <item sd="0" x="18"/>
        <item sd="0" x="15"/>
        <item sd="0" x="13"/>
        <item sd="0" x="11"/>
        <item sd="0" x="14"/>
        <item sd="0" x="6"/>
        <item sd="0" x="21"/>
        <item sd="0" x="17"/>
        <item sd="0" x="1"/>
        <item sd="0" x="8"/>
        <item sd="0" x="16"/>
        <item sd="0" x="2"/>
        <item sd="0" x="12"/>
        <item sd="0" x="5"/>
        <item sd="0" x="4"/>
        <item sd="0" x="20"/>
        <item sd="0" x="0"/>
        <item sd="0" x="10"/>
        <item sd="0" x="9"/>
        <item sd="0" x="3"/>
        <item sd="0" x="19"/>
        <item t="default" sd="0"/>
      </items>
      <autoSortScope>
        <pivotArea dataOnly="0" outline="0" fieldPosition="0">
          <references count="1">
            <reference field="4294967294" count="1" selected="0">
              <x v="0"/>
            </reference>
          </references>
        </pivotArea>
      </autoSortScope>
    </pivotField>
    <pivotField showAll="0"/>
    <pivotField showAll="0">
      <items count="43">
        <item x="9"/>
        <item x="40"/>
        <item x="1"/>
        <item x="34"/>
        <item x="14"/>
        <item x="16"/>
        <item x="3"/>
        <item x="5"/>
        <item x="36"/>
        <item x="31"/>
        <item x="37"/>
        <item x="18"/>
        <item x="35"/>
        <item x="39"/>
        <item x="25"/>
        <item x="11"/>
        <item x="38"/>
        <item x="17"/>
        <item x="32"/>
        <item x="15"/>
        <item x="21"/>
        <item x="12"/>
        <item x="6"/>
        <item x="27"/>
        <item x="24"/>
        <item x="28"/>
        <item x="20"/>
        <item x="26"/>
        <item x="22"/>
        <item x="41"/>
        <item x="19"/>
        <item x="0"/>
        <item x="23"/>
        <item x="10"/>
        <item x="30"/>
        <item x="7"/>
        <item x="4"/>
        <item x="8"/>
        <item x="29"/>
        <item x="13"/>
        <item x="33"/>
        <item x="2"/>
        <item t="default"/>
      </items>
    </pivotField>
    <pivotField showAll="0"/>
    <pivotField showAll="0"/>
    <pivotField axis="axisRow" showAll="0">
      <items count="154">
        <item x="26"/>
        <item x="24"/>
        <item x="99"/>
        <item x="53"/>
        <item x="98"/>
        <item x="36"/>
        <item x="2"/>
        <item x="4"/>
        <item x="63"/>
        <item x="5"/>
        <item x="1"/>
        <item x="61"/>
        <item x="3"/>
        <item x="62"/>
        <item x="7"/>
        <item x="75"/>
        <item x="54"/>
        <item x="15"/>
        <item x="60"/>
        <item x="59"/>
        <item x="6"/>
        <item x="79"/>
        <item x="150"/>
        <item x="64"/>
        <item x="71"/>
        <item x="76"/>
        <item x="67"/>
        <item x="73"/>
        <item x="70"/>
        <item x="74"/>
        <item x="66"/>
        <item x="72"/>
        <item x="68"/>
        <item x="65"/>
        <item x="8"/>
        <item x="69"/>
        <item x="78"/>
        <item x="77"/>
        <item x="114"/>
        <item x="110"/>
        <item x="116"/>
        <item x="109"/>
        <item x="95"/>
        <item x="94"/>
        <item x="122"/>
        <item x="39"/>
        <item x="35"/>
        <item x="121"/>
        <item x="124"/>
        <item x="41"/>
        <item x="38"/>
        <item x="34"/>
        <item x="37"/>
        <item x="100"/>
        <item x="103"/>
        <item x="101"/>
        <item x="105"/>
        <item x="102"/>
        <item x="43"/>
        <item x="19"/>
        <item x="44"/>
        <item x="96"/>
        <item x="127"/>
        <item x="45"/>
        <item x="46"/>
        <item x="18"/>
        <item x="125"/>
        <item x="126"/>
        <item x="10"/>
        <item x="81"/>
        <item x="11"/>
        <item x="12"/>
        <item x="9"/>
        <item x="82"/>
        <item x="42"/>
        <item x="123"/>
        <item x="28"/>
        <item x="29"/>
        <item x="104"/>
        <item x="106"/>
        <item x="115"/>
        <item x="111"/>
        <item x="113"/>
        <item x="112"/>
        <item x="108"/>
        <item x="120"/>
        <item x="119"/>
        <item x="151"/>
        <item x="97"/>
        <item x="21"/>
        <item x="20"/>
        <item x="93"/>
        <item x="48"/>
        <item x="141"/>
        <item x="132"/>
        <item x="136"/>
        <item x="52"/>
        <item x="152"/>
        <item x="142"/>
        <item x="50"/>
        <item x="131"/>
        <item x="143"/>
        <item x="134"/>
        <item x="144"/>
        <item x="139"/>
        <item x="146"/>
        <item x="149"/>
        <item x="49"/>
        <item x="148"/>
        <item x="133"/>
        <item x="137"/>
        <item x="135"/>
        <item x="140"/>
        <item x="147"/>
        <item x="138"/>
        <item x="145"/>
        <item x="92"/>
        <item x="51"/>
        <item x="107"/>
        <item x="0"/>
        <item x="87"/>
        <item x="129"/>
        <item x="128"/>
        <item x="118"/>
        <item x="83"/>
        <item x="55"/>
        <item x="13"/>
        <item x="90"/>
        <item x="25"/>
        <item x="47"/>
        <item x="57"/>
        <item x="88"/>
        <item x="16"/>
        <item x="86"/>
        <item x="23"/>
        <item x="31"/>
        <item x="33"/>
        <item x="80"/>
        <item x="56"/>
        <item x="40"/>
        <item x="32"/>
        <item x="27"/>
        <item x="130"/>
        <item x="14"/>
        <item x="17"/>
        <item x="91"/>
        <item x="89"/>
        <item x="85"/>
        <item x="84"/>
        <item x="30"/>
        <item x="117"/>
        <item x="22"/>
        <item x="58"/>
        <item t="default"/>
      </items>
    </pivotField>
    <pivotField showAll="0"/>
    <pivotField showAll="0"/>
    <pivotField showAll="0"/>
    <pivotField showAll="0"/>
  </pivotFields>
  <rowFields count="2">
    <field x="12"/>
    <field x="17"/>
  </rowFields>
  <rowItems count="23">
    <i>
      <x v="11"/>
    </i>
    <i>
      <x v="14"/>
    </i>
    <i>
      <x v="20"/>
    </i>
    <i>
      <x v="12"/>
    </i>
    <i>
      <x v="5"/>
    </i>
    <i>
      <x v="1"/>
    </i>
    <i>
      <x v="8"/>
    </i>
    <i>
      <x v="15"/>
    </i>
    <i>
      <x v="16"/>
    </i>
    <i>
      <x v="21"/>
    </i>
    <i>
      <x v="2"/>
    </i>
    <i>
      <x v="4"/>
    </i>
    <i>
      <x v="19"/>
    </i>
    <i>
      <x v="17"/>
    </i>
    <i>
      <x v="9"/>
    </i>
    <i>
      <x v="10"/>
    </i>
    <i>
      <x v="7"/>
    </i>
    <i>
      <x v="18"/>
    </i>
    <i>
      <x v="3"/>
    </i>
    <i>
      <x v="6"/>
    </i>
    <i>
      <x/>
    </i>
    <i>
      <x v="13"/>
    </i>
    <i t="grand">
      <x/>
    </i>
  </rowItems>
  <colItems count="1">
    <i/>
  </colItems>
  <dataFields count="1">
    <dataField name="Soma de Líquido" fld="5"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F30702-F673-4777-863C-204199ADF2DF}" name="Tabela dinâmica1"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D45" firstHeaderRow="1" firstDataRow="2" firstDataCol="1"/>
  <pivotFields count="23">
    <pivotField showAll="0"/>
    <pivotField axis="axisCol" showAll="0">
      <items count="3">
        <item x="0"/>
        <item x="1"/>
        <item t="default"/>
      </items>
    </pivotField>
    <pivotField numFmtId="166" showAll="0"/>
    <pivotField numFmtId="166" showAll="0"/>
    <pivotField numFmtId="167" showAll="0"/>
    <pivotField numFmtId="167" showAll="0"/>
    <pivotField dataField="1" numFmtId="167" showAll="0"/>
    <pivotField numFmtId="15" showAll="0"/>
    <pivotField numFmtId="167" showAll="0"/>
    <pivotField numFmtId="167" showAll="0"/>
    <pivotField showAll="0"/>
    <pivotField showAll="0"/>
    <pivotField showAll="0"/>
    <pivotField axis="axisRow" showAll="0" sortType="descending">
      <items count="41">
        <item sd="0" x="33"/>
        <item sd="0" x="35"/>
        <item sd="0" x="6"/>
        <item sd="0" x="15"/>
        <item sd="0" x="34"/>
        <item sd="0" x="26"/>
        <item sd="0" x="1"/>
        <item sd="0" x="10"/>
        <item sd="0" x="9"/>
        <item sd="0" x="38"/>
        <item sd="0" x="30"/>
        <item sd="0" x="19"/>
        <item sd="0" x="39"/>
        <item sd="0" x="36"/>
        <item sd="0" x="29"/>
        <item sd="0" x="21"/>
        <item sd="0" x="25"/>
        <item sd="0" x="27"/>
        <item sd="0" x="17"/>
        <item sd="0" x="20"/>
        <item sd="0" x="12"/>
        <item sd="0" x="16"/>
        <item sd="0" x="3"/>
        <item sd="0" x="31"/>
        <item sd="0" x="22"/>
        <item sd="0" x="11"/>
        <item sd="0" x="18"/>
        <item sd="0" x="32"/>
        <item sd="0" x="4"/>
        <item sd="0" x="23"/>
        <item sd="0" x="37"/>
        <item sd="0" x="13"/>
        <item sd="0" x="14"/>
        <item sd="0" x="5"/>
        <item sd="0" x="24"/>
        <item sd="0" x="28"/>
        <item sd="0" x="0"/>
        <item sd="0" x="2"/>
        <item sd="0" x="8"/>
        <item sd="0" x="7"/>
        <item t="default" sd="0"/>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items count="301">
        <item x="156"/>
        <item x="34"/>
        <item x="37"/>
        <item x="296"/>
        <item x="10"/>
        <item x="281"/>
        <item x="264"/>
        <item x="84"/>
        <item x="146"/>
        <item x="39"/>
        <item x="180"/>
        <item x="90"/>
        <item x="89"/>
        <item x="144"/>
        <item x="30"/>
        <item x="93"/>
        <item x="221"/>
        <item x="235"/>
        <item x="63"/>
        <item x="64"/>
        <item x="74"/>
        <item x="242"/>
        <item x="87"/>
        <item x="50"/>
        <item x="27"/>
        <item x="29"/>
        <item x="47"/>
        <item x="186"/>
        <item x="7"/>
        <item x="3"/>
        <item x="83"/>
        <item x="79"/>
        <item x="80"/>
        <item x="62"/>
        <item x="71"/>
        <item x="72"/>
        <item x="70"/>
        <item x="68"/>
        <item x="76"/>
        <item x="18"/>
        <item x="133"/>
        <item x="13"/>
        <item x="200"/>
        <item x="88"/>
        <item x="148"/>
        <item x="2"/>
        <item x="237"/>
        <item x="288"/>
        <item x="53"/>
        <item x="218"/>
        <item x="251"/>
        <item x="271"/>
        <item x="162"/>
        <item x="22"/>
        <item x="100"/>
        <item x="145"/>
        <item x="132"/>
        <item x="222"/>
        <item x="194"/>
        <item x="183"/>
        <item x="166"/>
        <item x="182"/>
        <item x="82"/>
        <item x="75"/>
        <item x="40"/>
        <item x="51"/>
        <item x="58"/>
        <item x="81"/>
        <item x="258"/>
        <item x="259"/>
        <item x="257"/>
        <item x="261"/>
        <item x="260"/>
        <item x="203"/>
        <item x="298"/>
        <item x="155"/>
        <item x="134"/>
        <item x="153"/>
        <item x="135"/>
        <item x="240"/>
        <item x="223"/>
        <item x="239"/>
        <item x="152"/>
        <item x="143"/>
        <item x="6"/>
        <item x="19"/>
        <item x="92"/>
        <item x="38"/>
        <item x="48"/>
        <item x="46"/>
        <item x="24"/>
        <item x="11"/>
        <item x="147"/>
        <item x="91"/>
        <item x="85"/>
        <item x="273"/>
        <item x="131"/>
        <item x="98"/>
        <item x="299"/>
        <item x="69"/>
        <item x="250"/>
        <item x="249"/>
        <item x="170"/>
        <item x="169"/>
        <item x="290"/>
        <item x="291"/>
        <item x="94"/>
        <item x="95"/>
        <item x="96"/>
        <item x="97"/>
        <item x="157"/>
        <item x="140"/>
        <item x="142"/>
        <item x="137"/>
        <item x="139"/>
        <item x="15"/>
        <item x="255"/>
        <item x="245"/>
        <item x="26"/>
        <item x="151"/>
        <item x="213"/>
        <item x="65"/>
        <item x="265"/>
        <item x="289"/>
        <item x="212"/>
        <item x="25"/>
        <item x="41"/>
        <item x="284"/>
        <item x="126"/>
        <item x="107"/>
        <item x="122"/>
        <item x="112"/>
        <item x="108"/>
        <item x="117"/>
        <item x="124"/>
        <item x="125"/>
        <item x="106"/>
        <item x="159"/>
        <item x="118"/>
        <item x="103"/>
        <item x="104"/>
        <item x="109"/>
        <item x="110"/>
        <item x="119"/>
        <item x="115"/>
        <item x="105"/>
        <item x="102"/>
        <item x="116"/>
        <item x="101"/>
        <item x="113"/>
        <item x="114"/>
        <item x="111"/>
        <item x="121"/>
        <item x="123"/>
        <item x="120"/>
        <item x="173"/>
        <item x="176"/>
        <item x="174"/>
        <item x="227"/>
        <item x="160"/>
        <item x="172"/>
        <item x="175"/>
        <item x="33"/>
        <item x="16"/>
        <item x="31"/>
        <item x="44"/>
        <item x="28"/>
        <item x="130"/>
        <item x="297"/>
        <item x="42"/>
        <item x="184"/>
        <item x="278"/>
        <item x="60"/>
        <item x="286"/>
        <item x="228"/>
        <item x="77"/>
        <item x="269"/>
        <item x="268"/>
        <item x="267"/>
        <item x="78"/>
        <item x="283"/>
        <item x="177"/>
        <item x="178"/>
        <item x="179"/>
        <item x="246"/>
        <item x="272"/>
        <item x="66"/>
        <item x="128"/>
        <item x="86"/>
        <item x="199"/>
        <item x="214"/>
        <item x="248"/>
        <item x="247"/>
        <item x="263"/>
        <item x="220"/>
        <item x="274"/>
        <item x="14"/>
        <item x="54"/>
        <item x="17"/>
        <item x="32"/>
        <item x="59"/>
        <item x="129"/>
        <item x="244"/>
        <item x="165"/>
        <item x="127"/>
        <item x="293"/>
        <item x="185"/>
        <item x="256"/>
        <item x="224"/>
        <item x="262"/>
        <item x="67"/>
        <item x="35"/>
        <item x="36"/>
        <item x="99"/>
        <item x="8"/>
        <item x="4"/>
        <item x="266"/>
        <item x="12"/>
        <item x="188"/>
        <item x="23"/>
        <item x="0"/>
        <item x="280"/>
        <item x="164"/>
        <item x="215"/>
        <item x="276"/>
        <item x="252"/>
        <item x="154"/>
        <item x="163"/>
        <item x="189"/>
        <item x="20"/>
        <item x="243"/>
        <item x="21"/>
        <item x="285"/>
        <item x="294"/>
        <item x="230"/>
        <item x="233"/>
        <item x="231"/>
        <item x="1"/>
        <item x="232"/>
        <item x="229"/>
        <item x="282"/>
        <item x="275"/>
        <item x="236"/>
        <item x="238"/>
        <item x="254"/>
        <item x="253"/>
        <item x="225"/>
        <item x="49"/>
        <item x="277"/>
        <item x="219"/>
        <item x="217"/>
        <item x="216"/>
        <item x="43"/>
        <item x="226"/>
        <item x="56"/>
        <item x="55"/>
        <item x="57"/>
        <item x="5"/>
        <item x="9"/>
        <item x="149"/>
        <item x="201"/>
        <item x="192"/>
        <item x="208"/>
        <item x="209"/>
        <item x="197"/>
        <item x="158"/>
        <item x="206"/>
        <item x="191"/>
        <item x="167"/>
        <item x="161"/>
        <item x="211"/>
        <item x="195"/>
        <item x="150"/>
        <item x="202"/>
        <item x="190"/>
        <item x="205"/>
        <item x="204"/>
        <item x="196"/>
        <item x="270"/>
        <item x="207"/>
        <item x="193"/>
        <item x="168"/>
        <item x="187"/>
        <item x="210"/>
        <item x="198"/>
        <item x="61"/>
        <item x="73"/>
        <item x="279"/>
        <item x="136"/>
        <item x="181"/>
        <item x="138"/>
        <item x="141"/>
        <item x="171"/>
        <item x="234"/>
        <item x="292"/>
        <item x="287"/>
        <item x="52"/>
        <item x="295"/>
        <item x="45"/>
        <item x="241"/>
        <item t="default"/>
      </items>
    </pivotField>
    <pivotField showAll="0"/>
    <pivotField showAll="0"/>
    <pivotField showAll="0"/>
    <pivotField showAll="0"/>
  </pivotFields>
  <rowFields count="2">
    <field x="13"/>
    <field x="18"/>
  </rowFields>
  <rowItems count="41">
    <i>
      <x v="16"/>
    </i>
    <i>
      <x v="24"/>
    </i>
    <i>
      <x v="12"/>
    </i>
    <i>
      <x v="11"/>
    </i>
    <i>
      <x v="31"/>
    </i>
    <i>
      <x v="27"/>
    </i>
    <i>
      <x v="36"/>
    </i>
    <i>
      <x v="21"/>
    </i>
    <i>
      <x v="8"/>
    </i>
    <i>
      <x v="15"/>
    </i>
    <i>
      <x v="7"/>
    </i>
    <i>
      <x v="3"/>
    </i>
    <i>
      <x v="33"/>
    </i>
    <i>
      <x v="22"/>
    </i>
    <i>
      <x v="34"/>
    </i>
    <i>
      <x v="20"/>
    </i>
    <i>
      <x v="6"/>
    </i>
    <i>
      <x v="26"/>
    </i>
    <i>
      <x v="5"/>
    </i>
    <i>
      <x v="1"/>
    </i>
    <i>
      <x v="2"/>
    </i>
    <i>
      <x v="18"/>
    </i>
    <i>
      <x v="19"/>
    </i>
    <i>
      <x v="30"/>
    </i>
    <i>
      <x v="38"/>
    </i>
    <i>
      <x v="35"/>
    </i>
    <i>
      <x v="39"/>
    </i>
    <i>
      <x v="37"/>
    </i>
    <i>
      <x v="14"/>
    </i>
    <i>
      <x v="17"/>
    </i>
    <i>
      <x v="13"/>
    </i>
    <i>
      <x v="23"/>
    </i>
    <i>
      <x v="29"/>
    </i>
    <i>
      <x v="25"/>
    </i>
    <i>
      <x v="9"/>
    </i>
    <i>
      <x/>
    </i>
    <i>
      <x v="28"/>
    </i>
    <i>
      <x v="4"/>
    </i>
    <i>
      <x v="32"/>
    </i>
    <i>
      <x v="10"/>
    </i>
    <i t="grand">
      <x/>
    </i>
  </rowItems>
  <colFields count="1">
    <field x="1"/>
  </colFields>
  <colItems count="3">
    <i>
      <x/>
    </i>
    <i>
      <x v="1"/>
    </i>
    <i t="grand">
      <x/>
    </i>
  </colItems>
  <dataFields count="1">
    <dataField name="Soma de Líquido" fld="6"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8FA572-B138-4F0F-8E32-048529DC6A98}" name="Table1" displayName="Table1" ref="A3:I185">
  <autoFilter ref="A3:I185" xr:uid="{00000000-0009-0000-0100-000001000000}"/>
  <tableColumns count="9">
    <tableColumn id="1" xr3:uid="{4C61523B-6D35-46F6-9FF7-DAE4D529F44A}" name="Micro-Grupo"/>
    <tableColumn id="2" xr3:uid="{F5216CC1-A631-468B-A5F6-16639892868F}" name="Despesas" dataDxfId="4"/>
    <tableColumn id="3" xr3:uid="{85A2CC57-97EF-4F90-B1F5-E183CDFFAE30}" name="Date - Ano"/>
    <tableColumn id="4" xr3:uid="{5F0639EE-B9E6-4BD1-9634-497C891F5567}" name="Date - Mês"/>
    <tableColumn id="5" xr3:uid="{1C911CBE-57D8-4E65-8EAC-38E414182438}" name="vl" dataDxfId="3">
      <calculatedColumnFormula>Table1[[#This Row],[Despesas]]*1000</calculatedColumnFormula>
    </tableColumn>
    <tableColumn id="6" xr3:uid="{3AFDD52C-92AB-4DF8-84DF-6905FFEBED47}" name="Coluna2" dataDxfId="2"/>
    <tableColumn id="7" xr3:uid="{DF9A8BB5-5A32-4395-9D02-23C3CEDC78C1}" name="Coluna3">
      <calculatedColumnFormula>$G$2</calculatedColumnFormula>
    </tableColumn>
    <tableColumn id="8" xr3:uid="{44DF6C75-DA6D-4CD5-80EF-8AFF37A45C8A}" name="vl at inpc" dataDxfId="1">
      <calculatedColumnFormula array="1">[15]!CalculateINPC(Table1[[#This Row],[Coluna2]],Table1[[#This Row],[Coluna3]],-1)*Table1[[#This Row],[vl]]</calculatedColumnFormula>
    </tableColumn>
    <tableColumn id="9" xr3:uid="{E4C3C832-9648-42C8-BFE3-1F87D3337722}" name="vl at 30" dataDxfId="0">
      <calculatedColumnFormula>1.3^((Table1[[#This Row],[Coluna3]]-Table1[[#This Row],[Coluna2]])/360)*Table1[[#This Row],[vl]]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264D3-D06D-4097-B58D-76D217771761}">
  <sheetPr>
    <tabColor rgb="FF002060"/>
  </sheetPr>
  <dimension ref="A1:AF46"/>
  <sheetViews>
    <sheetView showGridLines="0" tabSelected="1" zoomScale="85" zoomScaleNormal="85" workbookViewId="0">
      <selection activeCell="X17" sqref="X17"/>
    </sheetView>
  </sheetViews>
  <sheetFormatPr defaultColWidth="9.140625" defaultRowHeight="15"/>
  <cols>
    <col min="1" max="1" width="2.28515625" style="129" customWidth="1"/>
    <col min="2" max="2" width="7" style="130" bestFit="1" customWidth="1"/>
    <col min="3" max="3" width="7.5703125" style="130" hidden="1" customWidth="1"/>
    <col min="4" max="4" width="11.28515625" style="130" bestFit="1" customWidth="1"/>
    <col min="5" max="5" width="18.28515625" style="130" customWidth="1"/>
    <col min="6" max="6" width="16.7109375" style="130" bestFit="1" customWidth="1"/>
    <col min="7" max="7" width="10.7109375" style="130" hidden="1" customWidth="1"/>
    <col min="8" max="8" width="14.28515625" style="130" customWidth="1"/>
    <col min="9" max="9" width="10.7109375" style="130" hidden="1" customWidth="1"/>
    <col min="10" max="10" width="14.42578125" style="129" hidden="1" customWidth="1"/>
    <col min="11" max="11" width="22.28515625" style="129" hidden="1" customWidth="1"/>
    <col min="12" max="12" width="11.140625" style="129" hidden="1" customWidth="1"/>
    <col min="13" max="13" width="34.85546875" style="129" hidden="1" customWidth="1"/>
    <col min="14" max="15" width="24.42578125" style="130" hidden="1" customWidth="1"/>
    <col min="16" max="16" width="8.28515625" style="130" hidden="1" customWidth="1"/>
    <col min="17" max="17" width="12.7109375" style="130" hidden="1" customWidth="1"/>
    <col min="18" max="18" width="14.85546875" style="130" hidden="1" customWidth="1"/>
    <col min="19" max="19" width="20.42578125" style="223" hidden="1" customWidth="1"/>
    <col min="20" max="20" width="14.7109375" style="130" hidden="1" customWidth="1"/>
    <col min="21" max="21" width="0.140625" style="130" hidden="1" customWidth="1"/>
    <col min="22" max="22" width="13.28515625" style="231" customWidth="1"/>
    <col min="23" max="23" width="13.28515625" style="191" customWidth="1"/>
    <col min="24" max="24" width="30.85546875" style="191" bestFit="1" customWidth="1"/>
    <col min="25" max="25" width="24.42578125" style="130" customWidth="1"/>
    <col min="26" max="26" width="23.7109375" style="130" customWidth="1"/>
    <col min="27" max="27" width="31.85546875" style="130" customWidth="1"/>
    <col min="28" max="16384" width="9.140625" style="129"/>
  </cols>
  <sheetData>
    <row r="1" spans="1:32">
      <c r="A1" s="129" t="s">
        <v>2374</v>
      </c>
    </row>
    <row r="2" spans="1:32">
      <c r="G2" s="138">
        <f>SUM(G5:G45)</f>
        <v>21429554</v>
      </c>
      <c r="I2" s="138">
        <f>SUM(I5:I45)</f>
        <v>17871567.333333332</v>
      </c>
      <c r="Q2" s="223"/>
      <c r="V2" s="232">
        <f>SUM(V5:V45)</f>
        <v>26936101.666666668</v>
      </c>
      <c r="W2" s="175">
        <f>SUM(W5:W45)</f>
        <v>19032101.666666668</v>
      </c>
    </row>
    <row r="3" spans="1:32">
      <c r="B3" s="276" t="s">
        <v>68</v>
      </c>
      <c r="C3" s="277"/>
      <c r="D3" s="277"/>
      <c r="E3" s="278"/>
      <c r="F3" s="131" t="s">
        <v>76</v>
      </c>
      <c r="G3" s="276" t="s">
        <v>75</v>
      </c>
      <c r="H3" s="277"/>
      <c r="I3" s="277"/>
      <c r="J3" s="277"/>
      <c r="K3" s="277"/>
      <c r="L3" s="277"/>
      <c r="M3" s="277"/>
      <c r="N3" s="277"/>
      <c r="O3" s="277"/>
      <c r="P3" s="277"/>
      <c r="Q3" s="277"/>
      <c r="R3" s="277"/>
      <c r="S3" s="277"/>
      <c r="T3" s="277"/>
      <c r="U3" s="277"/>
      <c r="V3" s="277"/>
      <c r="W3" s="278"/>
      <c r="X3" s="175"/>
      <c r="Y3" s="212"/>
      <c r="Z3" s="212"/>
      <c r="AA3" s="240">
        <v>46092</v>
      </c>
    </row>
    <row r="4" spans="1:32">
      <c r="B4" s="132" t="s">
        <v>69</v>
      </c>
      <c r="C4" s="132" t="s">
        <v>70</v>
      </c>
      <c r="D4" s="132" t="s">
        <v>6</v>
      </c>
      <c r="E4" s="132" t="s">
        <v>8</v>
      </c>
      <c r="F4" s="133" t="s">
        <v>77</v>
      </c>
      <c r="G4" s="132" t="s">
        <v>12</v>
      </c>
      <c r="H4" s="132" t="s">
        <v>13</v>
      </c>
      <c r="I4" s="132" t="s">
        <v>14</v>
      </c>
      <c r="J4" s="134" t="s">
        <v>71</v>
      </c>
      <c r="K4" s="135" t="s">
        <v>72</v>
      </c>
      <c r="L4" s="135" t="s">
        <v>73</v>
      </c>
      <c r="M4" s="136" t="s">
        <v>39</v>
      </c>
      <c r="N4" s="132" t="s">
        <v>2347</v>
      </c>
      <c r="O4" s="132" t="s">
        <v>2348</v>
      </c>
      <c r="P4" s="132" t="s">
        <v>2357</v>
      </c>
      <c r="Q4" s="224" t="s">
        <v>2358</v>
      </c>
      <c r="R4" s="132" t="s">
        <v>1400</v>
      </c>
      <c r="S4" s="229" t="s">
        <v>9</v>
      </c>
      <c r="T4" s="213" t="s">
        <v>1464</v>
      </c>
      <c r="U4" s="213" t="s">
        <v>1465</v>
      </c>
      <c r="V4" s="229" t="s">
        <v>2346</v>
      </c>
      <c r="W4" s="213" t="s">
        <v>2345</v>
      </c>
      <c r="X4" s="132" t="s">
        <v>2367</v>
      </c>
      <c r="Y4" s="132" t="s">
        <v>2368</v>
      </c>
      <c r="Z4" s="132" t="s">
        <v>2359</v>
      </c>
      <c r="AA4" s="132" t="s">
        <v>2366</v>
      </c>
    </row>
    <row r="5" spans="1:32">
      <c r="B5" s="142">
        <v>72157</v>
      </c>
      <c r="C5" s="142" t="s">
        <v>74</v>
      </c>
      <c r="D5" s="142" t="s">
        <v>18</v>
      </c>
      <c r="E5" s="142" t="s">
        <v>20</v>
      </c>
      <c r="F5" s="143" t="s">
        <v>80</v>
      </c>
      <c r="G5" s="144">
        <v>1593000</v>
      </c>
      <c r="H5" s="145">
        <v>1</v>
      </c>
      <c r="I5" s="146">
        <v>1593000</v>
      </c>
      <c r="J5" s="142" t="s">
        <v>25</v>
      </c>
      <c r="K5" s="147">
        <v>3100000</v>
      </c>
      <c r="L5" s="148" t="s">
        <v>25</v>
      </c>
      <c r="M5" s="148" t="s">
        <v>78</v>
      </c>
      <c r="N5" s="142" t="s">
        <v>2349</v>
      </c>
      <c r="O5" s="216">
        <v>45917</v>
      </c>
      <c r="P5" s="216" t="s">
        <v>2355</v>
      </c>
      <c r="Q5" s="225">
        <v>45968</v>
      </c>
      <c r="R5" s="216" t="s">
        <v>2360</v>
      </c>
      <c r="S5" s="230" t="s">
        <v>1642</v>
      </c>
      <c r="T5" s="214">
        <v>2969000</v>
      </c>
      <c r="U5" s="214">
        <v>1781000</v>
      </c>
      <c r="V5" s="214">
        <f t="shared" ref="V5:V45" si="0">T5*H5</f>
        <v>2969000</v>
      </c>
      <c r="W5" s="214">
        <f t="shared" ref="W5:W45" si="1">U5*H5</f>
        <v>1781000</v>
      </c>
      <c r="X5" s="214" t="s">
        <v>78</v>
      </c>
      <c r="Y5" s="214">
        <f>241607.9+2174471.15</f>
        <v>2416079.0499999998</v>
      </c>
      <c r="Z5" s="216" t="s">
        <v>2373</v>
      </c>
      <c r="AA5" s="214" t="s">
        <v>78</v>
      </c>
    </row>
    <row r="6" spans="1:32">
      <c r="B6" s="142">
        <v>62872</v>
      </c>
      <c r="C6" s="142" t="s">
        <v>74</v>
      </c>
      <c r="D6" s="142" t="s">
        <v>18</v>
      </c>
      <c r="E6" s="142" t="s">
        <v>20</v>
      </c>
      <c r="F6" s="143" t="s">
        <v>80</v>
      </c>
      <c r="G6" s="144">
        <v>533549</v>
      </c>
      <c r="H6" s="145">
        <v>1</v>
      </c>
      <c r="I6" s="146">
        <v>533549</v>
      </c>
      <c r="J6" s="142" t="s">
        <v>25</v>
      </c>
      <c r="K6" s="147" t="s">
        <v>25</v>
      </c>
      <c r="L6" s="148" t="s">
        <v>25</v>
      </c>
      <c r="M6" s="148" t="s">
        <v>79</v>
      </c>
      <c r="N6" s="142" t="s">
        <v>2349</v>
      </c>
      <c r="O6" s="216">
        <v>45917</v>
      </c>
      <c r="P6" s="216" t="s">
        <v>2355</v>
      </c>
      <c r="Q6" s="225">
        <v>45968</v>
      </c>
      <c r="R6" s="216" t="s">
        <v>2360</v>
      </c>
      <c r="S6" s="230" t="s">
        <v>1649</v>
      </c>
      <c r="T6" s="214">
        <v>1002000</v>
      </c>
      <c r="U6" s="214">
        <v>701000</v>
      </c>
      <c r="V6" s="214">
        <f t="shared" si="0"/>
        <v>1002000</v>
      </c>
      <c r="W6" s="214">
        <f t="shared" si="1"/>
        <v>701000</v>
      </c>
      <c r="X6" s="214" t="s">
        <v>78</v>
      </c>
      <c r="Y6" s="227">
        <f>68392.1+615528.85</f>
        <v>683920.95</v>
      </c>
      <c r="Z6" s="216" t="s">
        <v>2373</v>
      </c>
      <c r="AA6" s="214" t="s">
        <v>78</v>
      </c>
    </row>
    <row r="7" spans="1:32">
      <c r="B7" s="142">
        <v>83398</v>
      </c>
      <c r="C7" s="142" t="s">
        <v>74</v>
      </c>
      <c r="D7" s="142" t="s">
        <v>18</v>
      </c>
      <c r="E7" s="142" t="s">
        <v>20</v>
      </c>
      <c r="F7" s="143" t="s">
        <v>80</v>
      </c>
      <c r="G7" s="144">
        <v>710900</v>
      </c>
      <c r="H7" s="145">
        <v>0.5</v>
      </c>
      <c r="I7" s="146">
        <v>355450</v>
      </c>
      <c r="J7" s="142" t="s">
        <v>25</v>
      </c>
      <c r="K7" s="147" t="s">
        <v>25</v>
      </c>
      <c r="L7" s="148" t="s">
        <v>25</v>
      </c>
      <c r="M7" s="148" t="s">
        <v>25</v>
      </c>
      <c r="N7" s="142" t="s">
        <v>2349</v>
      </c>
      <c r="O7" s="216">
        <v>45834</v>
      </c>
      <c r="P7" s="216" t="s">
        <v>2355</v>
      </c>
      <c r="Q7" s="225">
        <v>45968</v>
      </c>
      <c r="R7" s="216" t="s">
        <v>2360</v>
      </c>
      <c r="S7" s="230" t="s">
        <v>1614</v>
      </c>
      <c r="T7" s="214">
        <v>643000</v>
      </c>
      <c r="U7" s="214">
        <v>457000</v>
      </c>
      <c r="V7" s="214">
        <f>T7*H7</f>
        <v>321500</v>
      </c>
      <c r="W7" s="214">
        <f>U7*H7</f>
        <v>228500</v>
      </c>
      <c r="X7" s="216" t="s">
        <v>78</v>
      </c>
      <c r="Y7" s="214">
        <v>250000</v>
      </c>
      <c r="Z7" s="216" t="s">
        <v>2373</v>
      </c>
      <c r="AA7" s="216" t="s">
        <v>78</v>
      </c>
    </row>
    <row r="8" spans="1:32">
      <c r="B8" s="265">
        <v>23299</v>
      </c>
      <c r="C8" s="265" t="s">
        <v>74</v>
      </c>
      <c r="D8" s="265" t="s">
        <v>18</v>
      </c>
      <c r="E8" s="265" t="s">
        <v>20</v>
      </c>
      <c r="F8" s="266" t="s">
        <v>80</v>
      </c>
      <c r="G8" s="267">
        <v>3833000</v>
      </c>
      <c r="H8" s="268">
        <v>1</v>
      </c>
      <c r="I8" s="269">
        <v>3833000</v>
      </c>
      <c r="J8" s="265" t="s">
        <v>25</v>
      </c>
      <c r="K8" s="270" t="s">
        <v>25</v>
      </c>
      <c r="L8" s="271" t="s">
        <v>25</v>
      </c>
      <c r="M8" s="271" t="s">
        <v>25</v>
      </c>
      <c r="N8" s="265" t="s">
        <v>2349</v>
      </c>
      <c r="O8" s="272">
        <v>45834</v>
      </c>
      <c r="P8" s="272" t="s">
        <v>2355</v>
      </c>
      <c r="Q8" s="273">
        <v>45925</v>
      </c>
      <c r="R8" s="272" t="s">
        <v>2360</v>
      </c>
      <c r="S8" s="274" t="s">
        <v>1631</v>
      </c>
      <c r="T8" s="275">
        <v>7158000</v>
      </c>
      <c r="U8" s="275">
        <v>4796000</v>
      </c>
      <c r="V8" s="275">
        <f t="shared" si="0"/>
        <v>7158000</v>
      </c>
      <c r="W8" s="275">
        <f t="shared" si="1"/>
        <v>4796000</v>
      </c>
      <c r="X8" s="275">
        <v>6000000</v>
      </c>
      <c r="Y8" s="275">
        <v>6150000</v>
      </c>
      <c r="Z8" s="272" t="s">
        <v>2369</v>
      </c>
      <c r="AA8" s="272" t="s">
        <v>2371</v>
      </c>
      <c r="AB8" s="129" t="s">
        <v>2375</v>
      </c>
    </row>
    <row r="9" spans="1:32">
      <c r="B9" s="130">
        <v>48207</v>
      </c>
      <c r="C9" s="130" t="s">
        <v>74</v>
      </c>
      <c r="D9" s="130" t="s">
        <v>22</v>
      </c>
      <c r="E9" s="130" t="s">
        <v>20</v>
      </c>
      <c r="F9" s="137" t="s">
        <v>80</v>
      </c>
      <c r="G9" s="139">
        <v>2217000</v>
      </c>
      <c r="H9" s="140">
        <v>1</v>
      </c>
      <c r="I9" s="141">
        <v>2217000</v>
      </c>
      <c r="J9" s="130" t="s">
        <v>25</v>
      </c>
      <c r="K9" s="138" t="s">
        <v>25</v>
      </c>
      <c r="L9" s="129" t="s">
        <v>25</v>
      </c>
      <c r="M9" s="129" t="s">
        <v>25</v>
      </c>
      <c r="N9" s="130" t="s">
        <v>2349</v>
      </c>
      <c r="O9" s="215">
        <v>45834</v>
      </c>
      <c r="P9" s="215" t="s">
        <v>2355</v>
      </c>
      <c r="Q9" s="226">
        <v>45898</v>
      </c>
      <c r="R9" s="215" t="s">
        <v>2361</v>
      </c>
      <c r="S9" s="223" t="s">
        <v>1842</v>
      </c>
      <c r="T9" s="173">
        <v>3074000</v>
      </c>
      <c r="U9" s="173">
        <v>2460000</v>
      </c>
      <c r="V9" s="173">
        <f t="shared" si="0"/>
        <v>3074000</v>
      </c>
      <c r="W9" s="173">
        <f t="shared" si="1"/>
        <v>2460000</v>
      </c>
      <c r="X9" s="241">
        <v>6000000</v>
      </c>
      <c r="Y9" s="173" t="s">
        <v>25</v>
      </c>
      <c r="Z9" s="215" t="s">
        <v>25</v>
      </c>
      <c r="AA9" s="239" t="s">
        <v>2370</v>
      </c>
      <c r="AF9" s="129">
        <v>1621</v>
      </c>
    </row>
    <row r="10" spans="1:32">
      <c r="B10" s="130">
        <v>32744</v>
      </c>
      <c r="C10" s="130" t="s">
        <v>74</v>
      </c>
      <c r="D10" s="130" t="s">
        <v>22</v>
      </c>
      <c r="E10" s="130" t="s">
        <v>20</v>
      </c>
      <c r="F10" s="137" t="s">
        <v>80</v>
      </c>
      <c r="G10" s="139">
        <v>980000</v>
      </c>
      <c r="H10" s="140">
        <v>1</v>
      </c>
      <c r="I10" s="141">
        <v>980000</v>
      </c>
      <c r="J10" s="130" t="s">
        <v>25</v>
      </c>
      <c r="K10" s="138" t="s">
        <v>25</v>
      </c>
      <c r="L10" s="129" t="s">
        <v>25</v>
      </c>
      <c r="M10" s="129" t="s">
        <v>25</v>
      </c>
      <c r="N10" s="130" t="s">
        <v>2349</v>
      </c>
      <c r="O10" s="215">
        <v>45917</v>
      </c>
      <c r="P10" s="215" t="s">
        <v>2355</v>
      </c>
      <c r="Q10" s="226">
        <v>46009</v>
      </c>
      <c r="R10" s="215" t="s">
        <v>2361</v>
      </c>
      <c r="S10" s="223" t="s">
        <v>1833</v>
      </c>
      <c r="T10" s="173">
        <v>2741000</v>
      </c>
      <c r="U10" s="173">
        <v>1645000</v>
      </c>
      <c r="V10" s="173">
        <f t="shared" si="0"/>
        <v>2741000</v>
      </c>
      <c r="W10" s="173">
        <f t="shared" si="1"/>
        <v>1645000</v>
      </c>
      <c r="X10" s="241">
        <v>2750000</v>
      </c>
      <c r="Y10" s="173" t="s">
        <v>25</v>
      </c>
      <c r="Z10" s="215" t="s">
        <v>25</v>
      </c>
      <c r="AA10" s="239" t="s">
        <v>2370</v>
      </c>
      <c r="AF10" s="129">
        <f>11%*AF9</f>
        <v>178.31</v>
      </c>
    </row>
    <row r="11" spans="1:32">
      <c r="B11" s="130">
        <v>5104</v>
      </c>
      <c r="C11" s="130" t="s">
        <v>74</v>
      </c>
      <c r="D11" s="130" t="s">
        <v>18</v>
      </c>
      <c r="E11" s="130" t="s">
        <v>20</v>
      </c>
      <c r="F11" s="137" t="s">
        <v>80</v>
      </c>
      <c r="G11" s="139">
        <v>727000</v>
      </c>
      <c r="H11" s="140">
        <v>1</v>
      </c>
      <c r="I11" s="141">
        <v>727000</v>
      </c>
      <c r="J11" s="130" t="s">
        <v>25</v>
      </c>
      <c r="K11" s="138" t="s">
        <v>25</v>
      </c>
      <c r="L11" s="129" t="s">
        <v>25</v>
      </c>
      <c r="M11" s="129" t="s">
        <v>25</v>
      </c>
      <c r="N11" s="130" t="s">
        <v>2349</v>
      </c>
      <c r="O11" s="215">
        <v>45917</v>
      </c>
      <c r="P11" s="215" t="s">
        <v>2355</v>
      </c>
      <c r="Q11" s="226">
        <v>45971</v>
      </c>
      <c r="R11" s="215" t="s">
        <v>2360</v>
      </c>
      <c r="S11" s="223" t="s">
        <v>1534</v>
      </c>
      <c r="T11" s="173">
        <v>1003000</v>
      </c>
      <c r="U11" s="173">
        <v>732000</v>
      </c>
      <c r="V11" s="173">
        <f t="shared" si="0"/>
        <v>1003000</v>
      </c>
      <c r="W11" s="173">
        <f t="shared" si="1"/>
        <v>732000</v>
      </c>
      <c r="X11" s="241">
        <v>1024000</v>
      </c>
      <c r="Y11" s="173" t="s">
        <v>25</v>
      </c>
      <c r="Z11" s="215" t="s">
        <v>25</v>
      </c>
      <c r="AA11" s="239" t="s">
        <v>2370</v>
      </c>
    </row>
    <row r="12" spans="1:32">
      <c r="B12" s="130">
        <v>76858</v>
      </c>
      <c r="C12" s="130" t="s">
        <v>74</v>
      </c>
      <c r="D12" s="130" t="s">
        <v>18</v>
      </c>
      <c r="E12" s="130" t="s">
        <v>20</v>
      </c>
      <c r="F12" s="137" t="s">
        <v>80</v>
      </c>
      <c r="G12" s="139">
        <v>590500</v>
      </c>
      <c r="H12" s="140">
        <v>1</v>
      </c>
      <c r="I12" s="141">
        <v>590500</v>
      </c>
      <c r="J12" s="130" t="s">
        <v>25</v>
      </c>
      <c r="K12" s="138" t="s">
        <v>25</v>
      </c>
      <c r="L12" s="129" t="s">
        <v>25</v>
      </c>
      <c r="M12" s="129" t="s">
        <v>25</v>
      </c>
      <c r="N12" s="130" t="s">
        <v>2349</v>
      </c>
      <c r="O12" s="215">
        <v>45834</v>
      </c>
      <c r="P12" s="215" t="s">
        <v>2355</v>
      </c>
      <c r="Q12" s="226">
        <v>45916</v>
      </c>
      <c r="R12" s="215" t="s">
        <v>2360</v>
      </c>
      <c r="S12" s="223" t="s">
        <v>1813</v>
      </c>
      <c r="T12" s="173">
        <v>672000</v>
      </c>
      <c r="U12" s="173">
        <v>470000</v>
      </c>
      <c r="V12" s="173">
        <f t="shared" si="0"/>
        <v>672000</v>
      </c>
      <c r="W12" s="173">
        <f t="shared" si="1"/>
        <v>470000</v>
      </c>
      <c r="X12" s="242">
        <v>672000</v>
      </c>
      <c r="Y12" s="173" t="s">
        <v>25</v>
      </c>
      <c r="Z12" s="215" t="s">
        <v>25</v>
      </c>
      <c r="AA12" s="239" t="s">
        <v>2370</v>
      </c>
    </row>
    <row r="13" spans="1:32">
      <c r="B13" s="130">
        <v>3417</v>
      </c>
      <c r="C13" s="130" t="s">
        <v>74</v>
      </c>
      <c r="D13" s="130" t="s">
        <v>22</v>
      </c>
      <c r="E13" s="130" t="s">
        <v>20</v>
      </c>
      <c r="F13" s="137" t="s">
        <v>80</v>
      </c>
      <c r="G13" s="139">
        <v>462000</v>
      </c>
      <c r="H13" s="140">
        <v>1</v>
      </c>
      <c r="I13" s="141">
        <v>462000</v>
      </c>
      <c r="J13" s="130" t="s">
        <v>25</v>
      </c>
      <c r="K13" s="138" t="s">
        <v>25</v>
      </c>
      <c r="L13" s="129" t="s">
        <v>25</v>
      </c>
      <c r="M13" s="129" t="s">
        <v>25</v>
      </c>
      <c r="N13" s="130" t="s">
        <v>2349</v>
      </c>
      <c r="O13" s="215">
        <v>45834</v>
      </c>
      <c r="P13" s="215" t="s">
        <v>2355</v>
      </c>
      <c r="Q13" s="226">
        <v>46009</v>
      </c>
      <c r="R13" s="215" t="s">
        <v>2361</v>
      </c>
      <c r="S13" s="223" t="s">
        <v>1807</v>
      </c>
      <c r="T13" s="173">
        <v>579000</v>
      </c>
      <c r="U13" s="173">
        <v>446000</v>
      </c>
      <c r="V13" s="173">
        <f t="shared" si="0"/>
        <v>579000</v>
      </c>
      <c r="W13" s="173">
        <f t="shared" si="1"/>
        <v>446000</v>
      </c>
      <c r="X13" s="241">
        <v>636900</v>
      </c>
      <c r="Y13" s="173" t="s">
        <v>25</v>
      </c>
      <c r="Z13" s="215" t="s">
        <v>25</v>
      </c>
      <c r="AA13" s="239" t="s">
        <v>2370</v>
      </c>
    </row>
    <row r="14" spans="1:32">
      <c r="B14" s="130">
        <v>5103</v>
      </c>
      <c r="C14" s="130" t="s">
        <v>74</v>
      </c>
      <c r="D14" s="130" t="s">
        <v>18</v>
      </c>
      <c r="E14" s="130" t="s">
        <v>20</v>
      </c>
      <c r="F14" s="137" t="s">
        <v>80</v>
      </c>
      <c r="G14" s="139">
        <v>439000</v>
      </c>
      <c r="H14" s="140">
        <v>1</v>
      </c>
      <c r="I14" s="141">
        <v>439000</v>
      </c>
      <c r="J14" s="130" t="s">
        <v>25</v>
      </c>
      <c r="K14" s="138" t="s">
        <v>25</v>
      </c>
      <c r="L14" s="129" t="s">
        <v>25</v>
      </c>
      <c r="M14" s="129" t="s">
        <v>25</v>
      </c>
      <c r="N14" s="130" t="s">
        <v>2349</v>
      </c>
      <c r="O14" s="215">
        <v>45917</v>
      </c>
      <c r="P14" s="215" t="s">
        <v>2355</v>
      </c>
      <c r="Q14" s="226">
        <v>46008</v>
      </c>
      <c r="R14" s="215" t="s">
        <v>2360</v>
      </c>
      <c r="S14" s="223" t="s">
        <v>1507</v>
      </c>
      <c r="T14" s="173">
        <v>536000</v>
      </c>
      <c r="U14" s="173">
        <v>391000</v>
      </c>
      <c r="V14" s="173">
        <f t="shared" si="0"/>
        <v>536000</v>
      </c>
      <c r="W14" s="173">
        <f t="shared" si="1"/>
        <v>391000</v>
      </c>
      <c r="X14" s="241">
        <v>571000</v>
      </c>
      <c r="Y14" s="173" t="s">
        <v>25</v>
      </c>
      <c r="Z14" s="215" t="s">
        <v>25</v>
      </c>
      <c r="AA14" s="239" t="s">
        <v>2370</v>
      </c>
    </row>
    <row r="15" spans="1:32">
      <c r="B15" s="130">
        <v>52218</v>
      </c>
      <c r="C15" s="130" t="s">
        <v>74</v>
      </c>
      <c r="D15" s="130" t="s">
        <v>22</v>
      </c>
      <c r="E15" s="130" t="s">
        <v>20</v>
      </c>
      <c r="F15" s="228" t="s">
        <v>80</v>
      </c>
      <c r="G15" s="139">
        <v>436000</v>
      </c>
      <c r="H15" s="140">
        <v>1</v>
      </c>
      <c r="I15" s="141">
        <v>436000</v>
      </c>
      <c r="J15" s="130" t="s">
        <v>25</v>
      </c>
      <c r="K15" s="138" t="s">
        <v>25</v>
      </c>
      <c r="L15" s="129" t="s">
        <v>25</v>
      </c>
      <c r="M15" s="129" t="s">
        <v>25</v>
      </c>
      <c r="N15" s="130" t="s">
        <v>2349</v>
      </c>
      <c r="O15" s="215">
        <v>45917</v>
      </c>
      <c r="P15" s="215" t="s">
        <v>2355</v>
      </c>
      <c r="Q15" s="226">
        <v>46009</v>
      </c>
      <c r="R15" s="215" t="s">
        <v>2361</v>
      </c>
      <c r="S15" s="223" t="s">
        <v>1800</v>
      </c>
      <c r="T15" s="173">
        <v>656000</v>
      </c>
      <c r="U15" s="173">
        <v>459000</v>
      </c>
      <c r="V15" s="173">
        <f t="shared" si="0"/>
        <v>656000</v>
      </c>
      <c r="W15" s="173">
        <f t="shared" si="1"/>
        <v>459000</v>
      </c>
      <c r="X15" s="242">
        <v>656000</v>
      </c>
      <c r="Y15" s="173" t="s">
        <v>25</v>
      </c>
      <c r="Z15" s="215" t="s">
        <v>25</v>
      </c>
      <c r="AA15" s="239" t="s">
        <v>2370</v>
      </c>
    </row>
    <row r="16" spans="1:32">
      <c r="B16" s="130">
        <v>149</v>
      </c>
      <c r="C16" s="130" t="s">
        <v>74</v>
      </c>
      <c r="D16" s="130" t="s">
        <v>22</v>
      </c>
      <c r="E16" s="130" t="s">
        <v>20</v>
      </c>
      <c r="F16" s="228" t="s">
        <v>80</v>
      </c>
      <c r="G16" s="139">
        <v>311000</v>
      </c>
      <c r="H16" s="140">
        <v>0.33333333333333331</v>
      </c>
      <c r="I16" s="141">
        <v>103666.66666666666</v>
      </c>
      <c r="J16" s="130" t="s">
        <v>25</v>
      </c>
      <c r="K16" s="138" t="s">
        <v>25</v>
      </c>
      <c r="L16" s="129" t="s">
        <v>25</v>
      </c>
      <c r="M16" s="129" t="s">
        <v>25</v>
      </c>
      <c r="N16" s="130" t="s">
        <v>2349</v>
      </c>
      <c r="O16" s="215">
        <v>45834</v>
      </c>
      <c r="P16" s="215" t="s">
        <v>2355</v>
      </c>
      <c r="Q16" s="226">
        <v>46003</v>
      </c>
      <c r="R16" s="215" t="s">
        <v>2361</v>
      </c>
      <c r="S16" s="223" t="s">
        <v>1789</v>
      </c>
      <c r="T16" s="173">
        <v>297000</v>
      </c>
      <c r="U16" s="173">
        <v>228000</v>
      </c>
      <c r="V16" s="173">
        <f t="shared" si="0"/>
        <v>99000</v>
      </c>
      <c r="W16" s="173">
        <f t="shared" si="1"/>
        <v>76000</v>
      </c>
      <c r="X16" s="241">
        <v>108900</v>
      </c>
      <c r="Y16" s="173" t="s">
        <v>25</v>
      </c>
      <c r="Z16" s="215" t="s">
        <v>25</v>
      </c>
      <c r="AA16" s="239" t="s">
        <v>2370</v>
      </c>
    </row>
    <row r="17" spans="2:27">
      <c r="B17" s="130">
        <v>78782</v>
      </c>
      <c r="C17" s="130" t="s">
        <v>74</v>
      </c>
      <c r="D17" s="130" t="s">
        <v>22</v>
      </c>
      <c r="E17" s="130" t="s">
        <v>20</v>
      </c>
      <c r="F17" s="137" t="s">
        <v>80</v>
      </c>
      <c r="G17" s="139">
        <v>221000</v>
      </c>
      <c r="H17" s="140">
        <v>1</v>
      </c>
      <c r="I17" s="141">
        <v>221000</v>
      </c>
      <c r="J17" s="130" t="s">
        <v>25</v>
      </c>
      <c r="K17" s="138" t="s">
        <v>25</v>
      </c>
      <c r="L17" s="129" t="s">
        <v>25</v>
      </c>
      <c r="M17" s="129" t="s">
        <v>25</v>
      </c>
      <c r="N17" s="130" t="s">
        <v>2349</v>
      </c>
      <c r="O17" s="215">
        <v>45834</v>
      </c>
      <c r="P17" s="215" t="s">
        <v>2355</v>
      </c>
      <c r="Q17" s="226">
        <v>45940</v>
      </c>
      <c r="R17" s="215" t="s">
        <v>2361</v>
      </c>
      <c r="S17" s="223" t="s">
        <v>1515</v>
      </c>
      <c r="T17" s="173">
        <v>308000</v>
      </c>
      <c r="U17" s="173">
        <v>237000</v>
      </c>
      <c r="V17" s="173">
        <f t="shared" si="0"/>
        <v>308000</v>
      </c>
      <c r="W17" s="173">
        <f t="shared" si="1"/>
        <v>237000</v>
      </c>
      <c r="X17" s="241">
        <v>180000</v>
      </c>
      <c r="Y17" s="173" t="s">
        <v>25</v>
      </c>
      <c r="Z17" s="215" t="s">
        <v>25</v>
      </c>
      <c r="AA17" s="239" t="s">
        <v>2370</v>
      </c>
    </row>
    <row r="18" spans="2:27">
      <c r="B18" s="130">
        <v>59250</v>
      </c>
      <c r="C18" s="130" t="s">
        <v>74</v>
      </c>
      <c r="D18" s="130" t="s">
        <v>22</v>
      </c>
      <c r="E18" s="130" t="s">
        <v>20</v>
      </c>
      <c r="F18" s="137" t="s">
        <v>80</v>
      </c>
      <c r="G18" s="139">
        <v>160000</v>
      </c>
      <c r="H18" s="140">
        <v>1</v>
      </c>
      <c r="I18" s="141">
        <v>160000</v>
      </c>
      <c r="J18" s="130" t="s">
        <v>25</v>
      </c>
      <c r="K18" s="138" t="s">
        <v>25</v>
      </c>
      <c r="L18" s="129" t="s">
        <v>25</v>
      </c>
      <c r="M18" s="129" t="s">
        <v>25</v>
      </c>
      <c r="N18" s="130" t="s">
        <v>2349</v>
      </c>
      <c r="O18" s="215">
        <v>45834</v>
      </c>
      <c r="P18" s="215" t="s">
        <v>2355</v>
      </c>
      <c r="Q18" s="226">
        <v>45968</v>
      </c>
      <c r="R18" s="215" t="s">
        <v>2361</v>
      </c>
      <c r="S18" s="223" t="s">
        <v>1552</v>
      </c>
      <c r="T18" s="173">
        <v>232000</v>
      </c>
      <c r="U18" s="173">
        <v>165000</v>
      </c>
      <c r="V18" s="173">
        <f t="shared" si="0"/>
        <v>232000</v>
      </c>
      <c r="W18" s="173">
        <f t="shared" si="1"/>
        <v>165000</v>
      </c>
      <c r="X18" s="241">
        <v>190000</v>
      </c>
      <c r="Y18" s="173" t="s">
        <v>25</v>
      </c>
      <c r="Z18" s="215" t="s">
        <v>25</v>
      </c>
      <c r="AA18" s="239" t="s">
        <v>2370</v>
      </c>
    </row>
    <row r="19" spans="2:27">
      <c r="B19" s="130">
        <v>78780</v>
      </c>
      <c r="C19" s="130" t="s">
        <v>74</v>
      </c>
      <c r="D19" s="130" t="s">
        <v>22</v>
      </c>
      <c r="E19" s="130" t="s">
        <v>20</v>
      </c>
      <c r="F19" s="137" t="s">
        <v>80</v>
      </c>
      <c r="G19" s="139">
        <v>154000</v>
      </c>
      <c r="H19" s="140">
        <v>1</v>
      </c>
      <c r="I19" s="141">
        <v>154000</v>
      </c>
      <c r="J19" s="130" t="s">
        <v>25</v>
      </c>
      <c r="K19" s="138" t="s">
        <v>25</v>
      </c>
      <c r="L19" s="129" t="s">
        <v>25</v>
      </c>
      <c r="M19" s="129" t="s">
        <v>25</v>
      </c>
      <c r="N19" s="130" t="s">
        <v>2349</v>
      </c>
      <c r="O19" s="215">
        <v>45834</v>
      </c>
      <c r="P19" s="215" t="s">
        <v>2355</v>
      </c>
      <c r="Q19" s="226">
        <v>45898</v>
      </c>
      <c r="R19" s="215" t="s">
        <v>2361</v>
      </c>
      <c r="S19" s="223" t="s">
        <v>1780</v>
      </c>
      <c r="T19" s="173">
        <v>184000</v>
      </c>
      <c r="U19" s="173">
        <v>142000</v>
      </c>
      <c r="V19" s="173">
        <f t="shared" si="0"/>
        <v>184000</v>
      </c>
      <c r="W19" s="173">
        <f t="shared" si="1"/>
        <v>142000</v>
      </c>
      <c r="X19" s="241">
        <v>180000</v>
      </c>
      <c r="Y19" s="173" t="s">
        <v>25</v>
      </c>
      <c r="Z19" s="215" t="s">
        <v>25</v>
      </c>
      <c r="AA19" s="239" t="s">
        <v>2370</v>
      </c>
    </row>
    <row r="20" spans="2:27">
      <c r="B20" s="130">
        <v>78781</v>
      </c>
      <c r="C20" s="130" t="s">
        <v>74</v>
      </c>
      <c r="D20" s="130" t="s">
        <v>22</v>
      </c>
      <c r="E20" s="130" t="s">
        <v>20</v>
      </c>
      <c r="F20" s="137" t="s">
        <v>80</v>
      </c>
      <c r="G20" s="139">
        <v>154000</v>
      </c>
      <c r="H20" s="140">
        <v>1</v>
      </c>
      <c r="I20" s="141">
        <v>154000</v>
      </c>
      <c r="J20" s="130" t="s">
        <v>25</v>
      </c>
      <c r="K20" s="138" t="s">
        <v>25</v>
      </c>
      <c r="L20" s="129" t="s">
        <v>25</v>
      </c>
      <c r="M20" s="129" t="s">
        <v>25</v>
      </c>
      <c r="N20" s="130" t="s">
        <v>2349</v>
      </c>
      <c r="O20" s="215">
        <v>45834</v>
      </c>
      <c r="P20" s="215" t="s">
        <v>2355</v>
      </c>
      <c r="Q20" s="226">
        <v>45898</v>
      </c>
      <c r="R20" s="215" t="s">
        <v>2361</v>
      </c>
      <c r="S20" s="223" t="s">
        <v>1681</v>
      </c>
      <c r="T20" s="173">
        <v>184000</v>
      </c>
      <c r="U20" s="173">
        <v>141000</v>
      </c>
      <c r="V20" s="173">
        <f t="shared" si="0"/>
        <v>184000</v>
      </c>
      <c r="W20" s="173">
        <f t="shared" si="1"/>
        <v>141000</v>
      </c>
      <c r="X20" s="241">
        <v>180000</v>
      </c>
      <c r="Y20" s="173" t="s">
        <v>25</v>
      </c>
      <c r="Z20" s="215" t="s">
        <v>25</v>
      </c>
      <c r="AA20" s="239" t="s">
        <v>2370</v>
      </c>
    </row>
    <row r="21" spans="2:27">
      <c r="B21" s="130">
        <v>78783</v>
      </c>
      <c r="C21" s="130" t="s">
        <v>74</v>
      </c>
      <c r="D21" s="130" t="s">
        <v>22</v>
      </c>
      <c r="E21" s="130" t="s">
        <v>20</v>
      </c>
      <c r="F21" s="137" t="s">
        <v>80</v>
      </c>
      <c r="G21" s="139">
        <v>154000</v>
      </c>
      <c r="H21" s="140">
        <v>1</v>
      </c>
      <c r="I21" s="141">
        <v>154000</v>
      </c>
      <c r="J21" s="130" t="s">
        <v>25</v>
      </c>
      <c r="K21" s="138" t="s">
        <v>25</v>
      </c>
      <c r="L21" s="129" t="s">
        <v>25</v>
      </c>
      <c r="M21" s="129" t="s">
        <v>25</v>
      </c>
      <c r="N21" s="130" t="s">
        <v>2349</v>
      </c>
      <c r="O21" s="215">
        <v>45834</v>
      </c>
      <c r="P21" s="215" t="s">
        <v>2355</v>
      </c>
      <c r="Q21" s="226">
        <v>45898</v>
      </c>
      <c r="R21" s="215" t="s">
        <v>2361</v>
      </c>
      <c r="S21" s="223" t="s">
        <v>1768</v>
      </c>
      <c r="T21" s="173">
        <v>184000</v>
      </c>
      <c r="U21" s="173">
        <v>142000</v>
      </c>
      <c r="V21" s="173">
        <f t="shared" si="0"/>
        <v>184000</v>
      </c>
      <c r="W21" s="173">
        <f t="shared" si="1"/>
        <v>142000</v>
      </c>
      <c r="X21" s="241">
        <v>180000</v>
      </c>
      <c r="Y21" s="173" t="s">
        <v>25</v>
      </c>
      <c r="Z21" s="215" t="s">
        <v>25</v>
      </c>
      <c r="AA21" s="239" t="s">
        <v>2370</v>
      </c>
    </row>
    <row r="22" spans="2:27">
      <c r="B22" s="130">
        <v>78784</v>
      </c>
      <c r="C22" s="130" t="s">
        <v>74</v>
      </c>
      <c r="D22" s="130" t="s">
        <v>22</v>
      </c>
      <c r="E22" s="130" t="s">
        <v>20</v>
      </c>
      <c r="F22" s="137" t="s">
        <v>80</v>
      </c>
      <c r="G22" s="139">
        <v>154000</v>
      </c>
      <c r="H22" s="140">
        <v>1</v>
      </c>
      <c r="I22" s="141">
        <v>154000</v>
      </c>
      <c r="J22" s="130" t="s">
        <v>25</v>
      </c>
      <c r="K22" s="138" t="s">
        <v>25</v>
      </c>
      <c r="L22" s="129" t="s">
        <v>25</v>
      </c>
      <c r="M22" s="129" t="s">
        <v>25</v>
      </c>
      <c r="N22" s="130" t="s">
        <v>2349</v>
      </c>
      <c r="O22" s="215">
        <v>45834</v>
      </c>
      <c r="P22" s="215" t="s">
        <v>2355</v>
      </c>
      <c r="Q22" s="226">
        <v>45898</v>
      </c>
      <c r="R22" s="215" t="s">
        <v>2361</v>
      </c>
      <c r="S22" s="223" t="s">
        <v>1763</v>
      </c>
      <c r="T22" s="173">
        <v>184000</v>
      </c>
      <c r="U22" s="173">
        <v>142000</v>
      </c>
      <c r="V22" s="173">
        <f t="shared" si="0"/>
        <v>184000</v>
      </c>
      <c r="W22" s="173">
        <f t="shared" si="1"/>
        <v>142000</v>
      </c>
      <c r="X22" s="241">
        <v>180000</v>
      </c>
      <c r="Y22" s="173" t="s">
        <v>25</v>
      </c>
      <c r="Z22" s="215" t="s">
        <v>25</v>
      </c>
      <c r="AA22" s="239" t="s">
        <v>2370</v>
      </c>
    </row>
    <row r="23" spans="2:27">
      <c r="B23" s="130">
        <v>78785</v>
      </c>
      <c r="C23" s="130" t="s">
        <v>74</v>
      </c>
      <c r="D23" s="130" t="s">
        <v>22</v>
      </c>
      <c r="E23" s="130" t="s">
        <v>20</v>
      </c>
      <c r="F23" s="137" t="s">
        <v>80</v>
      </c>
      <c r="G23" s="139">
        <v>154000</v>
      </c>
      <c r="H23" s="140">
        <v>1</v>
      </c>
      <c r="I23" s="141">
        <v>154000</v>
      </c>
      <c r="J23" s="130" t="s">
        <v>25</v>
      </c>
      <c r="K23" s="138" t="s">
        <v>25</v>
      </c>
      <c r="L23" s="129" t="s">
        <v>25</v>
      </c>
      <c r="M23" s="129" t="s">
        <v>25</v>
      </c>
      <c r="N23" s="130" t="s">
        <v>2349</v>
      </c>
      <c r="O23" s="215">
        <v>45834</v>
      </c>
      <c r="P23" s="215" t="s">
        <v>2355</v>
      </c>
      <c r="Q23" s="226">
        <v>45898</v>
      </c>
      <c r="R23" s="215" t="s">
        <v>2361</v>
      </c>
      <c r="S23" s="223" t="s">
        <v>1758</v>
      </c>
      <c r="T23" s="173">
        <v>184000</v>
      </c>
      <c r="U23" s="173">
        <v>142000</v>
      </c>
      <c r="V23" s="173">
        <f t="shared" si="0"/>
        <v>184000</v>
      </c>
      <c r="W23" s="173">
        <f t="shared" si="1"/>
        <v>142000</v>
      </c>
      <c r="X23" s="241">
        <v>180000</v>
      </c>
      <c r="Y23" s="173" t="s">
        <v>25</v>
      </c>
      <c r="Z23" s="215" t="s">
        <v>25</v>
      </c>
      <c r="AA23" s="239" t="s">
        <v>2370</v>
      </c>
    </row>
    <row r="24" spans="2:27">
      <c r="B24" s="130">
        <v>78786</v>
      </c>
      <c r="C24" s="130" t="s">
        <v>74</v>
      </c>
      <c r="D24" s="130" t="s">
        <v>22</v>
      </c>
      <c r="E24" s="130" t="s">
        <v>20</v>
      </c>
      <c r="F24" s="137" t="s">
        <v>80</v>
      </c>
      <c r="G24" s="139">
        <v>154000</v>
      </c>
      <c r="H24" s="140">
        <v>1</v>
      </c>
      <c r="I24" s="141">
        <v>154000</v>
      </c>
      <c r="J24" s="130" t="s">
        <v>25</v>
      </c>
      <c r="K24" s="138" t="s">
        <v>25</v>
      </c>
      <c r="L24" s="129" t="s">
        <v>25</v>
      </c>
      <c r="M24" s="129" t="s">
        <v>25</v>
      </c>
      <c r="N24" s="130" t="s">
        <v>2349</v>
      </c>
      <c r="O24" s="215">
        <v>45834</v>
      </c>
      <c r="P24" s="215" t="s">
        <v>2355</v>
      </c>
      <c r="Q24" s="226">
        <v>45898</v>
      </c>
      <c r="R24" s="215" t="s">
        <v>2361</v>
      </c>
      <c r="S24" s="223" t="s">
        <v>1753</v>
      </c>
      <c r="T24" s="173">
        <v>184000</v>
      </c>
      <c r="U24" s="173">
        <v>142000</v>
      </c>
      <c r="V24" s="173">
        <f t="shared" si="0"/>
        <v>184000</v>
      </c>
      <c r="W24" s="173">
        <f t="shared" si="1"/>
        <v>142000</v>
      </c>
      <c r="X24" s="241">
        <v>180000</v>
      </c>
      <c r="Y24" s="173" t="s">
        <v>25</v>
      </c>
      <c r="Z24" s="215" t="s">
        <v>25</v>
      </c>
      <c r="AA24" s="239" t="s">
        <v>2370</v>
      </c>
    </row>
    <row r="25" spans="2:27">
      <c r="B25" s="130">
        <v>78787</v>
      </c>
      <c r="C25" s="130" t="s">
        <v>74</v>
      </c>
      <c r="D25" s="130" t="s">
        <v>22</v>
      </c>
      <c r="E25" s="130" t="s">
        <v>20</v>
      </c>
      <c r="F25" s="137" t="s">
        <v>80</v>
      </c>
      <c r="G25" s="139">
        <v>154000</v>
      </c>
      <c r="H25" s="140">
        <v>1</v>
      </c>
      <c r="I25" s="141">
        <v>154000</v>
      </c>
      <c r="J25" s="130" t="s">
        <v>25</v>
      </c>
      <c r="K25" s="138" t="s">
        <v>25</v>
      </c>
      <c r="L25" s="129" t="s">
        <v>25</v>
      </c>
      <c r="M25" s="129" t="s">
        <v>25</v>
      </c>
      <c r="N25" s="130" t="s">
        <v>2349</v>
      </c>
      <c r="O25" s="215">
        <v>45834</v>
      </c>
      <c r="P25" s="215" t="s">
        <v>2355</v>
      </c>
      <c r="Q25" s="226">
        <v>45898</v>
      </c>
      <c r="R25" s="215" t="s">
        <v>2361</v>
      </c>
      <c r="S25" s="223" t="s">
        <v>1746</v>
      </c>
      <c r="T25" s="173">
        <v>184000</v>
      </c>
      <c r="U25" s="173">
        <v>142000</v>
      </c>
      <c r="V25" s="173">
        <f t="shared" si="0"/>
        <v>184000</v>
      </c>
      <c r="W25" s="173">
        <f t="shared" si="1"/>
        <v>142000</v>
      </c>
      <c r="X25" s="241">
        <v>180000</v>
      </c>
      <c r="Y25" s="173" t="s">
        <v>25</v>
      </c>
      <c r="Z25" s="215" t="s">
        <v>25</v>
      </c>
      <c r="AA25" s="239" t="s">
        <v>2370</v>
      </c>
    </row>
    <row r="26" spans="2:27">
      <c r="B26" s="130">
        <v>59252</v>
      </c>
      <c r="C26" s="130" t="s">
        <v>74</v>
      </c>
      <c r="D26" s="130" t="s">
        <v>22</v>
      </c>
      <c r="E26" s="130" t="s">
        <v>20</v>
      </c>
      <c r="F26" s="137" t="s">
        <v>80</v>
      </c>
      <c r="G26" s="139">
        <v>137000</v>
      </c>
      <c r="H26" s="140">
        <v>1</v>
      </c>
      <c r="I26" s="141">
        <v>137000</v>
      </c>
      <c r="J26" s="130" t="s">
        <v>25</v>
      </c>
      <c r="K26" s="138" t="s">
        <v>25</v>
      </c>
      <c r="L26" s="129" t="s">
        <v>25</v>
      </c>
      <c r="M26" s="129" t="s">
        <v>25</v>
      </c>
      <c r="N26" s="130" t="s">
        <v>2349</v>
      </c>
      <c r="O26" s="215">
        <v>45834</v>
      </c>
      <c r="P26" s="215" t="s">
        <v>2355</v>
      </c>
      <c r="Q26" s="226">
        <v>45898</v>
      </c>
      <c r="R26" s="215" t="s">
        <v>2361</v>
      </c>
      <c r="S26" s="223" t="s">
        <v>1740</v>
      </c>
      <c r="T26" s="173">
        <v>200000</v>
      </c>
      <c r="U26" s="173">
        <v>142000</v>
      </c>
      <c r="V26" s="173">
        <f t="shared" si="0"/>
        <v>200000</v>
      </c>
      <c r="W26" s="173">
        <f t="shared" si="1"/>
        <v>142000</v>
      </c>
      <c r="X26" s="241">
        <v>170000</v>
      </c>
      <c r="Y26" s="173" t="s">
        <v>25</v>
      </c>
      <c r="Z26" s="215" t="s">
        <v>25</v>
      </c>
      <c r="AA26" s="239" t="s">
        <v>2370</v>
      </c>
    </row>
    <row r="27" spans="2:27">
      <c r="B27" s="130">
        <v>59251</v>
      </c>
      <c r="C27" s="130" t="s">
        <v>74</v>
      </c>
      <c r="D27" s="130" t="s">
        <v>22</v>
      </c>
      <c r="E27" s="130" t="s">
        <v>20</v>
      </c>
      <c r="F27" s="137" t="s">
        <v>80</v>
      </c>
      <c r="G27" s="139">
        <v>137000</v>
      </c>
      <c r="H27" s="140">
        <v>1</v>
      </c>
      <c r="I27" s="141">
        <v>137000</v>
      </c>
      <c r="J27" s="130" t="s">
        <v>25</v>
      </c>
      <c r="K27" s="138" t="s">
        <v>25</v>
      </c>
      <c r="L27" s="129" t="s">
        <v>25</v>
      </c>
      <c r="M27" s="129" t="s">
        <v>25</v>
      </c>
      <c r="N27" s="130" t="s">
        <v>2349</v>
      </c>
      <c r="O27" s="215">
        <v>45834</v>
      </c>
      <c r="P27" s="215" t="s">
        <v>2355</v>
      </c>
      <c r="Q27" s="226">
        <v>45898</v>
      </c>
      <c r="R27" s="215" t="s">
        <v>2361</v>
      </c>
      <c r="S27" s="223" t="s">
        <v>1674</v>
      </c>
      <c r="T27" s="173">
        <v>199000</v>
      </c>
      <c r="U27" s="173">
        <v>142000</v>
      </c>
      <c r="V27" s="173">
        <f t="shared" si="0"/>
        <v>199000</v>
      </c>
      <c r="W27" s="173">
        <f t="shared" si="1"/>
        <v>142000</v>
      </c>
      <c r="X27" s="241">
        <v>170000</v>
      </c>
      <c r="Y27" s="173" t="s">
        <v>25</v>
      </c>
      <c r="Z27" s="215" t="s">
        <v>25</v>
      </c>
      <c r="AA27" s="239" t="s">
        <v>2370</v>
      </c>
    </row>
    <row r="28" spans="2:27">
      <c r="B28" s="130">
        <v>102753</v>
      </c>
      <c r="C28" s="130" t="s">
        <v>74</v>
      </c>
      <c r="D28" s="130" t="s">
        <v>22</v>
      </c>
      <c r="E28" s="130" t="s">
        <v>20</v>
      </c>
      <c r="F28" s="137" t="s">
        <v>80</v>
      </c>
      <c r="G28" s="139">
        <v>136000</v>
      </c>
      <c r="H28" s="140">
        <v>1</v>
      </c>
      <c r="I28" s="141">
        <v>136000</v>
      </c>
      <c r="J28" s="130" t="s">
        <v>25</v>
      </c>
      <c r="K28" s="138" t="s">
        <v>25</v>
      </c>
      <c r="L28" s="129" t="s">
        <v>25</v>
      </c>
      <c r="M28" s="129" t="s">
        <v>25</v>
      </c>
      <c r="N28" s="130" t="s">
        <v>2349</v>
      </c>
      <c r="O28" s="215">
        <v>45834</v>
      </c>
      <c r="P28" s="215" t="s">
        <v>2355</v>
      </c>
      <c r="Q28" s="226">
        <v>45971</v>
      </c>
      <c r="R28" s="215" t="s">
        <v>2361</v>
      </c>
      <c r="S28" s="223" t="s">
        <v>1594</v>
      </c>
      <c r="T28" s="173">
        <v>168000</v>
      </c>
      <c r="U28" s="173">
        <v>118000</v>
      </c>
      <c r="V28" s="173">
        <f t="shared" si="0"/>
        <v>168000</v>
      </c>
      <c r="W28" s="173">
        <f t="shared" si="1"/>
        <v>118000</v>
      </c>
      <c r="X28" s="241">
        <v>180000</v>
      </c>
      <c r="Y28" s="173" t="s">
        <v>25</v>
      </c>
      <c r="Z28" s="215" t="s">
        <v>25</v>
      </c>
      <c r="AA28" s="239" t="s">
        <v>2370</v>
      </c>
    </row>
    <row r="29" spans="2:27">
      <c r="B29" s="130">
        <v>102754</v>
      </c>
      <c r="C29" s="130" t="s">
        <v>74</v>
      </c>
      <c r="D29" s="130" t="s">
        <v>22</v>
      </c>
      <c r="E29" s="130" t="s">
        <v>20</v>
      </c>
      <c r="F29" s="137" t="s">
        <v>80</v>
      </c>
      <c r="G29" s="139">
        <v>136000</v>
      </c>
      <c r="H29" s="140">
        <v>1</v>
      </c>
      <c r="I29" s="141">
        <v>136000</v>
      </c>
      <c r="J29" s="130" t="s">
        <v>25</v>
      </c>
      <c r="K29" s="138" t="s">
        <v>25</v>
      </c>
      <c r="L29" s="129" t="s">
        <v>25</v>
      </c>
      <c r="M29" s="129" t="s">
        <v>25</v>
      </c>
      <c r="N29" s="130" t="s">
        <v>2349</v>
      </c>
      <c r="O29" s="215">
        <v>45834</v>
      </c>
      <c r="P29" s="215" t="s">
        <v>2355</v>
      </c>
      <c r="Q29" s="226">
        <v>45971</v>
      </c>
      <c r="R29" s="215" t="s">
        <v>2361</v>
      </c>
      <c r="S29" s="223" t="s">
        <v>1582</v>
      </c>
      <c r="T29" s="173">
        <v>168000</v>
      </c>
      <c r="U29" s="173">
        <v>118000</v>
      </c>
      <c r="V29" s="173">
        <f t="shared" si="0"/>
        <v>168000</v>
      </c>
      <c r="W29" s="173">
        <f t="shared" si="1"/>
        <v>118000</v>
      </c>
      <c r="X29" s="241">
        <v>180000</v>
      </c>
      <c r="Y29" s="173" t="s">
        <v>25</v>
      </c>
      <c r="Z29" s="215" t="s">
        <v>25</v>
      </c>
      <c r="AA29" s="239" t="s">
        <v>2370</v>
      </c>
    </row>
    <row r="30" spans="2:27">
      <c r="B30" s="130">
        <v>36052</v>
      </c>
      <c r="C30" s="130" t="s">
        <v>74</v>
      </c>
      <c r="D30" s="130" t="s">
        <v>18</v>
      </c>
      <c r="E30" s="130" t="s">
        <v>20</v>
      </c>
      <c r="F30" s="137" t="s">
        <v>80</v>
      </c>
      <c r="G30" s="139">
        <v>123000</v>
      </c>
      <c r="H30" s="140">
        <v>1</v>
      </c>
      <c r="I30" s="141">
        <v>123000</v>
      </c>
      <c r="J30" s="130" t="s">
        <v>25</v>
      </c>
      <c r="K30" s="138" t="s">
        <v>25</v>
      </c>
      <c r="L30" s="129" t="s">
        <v>25</v>
      </c>
      <c r="M30" s="129" t="s">
        <v>25</v>
      </c>
      <c r="N30" s="130" t="s">
        <v>2350</v>
      </c>
      <c r="O30" s="215" t="s">
        <v>25</v>
      </c>
      <c r="P30" s="215" t="s">
        <v>2356</v>
      </c>
      <c r="Q30" s="226" t="s">
        <v>25</v>
      </c>
      <c r="R30" s="215" t="s">
        <v>2360</v>
      </c>
      <c r="S30" s="223" t="s">
        <v>1501</v>
      </c>
      <c r="T30" s="173">
        <v>159000</v>
      </c>
      <c r="U30" s="173">
        <v>122000</v>
      </c>
      <c r="V30" s="173">
        <f t="shared" si="0"/>
        <v>159000</v>
      </c>
      <c r="W30" s="173">
        <f t="shared" si="1"/>
        <v>122000</v>
      </c>
      <c r="X30" s="241">
        <v>165000</v>
      </c>
      <c r="Y30" s="173" t="s">
        <v>25</v>
      </c>
      <c r="Z30" s="215" t="s">
        <v>25</v>
      </c>
      <c r="AA30" s="239" t="s">
        <v>2370</v>
      </c>
    </row>
    <row r="31" spans="2:27">
      <c r="B31" s="130">
        <v>36053</v>
      </c>
      <c r="C31" s="130" t="s">
        <v>74</v>
      </c>
      <c r="D31" s="130" t="s">
        <v>18</v>
      </c>
      <c r="E31" s="130" t="s">
        <v>20</v>
      </c>
      <c r="F31" s="137" t="s">
        <v>80</v>
      </c>
      <c r="G31" s="139">
        <v>123000</v>
      </c>
      <c r="H31" s="140">
        <v>1</v>
      </c>
      <c r="I31" s="141">
        <v>123000</v>
      </c>
      <c r="J31" s="130" t="s">
        <v>25</v>
      </c>
      <c r="K31" s="138" t="s">
        <v>25</v>
      </c>
      <c r="L31" s="129" t="s">
        <v>25</v>
      </c>
      <c r="M31" s="129" t="s">
        <v>25</v>
      </c>
      <c r="N31" s="130" t="s">
        <v>2350</v>
      </c>
      <c r="O31" s="215" t="s">
        <v>25</v>
      </c>
      <c r="P31" s="215" t="s">
        <v>2356</v>
      </c>
      <c r="Q31" s="226" t="s">
        <v>25</v>
      </c>
      <c r="R31" s="215" t="s">
        <v>2360</v>
      </c>
      <c r="S31" s="223" t="s">
        <v>1480</v>
      </c>
      <c r="T31" s="173">
        <v>137000</v>
      </c>
      <c r="U31" s="173">
        <v>105000</v>
      </c>
      <c r="V31" s="173">
        <f t="shared" si="0"/>
        <v>137000</v>
      </c>
      <c r="W31" s="173">
        <f t="shared" si="1"/>
        <v>105000</v>
      </c>
      <c r="X31" s="241">
        <v>165000</v>
      </c>
      <c r="Y31" s="173" t="s">
        <v>25</v>
      </c>
      <c r="Z31" s="215" t="s">
        <v>25</v>
      </c>
      <c r="AA31" s="239" t="s">
        <v>2370</v>
      </c>
    </row>
    <row r="32" spans="2:27">
      <c r="B32" s="130">
        <v>96154</v>
      </c>
      <c r="C32" s="130" t="s">
        <v>74</v>
      </c>
      <c r="D32" s="130" t="s">
        <v>22</v>
      </c>
      <c r="E32" s="130" t="s">
        <v>20</v>
      </c>
      <c r="F32" s="137" t="s">
        <v>80</v>
      </c>
      <c r="G32" s="139">
        <v>109000</v>
      </c>
      <c r="H32" s="140">
        <v>1</v>
      </c>
      <c r="I32" s="141">
        <v>109000</v>
      </c>
      <c r="J32" s="130" t="s">
        <v>25</v>
      </c>
      <c r="K32" s="138" t="s">
        <v>25</v>
      </c>
      <c r="L32" s="129" t="s">
        <v>25</v>
      </c>
      <c r="M32" s="129" t="s">
        <v>25</v>
      </c>
      <c r="N32" s="130" t="s">
        <v>2349</v>
      </c>
      <c r="O32" s="215">
        <v>45834</v>
      </c>
      <c r="P32" s="215" t="s">
        <v>2355</v>
      </c>
      <c r="Q32" s="226">
        <v>45915</v>
      </c>
      <c r="R32" s="215" t="s">
        <v>2361</v>
      </c>
      <c r="S32" s="223" t="s">
        <v>1717</v>
      </c>
      <c r="T32" s="173">
        <v>187000</v>
      </c>
      <c r="U32" s="173">
        <v>131000</v>
      </c>
      <c r="V32" s="173">
        <f t="shared" ref="V32:V43" si="2">T32*H32</f>
        <v>187000</v>
      </c>
      <c r="W32" s="173">
        <f t="shared" ref="W32:W43" si="3">U32*H32</f>
        <v>131000</v>
      </c>
      <c r="X32" s="241">
        <v>169760</v>
      </c>
      <c r="Y32" s="173" t="s">
        <v>25</v>
      </c>
      <c r="Z32" s="215" t="s">
        <v>25</v>
      </c>
      <c r="AA32" s="239" t="s">
        <v>2370</v>
      </c>
    </row>
    <row r="33" spans="2:27">
      <c r="B33" s="130">
        <v>96155</v>
      </c>
      <c r="C33" s="130" t="s">
        <v>74</v>
      </c>
      <c r="D33" s="130" t="s">
        <v>22</v>
      </c>
      <c r="E33" s="130" t="s">
        <v>20</v>
      </c>
      <c r="F33" s="137" t="s">
        <v>80</v>
      </c>
      <c r="G33" s="139">
        <v>109000</v>
      </c>
      <c r="H33" s="140">
        <v>1</v>
      </c>
      <c r="I33" s="141">
        <v>109000</v>
      </c>
      <c r="J33" s="130" t="s">
        <v>25</v>
      </c>
      <c r="K33" s="138" t="s">
        <v>25</v>
      </c>
      <c r="L33" s="129" t="s">
        <v>25</v>
      </c>
      <c r="M33" s="129" t="s">
        <v>25</v>
      </c>
      <c r="N33" s="130" t="s">
        <v>2349</v>
      </c>
      <c r="O33" s="215">
        <v>45834</v>
      </c>
      <c r="P33" s="215" t="s">
        <v>2355</v>
      </c>
      <c r="Q33" s="226">
        <v>45915</v>
      </c>
      <c r="R33" s="215" t="s">
        <v>2361</v>
      </c>
      <c r="S33" s="223" t="s">
        <v>1711</v>
      </c>
      <c r="T33" s="173">
        <v>187000</v>
      </c>
      <c r="U33" s="173">
        <v>131000</v>
      </c>
      <c r="V33" s="173">
        <f t="shared" si="2"/>
        <v>187000</v>
      </c>
      <c r="W33" s="173">
        <f t="shared" si="3"/>
        <v>131000</v>
      </c>
      <c r="X33" s="241">
        <v>169760</v>
      </c>
      <c r="Y33" s="173" t="s">
        <v>25</v>
      </c>
      <c r="Z33" s="215" t="s">
        <v>25</v>
      </c>
      <c r="AA33" s="239" t="s">
        <v>2370</v>
      </c>
    </row>
    <row r="34" spans="2:27">
      <c r="B34" s="130">
        <v>96157</v>
      </c>
      <c r="C34" s="130" t="s">
        <v>74</v>
      </c>
      <c r="D34" s="130" t="s">
        <v>22</v>
      </c>
      <c r="E34" s="130" t="s">
        <v>20</v>
      </c>
      <c r="F34" s="137" t="s">
        <v>80</v>
      </c>
      <c r="G34" s="139">
        <v>62000</v>
      </c>
      <c r="H34" s="140">
        <v>1</v>
      </c>
      <c r="I34" s="141">
        <v>62000</v>
      </c>
      <c r="J34" s="130" t="s">
        <v>25</v>
      </c>
      <c r="K34" s="138" t="s">
        <v>25</v>
      </c>
      <c r="L34" s="129" t="s">
        <v>25</v>
      </c>
      <c r="M34" s="129" t="s">
        <v>25</v>
      </c>
      <c r="N34" s="130" t="s">
        <v>2349</v>
      </c>
      <c r="O34" s="215">
        <v>45834</v>
      </c>
      <c r="P34" s="215" t="s">
        <v>2355</v>
      </c>
      <c r="Q34" s="226">
        <v>45915</v>
      </c>
      <c r="R34" s="215" t="s">
        <v>2361</v>
      </c>
      <c r="S34" s="223" t="s">
        <v>1704</v>
      </c>
      <c r="T34" s="173">
        <v>101000</v>
      </c>
      <c r="U34" s="173">
        <v>65000</v>
      </c>
      <c r="V34" s="173">
        <f t="shared" si="2"/>
        <v>101000</v>
      </c>
      <c r="W34" s="173">
        <f t="shared" si="3"/>
        <v>65000</v>
      </c>
      <c r="X34" s="241">
        <v>138240</v>
      </c>
      <c r="Y34" s="173" t="s">
        <v>25</v>
      </c>
      <c r="Z34" s="215" t="s">
        <v>25</v>
      </c>
      <c r="AA34" s="239" t="s">
        <v>2370</v>
      </c>
    </row>
    <row r="35" spans="2:27">
      <c r="B35" s="130">
        <v>96156</v>
      </c>
      <c r="C35" s="130" t="s">
        <v>74</v>
      </c>
      <c r="D35" s="130" t="s">
        <v>22</v>
      </c>
      <c r="E35" s="130" t="s">
        <v>20</v>
      </c>
      <c r="F35" s="137" t="s">
        <v>80</v>
      </c>
      <c r="G35" s="139">
        <v>62000</v>
      </c>
      <c r="H35" s="140">
        <v>1</v>
      </c>
      <c r="I35" s="141">
        <v>62000</v>
      </c>
      <c r="J35" s="130" t="s">
        <v>25</v>
      </c>
      <c r="K35" s="138" t="s">
        <v>25</v>
      </c>
      <c r="L35" s="129" t="s">
        <v>25</v>
      </c>
      <c r="M35" s="129" t="s">
        <v>25</v>
      </c>
      <c r="N35" s="130" t="s">
        <v>2349</v>
      </c>
      <c r="O35" s="215">
        <v>45834</v>
      </c>
      <c r="P35" s="215" t="s">
        <v>2355</v>
      </c>
      <c r="Q35" s="226">
        <v>45915</v>
      </c>
      <c r="R35" s="215" t="s">
        <v>2361</v>
      </c>
      <c r="S35" s="223" t="s">
        <v>1697</v>
      </c>
      <c r="T35" s="173">
        <v>101000</v>
      </c>
      <c r="U35" s="173">
        <v>65000</v>
      </c>
      <c r="V35" s="173">
        <f t="shared" si="2"/>
        <v>101000</v>
      </c>
      <c r="W35" s="173">
        <f t="shared" si="3"/>
        <v>65000</v>
      </c>
      <c r="X35" s="241">
        <v>138240</v>
      </c>
      <c r="Y35" s="173" t="s">
        <v>25</v>
      </c>
      <c r="Z35" s="215" t="s">
        <v>25</v>
      </c>
      <c r="AA35" s="239" t="s">
        <v>2370</v>
      </c>
    </row>
    <row r="36" spans="2:27">
      <c r="B36" s="130">
        <v>96158</v>
      </c>
      <c r="C36" s="130" t="s">
        <v>74</v>
      </c>
      <c r="D36" s="130" t="s">
        <v>18</v>
      </c>
      <c r="E36" s="130" t="s">
        <v>20</v>
      </c>
      <c r="F36" s="137" t="s">
        <v>80</v>
      </c>
      <c r="G36" s="139">
        <v>127800</v>
      </c>
      <c r="H36" s="140">
        <v>1</v>
      </c>
      <c r="I36" s="141">
        <v>127800</v>
      </c>
      <c r="J36" s="130" t="s">
        <v>25</v>
      </c>
      <c r="K36" s="138" t="s">
        <v>25</v>
      </c>
      <c r="L36" s="129" t="s">
        <v>25</v>
      </c>
      <c r="M36" s="129" t="s">
        <v>25</v>
      </c>
      <c r="N36" s="130" t="s">
        <v>2349</v>
      </c>
      <c r="O36" s="215">
        <v>45834</v>
      </c>
      <c r="P36" s="215" t="s">
        <v>2355</v>
      </c>
      <c r="Q36" s="226">
        <v>45915</v>
      </c>
      <c r="R36" s="215" t="s">
        <v>2360</v>
      </c>
      <c r="S36" s="223" t="s">
        <v>1727</v>
      </c>
      <c r="T36" s="173">
        <v>144000</v>
      </c>
      <c r="U36" s="173">
        <v>101000</v>
      </c>
      <c r="V36" s="173">
        <f t="shared" si="2"/>
        <v>144000</v>
      </c>
      <c r="W36" s="173">
        <f t="shared" si="3"/>
        <v>101000</v>
      </c>
      <c r="X36" s="241">
        <v>158400</v>
      </c>
      <c r="Y36" s="173" t="s">
        <v>25</v>
      </c>
      <c r="Z36" s="215" t="s">
        <v>25</v>
      </c>
      <c r="AA36" s="239" t="s">
        <v>2370</v>
      </c>
    </row>
    <row r="37" spans="2:27">
      <c r="B37" s="130">
        <v>116945</v>
      </c>
      <c r="C37" s="130" t="s">
        <v>74</v>
      </c>
      <c r="D37" s="130" t="s">
        <v>22</v>
      </c>
      <c r="E37" s="130" t="s">
        <v>38</v>
      </c>
      <c r="F37" s="137" t="s">
        <v>80</v>
      </c>
      <c r="G37" s="139">
        <v>0</v>
      </c>
      <c r="H37" s="140">
        <v>1</v>
      </c>
      <c r="I37" s="141">
        <v>0</v>
      </c>
      <c r="J37" s="130" t="s">
        <v>25</v>
      </c>
      <c r="K37" s="138" t="s">
        <v>25</v>
      </c>
      <c r="L37" s="129" t="s">
        <v>25</v>
      </c>
      <c r="M37" s="129" t="s">
        <v>25</v>
      </c>
      <c r="N37" s="130" t="s">
        <v>2349</v>
      </c>
      <c r="O37" s="215">
        <v>45834</v>
      </c>
      <c r="P37" s="215" t="s">
        <v>2355</v>
      </c>
      <c r="Q37" s="226">
        <v>45902</v>
      </c>
      <c r="R37" s="215" t="s">
        <v>2361</v>
      </c>
      <c r="S37" s="223" t="s">
        <v>1575</v>
      </c>
      <c r="T37" s="173">
        <v>15000</v>
      </c>
      <c r="U37" s="173">
        <v>0</v>
      </c>
      <c r="V37" s="173">
        <f t="shared" si="2"/>
        <v>15000</v>
      </c>
      <c r="W37" s="173">
        <f t="shared" si="3"/>
        <v>0</v>
      </c>
      <c r="X37" s="241">
        <v>15000</v>
      </c>
      <c r="Y37" s="173" t="s">
        <v>25</v>
      </c>
      <c r="Z37" s="215" t="s">
        <v>25</v>
      </c>
      <c r="AA37" s="239" t="s">
        <v>2370</v>
      </c>
    </row>
    <row r="38" spans="2:27">
      <c r="B38" s="130">
        <v>116946</v>
      </c>
      <c r="C38" s="130" t="s">
        <v>74</v>
      </c>
      <c r="D38" s="130" t="s">
        <v>22</v>
      </c>
      <c r="E38" s="130" t="s">
        <v>38</v>
      </c>
      <c r="F38" s="137" t="s">
        <v>80</v>
      </c>
      <c r="G38" s="139">
        <v>0</v>
      </c>
      <c r="H38" s="140">
        <v>1</v>
      </c>
      <c r="I38" s="141">
        <v>0</v>
      </c>
      <c r="J38" s="130" t="s">
        <v>25</v>
      </c>
      <c r="K38" s="138" t="s">
        <v>25</v>
      </c>
      <c r="L38" s="129" t="s">
        <v>25</v>
      </c>
      <c r="M38" s="129" t="s">
        <v>25</v>
      </c>
      <c r="N38" s="130" t="s">
        <v>2349</v>
      </c>
      <c r="O38" s="215">
        <v>45834</v>
      </c>
      <c r="P38" s="215" t="s">
        <v>2355</v>
      </c>
      <c r="Q38" s="226">
        <v>45902</v>
      </c>
      <c r="R38" s="215" t="s">
        <v>2361</v>
      </c>
      <c r="S38" s="223" t="s">
        <v>1561</v>
      </c>
      <c r="T38" s="173">
        <v>15000</v>
      </c>
      <c r="U38" s="173">
        <v>0</v>
      </c>
      <c r="V38" s="173">
        <f t="shared" si="2"/>
        <v>15000</v>
      </c>
      <c r="W38" s="173">
        <f t="shared" si="3"/>
        <v>0</v>
      </c>
      <c r="X38" s="241">
        <v>15000</v>
      </c>
      <c r="Y38" s="173" t="s">
        <v>25</v>
      </c>
      <c r="Z38" s="215" t="s">
        <v>25</v>
      </c>
      <c r="AA38" s="239" t="s">
        <v>2370</v>
      </c>
    </row>
    <row r="39" spans="2:27">
      <c r="B39" s="243">
        <v>6660</v>
      </c>
      <c r="C39" s="243" t="s">
        <v>74</v>
      </c>
      <c r="D39" s="243" t="s">
        <v>18</v>
      </c>
      <c r="E39" s="243" t="s">
        <v>20</v>
      </c>
      <c r="F39" s="244" t="s">
        <v>80</v>
      </c>
      <c r="G39" s="245">
        <v>1923389.07</v>
      </c>
      <c r="H39" s="246">
        <v>0.33333333333333331</v>
      </c>
      <c r="I39" s="247">
        <v>641129.68999999994</v>
      </c>
      <c r="J39" s="243" t="s">
        <v>25</v>
      </c>
      <c r="K39" s="248" t="s">
        <v>25</v>
      </c>
      <c r="L39" s="249" t="s">
        <v>25</v>
      </c>
      <c r="M39" s="249" t="s">
        <v>25</v>
      </c>
      <c r="N39" s="243" t="s">
        <v>2349</v>
      </c>
      <c r="O39" s="250">
        <v>45834</v>
      </c>
      <c r="P39" s="250" t="s">
        <v>2355</v>
      </c>
      <c r="Q39" s="251">
        <v>46010</v>
      </c>
      <c r="R39" s="250" t="s">
        <v>2360</v>
      </c>
      <c r="S39" s="252" t="s">
        <v>1863</v>
      </c>
      <c r="T39" s="253">
        <v>1923389.07</v>
      </c>
      <c r="U39" s="253">
        <v>1923389.07</v>
      </c>
      <c r="V39" s="253">
        <f t="shared" si="2"/>
        <v>641129.68999999994</v>
      </c>
      <c r="W39" s="253">
        <f t="shared" si="3"/>
        <v>641129.68999999994</v>
      </c>
      <c r="X39" s="253" t="s">
        <v>2372</v>
      </c>
      <c r="Y39" s="253" t="s">
        <v>25</v>
      </c>
      <c r="Z39" s="250" t="s">
        <v>25</v>
      </c>
      <c r="AA39" s="250" t="s">
        <v>36</v>
      </c>
    </row>
    <row r="40" spans="2:27">
      <c r="B40" s="243">
        <v>11055</v>
      </c>
      <c r="C40" s="243" t="s">
        <v>74</v>
      </c>
      <c r="D40" s="243" t="s">
        <v>18</v>
      </c>
      <c r="E40" s="243" t="s">
        <v>20</v>
      </c>
      <c r="F40" s="244" t="s">
        <v>80</v>
      </c>
      <c r="G40" s="245">
        <v>1832137.33</v>
      </c>
      <c r="H40" s="246">
        <v>0.33333333333333331</v>
      </c>
      <c r="I40" s="247">
        <v>610712.44333333336</v>
      </c>
      <c r="J40" s="243" t="s">
        <v>25</v>
      </c>
      <c r="K40" s="248" t="s">
        <v>25</v>
      </c>
      <c r="L40" s="249" t="s">
        <v>25</v>
      </c>
      <c r="M40" s="249" t="s">
        <v>25</v>
      </c>
      <c r="N40" s="243" t="s">
        <v>2349</v>
      </c>
      <c r="O40" s="250">
        <v>45834</v>
      </c>
      <c r="P40" s="250" t="s">
        <v>2355</v>
      </c>
      <c r="Q40" s="251">
        <v>46003</v>
      </c>
      <c r="R40" s="250" t="s">
        <v>2360</v>
      </c>
      <c r="S40" s="252" t="s">
        <v>1856</v>
      </c>
      <c r="T40" s="253">
        <v>1832137.33</v>
      </c>
      <c r="U40" s="253">
        <v>1832137.33</v>
      </c>
      <c r="V40" s="253">
        <f t="shared" si="2"/>
        <v>610712.44333333336</v>
      </c>
      <c r="W40" s="253">
        <f t="shared" si="3"/>
        <v>610712.44333333336</v>
      </c>
      <c r="X40" s="253" t="s">
        <v>2372</v>
      </c>
      <c r="Y40" s="253" t="s">
        <v>25</v>
      </c>
      <c r="Z40" s="250" t="s">
        <v>25</v>
      </c>
      <c r="AA40" s="250" t="s">
        <v>36</v>
      </c>
    </row>
    <row r="41" spans="2:27">
      <c r="B41" s="243">
        <v>11054</v>
      </c>
      <c r="C41" s="243" t="s">
        <v>74</v>
      </c>
      <c r="D41" s="243" t="s">
        <v>18</v>
      </c>
      <c r="E41" s="243" t="s">
        <v>20</v>
      </c>
      <c r="F41" s="244" t="s">
        <v>80</v>
      </c>
      <c r="G41" s="245">
        <v>737278.6</v>
      </c>
      <c r="H41" s="246">
        <v>0.33333333333333331</v>
      </c>
      <c r="I41" s="247">
        <v>245759.53333333333</v>
      </c>
      <c r="J41" s="243" t="s">
        <v>25</v>
      </c>
      <c r="K41" s="248" t="s">
        <v>25</v>
      </c>
      <c r="L41" s="249" t="s">
        <v>25</v>
      </c>
      <c r="M41" s="249" t="s">
        <v>25</v>
      </c>
      <c r="N41" s="243" t="s">
        <v>2349</v>
      </c>
      <c r="O41" s="250">
        <v>45834</v>
      </c>
      <c r="P41" s="250" t="s">
        <v>2355</v>
      </c>
      <c r="Q41" s="251">
        <v>46003</v>
      </c>
      <c r="R41" s="250" t="s">
        <v>2360</v>
      </c>
      <c r="S41" s="252" t="s">
        <v>1861</v>
      </c>
      <c r="T41" s="253">
        <v>737278.6</v>
      </c>
      <c r="U41" s="253">
        <v>737278.6</v>
      </c>
      <c r="V41" s="253">
        <f t="shared" si="2"/>
        <v>245759.53333333333</v>
      </c>
      <c r="W41" s="253">
        <f t="shared" si="3"/>
        <v>245759.53333333333</v>
      </c>
      <c r="X41" s="253" t="s">
        <v>2372</v>
      </c>
      <c r="Y41" s="253" t="s">
        <v>25</v>
      </c>
      <c r="Z41" s="250" t="s">
        <v>25</v>
      </c>
      <c r="AA41" s="250" t="s">
        <v>36</v>
      </c>
    </row>
    <row r="42" spans="2:27">
      <c r="B42" s="243">
        <v>6529</v>
      </c>
      <c r="C42" s="243" t="s">
        <v>74</v>
      </c>
      <c r="D42" s="243" t="s">
        <v>22</v>
      </c>
      <c r="E42" s="243" t="s">
        <v>20</v>
      </c>
      <c r="F42" s="244" t="s">
        <v>80</v>
      </c>
      <c r="G42" s="245">
        <v>230000</v>
      </c>
      <c r="H42" s="246">
        <v>1</v>
      </c>
      <c r="I42" s="247">
        <v>230000</v>
      </c>
      <c r="J42" s="243" t="s">
        <v>25</v>
      </c>
      <c r="K42" s="248" t="s">
        <v>25</v>
      </c>
      <c r="L42" s="249" t="s">
        <v>25</v>
      </c>
      <c r="M42" s="249" t="s">
        <v>25</v>
      </c>
      <c r="N42" s="243" t="s">
        <v>2349</v>
      </c>
      <c r="O42" s="250">
        <v>45834</v>
      </c>
      <c r="P42" s="250" t="s">
        <v>2355</v>
      </c>
      <c r="Q42" s="251">
        <v>45898</v>
      </c>
      <c r="R42" s="250" t="s">
        <v>2361</v>
      </c>
      <c r="S42" s="252" t="s">
        <v>1608</v>
      </c>
      <c r="T42" s="253">
        <v>418000</v>
      </c>
      <c r="U42" s="253">
        <v>293000</v>
      </c>
      <c r="V42" s="253">
        <f t="shared" si="2"/>
        <v>418000</v>
      </c>
      <c r="W42" s="253">
        <f t="shared" si="3"/>
        <v>293000</v>
      </c>
      <c r="X42" s="253" t="s">
        <v>2372</v>
      </c>
      <c r="Y42" s="253" t="s">
        <v>25</v>
      </c>
      <c r="Z42" s="250" t="s">
        <v>25</v>
      </c>
      <c r="AA42" s="250" t="s">
        <v>36</v>
      </c>
    </row>
    <row r="43" spans="2:27">
      <c r="B43" s="243">
        <v>53194</v>
      </c>
      <c r="C43" s="243" t="s">
        <v>74</v>
      </c>
      <c r="D43" s="243" t="s">
        <v>22</v>
      </c>
      <c r="E43" s="243" t="s">
        <v>20</v>
      </c>
      <c r="F43" s="244" t="s">
        <v>80</v>
      </c>
      <c r="G43" s="245">
        <v>222000</v>
      </c>
      <c r="H43" s="246">
        <v>1</v>
      </c>
      <c r="I43" s="247">
        <v>222000</v>
      </c>
      <c r="J43" s="243" t="s">
        <v>25</v>
      </c>
      <c r="K43" s="248" t="s">
        <v>25</v>
      </c>
      <c r="L43" s="249" t="s">
        <v>25</v>
      </c>
      <c r="M43" s="249" t="s">
        <v>25</v>
      </c>
      <c r="N43" s="243" t="s">
        <v>2349</v>
      </c>
      <c r="O43" s="250">
        <v>45834</v>
      </c>
      <c r="P43" s="250" t="s">
        <v>2355</v>
      </c>
      <c r="Q43" s="251">
        <v>45898</v>
      </c>
      <c r="R43" s="250" t="s">
        <v>2361</v>
      </c>
      <c r="S43" s="252" t="s">
        <v>1599</v>
      </c>
      <c r="T43" s="253">
        <v>414000</v>
      </c>
      <c r="U43" s="253">
        <v>290000</v>
      </c>
      <c r="V43" s="253">
        <f t="shared" si="2"/>
        <v>414000</v>
      </c>
      <c r="W43" s="253">
        <f t="shared" si="3"/>
        <v>290000</v>
      </c>
      <c r="X43" s="253" t="s">
        <v>2372</v>
      </c>
      <c r="Y43" s="253" t="s">
        <v>25</v>
      </c>
      <c r="Z43" s="250" t="s">
        <v>25</v>
      </c>
      <c r="AA43" s="250" t="s">
        <v>36</v>
      </c>
    </row>
    <row r="44" spans="2:27">
      <c r="B44" s="243">
        <v>6549</v>
      </c>
      <c r="C44" s="243" t="s">
        <v>74</v>
      </c>
      <c r="D44" s="243" t="s">
        <v>22</v>
      </c>
      <c r="E44" s="243" t="s">
        <v>20</v>
      </c>
      <c r="F44" s="244" t="s">
        <v>80</v>
      </c>
      <c r="G44" s="245">
        <v>822000</v>
      </c>
      <c r="H44" s="246">
        <v>1</v>
      </c>
      <c r="I44" s="247">
        <v>822000</v>
      </c>
      <c r="J44" s="243" t="s">
        <v>25</v>
      </c>
      <c r="K44" s="248" t="s">
        <v>25</v>
      </c>
      <c r="L44" s="249" t="s">
        <v>25</v>
      </c>
      <c r="M44" s="249" t="s">
        <v>25</v>
      </c>
      <c r="N44" s="243" t="s">
        <v>2349</v>
      </c>
      <c r="O44" s="250">
        <v>45834</v>
      </c>
      <c r="P44" s="250" t="s">
        <v>2355</v>
      </c>
      <c r="Q44" s="251">
        <v>46010</v>
      </c>
      <c r="R44" s="250" t="s">
        <v>2361</v>
      </c>
      <c r="S44" s="252" t="s">
        <v>1824</v>
      </c>
      <c r="T44" s="253">
        <v>0</v>
      </c>
      <c r="U44" s="253">
        <v>0</v>
      </c>
      <c r="V44" s="253">
        <f t="shared" si="0"/>
        <v>0</v>
      </c>
      <c r="W44" s="253">
        <f t="shared" si="1"/>
        <v>0</v>
      </c>
      <c r="X44" s="253" t="s">
        <v>2372</v>
      </c>
      <c r="Y44" s="253" t="s">
        <v>25</v>
      </c>
      <c r="Z44" s="250" t="s">
        <v>25</v>
      </c>
      <c r="AA44" s="250" t="s">
        <v>36</v>
      </c>
    </row>
    <row r="45" spans="2:27">
      <c r="B45" s="254">
        <v>96153</v>
      </c>
      <c r="C45" s="254" t="s">
        <v>74</v>
      </c>
      <c r="D45" s="254" t="s">
        <v>22</v>
      </c>
      <c r="E45" s="254" t="s">
        <v>20</v>
      </c>
      <c r="F45" s="255" t="s">
        <v>80</v>
      </c>
      <c r="G45" s="256">
        <v>109000</v>
      </c>
      <c r="H45" s="257">
        <v>1</v>
      </c>
      <c r="I45" s="258">
        <v>109000</v>
      </c>
      <c r="J45" s="254" t="s">
        <v>25</v>
      </c>
      <c r="K45" s="259" t="s">
        <v>25</v>
      </c>
      <c r="L45" s="260" t="s">
        <v>25</v>
      </c>
      <c r="M45" s="260" t="s">
        <v>25</v>
      </c>
      <c r="N45" s="254" t="s">
        <v>2349</v>
      </c>
      <c r="O45" s="261">
        <v>45834</v>
      </c>
      <c r="P45" s="261" t="s">
        <v>2356</v>
      </c>
      <c r="Q45" s="262" t="s">
        <v>25</v>
      </c>
      <c r="R45" s="261" t="s">
        <v>2361</v>
      </c>
      <c r="S45" s="263" t="s">
        <v>1722</v>
      </c>
      <c r="T45" s="264">
        <v>187000</v>
      </c>
      <c r="U45" s="264">
        <v>131000</v>
      </c>
      <c r="V45" s="264">
        <f t="shared" si="0"/>
        <v>187000</v>
      </c>
      <c r="W45" s="264">
        <f t="shared" si="1"/>
        <v>131000</v>
      </c>
      <c r="X45" s="264" t="s">
        <v>2372</v>
      </c>
      <c r="Y45" s="264" t="s">
        <v>25</v>
      </c>
      <c r="Z45" s="261" t="s">
        <v>25</v>
      </c>
      <c r="AA45" s="261" t="s">
        <v>36</v>
      </c>
    </row>
    <row r="46" spans="2:27">
      <c r="G46" s="150">
        <f>SUM(G5:G45)</f>
        <v>21429554</v>
      </c>
      <c r="H46" s="138"/>
      <c r="I46" s="150">
        <f>SUM(I5:I45)</f>
        <v>17871567.333333332</v>
      </c>
      <c r="K46" s="150">
        <f>SUM(K5:K45)</f>
        <v>3100000</v>
      </c>
      <c r="Q46" s="223"/>
    </row>
  </sheetData>
  <mergeCells count="2">
    <mergeCell ref="B3:E3"/>
    <mergeCell ref="G3:W3"/>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FD555-D43F-4216-BEC8-F57060C15CF1}">
  <dimension ref="B1:Q46"/>
  <sheetViews>
    <sheetView workbookViewId="0"/>
  </sheetViews>
  <sheetFormatPr defaultRowHeight="15"/>
  <cols>
    <col min="2" max="3" width="18.28515625" style="217" customWidth="1"/>
    <col min="4" max="4" width="15.85546875" style="2" customWidth="1"/>
    <col min="5" max="5" width="15.85546875" customWidth="1"/>
    <col min="6" max="6" width="19.140625" style="217" customWidth="1"/>
    <col min="8" max="8" width="9.5703125" style="2" hidden="1" customWidth="1"/>
    <col min="17" max="17" width="9.140625" style="30"/>
  </cols>
  <sheetData>
    <row r="1" spans="2:8">
      <c r="F1" s="220"/>
    </row>
    <row r="2" spans="2:8">
      <c r="B2" s="221" t="s">
        <v>69</v>
      </c>
      <c r="C2" s="221" t="s">
        <v>877</v>
      </c>
      <c r="D2" s="221" t="s">
        <v>2352</v>
      </c>
      <c r="E2" s="221" t="s">
        <v>2354</v>
      </c>
      <c r="F2" s="222" t="s">
        <v>2351</v>
      </c>
      <c r="H2" s="221" t="s">
        <v>2353</v>
      </c>
    </row>
    <row r="3" spans="2:8">
      <c r="B3" s="2">
        <v>78783</v>
      </c>
      <c r="C3" s="218">
        <v>45923</v>
      </c>
      <c r="D3" s="2" t="s">
        <v>862</v>
      </c>
      <c r="E3" s="163">
        <v>45834</v>
      </c>
      <c r="F3" s="219">
        <v>306.38</v>
      </c>
      <c r="H3" s="2">
        <v>22</v>
      </c>
    </row>
    <row r="4" spans="2:8">
      <c r="B4" s="2">
        <v>78783</v>
      </c>
      <c r="C4" s="218">
        <v>45923</v>
      </c>
      <c r="D4" s="2" t="s">
        <v>864</v>
      </c>
      <c r="E4" s="163">
        <v>45834</v>
      </c>
      <c r="F4" s="219">
        <v>276.45999999999998</v>
      </c>
      <c r="H4" s="2">
        <v>22</v>
      </c>
    </row>
    <row r="5" spans="2:8">
      <c r="B5" s="2">
        <v>78783</v>
      </c>
      <c r="C5" s="218">
        <v>45923</v>
      </c>
      <c r="D5" s="2" t="s">
        <v>860</v>
      </c>
      <c r="E5" s="163">
        <v>45834</v>
      </c>
      <c r="F5" s="219">
        <v>52.35</v>
      </c>
      <c r="H5" s="2">
        <v>22</v>
      </c>
    </row>
    <row r="6" spans="2:8">
      <c r="B6" s="2">
        <v>78783</v>
      </c>
      <c r="C6" s="218">
        <v>45923</v>
      </c>
      <c r="D6" s="2" t="s">
        <v>858</v>
      </c>
      <c r="E6" s="163">
        <v>45834</v>
      </c>
      <c r="F6" s="219">
        <v>14.95</v>
      </c>
      <c r="H6" s="2">
        <v>22</v>
      </c>
    </row>
    <row r="7" spans="2:8">
      <c r="B7" s="2">
        <v>78785</v>
      </c>
      <c r="C7" s="218">
        <v>45923</v>
      </c>
      <c r="D7" s="2" t="s">
        <v>862</v>
      </c>
      <c r="E7" s="163">
        <v>45834</v>
      </c>
      <c r="F7" s="219">
        <v>973.31</v>
      </c>
      <c r="H7" s="2">
        <v>32</v>
      </c>
    </row>
    <row r="8" spans="2:8">
      <c r="B8" s="2">
        <v>78785</v>
      </c>
      <c r="C8" s="218">
        <v>45923</v>
      </c>
      <c r="D8" s="2" t="s">
        <v>864</v>
      </c>
      <c r="E8" s="163">
        <v>45834</v>
      </c>
      <c r="F8" s="219">
        <v>973.31</v>
      </c>
      <c r="H8" s="2">
        <v>32</v>
      </c>
    </row>
    <row r="9" spans="2:8">
      <c r="B9" s="2">
        <v>78785</v>
      </c>
      <c r="C9" s="218">
        <v>45923</v>
      </c>
      <c r="D9" s="2" t="s">
        <v>860</v>
      </c>
      <c r="E9" s="163">
        <v>45834</v>
      </c>
      <c r="F9" s="219">
        <v>973.31</v>
      </c>
      <c r="H9" s="2">
        <v>32</v>
      </c>
    </row>
    <row r="10" spans="2:8">
      <c r="B10" s="2">
        <v>78785</v>
      </c>
      <c r="C10" s="218">
        <v>45923</v>
      </c>
      <c r="D10" s="2" t="s">
        <v>858</v>
      </c>
      <c r="E10" s="163">
        <v>45834</v>
      </c>
      <c r="F10" s="219">
        <v>973.31</v>
      </c>
      <c r="H10" s="2">
        <v>32</v>
      </c>
    </row>
    <row r="11" spans="2:8">
      <c r="B11" s="2">
        <v>78786</v>
      </c>
      <c r="C11" s="218">
        <v>45923</v>
      </c>
      <c r="D11" s="2" t="s">
        <v>862</v>
      </c>
      <c r="E11" s="163">
        <v>45834</v>
      </c>
      <c r="F11" s="219">
        <v>2015.69</v>
      </c>
      <c r="H11" s="2">
        <v>41</v>
      </c>
    </row>
    <row r="12" spans="2:8">
      <c r="B12" s="2">
        <v>78786</v>
      </c>
      <c r="C12" s="218">
        <v>45923</v>
      </c>
      <c r="D12" s="2" t="s">
        <v>860</v>
      </c>
      <c r="E12" s="163">
        <v>45834</v>
      </c>
      <c r="F12" s="219">
        <v>949.77</v>
      </c>
      <c r="H12" s="2">
        <v>41</v>
      </c>
    </row>
    <row r="13" spans="2:8">
      <c r="B13" s="2">
        <v>78787</v>
      </c>
      <c r="C13" s="218">
        <v>45923</v>
      </c>
      <c r="D13" s="2" t="s">
        <v>862</v>
      </c>
      <c r="E13" s="163">
        <v>45834</v>
      </c>
      <c r="F13" s="219">
        <v>827.87</v>
      </c>
      <c r="H13" s="2">
        <v>42</v>
      </c>
    </row>
    <row r="14" spans="2:8">
      <c r="B14" s="2">
        <v>78787</v>
      </c>
      <c r="C14" s="218">
        <v>45923</v>
      </c>
      <c r="D14" s="2" t="s">
        <v>864</v>
      </c>
      <c r="E14" s="163">
        <v>45834</v>
      </c>
      <c r="F14" s="219">
        <v>827.87</v>
      </c>
      <c r="H14" s="2">
        <v>42</v>
      </c>
    </row>
    <row r="15" spans="2:8">
      <c r="B15" s="2">
        <v>78787</v>
      </c>
      <c r="C15" s="218">
        <v>45923</v>
      </c>
      <c r="D15" s="2" t="s">
        <v>860</v>
      </c>
      <c r="E15" s="163">
        <v>45834</v>
      </c>
      <c r="F15" s="219">
        <v>477.87</v>
      </c>
      <c r="H15" s="2">
        <v>42</v>
      </c>
    </row>
    <row r="16" spans="2:8">
      <c r="B16" s="2">
        <v>78787</v>
      </c>
      <c r="C16" s="218">
        <v>45923</v>
      </c>
      <c r="D16" s="2" t="s">
        <v>858</v>
      </c>
      <c r="E16" s="163">
        <v>45834</v>
      </c>
      <c r="F16" s="219">
        <v>827.87</v>
      </c>
      <c r="H16" s="2">
        <v>42</v>
      </c>
    </row>
    <row r="17" spans="2:8">
      <c r="B17" s="233" t="s">
        <v>2362</v>
      </c>
      <c r="C17" s="233"/>
      <c r="D17" s="234"/>
      <c r="E17" s="235"/>
      <c r="F17" s="236">
        <f>SUM(F3:F16)</f>
        <v>10470.320000000003</v>
      </c>
      <c r="H17" s="234"/>
    </row>
    <row r="46" spans="17:17">
      <c r="Q46" s="33"/>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000CC-5C1B-4976-A5D5-F2F4C9A9E31A}">
  <dimension ref="B2:D18"/>
  <sheetViews>
    <sheetView workbookViewId="0"/>
  </sheetViews>
  <sheetFormatPr defaultColWidth="18.28515625" defaultRowHeight="15"/>
  <cols>
    <col min="2" max="2" width="14.140625" style="219" bestFit="1" customWidth="1"/>
    <col min="3" max="3" width="16.85546875" style="217" bestFit="1" customWidth="1"/>
    <col min="4" max="4" width="18.28515625" style="2"/>
  </cols>
  <sheetData>
    <row r="2" spans="2:4">
      <c r="B2" s="238" t="s">
        <v>2363</v>
      </c>
      <c r="C2" s="237" t="s">
        <v>2364</v>
      </c>
      <c r="D2" s="237" t="s">
        <v>2365</v>
      </c>
    </row>
    <row r="3" spans="2:4">
      <c r="B3" s="219">
        <v>973.31</v>
      </c>
      <c r="C3" s="218">
        <v>45973</v>
      </c>
      <c r="D3" s="2">
        <v>3039</v>
      </c>
    </row>
    <row r="4" spans="2:4">
      <c r="B4" s="219">
        <v>851.3</v>
      </c>
      <c r="C4" s="218">
        <v>45978</v>
      </c>
      <c r="D4" s="2">
        <v>3026</v>
      </c>
    </row>
    <row r="5" spans="2:4">
      <c r="B5" s="219">
        <v>577.87</v>
      </c>
      <c r="C5" s="218">
        <v>45982</v>
      </c>
      <c r="D5" s="2">
        <v>3150</v>
      </c>
    </row>
    <row r="6" spans="2:4">
      <c r="B6" s="219">
        <v>1065.92</v>
      </c>
      <c r="C6" s="218">
        <v>45986</v>
      </c>
      <c r="D6" s="2">
        <v>3012</v>
      </c>
    </row>
    <row r="7" spans="2:4">
      <c r="B7" s="219">
        <v>956.09</v>
      </c>
      <c r="C7" s="218">
        <v>45987</v>
      </c>
      <c r="D7" s="2">
        <v>3367</v>
      </c>
    </row>
    <row r="8" spans="2:4">
      <c r="B8" s="219">
        <v>973.31</v>
      </c>
      <c r="C8" s="218">
        <v>46002</v>
      </c>
      <c r="D8" s="2">
        <v>3039</v>
      </c>
    </row>
    <row r="9" spans="2:4">
      <c r="B9" s="219">
        <v>851.3</v>
      </c>
      <c r="C9" s="218">
        <v>46009</v>
      </c>
      <c r="D9" s="2">
        <v>3026</v>
      </c>
    </row>
    <row r="10" spans="2:4">
      <c r="B10" s="219">
        <v>827.27</v>
      </c>
      <c r="C10" s="218">
        <v>46380</v>
      </c>
      <c r="D10" s="2">
        <v>3150</v>
      </c>
    </row>
    <row r="11" spans="2:4">
      <c r="B11" s="219">
        <v>956.09</v>
      </c>
      <c r="C11" s="218">
        <v>46020</v>
      </c>
      <c r="D11" s="2">
        <v>3367</v>
      </c>
    </row>
    <row r="12" spans="2:4">
      <c r="B12" s="219">
        <v>975.8</v>
      </c>
      <c r="C12" s="218">
        <v>46035</v>
      </c>
      <c r="D12" s="2">
        <v>3039</v>
      </c>
    </row>
    <row r="13" spans="2:4">
      <c r="B13" s="219">
        <v>853.8</v>
      </c>
      <c r="C13" s="218">
        <v>46041</v>
      </c>
      <c r="D13" s="2">
        <v>3026</v>
      </c>
    </row>
    <row r="14" spans="2:4">
      <c r="B14" s="219">
        <v>1419.51</v>
      </c>
      <c r="C14" s="218">
        <v>46048</v>
      </c>
      <c r="D14" s="2">
        <v>3150</v>
      </c>
    </row>
    <row r="15" spans="2:4">
      <c r="B15" s="219">
        <v>1209.26</v>
      </c>
      <c r="C15" s="218">
        <v>46048</v>
      </c>
      <c r="D15" s="2">
        <v>3367</v>
      </c>
    </row>
    <row r="16" spans="2:4">
      <c r="B16" s="219">
        <v>1065.92</v>
      </c>
      <c r="C16" s="218">
        <v>46050</v>
      </c>
      <c r="D16" s="2">
        <v>3012</v>
      </c>
    </row>
    <row r="17" spans="2:4">
      <c r="B17" s="219">
        <v>3947.22</v>
      </c>
      <c r="C17" s="218">
        <v>45965</v>
      </c>
      <c r="D17" s="2">
        <v>3026</v>
      </c>
    </row>
    <row r="18" spans="2:4">
      <c r="B18" s="219">
        <v>3808.24</v>
      </c>
      <c r="C18" s="218">
        <v>45965</v>
      </c>
      <c r="D18" s="2">
        <v>3012</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2C3A9-15F1-4693-B703-F7F3C51D68CF}">
  <sheetPr>
    <tabColor theme="1"/>
  </sheetPr>
  <dimension ref="A2:Y65"/>
  <sheetViews>
    <sheetView showGridLines="0" zoomScale="85" zoomScaleNormal="85" workbookViewId="0"/>
  </sheetViews>
  <sheetFormatPr defaultRowHeight="15"/>
  <cols>
    <col min="1" max="1" width="17.7109375" customWidth="1"/>
    <col min="2" max="2" width="9" bestFit="1" customWidth="1"/>
    <col min="3" max="3" width="9.28515625" bestFit="1" customWidth="1"/>
    <col min="4" max="4" width="17.42578125" bestFit="1" customWidth="1"/>
    <col min="5" max="5" width="12.42578125" bestFit="1" customWidth="1"/>
    <col min="6" max="6" width="23.42578125" bestFit="1" customWidth="1"/>
    <col min="7" max="7" width="11.7109375" bestFit="1" customWidth="1"/>
    <col min="8" max="8" width="14" bestFit="1" customWidth="1"/>
    <col min="9" max="9" width="16.5703125" bestFit="1" customWidth="1"/>
    <col min="10" max="10" width="12.5703125" bestFit="1" customWidth="1"/>
    <col min="11" max="11" width="12.28515625" bestFit="1" customWidth="1"/>
    <col min="12" max="12" width="10.28515625" style="2" bestFit="1" customWidth="1"/>
    <col min="13" max="13" width="17.5703125" style="2" bestFit="1" customWidth="1"/>
    <col min="14" max="14" width="14.5703125" bestFit="1" customWidth="1"/>
    <col min="15" max="15" width="11.7109375" style="28" bestFit="1" customWidth="1"/>
    <col min="16" max="16" width="4.7109375" bestFit="1" customWidth="1"/>
    <col min="18" max="18" width="12.7109375" customWidth="1"/>
    <col min="19" max="19" width="15.42578125" customWidth="1"/>
    <col min="20" max="20" width="13.85546875" bestFit="1" customWidth="1"/>
    <col min="21" max="21" width="16" bestFit="1" customWidth="1"/>
    <col min="22" max="22" width="19.140625" bestFit="1" customWidth="1"/>
    <col min="23" max="23" width="14.42578125" customWidth="1"/>
    <col min="24" max="24" width="13.28515625" bestFit="1" customWidth="1"/>
    <col min="25" max="25" width="5.7109375" bestFit="1" customWidth="1"/>
  </cols>
  <sheetData>
    <row r="2" spans="1:24">
      <c r="L2" s="1"/>
      <c r="M2" s="44" t="s">
        <v>0</v>
      </c>
      <c r="O2" s="23"/>
    </row>
    <row r="3" spans="1:24">
      <c r="J3" s="3"/>
      <c r="L3" s="8">
        <f>SUM(L5:L45)</f>
        <v>23939000</v>
      </c>
      <c r="M3" s="8">
        <f>SUM(M5:M45)</f>
        <v>21429554</v>
      </c>
      <c r="N3" s="3"/>
      <c r="O3" s="22">
        <f>SUM(O5:O45)</f>
        <v>17871567.333333332</v>
      </c>
      <c r="R3" s="3"/>
    </row>
    <row r="4" spans="1:24">
      <c r="B4" s="4" t="s">
        <v>1</v>
      </c>
      <c r="C4" s="5" t="s">
        <v>2</v>
      </c>
      <c r="D4" s="5" t="s">
        <v>3</v>
      </c>
      <c r="E4" s="5" t="s">
        <v>4</v>
      </c>
      <c r="F4" s="5" t="s">
        <v>5</v>
      </c>
      <c r="G4" s="5" t="s">
        <v>6</v>
      </c>
      <c r="H4" s="5" t="s">
        <v>7</v>
      </c>
      <c r="I4" s="5" t="s">
        <v>8</v>
      </c>
      <c r="J4" s="6" t="s">
        <v>9</v>
      </c>
      <c r="K4" s="5" t="s">
        <v>10</v>
      </c>
      <c r="L4" s="7" t="s">
        <v>11</v>
      </c>
      <c r="M4" s="7" t="s">
        <v>12</v>
      </c>
      <c r="N4" s="5" t="s">
        <v>13</v>
      </c>
      <c r="O4" s="24" t="s">
        <v>14</v>
      </c>
      <c r="R4" s="279" t="s">
        <v>15</v>
      </c>
      <c r="S4" s="280"/>
      <c r="T4" s="280"/>
      <c r="U4" s="280"/>
      <c r="V4" s="280"/>
      <c r="W4" s="280"/>
      <c r="X4" s="281"/>
    </row>
    <row r="5" spans="1:24" ht="16.5" customHeight="1">
      <c r="A5" s="94" t="s">
        <v>64</v>
      </c>
      <c r="B5" s="96" t="s">
        <v>16</v>
      </c>
      <c r="C5" s="95">
        <v>23299</v>
      </c>
      <c r="D5" s="95">
        <v>1</v>
      </c>
      <c r="E5" s="95" t="str">
        <f>IFERROR(VLOOKUP(C5,$U$22:$U$27,1,0),"-")</f>
        <v>-</v>
      </c>
      <c r="F5" s="97" t="s">
        <v>17</v>
      </c>
      <c r="G5" s="95" t="s">
        <v>18</v>
      </c>
      <c r="H5" s="95" t="s">
        <v>19</v>
      </c>
      <c r="I5" s="97" t="s">
        <v>20</v>
      </c>
      <c r="J5" s="98">
        <v>45189.369444444441</v>
      </c>
      <c r="K5" s="97" t="s">
        <v>21</v>
      </c>
      <c r="L5" s="95">
        <f>VLOOKUP(C5,[14]Planilha1!M:N,2,0)</f>
        <v>6683000</v>
      </c>
      <c r="M5" s="95">
        <v>3833000</v>
      </c>
      <c r="N5" s="99">
        <v>1</v>
      </c>
      <c r="O5" s="100">
        <f t="shared" ref="O5:O45" si="0">N5*M5</f>
        <v>3833000</v>
      </c>
      <c r="R5" s="282"/>
      <c r="S5" s="283"/>
      <c r="T5" s="283"/>
      <c r="U5" s="283"/>
      <c r="V5" s="283"/>
      <c r="W5" s="283"/>
      <c r="X5" s="284"/>
    </row>
    <row r="6" spans="1:24" ht="16.5" customHeight="1">
      <c r="A6" s="94" t="s">
        <v>56</v>
      </c>
      <c r="B6" s="89" t="s">
        <v>16</v>
      </c>
      <c r="C6" s="86">
        <v>48207</v>
      </c>
      <c r="D6" s="86">
        <v>1</v>
      </c>
      <c r="E6" s="86" t="str">
        <f>IFERROR(VLOOKUP(C6,$U$22:$U$27,1,0),"-")</f>
        <v>-</v>
      </c>
      <c r="F6" s="90" t="s">
        <v>17</v>
      </c>
      <c r="G6" s="86" t="s">
        <v>22</v>
      </c>
      <c r="H6" s="86" t="s">
        <v>19</v>
      </c>
      <c r="I6" s="90" t="s">
        <v>20</v>
      </c>
      <c r="J6" s="91">
        <v>45804.5</v>
      </c>
      <c r="K6" s="90" t="s">
        <v>23</v>
      </c>
      <c r="L6" s="92">
        <f>VLOOKUP(C6,[14]Planilha1!M:N,2,0)</f>
        <v>2725000</v>
      </c>
      <c r="M6" s="92">
        <v>2217000</v>
      </c>
      <c r="N6" s="93">
        <v>1</v>
      </c>
      <c r="O6" s="87">
        <f t="shared" si="0"/>
        <v>2217000</v>
      </c>
      <c r="R6" s="285"/>
      <c r="S6" s="286"/>
      <c r="T6" s="286"/>
      <c r="U6" s="286"/>
      <c r="V6" s="286"/>
      <c r="W6" s="286"/>
      <c r="X6" s="287"/>
    </row>
    <row r="7" spans="1:24">
      <c r="A7" s="94" t="s">
        <v>57</v>
      </c>
      <c r="B7" s="96" t="s">
        <v>16</v>
      </c>
      <c r="C7" s="95">
        <v>6660</v>
      </c>
      <c r="D7" s="95">
        <v>1</v>
      </c>
      <c r="E7" s="95" t="str">
        <f>IFERROR(VLOOKUP(C7,$U$22:$U$27,1,0),"-")</f>
        <v>-</v>
      </c>
      <c r="F7" s="97" t="s">
        <v>17</v>
      </c>
      <c r="G7" s="95" t="s">
        <v>18</v>
      </c>
      <c r="H7" s="95" t="s">
        <v>19</v>
      </c>
      <c r="I7" s="97" t="s">
        <v>20</v>
      </c>
      <c r="J7" s="98">
        <v>45211.867361111108</v>
      </c>
      <c r="K7" s="97" t="s">
        <v>23</v>
      </c>
      <c r="L7" s="95">
        <f>VLOOKUP(C7,[14]Planilha1!M:N,2,0)</f>
        <v>4316000</v>
      </c>
      <c r="M7" s="95">
        <v>1923389.07</v>
      </c>
      <c r="N7" s="99">
        <v>0.33333333333333331</v>
      </c>
      <c r="O7" s="100">
        <f t="shared" si="0"/>
        <v>641129.68999999994</v>
      </c>
    </row>
    <row r="8" spans="1:24">
      <c r="A8" s="94" t="s">
        <v>57</v>
      </c>
      <c r="B8" s="96" t="s">
        <v>16</v>
      </c>
      <c r="C8" s="95">
        <v>11055</v>
      </c>
      <c r="D8" s="95">
        <v>1</v>
      </c>
      <c r="E8" s="95" t="str">
        <f>IFERROR(VLOOKUP(C8,$U$22:$U$27,1,0),"-")</f>
        <v>-</v>
      </c>
      <c r="F8" s="97" t="s">
        <v>17</v>
      </c>
      <c r="G8" s="95" t="s">
        <v>18</v>
      </c>
      <c r="H8" s="95" t="s">
        <v>19</v>
      </c>
      <c r="I8" s="97" t="s">
        <v>20</v>
      </c>
      <c r="J8" s="98">
        <v>45211.867361111108</v>
      </c>
      <c r="K8" s="97" t="s">
        <v>23</v>
      </c>
      <c r="L8" s="101">
        <f>VLOOKUP(C8,[14]Planilha1!M:N,2,0)</f>
        <v>0</v>
      </c>
      <c r="M8" s="101">
        <v>1832137.33</v>
      </c>
      <c r="N8" s="99">
        <v>0.33333333333333331</v>
      </c>
      <c r="O8" s="102">
        <f t="shared" si="0"/>
        <v>610712.44333333336</v>
      </c>
      <c r="U8" t="s">
        <v>24</v>
      </c>
    </row>
    <row r="9" spans="1:24">
      <c r="A9" s="94" t="s">
        <v>57</v>
      </c>
      <c r="B9" s="96" t="s">
        <v>16</v>
      </c>
      <c r="C9" s="95">
        <v>11054</v>
      </c>
      <c r="D9" s="95">
        <v>1</v>
      </c>
      <c r="E9" s="95" t="str">
        <f>IFERROR(VLOOKUP(C9,$U$22:$U$27,1,0),"-")</f>
        <v>-</v>
      </c>
      <c r="F9" s="97" t="s">
        <v>17</v>
      </c>
      <c r="G9" s="95" t="s">
        <v>18</v>
      </c>
      <c r="H9" s="95" t="s">
        <v>19</v>
      </c>
      <c r="I9" s="97" t="s">
        <v>20</v>
      </c>
      <c r="J9" s="98">
        <v>45211.867361111108</v>
      </c>
      <c r="K9" s="97" t="s">
        <v>23</v>
      </c>
      <c r="L9" s="95">
        <f>VLOOKUP(C9,[14]Planilha1!M:N,2,0)</f>
        <v>0</v>
      </c>
      <c r="M9" s="95">
        <v>737278.6</v>
      </c>
      <c r="N9" s="99">
        <v>0.33333333333333331</v>
      </c>
      <c r="O9" s="100">
        <f t="shared" si="0"/>
        <v>245759.53333333333</v>
      </c>
    </row>
    <row r="10" spans="1:24">
      <c r="A10" s="117" t="s">
        <v>61</v>
      </c>
      <c r="B10" s="72" t="s">
        <v>16</v>
      </c>
      <c r="C10" s="81">
        <v>72157</v>
      </c>
      <c r="D10" s="81" t="s">
        <v>25</v>
      </c>
      <c r="E10" s="81">
        <v>1</v>
      </c>
      <c r="F10" s="78" t="s">
        <v>17</v>
      </c>
      <c r="G10" s="81" t="s">
        <v>18</v>
      </c>
      <c r="H10" s="81" t="s">
        <v>19</v>
      </c>
      <c r="I10" s="78" t="s">
        <v>20</v>
      </c>
      <c r="J10" s="82">
        <v>45190.7</v>
      </c>
      <c r="K10" s="78" t="s">
        <v>23</v>
      </c>
      <c r="L10" s="83">
        <f>VLOOKUP(C10,[14]Planilha1!M:N,2,0)</f>
        <v>1704000</v>
      </c>
      <c r="M10" s="83">
        <v>1593000</v>
      </c>
      <c r="N10" s="84">
        <v>1</v>
      </c>
      <c r="O10" s="45">
        <f t="shared" si="0"/>
        <v>1593000</v>
      </c>
      <c r="P10" t="s">
        <v>67</v>
      </c>
      <c r="R10" s="42" t="s">
        <v>26</v>
      </c>
      <c r="S10" s="43"/>
    </row>
    <row r="11" spans="1:24">
      <c r="A11" s="117" t="s">
        <v>61</v>
      </c>
      <c r="B11" t="s">
        <v>16</v>
      </c>
      <c r="C11" s="46">
        <v>32744</v>
      </c>
      <c r="D11" s="8" t="s">
        <v>25</v>
      </c>
      <c r="E11" s="8">
        <v>1</v>
      </c>
      <c r="F11" s="2" t="s">
        <v>17</v>
      </c>
      <c r="G11" s="8" t="s">
        <v>22</v>
      </c>
      <c r="H11" s="8" t="s">
        <v>27</v>
      </c>
      <c r="I11" s="2" t="s">
        <v>20</v>
      </c>
      <c r="J11" s="9">
        <v>45117.595138888886</v>
      </c>
      <c r="K11" s="2" t="s">
        <v>21</v>
      </c>
      <c r="L11" s="8">
        <f>VLOOKUP(C11,[14]Planilha1!M:N,2,0)</f>
        <v>1026000</v>
      </c>
      <c r="M11" s="8">
        <v>980000</v>
      </c>
      <c r="N11" s="10">
        <v>1</v>
      </c>
      <c r="O11" s="25">
        <f t="shared" si="0"/>
        <v>980000</v>
      </c>
      <c r="R11" s="29">
        <v>23299</v>
      </c>
      <c r="S11" s="30">
        <v>3833000</v>
      </c>
      <c r="U11" s="39" t="s">
        <v>6</v>
      </c>
      <c r="V11" s="39" t="s">
        <v>28</v>
      </c>
      <c r="W11" s="39" t="s">
        <v>29</v>
      </c>
      <c r="X11" s="39" t="s">
        <v>30</v>
      </c>
    </row>
    <row r="12" spans="1:24">
      <c r="A12" s="117" t="s">
        <v>61</v>
      </c>
      <c r="B12" s="11" t="s">
        <v>16</v>
      </c>
      <c r="C12" s="12">
        <v>5104</v>
      </c>
      <c r="D12" s="12" t="s">
        <v>25</v>
      </c>
      <c r="E12" s="12">
        <v>1</v>
      </c>
      <c r="F12" s="13" t="s">
        <v>17</v>
      </c>
      <c r="G12" s="12" t="s">
        <v>18</v>
      </c>
      <c r="H12" s="12" t="s">
        <v>27</v>
      </c>
      <c r="I12" s="13" t="s">
        <v>20</v>
      </c>
      <c r="J12" s="14">
        <v>45117.622916666667</v>
      </c>
      <c r="K12" s="13" t="s">
        <v>21</v>
      </c>
      <c r="L12" s="15">
        <f>VLOOKUP(C12,[14]Planilha1!M:N,2,0)</f>
        <v>717000</v>
      </c>
      <c r="M12" s="15">
        <v>727000</v>
      </c>
      <c r="N12" s="16">
        <v>1</v>
      </c>
      <c r="O12" s="26">
        <f t="shared" si="0"/>
        <v>727000</v>
      </c>
      <c r="R12" s="29">
        <v>6660</v>
      </c>
      <c r="S12" s="30">
        <v>641129.68999999994</v>
      </c>
      <c r="U12" s="2" t="s">
        <v>18</v>
      </c>
      <c r="V12" s="1">
        <f>SUMIF($G$4:$G$45,U12,$O$4:$O$45)</f>
        <v>9942900.666666666</v>
      </c>
      <c r="W12" s="40">
        <f>S18</f>
        <v>6404351.666666666</v>
      </c>
      <c r="X12" s="36">
        <f>W12/V12</f>
        <v>0.64411300900723067</v>
      </c>
    </row>
    <row r="13" spans="1:24">
      <c r="A13" t="s">
        <v>65</v>
      </c>
      <c r="B13" s="103" t="s">
        <v>16</v>
      </c>
      <c r="C13" s="104">
        <v>76858</v>
      </c>
      <c r="D13" s="104">
        <v>1</v>
      </c>
      <c r="E13" s="104" t="str">
        <f>IFERROR(VLOOKUP(C13,$U$22:$U$27,1,0),"-")</f>
        <v>-</v>
      </c>
      <c r="F13" s="105" t="s">
        <v>17</v>
      </c>
      <c r="G13" s="104" t="s">
        <v>18</v>
      </c>
      <c r="H13" s="104" t="s">
        <v>27</v>
      </c>
      <c r="I13" s="105" t="s">
        <v>20</v>
      </c>
      <c r="J13" s="106">
        <v>45222.679166666669</v>
      </c>
      <c r="K13" s="105" t="s">
        <v>21</v>
      </c>
      <c r="L13" s="104">
        <f>VLOOKUP(C13,[14]Planilha1!M:N,2,0)</f>
        <v>778000</v>
      </c>
      <c r="M13" s="104">
        <v>590500</v>
      </c>
      <c r="N13" s="107">
        <v>1</v>
      </c>
      <c r="O13" s="108">
        <f t="shared" si="0"/>
        <v>590500</v>
      </c>
      <c r="R13" s="29">
        <v>11055</v>
      </c>
      <c r="S13" s="30">
        <v>610712.44333333336</v>
      </c>
      <c r="U13" s="19" t="s">
        <v>22</v>
      </c>
      <c r="V13" s="37">
        <f>SUMIF($G$4:$G$45,U13,$O$4:$O$45)</f>
        <v>7928666.666666667</v>
      </c>
      <c r="W13" s="41">
        <f>S48</f>
        <v>6512666.666666666</v>
      </c>
      <c r="X13" s="38">
        <f>W13/V13</f>
        <v>0.821407550660052</v>
      </c>
    </row>
    <row r="14" spans="1:24">
      <c r="A14" s="117" t="s">
        <v>61</v>
      </c>
      <c r="B14" s="72" t="s">
        <v>16</v>
      </c>
      <c r="C14" s="81">
        <v>62872</v>
      </c>
      <c r="D14" s="81" t="s">
        <v>25</v>
      </c>
      <c r="E14" s="81">
        <v>1</v>
      </c>
      <c r="F14" s="78" t="s">
        <v>17</v>
      </c>
      <c r="G14" s="81" t="s">
        <v>18</v>
      </c>
      <c r="H14" s="81" t="s">
        <v>19</v>
      </c>
      <c r="I14" s="78" t="s">
        <v>20</v>
      </c>
      <c r="J14" s="82">
        <v>45190.675000000003</v>
      </c>
      <c r="K14" s="78" t="s">
        <v>23</v>
      </c>
      <c r="L14" s="83">
        <f>VLOOKUP(C14,[14]Planilha1!M:N,2,0)</f>
        <v>501000</v>
      </c>
      <c r="M14" s="83">
        <v>533549</v>
      </c>
      <c r="N14" s="84">
        <v>1</v>
      </c>
      <c r="O14" s="45">
        <f t="shared" si="0"/>
        <v>533549</v>
      </c>
      <c r="P14" t="s">
        <v>67</v>
      </c>
      <c r="R14" s="29">
        <v>11054</v>
      </c>
      <c r="S14" s="30">
        <v>245759.53333333333</v>
      </c>
      <c r="U14" s="2" t="s">
        <v>28</v>
      </c>
      <c r="V14" s="1">
        <f>SUM(V12:V13)</f>
        <v>17871567.333333332</v>
      </c>
      <c r="W14" s="40">
        <f>SUM(W12:W13)</f>
        <v>12917018.333333332</v>
      </c>
      <c r="X14" s="36">
        <f>W14/V14</f>
        <v>0.72276919491224623</v>
      </c>
    </row>
    <row r="15" spans="1:24">
      <c r="A15" t="s">
        <v>58</v>
      </c>
      <c r="B15" s="103" t="s">
        <v>16</v>
      </c>
      <c r="C15" s="104">
        <v>3417</v>
      </c>
      <c r="D15" s="104">
        <v>1</v>
      </c>
      <c r="E15" s="104" t="str">
        <f>IFERROR(VLOOKUP(C15,$U$22:$U$27,1,0),"-")</f>
        <v>-</v>
      </c>
      <c r="F15" s="105" t="s">
        <v>17</v>
      </c>
      <c r="G15" s="104" t="s">
        <v>22</v>
      </c>
      <c r="H15" s="104" t="s">
        <v>27</v>
      </c>
      <c r="I15" s="105" t="s">
        <v>20</v>
      </c>
      <c r="J15" s="106">
        <v>45219.680555555555</v>
      </c>
      <c r="K15" s="105" t="s">
        <v>21</v>
      </c>
      <c r="L15" s="104">
        <f>VLOOKUP(C15,[14]Planilha1!M:N,2,0)</f>
        <v>835000</v>
      </c>
      <c r="M15" s="104">
        <v>462000</v>
      </c>
      <c r="N15" s="107">
        <v>1</v>
      </c>
      <c r="O15" s="108">
        <f t="shared" si="0"/>
        <v>462000</v>
      </c>
      <c r="R15" s="29">
        <v>83398</v>
      </c>
      <c r="S15" s="30">
        <v>355450</v>
      </c>
    </row>
    <row r="16" spans="1:24">
      <c r="A16" s="117" t="s">
        <v>61</v>
      </c>
      <c r="B16" s="11" t="s">
        <v>16</v>
      </c>
      <c r="C16" s="12">
        <v>5103</v>
      </c>
      <c r="D16" s="12" t="s">
        <v>25</v>
      </c>
      <c r="E16" s="12">
        <v>1</v>
      </c>
      <c r="F16" s="13" t="s">
        <v>17</v>
      </c>
      <c r="G16" s="12" t="s">
        <v>18</v>
      </c>
      <c r="H16" s="12" t="s">
        <v>27</v>
      </c>
      <c r="I16" s="13" t="s">
        <v>20</v>
      </c>
      <c r="J16" s="14">
        <v>45219.686805555553</v>
      </c>
      <c r="K16" s="13" t="s">
        <v>21</v>
      </c>
      <c r="L16" s="15">
        <f>VLOOKUP(C16,[14]Planilha1!M:N,2,0)</f>
        <v>637000</v>
      </c>
      <c r="M16" s="15">
        <v>439000</v>
      </c>
      <c r="N16" s="16">
        <v>1</v>
      </c>
      <c r="O16" s="26">
        <f t="shared" si="0"/>
        <v>439000</v>
      </c>
      <c r="R16" s="29">
        <v>76858</v>
      </c>
      <c r="S16" s="30">
        <v>590500</v>
      </c>
      <c r="V16" s="30">
        <f>V14-W14</f>
        <v>4954549</v>
      </c>
    </row>
    <row r="17" spans="1:25">
      <c r="A17" s="117" t="s">
        <v>61</v>
      </c>
      <c r="B17" t="s">
        <v>16</v>
      </c>
      <c r="C17" s="8">
        <v>52218</v>
      </c>
      <c r="D17" s="8" t="s">
        <v>25</v>
      </c>
      <c r="E17" s="8">
        <v>1</v>
      </c>
      <c r="F17" s="2" t="s">
        <v>17</v>
      </c>
      <c r="G17" s="8" t="s">
        <v>22</v>
      </c>
      <c r="H17" s="8" t="s">
        <v>19</v>
      </c>
      <c r="I17" s="2" t="s">
        <v>20</v>
      </c>
      <c r="J17" s="9">
        <v>45219.71597222222</v>
      </c>
      <c r="K17" s="2" t="s">
        <v>21</v>
      </c>
      <c r="L17" s="8">
        <f>VLOOKUP(C17,[14]Planilha1!M:N,2,0)</f>
        <v>608000</v>
      </c>
      <c r="M17" s="8">
        <v>436000</v>
      </c>
      <c r="N17" s="10">
        <v>1</v>
      </c>
      <c r="O17" s="25">
        <f t="shared" si="0"/>
        <v>436000</v>
      </c>
      <c r="R17" s="31">
        <v>96158</v>
      </c>
      <c r="S17" s="32">
        <v>127800</v>
      </c>
    </row>
    <row r="18" spans="1:25">
      <c r="A18" t="s">
        <v>66</v>
      </c>
      <c r="B18" s="103" t="s">
        <v>16</v>
      </c>
      <c r="C18" s="104">
        <v>149</v>
      </c>
      <c r="D18" s="104">
        <v>1</v>
      </c>
      <c r="E18" s="104" t="str">
        <f t="shared" ref="E18:E33" si="1">IFERROR(VLOOKUP(C18,$U$22:$U$27,1,0),"-")</f>
        <v>-</v>
      </c>
      <c r="F18" s="105" t="s">
        <v>17</v>
      </c>
      <c r="G18" s="104" t="s">
        <v>22</v>
      </c>
      <c r="H18" s="104" t="s">
        <v>19</v>
      </c>
      <c r="I18" s="105" t="s">
        <v>20</v>
      </c>
      <c r="J18" s="106">
        <v>45219.675000000003</v>
      </c>
      <c r="K18" s="105" t="s">
        <v>21</v>
      </c>
      <c r="L18" s="109">
        <f>VLOOKUP(C18,[14]Planilha1!M:N,2,0)</f>
        <v>322000</v>
      </c>
      <c r="M18" s="109">
        <v>311000</v>
      </c>
      <c r="N18" s="107">
        <v>0.33333333333333331</v>
      </c>
      <c r="O18" s="110">
        <f t="shared" si="0"/>
        <v>103666.66666666666</v>
      </c>
      <c r="R18" s="35">
        <v>7</v>
      </c>
      <c r="S18" s="33">
        <v>6404351.666666666</v>
      </c>
    </row>
    <row r="19" spans="1:25">
      <c r="A19" s="94" t="s">
        <v>56</v>
      </c>
      <c r="B19" s="89" t="s">
        <v>16</v>
      </c>
      <c r="C19" s="86">
        <v>6529</v>
      </c>
      <c r="D19" s="86">
        <v>1</v>
      </c>
      <c r="E19" s="86" t="str">
        <f t="shared" si="1"/>
        <v>-</v>
      </c>
      <c r="F19" s="90" t="s">
        <v>17</v>
      </c>
      <c r="G19" s="86" t="s">
        <v>22</v>
      </c>
      <c r="H19" s="86" t="s">
        <v>19</v>
      </c>
      <c r="I19" s="90" t="s">
        <v>20</v>
      </c>
      <c r="J19" s="91">
        <v>45219.694444444445</v>
      </c>
      <c r="K19" s="90" t="s">
        <v>21</v>
      </c>
      <c r="L19" s="86">
        <f>VLOOKUP(C19,[14]Planilha1!M:N,2,0)</f>
        <v>269000</v>
      </c>
      <c r="M19" s="86">
        <v>230000</v>
      </c>
      <c r="N19" s="93">
        <v>1</v>
      </c>
      <c r="O19" s="88">
        <f t="shared" si="0"/>
        <v>230000</v>
      </c>
    </row>
    <row r="20" spans="1:25">
      <c r="A20" s="94" t="s">
        <v>56</v>
      </c>
      <c r="B20" s="89" t="s">
        <v>16</v>
      </c>
      <c r="C20" s="86">
        <v>53194</v>
      </c>
      <c r="D20" s="86">
        <v>1</v>
      </c>
      <c r="E20" s="86" t="str">
        <f t="shared" si="1"/>
        <v>-</v>
      </c>
      <c r="F20" s="90" t="s">
        <v>17</v>
      </c>
      <c r="G20" s="86" t="s">
        <v>22</v>
      </c>
      <c r="H20" s="86" t="s">
        <v>19</v>
      </c>
      <c r="I20" s="90" t="s">
        <v>20</v>
      </c>
      <c r="J20" s="91">
        <v>45219.722222222219</v>
      </c>
      <c r="K20" s="90" t="s">
        <v>21</v>
      </c>
      <c r="L20" s="92">
        <f>VLOOKUP(C20,[14]Planilha1!M:N,2,0)</f>
        <v>265000</v>
      </c>
      <c r="M20" s="92">
        <v>222000</v>
      </c>
      <c r="N20" s="93">
        <v>1</v>
      </c>
      <c r="O20" s="87">
        <f t="shared" si="0"/>
        <v>222000</v>
      </c>
    </row>
    <row r="21" spans="1:25">
      <c r="A21" t="s">
        <v>66</v>
      </c>
      <c r="B21" s="103" t="s">
        <v>16</v>
      </c>
      <c r="C21" s="104">
        <v>78782</v>
      </c>
      <c r="D21" s="104">
        <v>1</v>
      </c>
      <c r="E21" s="104" t="str">
        <f t="shared" si="1"/>
        <v>-</v>
      </c>
      <c r="F21" s="105" t="s">
        <v>17</v>
      </c>
      <c r="G21" s="104" t="s">
        <v>22</v>
      </c>
      <c r="H21" s="104" t="s">
        <v>19</v>
      </c>
      <c r="I21" s="105" t="s">
        <v>20</v>
      </c>
      <c r="J21" s="106">
        <v>45106.478472222225</v>
      </c>
      <c r="K21" s="105" t="s">
        <v>21</v>
      </c>
      <c r="L21" s="104">
        <f>VLOOKUP(C21,[14]Planilha1!M:N,2,0)</f>
        <v>177625</v>
      </c>
      <c r="M21" s="104">
        <v>221000</v>
      </c>
      <c r="N21" s="107">
        <v>1</v>
      </c>
      <c r="O21" s="108">
        <f t="shared" si="0"/>
        <v>221000</v>
      </c>
      <c r="R21" s="42" t="s">
        <v>31</v>
      </c>
      <c r="S21" s="43"/>
      <c r="U21" s="34" t="s">
        <v>32</v>
      </c>
      <c r="V21" s="17"/>
      <c r="W21" s="34" t="s">
        <v>33</v>
      </c>
      <c r="X21" s="17"/>
    </row>
    <row r="22" spans="1:25">
      <c r="A22" t="s">
        <v>66</v>
      </c>
      <c r="B22" s="103" t="s">
        <v>16</v>
      </c>
      <c r="C22" s="104">
        <v>59250</v>
      </c>
      <c r="D22" s="104">
        <v>1</v>
      </c>
      <c r="E22" s="104" t="str">
        <f t="shared" si="1"/>
        <v>-</v>
      </c>
      <c r="F22" s="105" t="s">
        <v>17</v>
      </c>
      <c r="G22" s="104" t="s">
        <v>22</v>
      </c>
      <c r="H22" s="104" t="s">
        <v>19</v>
      </c>
      <c r="I22" s="105" t="s">
        <v>20</v>
      </c>
      <c r="J22" s="106">
        <v>45219.671527777777</v>
      </c>
      <c r="K22" s="105" t="s">
        <v>21</v>
      </c>
      <c r="L22" s="109">
        <f>VLOOKUP(C22,[14]Planilha1!M:N,2,0)</f>
        <v>247000</v>
      </c>
      <c r="M22" s="109">
        <v>160000</v>
      </c>
      <c r="N22" s="107">
        <v>1</v>
      </c>
      <c r="O22" s="110">
        <f t="shared" si="0"/>
        <v>160000</v>
      </c>
      <c r="R22" s="29">
        <v>48207</v>
      </c>
      <c r="S22" s="30">
        <v>2217000</v>
      </c>
      <c r="U22">
        <v>5104</v>
      </c>
      <c r="V22" s="30">
        <f t="shared" ref="V22:V27" si="2">VLOOKUP(U22,$C:$P,13,0)</f>
        <v>727000</v>
      </c>
      <c r="W22">
        <v>36052</v>
      </c>
      <c r="X22" s="30">
        <f>VLOOKUP(W22,$C:$P,13,0)</f>
        <v>123000</v>
      </c>
    </row>
    <row r="23" spans="1:25">
      <c r="A23" s="94" t="s">
        <v>56</v>
      </c>
      <c r="B23" s="89" t="s">
        <v>16</v>
      </c>
      <c r="C23" s="86">
        <v>78780</v>
      </c>
      <c r="D23" s="86">
        <v>1</v>
      </c>
      <c r="E23" s="86" t="str">
        <f t="shared" si="1"/>
        <v>-</v>
      </c>
      <c r="F23" s="90" t="s">
        <v>17</v>
      </c>
      <c r="G23" s="86" t="s">
        <v>22</v>
      </c>
      <c r="H23" s="86" t="s">
        <v>19</v>
      </c>
      <c r="I23" s="90" t="s">
        <v>20</v>
      </c>
      <c r="J23" s="91">
        <v>45219.736111111109</v>
      </c>
      <c r="K23" s="90" t="s">
        <v>21</v>
      </c>
      <c r="L23" s="86">
        <f>VLOOKUP(C23,[14]Planilha1!M:N,2,0)</f>
        <v>177625</v>
      </c>
      <c r="M23" s="86">
        <v>154000</v>
      </c>
      <c r="N23" s="93">
        <v>1</v>
      </c>
      <c r="O23" s="88">
        <f t="shared" si="0"/>
        <v>154000</v>
      </c>
      <c r="R23">
        <v>6529</v>
      </c>
      <c r="S23" s="30">
        <v>230000</v>
      </c>
      <c r="U23">
        <v>5103</v>
      </c>
      <c r="V23" s="30">
        <f t="shared" si="2"/>
        <v>439000</v>
      </c>
      <c r="W23" s="17">
        <v>36053</v>
      </c>
      <c r="X23" s="32">
        <f>VLOOKUP(W23,$C:$P,13,0)</f>
        <v>123000</v>
      </c>
    </row>
    <row r="24" spans="1:25">
      <c r="A24" s="94" t="s">
        <v>56</v>
      </c>
      <c r="B24" s="89" t="s">
        <v>16</v>
      </c>
      <c r="C24" s="86">
        <v>78781</v>
      </c>
      <c r="D24" s="86">
        <v>1</v>
      </c>
      <c r="E24" s="86" t="str">
        <f t="shared" si="1"/>
        <v>-</v>
      </c>
      <c r="F24" s="90" t="s">
        <v>17</v>
      </c>
      <c r="G24" s="86" t="s">
        <v>22</v>
      </c>
      <c r="H24" s="86" t="s">
        <v>19</v>
      </c>
      <c r="I24" s="90" t="s">
        <v>20</v>
      </c>
      <c r="J24" s="91">
        <v>45219.736111111109</v>
      </c>
      <c r="K24" s="90" t="s">
        <v>21</v>
      </c>
      <c r="L24" s="92">
        <f>VLOOKUP(C24,[14]Planilha1!M:N,2,0)</f>
        <v>177625</v>
      </c>
      <c r="M24" s="92">
        <v>154000</v>
      </c>
      <c r="N24" s="93">
        <v>1</v>
      </c>
      <c r="O24" s="87">
        <f t="shared" si="0"/>
        <v>154000</v>
      </c>
      <c r="R24">
        <v>6549</v>
      </c>
      <c r="S24" s="30">
        <v>822000</v>
      </c>
      <c r="U24">
        <v>52218</v>
      </c>
      <c r="V24" s="30">
        <f t="shared" si="2"/>
        <v>436000</v>
      </c>
      <c r="X24" s="33">
        <f>SUM(X22:X23)</f>
        <v>246000</v>
      </c>
    </row>
    <row r="25" spans="1:25">
      <c r="A25" s="94" t="s">
        <v>56</v>
      </c>
      <c r="B25" s="89" t="s">
        <v>16</v>
      </c>
      <c r="C25" s="86">
        <v>78783</v>
      </c>
      <c r="D25" s="86">
        <v>1</v>
      </c>
      <c r="E25" s="86" t="str">
        <f t="shared" si="1"/>
        <v>-</v>
      </c>
      <c r="F25" s="90" t="s">
        <v>17</v>
      </c>
      <c r="G25" s="86" t="s">
        <v>22</v>
      </c>
      <c r="H25" s="86" t="s">
        <v>19</v>
      </c>
      <c r="I25" s="90" t="s">
        <v>20</v>
      </c>
      <c r="J25" s="91">
        <v>45219.736111111109</v>
      </c>
      <c r="K25" s="90" t="s">
        <v>21</v>
      </c>
      <c r="L25" s="86">
        <f>VLOOKUP(C25,[14]Planilha1!M:N,2,0)</f>
        <v>177625</v>
      </c>
      <c r="M25" s="86">
        <v>154000</v>
      </c>
      <c r="N25" s="93">
        <v>1</v>
      </c>
      <c r="O25" s="88">
        <f t="shared" si="0"/>
        <v>154000</v>
      </c>
      <c r="R25">
        <v>3417</v>
      </c>
      <c r="S25" s="30">
        <v>462000</v>
      </c>
      <c r="U25" s="72">
        <v>72157</v>
      </c>
      <c r="V25" s="85">
        <f t="shared" si="2"/>
        <v>1593000</v>
      </c>
    </row>
    <row r="26" spans="1:25">
      <c r="A26" s="94" t="s">
        <v>56</v>
      </c>
      <c r="B26" s="89" t="s">
        <v>16</v>
      </c>
      <c r="C26" s="86">
        <v>78784</v>
      </c>
      <c r="D26" s="86">
        <v>1</v>
      </c>
      <c r="E26" s="86" t="str">
        <f t="shared" si="1"/>
        <v>-</v>
      </c>
      <c r="F26" s="90" t="s">
        <v>17</v>
      </c>
      <c r="G26" s="86" t="s">
        <v>22</v>
      </c>
      <c r="H26" s="86" t="s">
        <v>19</v>
      </c>
      <c r="I26" s="90" t="s">
        <v>20</v>
      </c>
      <c r="J26" s="91">
        <v>45219.736111111109</v>
      </c>
      <c r="K26" s="90" t="s">
        <v>21</v>
      </c>
      <c r="L26" s="92">
        <f>VLOOKUP(C26,[14]Planilha1!M:N,2,0)</f>
        <v>177625</v>
      </c>
      <c r="M26" s="92">
        <v>154000</v>
      </c>
      <c r="N26" s="93">
        <v>1</v>
      </c>
      <c r="O26" s="87">
        <f t="shared" si="0"/>
        <v>154000</v>
      </c>
      <c r="R26">
        <v>149</v>
      </c>
      <c r="S26" s="30">
        <v>103666.66666666666</v>
      </c>
      <c r="U26" s="72">
        <v>62872</v>
      </c>
      <c r="V26" s="85">
        <f t="shared" si="2"/>
        <v>533549</v>
      </c>
    </row>
    <row r="27" spans="1:25">
      <c r="A27" s="94" t="s">
        <v>56</v>
      </c>
      <c r="B27" s="89" t="s">
        <v>16</v>
      </c>
      <c r="C27" s="86">
        <v>78785</v>
      </c>
      <c r="D27" s="86">
        <v>1</v>
      </c>
      <c r="E27" s="86" t="str">
        <f t="shared" si="1"/>
        <v>-</v>
      </c>
      <c r="F27" s="90" t="s">
        <v>17</v>
      </c>
      <c r="G27" s="86" t="s">
        <v>22</v>
      </c>
      <c r="H27" s="86" t="s">
        <v>19</v>
      </c>
      <c r="I27" s="90" t="s">
        <v>20</v>
      </c>
      <c r="J27" s="91">
        <v>45219.736111111109</v>
      </c>
      <c r="K27" s="90" t="s">
        <v>21</v>
      </c>
      <c r="L27" s="86">
        <f>VLOOKUP(C27,[14]Planilha1!M:N,2,0)</f>
        <v>177625</v>
      </c>
      <c r="M27" s="86">
        <v>154000</v>
      </c>
      <c r="N27" s="93">
        <v>1</v>
      </c>
      <c r="O27" s="88">
        <f t="shared" si="0"/>
        <v>154000</v>
      </c>
      <c r="R27">
        <v>53194</v>
      </c>
      <c r="S27" s="30">
        <v>222000</v>
      </c>
      <c r="U27" s="17">
        <v>32744</v>
      </c>
      <c r="V27" s="32">
        <f t="shared" si="2"/>
        <v>980000</v>
      </c>
    </row>
    <row r="28" spans="1:25">
      <c r="A28" s="94" t="s">
        <v>56</v>
      </c>
      <c r="B28" s="89" t="s">
        <v>16</v>
      </c>
      <c r="C28" s="86">
        <v>78786</v>
      </c>
      <c r="D28" s="86">
        <v>1</v>
      </c>
      <c r="E28" s="86" t="str">
        <f t="shared" si="1"/>
        <v>-</v>
      </c>
      <c r="F28" s="90" t="s">
        <v>17</v>
      </c>
      <c r="G28" s="86" t="s">
        <v>22</v>
      </c>
      <c r="H28" s="86" t="s">
        <v>19</v>
      </c>
      <c r="I28" s="90" t="s">
        <v>20</v>
      </c>
      <c r="J28" s="91">
        <v>45219.736805555556</v>
      </c>
      <c r="K28" s="90" t="s">
        <v>21</v>
      </c>
      <c r="L28" s="92">
        <f>VLOOKUP(C28,[14]Planilha1!M:N,2,0)</f>
        <v>177625</v>
      </c>
      <c r="M28" s="92">
        <v>154000</v>
      </c>
      <c r="N28" s="93">
        <v>1</v>
      </c>
      <c r="O28" s="87">
        <f t="shared" si="0"/>
        <v>154000</v>
      </c>
      <c r="R28">
        <v>78782</v>
      </c>
      <c r="S28" s="30">
        <v>221000</v>
      </c>
      <c r="V28" s="33">
        <f>SUM(V22:V27)</f>
        <v>4708549</v>
      </c>
    </row>
    <row r="29" spans="1:25">
      <c r="A29" s="94" t="s">
        <v>56</v>
      </c>
      <c r="B29" s="89" t="s">
        <v>16</v>
      </c>
      <c r="C29" s="86">
        <v>78787</v>
      </c>
      <c r="D29" s="86">
        <v>1</v>
      </c>
      <c r="E29" s="86" t="str">
        <f t="shared" si="1"/>
        <v>-</v>
      </c>
      <c r="F29" s="90" t="s">
        <v>17</v>
      </c>
      <c r="G29" s="86" t="s">
        <v>22</v>
      </c>
      <c r="H29" s="86" t="s">
        <v>19</v>
      </c>
      <c r="I29" s="90" t="s">
        <v>20</v>
      </c>
      <c r="J29" s="91">
        <v>45219.736805555556</v>
      </c>
      <c r="K29" s="90" t="s">
        <v>21</v>
      </c>
      <c r="L29" s="86">
        <f>VLOOKUP(C29,[14]Planilha1!M:N,2,0)</f>
        <v>177625</v>
      </c>
      <c r="M29" s="86">
        <v>154000</v>
      </c>
      <c r="N29" s="93">
        <v>1</v>
      </c>
      <c r="O29" s="88">
        <f t="shared" si="0"/>
        <v>154000</v>
      </c>
      <c r="R29">
        <v>59250</v>
      </c>
      <c r="S29" s="30">
        <v>160000</v>
      </c>
    </row>
    <row r="30" spans="1:25">
      <c r="A30" s="94" t="s">
        <v>56</v>
      </c>
      <c r="B30" s="89" t="s">
        <v>16</v>
      </c>
      <c r="C30" s="86">
        <v>59252</v>
      </c>
      <c r="D30" s="86">
        <v>1</v>
      </c>
      <c r="E30" s="86" t="str">
        <f t="shared" si="1"/>
        <v>-</v>
      </c>
      <c r="F30" s="90" t="s">
        <v>17</v>
      </c>
      <c r="G30" s="86" t="s">
        <v>22</v>
      </c>
      <c r="H30" s="86" t="s">
        <v>19</v>
      </c>
      <c r="I30" s="90" t="s">
        <v>20</v>
      </c>
      <c r="J30" s="91">
        <v>45219.730555555558</v>
      </c>
      <c r="K30" s="90" t="s">
        <v>21</v>
      </c>
      <c r="L30" s="92">
        <f>VLOOKUP(C30,[14]Planilha1!M:N,2,0)</f>
        <v>186500</v>
      </c>
      <c r="M30" s="92">
        <v>137000</v>
      </c>
      <c r="N30" s="93">
        <v>1</v>
      </c>
      <c r="O30" s="87">
        <f t="shared" si="0"/>
        <v>137000</v>
      </c>
      <c r="R30">
        <v>78780</v>
      </c>
      <c r="S30" s="30">
        <v>154000</v>
      </c>
      <c r="W30" s="57" t="s">
        <v>54</v>
      </c>
      <c r="X30" s="57" t="s">
        <v>55</v>
      </c>
    </row>
    <row r="31" spans="1:25">
      <c r="A31" s="94" t="s">
        <v>56</v>
      </c>
      <c r="B31" s="89" t="s">
        <v>16</v>
      </c>
      <c r="C31" s="86">
        <v>59251</v>
      </c>
      <c r="D31" s="86">
        <v>1</v>
      </c>
      <c r="E31" s="86" t="str">
        <f t="shared" si="1"/>
        <v>-</v>
      </c>
      <c r="F31" s="90" t="s">
        <v>17</v>
      </c>
      <c r="G31" s="86" t="s">
        <v>22</v>
      </c>
      <c r="H31" s="86" t="s">
        <v>19</v>
      </c>
      <c r="I31" s="90" t="s">
        <v>20</v>
      </c>
      <c r="J31" s="91">
        <v>45219.727777777778</v>
      </c>
      <c r="K31" s="90" t="s">
        <v>21</v>
      </c>
      <c r="L31" s="86">
        <f>VLOOKUP(C31,[14]Planilha1!M:N,2,0)</f>
        <v>186500</v>
      </c>
      <c r="M31" s="86">
        <v>137000</v>
      </c>
      <c r="N31" s="93">
        <v>1</v>
      </c>
      <c r="O31" s="88">
        <f t="shared" si="0"/>
        <v>137000</v>
      </c>
      <c r="R31">
        <v>78781</v>
      </c>
      <c r="S31" s="30">
        <v>154000</v>
      </c>
      <c r="V31" s="73" t="s">
        <v>52</v>
      </c>
      <c r="W31" s="76">
        <v>33</v>
      </c>
      <c r="X31" s="77">
        <f>W14</f>
        <v>12917018.333333332</v>
      </c>
      <c r="Y31" s="74">
        <f>X31/$X$38</f>
        <v>0.72276919491224623</v>
      </c>
    </row>
    <row r="32" spans="1:25">
      <c r="A32" t="s">
        <v>66</v>
      </c>
      <c r="B32" s="103" t="s">
        <v>16</v>
      </c>
      <c r="C32" s="104">
        <v>102753</v>
      </c>
      <c r="D32" s="104">
        <v>1</v>
      </c>
      <c r="E32" s="104" t="str">
        <f t="shared" si="1"/>
        <v>-</v>
      </c>
      <c r="F32" s="105" t="s">
        <v>17</v>
      </c>
      <c r="G32" s="104" t="s">
        <v>22</v>
      </c>
      <c r="H32" s="104" t="s">
        <v>27</v>
      </c>
      <c r="I32" s="105" t="s">
        <v>20</v>
      </c>
      <c r="J32" s="106">
        <v>45117.481249999997</v>
      </c>
      <c r="K32" s="105" t="s">
        <v>21</v>
      </c>
      <c r="L32" s="109">
        <f>VLOOKUP(C32,[14]Planilha1!M:N,2,0)</f>
        <v>123500</v>
      </c>
      <c r="M32" s="109">
        <v>136000</v>
      </c>
      <c r="N32" s="107">
        <v>1</v>
      </c>
      <c r="O32" s="110">
        <f t="shared" si="0"/>
        <v>136000</v>
      </c>
      <c r="R32">
        <v>78783</v>
      </c>
      <c r="S32" s="30">
        <v>154000</v>
      </c>
      <c r="V32" s="72" t="s">
        <v>51</v>
      </c>
      <c r="W32" s="78">
        <v>1</v>
      </c>
      <c r="X32" s="79">
        <v>109000</v>
      </c>
      <c r="Y32" s="75">
        <f>X32/$X$38</f>
        <v>6.0990733474560769E-3</v>
      </c>
    </row>
    <row r="33" spans="1:25">
      <c r="A33" t="s">
        <v>66</v>
      </c>
      <c r="B33" s="103" t="s">
        <v>16</v>
      </c>
      <c r="C33" s="104">
        <v>102754</v>
      </c>
      <c r="D33" s="104">
        <v>1</v>
      </c>
      <c r="E33" s="104" t="str">
        <f t="shared" si="1"/>
        <v>-</v>
      </c>
      <c r="F33" s="105" t="s">
        <v>17</v>
      </c>
      <c r="G33" s="104" t="s">
        <v>22</v>
      </c>
      <c r="H33" s="104" t="s">
        <v>27</v>
      </c>
      <c r="I33" s="105" t="s">
        <v>20</v>
      </c>
      <c r="J33" s="106">
        <v>45117.48541666667</v>
      </c>
      <c r="K33" s="105" t="s">
        <v>21</v>
      </c>
      <c r="L33" s="104">
        <f>VLOOKUP(C33,[14]Planilha1!M:N,2,0)</f>
        <v>123500</v>
      </c>
      <c r="M33" s="104">
        <v>136000</v>
      </c>
      <c r="N33" s="107">
        <v>1</v>
      </c>
      <c r="O33" s="108">
        <f t="shared" si="0"/>
        <v>136000</v>
      </c>
      <c r="R33">
        <v>78784</v>
      </c>
      <c r="S33" s="30">
        <v>154000</v>
      </c>
      <c r="W33" s="2"/>
      <c r="X33" s="2"/>
      <c r="Y33" s="74"/>
    </row>
    <row r="34" spans="1:25">
      <c r="A34" s="117" t="s">
        <v>61</v>
      </c>
      <c r="B34" s="11" t="s">
        <v>16</v>
      </c>
      <c r="C34" s="12">
        <v>36052</v>
      </c>
      <c r="D34" s="12" t="s">
        <v>25</v>
      </c>
      <c r="E34" s="12" t="s">
        <v>34</v>
      </c>
      <c r="F34" s="13" t="s">
        <v>17</v>
      </c>
      <c r="G34" s="12" t="s">
        <v>18</v>
      </c>
      <c r="H34" s="12" t="s">
        <v>19</v>
      </c>
      <c r="I34" s="13" t="s">
        <v>20</v>
      </c>
      <c r="J34" s="14">
        <v>45219.701388888891</v>
      </c>
      <c r="K34" s="13" t="s">
        <v>21</v>
      </c>
      <c r="L34" s="15">
        <f>VLOOKUP(C34,[14]Planilha1!M:N,2,0)</f>
        <v>132500</v>
      </c>
      <c r="M34" s="15">
        <v>123000</v>
      </c>
      <c r="N34" s="16">
        <v>1</v>
      </c>
      <c r="O34" s="26">
        <f t="shared" si="0"/>
        <v>123000</v>
      </c>
      <c r="R34">
        <v>78785</v>
      </c>
      <c r="S34" s="30">
        <v>154000</v>
      </c>
      <c r="V34" s="73" t="s">
        <v>50</v>
      </c>
      <c r="W34" s="76">
        <f>SUM(W35:W36)</f>
        <v>8</v>
      </c>
      <c r="X34" s="77">
        <f>SUM(X35:X36)</f>
        <v>4954549</v>
      </c>
      <c r="Y34" s="74">
        <f>X34/$X$38</f>
        <v>0.27723080508775377</v>
      </c>
    </row>
    <row r="35" spans="1:25">
      <c r="A35" s="117" t="s">
        <v>61</v>
      </c>
      <c r="B35" t="s">
        <v>16</v>
      </c>
      <c r="C35" s="8">
        <v>36053</v>
      </c>
      <c r="D35" s="8" t="s">
        <v>25</v>
      </c>
      <c r="E35" s="8" t="s">
        <v>34</v>
      </c>
      <c r="F35" s="2" t="s">
        <v>17</v>
      </c>
      <c r="G35" s="8" t="s">
        <v>18</v>
      </c>
      <c r="H35" s="8" t="s">
        <v>19</v>
      </c>
      <c r="I35" s="2" t="s">
        <v>20</v>
      </c>
      <c r="J35" s="9">
        <v>45219.713194444441</v>
      </c>
      <c r="K35" s="2" t="s">
        <v>21</v>
      </c>
      <c r="L35" s="8">
        <f>VLOOKUP(C35,[14]Planilha1!M:N,2,0)</f>
        <v>132500</v>
      </c>
      <c r="M35" s="8">
        <v>123000</v>
      </c>
      <c r="N35" s="10">
        <v>1</v>
      </c>
      <c r="O35" s="25">
        <f t="shared" si="0"/>
        <v>123000</v>
      </c>
      <c r="R35">
        <v>78786</v>
      </c>
      <c r="S35" s="30">
        <v>154000</v>
      </c>
      <c r="V35" t="s">
        <v>4</v>
      </c>
      <c r="W35" s="2">
        <v>6</v>
      </c>
      <c r="X35" s="80">
        <f>V28</f>
        <v>4708549</v>
      </c>
      <c r="Y35" s="74"/>
    </row>
    <row r="36" spans="1:25">
      <c r="A36" t="s">
        <v>66</v>
      </c>
      <c r="B36" s="103" t="s">
        <v>35</v>
      </c>
      <c r="C36" s="46">
        <v>6549</v>
      </c>
      <c r="D36" s="104">
        <v>1</v>
      </c>
      <c r="E36" s="104" t="str">
        <f t="shared" ref="E36:E45" si="3">IFERROR(VLOOKUP(C36,$U$22:$U$27,1,0),"-")</f>
        <v>-</v>
      </c>
      <c r="F36" s="105" t="s">
        <v>17</v>
      </c>
      <c r="G36" s="104" t="s">
        <v>22</v>
      </c>
      <c r="H36" s="104" t="s">
        <v>27</v>
      </c>
      <c r="I36" s="105" t="s">
        <v>20</v>
      </c>
      <c r="J36" s="106">
        <v>45117.725694444445</v>
      </c>
      <c r="K36" s="105" t="s">
        <v>21</v>
      </c>
      <c r="L36" s="109" t="s">
        <v>36</v>
      </c>
      <c r="M36" s="109">
        <v>822000</v>
      </c>
      <c r="N36" s="107">
        <v>1</v>
      </c>
      <c r="O36" s="110">
        <f t="shared" si="0"/>
        <v>822000</v>
      </c>
      <c r="R36">
        <v>78787</v>
      </c>
      <c r="S36" s="30">
        <v>154000</v>
      </c>
      <c r="V36" t="s">
        <v>34</v>
      </c>
      <c r="W36" s="2">
        <v>2</v>
      </c>
      <c r="X36" s="8">
        <f>X24</f>
        <v>246000</v>
      </c>
      <c r="Y36" s="74"/>
    </row>
    <row r="37" spans="1:25">
      <c r="A37" s="94" t="s">
        <v>57</v>
      </c>
      <c r="B37" s="96" t="s">
        <v>35</v>
      </c>
      <c r="C37" s="95">
        <v>83398</v>
      </c>
      <c r="D37" s="95">
        <v>1</v>
      </c>
      <c r="E37" s="95" t="str">
        <f t="shared" si="3"/>
        <v>-</v>
      </c>
      <c r="F37" s="97" t="s">
        <v>17</v>
      </c>
      <c r="G37" s="95" t="s">
        <v>18</v>
      </c>
      <c r="H37" s="95" t="s">
        <v>19</v>
      </c>
      <c r="I37" s="97" t="s">
        <v>20</v>
      </c>
      <c r="J37" s="98">
        <v>45112.49722222222</v>
      </c>
      <c r="K37" s="97" t="s">
        <v>21</v>
      </c>
      <c r="L37" s="95" t="s">
        <v>36</v>
      </c>
      <c r="M37" s="95">
        <v>710900</v>
      </c>
      <c r="N37" s="99">
        <v>0.5</v>
      </c>
      <c r="O37" s="100">
        <f t="shared" si="0"/>
        <v>355450</v>
      </c>
      <c r="R37">
        <v>59252</v>
      </c>
      <c r="S37" s="30">
        <v>137000</v>
      </c>
      <c r="W37" s="2"/>
      <c r="X37" s="2"/>
      <c r="Y37" s="74"/>
    </row>
    <row r="38" spans="1:25">
      <c r="A38" t="s">
        <v>59</v>
      </c>
      <c r="B38" s="11" t="s">
        <v>35</v>
      </c>
      <c r="C38" s="46">
        <v>96153</v>
      </c>
      <c r="D38" s="12">
        <v>1</v>
      </c>
      <c r="E38" s="12" t="str">
        <f t="shared" si="3"/>
        <v>-</v>
      </c>
      <c r="F38" s="13" t="s">
        <v>17</v>
      </c>
      <c r="G38" s="12" t="s">
        <v>22</v>
      </c>
      <c r="H38" s="12" t="s">
        <v>27</v>
      </c>
      <c r="I38" s="13" t="s">
        <v>20</v>
      </c>
      <c r="J38" s="14">
        <v>45117.688194444447</v>
      </c>
      <c r="K38" s="13" t="s">
        <v>21</v>
      </c>
      <c r="L38" s="15" t="s">
        <v>36</v>
      </c>
      <c r="M38" s="15">
        <v>109000</v>
      </c>
      <c r="N38" s="16">
        <v>1</v>
      </c>
      <c r="O38" s="26">
        <f t="shared" si="0"/>
        <v>109000</v>
      </c>
      <c r="R38">
        <v>59251</v>
      </c>
      <c r="S38" s="30">
        <v>137000</v>
      </c>
      <c r="V38" s="73" t="s">
        <v>53</v>
      </c>
      <c r="W38" s="76">
        <f>W34+W31</f>
        <v>41</v>
      </c>
      <c r="X38" s="77">
        <f>X34+X31</f>
        <v>17871567.333333332</v>
      </c>
      <c r="Y38" s="74">
        <f>X38/$X$38</f>
        <v>1</v>
      </c>
    </row>
    <row r="39" spans="1:25">
      <c r="A39" s="94" t="s">
        <v>56</v>
      </c>
      <c r="B39" s="89" t="s">
        <v>35</v>
      </c>
      <c r="C39" s="86">
        <v>96154</v>
      </c>
      <c r="D39" s="86">
        <v>1</v>
      </c>
      <c r="E39" s="86" t="str">
        <f t="shared" si="3"/>
        <v>-</v>
      </c>
      <c r="F39" s="90" t="s">
        <v>17</v>
      </c>
      <c r="G39" s="86" t="s">
        <v>22</v>
      </c>
      <c r="H39" s="86" t="s">
        <v>27</v>
      </c>
      <c r="I39" s="90" t="s">
        <v>20</v>
      </c>
      <c r="J39" s="91">
        <v>45117.690972222219</v>
      </c>
      <c r="K39" s="90" t="s">
        <v>21</v>
      </c>
      <c r="L39" s="86" t="s">
        <v>36</v>
      </c>
      <c r="M39" s="86">
        <v>109000</v>
      </c>
      <c r="N39" s="93">
        <v>1</v>
      </c>
      <c r="O39" s="88">
        <f t="shared" si="0"/>
        <v>109000</v>
      </c>
      <c r="R39">
        <v>102753</v>
      </c>
      <c r="S39" s="30">
        <v>136000</v>
      </c>
      <c r="U39" s="34" t="s">
        <v>32</v>
      </c>
    </row>
    <row r="40" spans="1:25">
      <c r="A40" s="94" t="s">
        <v>56</v>
      </c>
      <c r="B40" s="89" t="s">
        <v>35</v>
      </c>
      <c r="C40" s="86">
        <v>96155</v>
      </c>
      <c r="D40" s="86">
        <v>1</v>
      </c>
      <c r="E40" s="86" t="str">
        <f t="shared" si="3"/>
        <v>-</v>
      </c>
      <c r="F40" s="90" t="s">
        <v>17</v>
      </c>
      <c r="G40" s="86" t="s">
        <v>22</v>
      </c>
      <c r="H40" s="86" t="s">
        <v>27</v>
      </c>
      <c r="I40" s="90" t="s">
        <v>20</v>
      </c>
      <c r="J40" s="91">
        <v>45117.692361111112</v>
      </c>
      <c r="K40" s="90" t="s">
        <v>21</v>
      </c>
      <c r="L40" s="86" t="s">
        <v>36</v>
      </c>
      <c r="M40" s="86">
        <v>109000</v>
      </c>
      <c r="N40" s="93">
        <v>1</v>
      </c>
      <c r="O40" s="88">
        <f t="shared" si="0"/>
        <v>109000</v>
      </c>
      <c r="R40">
        <v>102754</v>
      </c>
      <c r="S40" s="30">
        <v>136000</v>
      </c>
      <c r="U40">
        <v>5104</v>
      </c>
    </row>
    <row r="41" spans="1:25">
      <c r="A41" s="94" t="s">
        <v>56</v>
      </c>
      <c r="B41" s="89" t="s">
        <v>35</v>
      </c>
      <c r="C41" s="86">
        <v>96157</v>
      </c>
      <c r="D41" s="86">
        <v>1</v>
      </c>
      <c r="E41" s="86" t="str">
        <f t="shared" si="3"/>
        <v>-</v>
      </c>
      <c r="F41" s="90" t="s">
        <v>17</v>
      </c>
      <c r="G41" s="86" t="s">
        <v>22</v>
      </c>
      <c r="H41" s="86" t="s">
        <v>27</v>
      </c>
      <c r="I41" s="90" t="s">
        <v>20</v>
      </c>
      <c r="J41" s="91">
        <v>45117.712500000001</v>
      </c>
      <c r="K41" s="90" t="s">
        <v>21</v>
      </c>
      <c r="L41" s="86" t="s">
        <v>36</v>
      </c>
      <c r="M41" s="86">
        <v>62000</v>
      </c>
      <c r="N41" s="93">
        <v>1</v>
      </c>
      <c r="O41" s="88">
        <f t="shared" si="0"/>
        <v>62000</v>
      </c>
      <c r="R41">
        <v>96153</v>
      </c>
      <c r="S41" s="30">
        <v>109000</v>
      </c>
      <c r="U41">
        <v>5103</v>
      </c>
    </row>
    <row r="42" spans="1:25">
      <c r="A42" s="94" t="s">
        <v>56</v>
      </c>
      <c r="B42" s="89" t="s">
        <v>35</v>
      </c>
      <c r="C42" s="86">
        <v>96156</v>
      </c>
      <c r="D42" s="86">
        <v>1</v>
      </c>
      <c r="E42" s="86" t="str">
        <f t="shared" si="3"/>
        <v>-</v>
      </c>
      <c r="F42" s="90" t="s">
        <v>17</v>
      </c>
      <c r="G42" s="86" t="s">
        <v>22</v>
      </c>
      <c r="H42" s="86" t="s">
        <v>27</v>
      </c>
      <c r="I42" s="90" t="s">
        <v>20</v>
      </c>
      <c r="J42" s="91">
        <v>45117.711111111108</v>
      </c>
      <c r="K42" s="90" t="s">
        <v>21</v>
      </c>
      <c r="L42" s="86" t="s">
        <v>36</v>
      </c>
      <c r="M42" s="86">
        <v>62000</v>
      </c>
      <c r="N42" s="93">
        <v>1</v>
      </c>
      <c r="O42" s="88">
        <f t="shared" si="0"/>
        <v>62000</v>
      </c>
      <c r="R42">
        <v>96154</v>
      </c>
      <c r="S42" s="30">
        <v>109000</v>
      </c>
      <c r="U42">
        <v>52218</v>
      </c>
    </row>
    <row r="43" spans="1:25">
      <c r="A43" s="94" t="s">
        <v>56</v>
      </c>
      <c r="B43" s="89" t="s">
        <v>35</v>
      </c>
      <c r="C43" s="86">
        <v>96158</v>
      </c>
      <c r="D43" s="86">
        <v>1</v>
      </c>
      <c r="E43" s="86" t="str">
        <f t="shared" si="3"/>
        <v>-</v>
      </c>
      <c r="F43" s="90" t="s">
        <v>17</v>
      </c>
      <c r="G43" s="86" t="s">
        <v>18</v>
      </c>
      <c r="H43" s="86" t="s">
        <v>27</v>
      </c>
      <c r="I43" s="90" t="s">
        <v>20</v>
      </c>
      <c r="J43" s="91">
        <v>45110.619444444441</v>
      </c>
      <c r="K43" s="90" t="s">
        <v>21</v>
      </c>
      <c r="L43" s="86" t="s">
        <v>36</v>
      </c>
      <c r="M43" s="86">
        <v>127800</v>
      </c>
      <c r="N43" s="93">
        <v>1</v>
      </c>
      <c r="O43" s="88">
        <f t="shared" si="0"/>
        <v>127800</v>
      </c>
      <c r="R43">
        <v>96155</v>
      </c>
      <c r="S43" s="30">
        <v>109000</v>
      </c>
      <c r="U43">
        <v>72157</v>
      </c>
    </row>
    <row r="44" spans="1:25">
      <c r="A44" s="94" t="s">
        <v>56</v>
      </c>
      <c r="B44" s="89" t="s">
        <v>37</v>
      </c>
      <c r="C44" s="86">
        <v>116945</v>
      </c>
      <c r="D44" s="86">
        <v>1</v>
      </c>
      <c r="E44" s="86" t="str">
        <f t="shared" si="3"/>
        <v>-</v>
      </c>
      <c r="F44" s="90" t="s">
        <v>17</v>
      </c>
      <c r="G44" s="86" t="s">
        <v>22</v>
      </c>
      <c r="H44" s="86" t="s">
        <v>19</v>
      </c>
      <c r="I44" s="90" t="s">
        <v>38</v>
      </c>
      <c r="J44" s="91">
        <v>45121.463888888888</v>
      </c>
      <c r="K44" s="90" t="s">
        <v>21</v>
      </c>
      <c r="L44" s="86" t="s">
        <v>36</v>
      </c>
      <c r="M44" s="86">
        <v>0</v>
      </c>
      <c r="N44" s="93">
        <v>1</v>
      </c>
      <c r="O44" s="88">
        <f t="shared" si="0"/>
        <v>0</v>
      </c>
      <c r="R44">
        <v>96157</v>
      </c>
      <c r="S44" s="30">
        <v>62000</v>
      </c>
      <c r="U44">
        <v>62872</v>
      </c>
    </row>
    <row r="45" spans="1:25">
      <c r="A45" s="94" t="s">
        <v>56</v>
      </c>
      <c r="B45" s="111" t="s">
        <v>37</v>
      </c>
      <c r="C45" s="112">
        <v>116946</v>
      </c>
      <c r="D45" s="112">
        <v>1</v>
      </c>
      <c r="E45" s="112" t="str">
        <f t="shared" si="3"/>
        <v>-</v>
      </c>
      <c r="F45" s="113" t="s">
        <v>17</v>
      </c>
      <c r="G45" s="112" t="s">
        <v>22</v>
      </c>
      <c r="H45" s="112" t="s">
        <v>19</v>
      </c>
      <c r="I45" s="113" t="s">
        <v>38</v>
      </c>
      <c r="J45" s="114">
        <v>45121.465277777781</v>
      </c>
      <c r="K45" s="113" t="s">
        <v>21</v>
      </c>
      <c r="L45" s="112" t="s">
        <v>36</v>
      </c>
      <c r="M45" s="112">
        <v>0</v>
      </c>
      <c r="N45" s="115">
        <v>1</v>
      </c>
      <c r="O45" s="116">
        <f t="shared" si="0"/>
        <v>0</v>
      </c>
      <c r="R45">
        <v>96156</v>
      </c>
      <c r="S45" s="30">
        <v>62000</v>
      </c>
      <c r="U45" s="17">
        <v>32744</v>
      </c>
    </row>
    <row r="46" spans="1:25">
      <c r="C46" s="20"/>
      <c r="D46" s="20"/>
      <c r="E46" s="20"/>
      <c r="F46" s="20"/>
      <c r="G46" s="20"/>
      <c r="H46" s="20"/>
      <c r="I46" s="20"/>
      <c r="J46" s="20"/>
      <c r="K46" s="20"/>
      <c r="L46" s="21">
        <f>SUM(L5:L45)</f>
        <v>23939000</v>
      </c>
      <c r="M46" s="21">
        <f>SUM(M5:M45)</f>
        <v>21429554</v>
      </c>
      <c r="N46" s="1"/>
      <c r="O46" s="27">
        <f>SUM(O5:O45)</f>
        <v>17871567.333333332</v>
      </c>
      <c r="R46">
        <v>116945</v>
      </c>
      <c r="S46" s="30">
        <v>0</v>
      </c>
    </row>
    <row r="47" spans="1:25">
      <c r="A47" t="str" cm="1">
        <f t="array" ref="A47:A54">_xlfn.UNIQUE(A5:A45)</f>
        <v>Previsão 08/10</v>
      </c>
      <c r="R47" s="17">
        <v>116946</v>
      </c>
      <c r="S47" s="32">
        <v>0</v>
      </c>
      <c r="U47" s="34" t="s">
        <v>33</v>
      </c>
    </row>
    <row r="48" spans="1:25">
      <c r="A48" t="str">
        <v>Registrado</v>
      </c>
      <c r="R48" s="3">
        <v>26</v>
      </c>
      <c r="S48" s="33">
        <v>6512666.666666666</v>
      </c>
      <c r="U48">
        <v>36052</v>
      </c>
    </row>
    <row r="49" spans="1:21">
      <c r="A49" t="str">
        <v>Previsão 05/09</v>
      </c>
      <c r="U49" s="17">
        <v>36053</v>
      </c>
    </row>
    <row r="50" spans="1:21">
      <c r="A50" t="str">
        <v>Sem Carta</v>
      </c>
    </row>
    <row r="51" spans="1:21">
      <c r="A51" t="str">
        <v>Previsão 03/10</v>
      </c>
      <c r="R51" s="122" t="s">
        <v>60</v>
      </c>
    </row>
    <row r="52" spans="1:21">
      <c r="A52" t="str">
        <v>Previsão 29/09</v>
      </c>
      <c r="C52" s="5" t="s">
        <v>2</v>
      </c>
      <c r="D52" s="5"/>
      <c r="E52" s="5"/>
      <c r="F52" s="4" t="s">
        <v>39</v>
      </c>
      <c r="G52" s="5"/>
      <c r="O52" s="25"/>
      <c r="R52" s="124" t="s">
        <v>62</v>
      </c>
      <c r="S52" s="124" t="s">
        <v>12</v>
      </c>
      <c r="T52" s="125" t="s">
        <v>63</v>
      </c>
    </row>
    <row r="53" spans="1:21">
      <c r="A53" t="str">
        <v>Previsão 26/09</v>
      </c>
      <c r="C53" s="18">
        <v>96159</v>
      </c>
      <c r="D53" s="18"/>
      <c r="E53" s="18"/>
      <c r="F53" s="17" t="s">
        <v>40</v>
      </c>
      <c r="G53" s="17"/>
      <c r="O53" s="25"/>
      <c r="R53" s="12">
        <f>COUNTIF($A$5:$A$45,T53)</f>
        <v>19</v>
      </c>
      <c r="S53" s="119">
        <f t="shared" ref="S53:S59" si="4">SUMIF($A$5:$A$45,T53,$O$5:$O$45)</f>
        <v>4490800</v>
      </c>
      <c r="T53" s="11" t="s">
        <v>56</v>
      </c>
    </row>
    <row r="54" spans="1:21">
      <c r="A54" t="str">
        <v>Sem Previsão</v>
      </c>
      <c r="R54" s="126">
        <f t="shared" ref="R54:R60" si="5">COUNTIF($A$5:$A$45,T54)</f>
        <v>4</v>
      </c>
      <c r="S54" s="127">
        <f>SUMIF($A$5:$A$45,T54,$O$5:$O$45)</f>
        <v>1853051.6666666665</v>
      </c>
      <c r="T54" s="128" t="s">
        <v>57</v>
      </c>
    </row>
    <row r="55" spans="1:21">
      <c r="R55" s="8">
        <f t="shared" si="5"/>
        <v>6</v>
      </c>
      <c r="S55" s="1">
        <f>SUMIF($A$5:$A$45,T55,$O$5:$O$45)</f>
        <v>1578666.6666666665</v>
      </c>
      <c r="T55" t="s">
        <v>66</v>
      </c>
    </row>
    <row r="56" spans="1:21">
      <c r="J56" t="s">
        <v>47</v>
      </c>
      <c r="L56"/>
      <c r="O56" t="s">
        <v>48</v>
      </c>
      <c r="R56" s="8">
        <f t="shared" ref="R56:R58" si="6">COUNTIF($A$5:$A$45,T56)</f>
        <v>1</v>
      </c>
      <c r="S56" s="1">
        <f t="shared" ref="S56:S58" si="7">SUMIF($A$5:$A$45,T56,$O$5:$O$45)</f>
        <v>462000</v>
      </c>
      <c r="T56" t="s">
        <v>58</v>
      </c>
    </row>
    <row r="57" spans="1:21">
      <c r="C57" s="69" t="s">
        <v>2</v>
      </c>
      <c r="D57" s="70" t="s">
        <v>42</v>
      </c>
      <c r="E57" s="71" t="s">
        <v>43</v>
      </c>
      <c r="F57" s="5" t="s">
        <v>41</v>
      </c>
      <c r="G57" s="5" t="s">
        <v>12</v>
      </c>
      <c r="J57" s="5" t="s">
        <v>44</v>
      </c>
      <c r="L57" s="5" t="s">
        <v>2</v>
      </c>
      <c r="M57" s="5" t="s">
        <v>49</v>
      </c>
      <c r="O57" s="5" t="s">
        <v>44</v>
      </c>
      <c r="R57" s="8">
        <f t="shared" si="6"/>
        <v>1</v>
      </c>
      <c r="S57" s="1">
        <f t="shared" si="7"/>
        <v>3833000</v>
      </c>
      <c r="T57" t="s">
        <v>64</v>
      </c>
    </row>
    <row r="58" spans="1:21">
      <c r="C58" s="47">
        <v>32744</v>
      </c>
      <c r="D58" s="52">
        <v>714.6</v>
      </c>
      <c r="E58" s="53">
        <v>600</v>
      </c>
      <c r="F58" s="49">
        <v>1381000</v>
      </c>
      <c r="G58" s="50">
        <v>980000</v>
      </c>
      <c r="I58">
        <f>J58/$J$60</f>
        <v>0.5438401775804661</v>
      </c>
      <c r="J58" s="63">
        <f>G58/$G$60*J60</f>
        <v>1407458.3795782463</v>
      </c>
      <c r="L58" s="47">
        <v>32744</v>
      </c>
      <c r="M58" s="63">
        <f>D63*K63+E63*K64</f>
        <v>1557113.238883801</v>
      </c>
      <c r="O58" s="63">
        <f>P58*$M$60</f>
        <v>1552800</v>
      </c>
      <c r="P58" s="66">
        <v>0.6</v>
      </c>
      <c r="R58" s="8">
        <f t="shared" si="6"/>
        <v>1</v>
      </c>
      <c r="S58" s="1">
        <f t="shared" si="7"/>
        <v>590500</v>
      </c>
      <c r="T58" t="s">
        <v>65</v>
      </c>
    </row>
    <row r="59" spans="1:21">
      <c r="C59" s="48">
        <v>6549</v>
      </c>
      <c r="D59" s="54">
        <v>757</v>
      </c>
      <c r="E59" s="55">
        <v>185</v>
      </c>
      <c r="F59" s="37">
        <v>1158000</v>
      </c>
      <c r="G59" s="51">
        <v>822000</v>
      </c>
      <c r="I59">
        <f>J59/$J$60</f>
        <v>0.45615982241953379</v>
      </c>
      <c r="J59" s="64">
        <f>G59/$G$60*J60</f>
        <v>1180541.6204217535</v>
      </c>
      <c r="L59" s="48">
        <v>6549</v>
      </c>
      <c r="M59" s="64">
        <f>D64*K63+E64*K64</f>
        <v>1030886.7611161991</v>
      </c>
      <c r="O59" s="64">
        <f>P59*$M$60</f>
        <v>1035200</v>
      </c>
      <c r="P59" s="66">
        <v>0.4</v>
      </c>
      <c r="R59" s="126">
        <f t="shared" si="5"/>
        <v>1</v>
      </c>
      <c r="S59" s="127">
        <f t="shared" si="4"/>
        <v>109000</v>
      </c>
      <c r="T59" s="128" t="s">
        <v>59</v>
      </c>
    </row>
    <row r="60" spans="1:21">
      <c r="C60" s="56" t="s">
        <v>28</v>
      </c>
      <c r="D60" s="56">
        <f>SUM(D58:D59)</f>
        <v>1471.6</v>
      </c>
      <c r="E60" s="57">
        <f t="shared" ref="E60:G60" si="8">SUM(E58:E59)</f>
        <v>785</v>
      </c>
      <c r="F60" s="58">
        <f t="shared" si="8"/>
        <v>2539000</v>
      </c>
      <c r="G60" s="58">
        <f t="shared" si="8"/>
        <v>1802000</v>
      </c>
      <c r="J60" s="56">
        <v>2588000</v>
      </c>
      <c r="L60" s="56" t="s">
        <v>44</v>
      </c>
      <c r="M60" s="56">
        <f>SUM(M58:M59)</f>
        <v>2588000</v>
      </c>
      <c r="O60" s="56">
        <f>SUM(O58:O59)</f>
        <v>2588000</v>
      </c>
      <c r="R60" s="121">
        <f t="shared" si="5"/>
        <v>8</v>
      </c>
      <c r="S60" s="120">
        <f t="shared" ref="S60" si="9">SUMIF($A$5:$A$45,T60,$O$5:$O$45)</f>
        <v>4954549</v>
      </c>
      <c r="T60" s="118" t="s">
        <v>61</v>
      </c>
    </row>
    <row r="61" spans="1:21">
      <c r="R61" s="123">
        <f>SUM(R53:R60)</f>
        <v>41</v>
      </c>
      <c r="S61" s="58">
        <f>SUM(S53:S60)</f>
        <v>17871567.333333332</v>
      </c>
      <c r="T61" s="3" t="s">
        <v>28</v>
      </c>
    </row>
    <row r="62" spans="1:21">
      <c r="D62" s="5" t="s">
        <v>42</v>
      </c>
      <c r="E62" s="5" t="s">
        <v>43</v>
      </c>
      <c r="I62" s="5" t="s">
        <v>44</v>
      </c>
      <c r="J62" s="5"/>
      <c r="K62" s="5"/>
    </row>
    <row r="63" spans="1:21">
      <c r="D63" s="59">
        <f>D58/$D$60</f>
        <v>0.48559391138896446</v>
      </c>
      <c r="E63" s="60">
        <f>E58/$E$60</f>
        <v>0.76433121019108285</v>
      </c>
      <c r="H63" s="65" t="s">
        <v>45</v>
      </c>
      <c r="I63" s="63">
        <v>1510038.8</v>
      </c>
      <c r="J63" s="67">
        <f>I63/I65</f>
        <v>0.58357665342476372</v>
      </c>
      <c r="K63" s="63">
        <f>J63*$J$60</f>
        <v>1510296.3790632884</v>
      </c>
    </row>
    <row r="64" spans="1:21">
      <c r="D64" s="61">
        <f t="shared" ref="D64" si="10">D59/$D$60</f>
        <v>0.51440608861103565</v>
      </c>
      <c r="E64" s="62">
        <f>E59/$E$60</f>
        <v>0.2356687898089172</v>
      </c>
      <c r="H64" s="65" t="s">
        <v>46</v>
      </c>
      <c r="I64" s="64">
        <v>1077519.82</v>
      </c>
      <c r="J64" s="68">
        <f>I64/I65</f>
        <v>0.41642334657523622</v>
      </c>
      <c r="K64" s="64">
        <f>J64*$J$60</f>
        <v>1077703.6209367113</v>
      </c>
    </row>
    <row r="65" spans="4:11">
      <c r="D65" s="36">
        <f>SUM(D63:D64)</f>
        <v>1</v>
      </c>
      <c r="E65" s="36">
        <f>SUM(E63:E64)</f>
        <v>1</v>
      </c>
      <c r="I65" s="56">
        <f>SUM(I63:I64)</f>
        <v>2587558.62</v>
      </c>
      <c r="K65" s="56">
        <f>SUM(K63:K64)</f>
        <v>2588000</v>
      </c>
    </row>
  </sheetData>
  <autoFilter ref="B4:O46" xr:uid="{C1E2C3A9-15F1-4693-B703-F7F3C51D68CF}"/>
  <mergeCells count="1">
    <mergeCell ref="R4:X6"/>
  </mergeCells>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EE77E-8524-4A87-B307-B5B12FAE9E2B}">
  <sheetPr filterMode="1"/>
  <dimension ref="A1:BL208"/>
  <sheetViews>
    <sheetView workbookViewId="0"/>
  </sheetViews>
  <sheetFormatPr defaultColWidth="9.140625" defaultRowHeight="15.75"/>
  <cols>
    <col min="1" max="3" width="9.140625" style="208"/>
    <col min="4" max="4" width="9.140625" style="209"/>
    <col min="5" max="6" width="13.140625" style="210" bestFit="1" customWidth="1"/>
    <col min="7" max="7" width="9.140625" style="210"/>
    <col min="8" max="17" width="9.140625" style="208"/>
    <col min="18" max="18" width="20" style="209" bestFit="1" customWidth="1"/>
    <col min="19" max="22" width="9.140625" style="208"/>
    <col min="23" max="23" width="37.140625" style="209" bestFit="1" customWidth="1"/>
    <col min="24" max="24" width="37.140625" style="211" bestFit="1" customWidth="1"/>
    <col min="25" max="16384" width="9.140625" style="208"/>
  </cols>
  <sheetData>
    <row r="1" spans="1:64">
      <c r="A1" s="208" t="s">
        <v>1408</v>
      </c>
      <c r="B1" s="208" t="s">
        <v>1409</v>
      </c>
      <c r="C1" s="208" t="s">
        <v>1410</v>
      </c>
      <c r="D1" s="209" t="s">
        <v>1411</v>
      </c>
      <c r="E1" s="210" t="s">
        <v>1464</v>
      </c>
      <c r="F1" s="210" t="s">
        <v>1465</v>
      </c>
      <c r="G1" s="210" t="s">
        <v>1466</v>
      </c>
      <c r="H1" s="208" t="s">
        <v>5</v>
      </c>
      <c r="I1" s="208" t="s">
        <v>1412</v>
      </c>
      <c r="J1" s="208" t="s">
        <v>8</v>
      </c>
      <c r="K1" s="208" t="s">
        <v>1413</v>
      </c>
      <c r="L1" s="208" t="s">
        <v>1414</v>
      </c>
      <c r="M1" s="208" t="s">
        <v>10</v>
      </c>
      <c r="N1" s="208" t="s">
        <v>1415</v>
      </c>
      <c r="O1" s="208" t="s">
        <v>1416</v>
      </c>
      <c r="P1" s="208" t="s">
        <v>1417</v>
      </c>
      <c r="Q1" s="208" t="s">
        <v>1418</v>
      </c>
      <c r="R1" s="209" t="s">
        <v>1419</v>
      </c>
      <c r="S1" s="208" t="s">
        <v>1420</v>
      </c>
      <c r="T1" s="208" t="s">
        <v>1421</v>
      </c>
      <c r="U1" s="208" t="s">
        <v>1422</v>
      </c>
      <c r="V1" s="208" t="s">
        <v>1423</v>
      </c>
      <c r="W1" s="209" t="s">
        <v>1424</v>
      </c>
      <c r="X1" s="211" t="s">
        <v>1424</v>
      </c>
      <c r="Y1" s="208" t="s">
        <v>1425</v>
      </c>
      <c r="Z1" s="208" t="s">
        <v>1426</v>
      </c>
      <c r="AA1" s="208" t="s">
        <v>1427</v>
      </c>
      <c r="AB1" s="208" t="s">
        <v>1428</v>
      </c>
      <c r="AC1" s="208" t="s">
        <v>1429</v>
      </c>
      <c r="AD1" s="208" t="s">
        <v>1430</v>
      </c>
      <c r="AE1" s="208" t="s">
        <v>1431</v>
      </c>
      <c r="AF1" s="208" t="s">
        <v>42</v>
      </c>
      <c r="AG1" s="208" t="s">
        <v>1432</v>
      </c>
      <c r="AH1" s="208" t="s">
        <v>1433</v>
      </c>
      <c r="AI1" s="208" t="s">
        <v>1434</v>
      </c>
      <c r="AJ1" s="208" t="s">
        <v>1435</v>
      </c>
      <c r="AK1" s="208" t="s">
        <v>1436</v>
      </c>
      <c r="AL1" s="208" t="s">
        <v>1437</v>
      </c>
      <c r="AM1" s="208" t="s">
        <v>1438</v>
      </c>
      <c r="AN1" s="208" t="s">
        <v>1439</v>
      </c>
      <c r="AO1" s="208" t="s">
        <v>1440</v>
      </c>
      <c r="AP1" s="208" t="s">
        <v>1441</v>
      </c>
      <c r="AQ1" s="208" t="s">
        <v>1442</v>
      </c>
      <c r="AR1" s="208" t="s">
        <v>1443</v>
      </c>
      <c r="AS1" s="208" t="s">
        <v>1444</v>
      </c>
      <c r="AT1" s="208" t="s">
        <v>1445</v>
      </c>
      <c r="AU1" s="208" t="s">
        <v>1446</v>
      </c>
      <c r="AV1" s="208" t="s">
        <v>1447</v>
      </c>
      <c r="AW1" s="208" t="s">
        <v>1448</v>
      </c>
      <c r="AX1" s="208" t="s">
        <v>1449</v>
      </c>
      <c r="AY1" s="208" t="s">
        <v>1450</v>
      </c>
      <c r="AZ1" s="208" t="s">
        <v>1451</v>
      </c>
      <c r="BA1" s="208" t="s">
        <v>1452</v>
      </c>
      <c r="BB1" s="208" t="s">
        <v>1453</v>
      </c>
      <c r="BC1" s="208" t="s">
        <v>1454</v>
      </c>
      <c r="BD1" s="208" t="s">
        <v>1455</v>
      </c>
      <c r="BE1" s="208" t="s">
        <v>1456</v>
      </c>
      <c r="BF1" s="208" t="s">
        <v>1457</v>
      </c>
      <c r="BG1" s="208" t="s">
        <v>1458</v>
      </c>
      <c r="BH1" s="208" t="s">
        <v>1459</v>
      </c>
      <c r="BI1" s="208" t="s">
        <v>1460</v>
      </c>
      <c r="BJ1" s="208" t="s">
        <v>1461</v>
      </c>
      <c r="BK1" s="208" t="s">
        <v>1462</v>
      </c>
      <c r="BL1" s="208" t="s">
        <v>1463</v>
      </c>
    </row>
    <row r="2" spans="1:64" hidden="1">
      <c r="B2" s="208">
        <v>15292</v>
      </c>
      <c r="C2" s="208" t="s">
        <v>1061</v>
      </c>
      <c r="D2" s="209">
        <v>149</v>
      </c>
      <c r="E2" s="210">
        <v>297000</v>
      </c>
      <c r="F2" s="210">
        <v>228000</v>
      </c>
      <c r="H2" s="208" t="s">
        <v>17</v>
      </c>
      <c r="I2" s="208" t="s">
        <v>1784</v>
      </c>
      <c r="J2" s="208" t="s">
        <v>1468</v>
      </c>
      <c r="K2" s="208" t="s">
        <v>1469</v>
      </c>
      <c r="L2" s="208" t="s">
        <v>1470</v>
      </c>
      <c r="M2" s="208" t="s">
        <v>21</v>
      </c>
      <c r="N2" s="208" t="s">
        <v>1471</v>
      </c>
      <c r="O2" s="208" t="s">
        <v>1547</v>
      </c>
      <c r="P2" s="208" t="s">
        <v>1473</v>
      </c>
      <c r="Q2" s="208" t="s">
        <v>1474</v>
      </c>
      <c r="R2" s="209" t="s">
        <v>1475</v>
      </c>
      <c r="S2" s="208" t="s">
        <v>1785</v>
      </c>
      <c r="T2" s="208" t="s">
        <v>1786</v>
      </c>
      <c r="U2" s="208" t="s">
        <v>1787</v>
      </c>
      <c r="V2" s="208" t="s">
        <v>1788</v>
      </c>
      <c r="W2" s="209" t="s">
        <v>1789</v>
      </c>
      <c r="X2" s="211">
        <f t="shared" ref="X2:X65" si="0">W2*1</f>
        <v>45856.410416666666</v>
      </c>
      <c r="Y2" s="208" t="s">
        <v>1481</v>
      </c>
      <c r="Z2" s="208" t="s">
        <v>1482</v>
      </c>
      <c r="AA2" s="208" t="s">
        <v>1483</v>
      </c>
      <c r="AB2" s="208" t="s">
        <v>1790</v>
      </c>
      <c r="AC2" s="208" t="s">
        <v>1485</v>
      </c>
      <c r="AD2" s="208">
        <v>99.27</v>
      </c>
      <c r="AF2" s="208">
        <v>130</v>
      </c>
      <c r="AG2" s="208" t="s">
        <v>1486</v>
      </c>
      <c r="AH2" s="208" t="s">
        <v>1487</v>
      </c>
      <c r="AI2" s="208" t="s">
        <v>1488</v>
      </c>
      <c r="AJ2" s="208" t="s">
        <v>1489</v>
      </c>
      <c r="AK2" s="208" t="s">
        <v>1564</v>
      </c>
      <c r="AL2" s="208" t="s">
        <v>1791</v>
      </c>
      <c r="AM2" s="208" t="s">
        <v>1792</v>
      </c>
      <c r="AN2" s="208" t="s">
        <v>1793</v>
      </c>
      <c r="AO2" s="208" t="s">
        <v>1794</v>
      </c>
      <c r="AP2" s="208" t="s">
        <v>1569</v>
      </c>
      <c r="AT2" s="208" t="s">
        <v>1565</v>
      </c>
      <c r="AU2" s="208" t="s">
        <v>1787</v>
      </c>
      <c r="AV2" s="208" t="s">
        <v>1714</v>
      </c>
      <c r="AW2" s="208" t="s">
        <v>1787</v>
      </c>
      <c r="AX2" s="208" t="s">
        <v>1572</v>
      </c>
      <c r="BB2" s="208" t="s">
        <v>1785</v>
      </c>
      <c r="BC2" s="208" t="s">
        <v>1787</v>
      </c>
      <c r="BD2" s="208" t="s">
        <v>1788</v>
      </c>
      <c r="BE2" s="208" t="s">
        <v>1789</v>
      </c>
      <c r="BF2" s="208" t="s">
        <v>1474</v>
      </c>
      <c r="BH2" s="208" t="b">
        <v>0</v>
      </c>
      <c r="BK2" s="208" t="b">
        <v>0</v>
      </c>
    </row>
    <row r="3" spans="1:64" hidden="1">
      <c r="B3" s="208">
        <v>15292</v>
      </c>
      <c r="C3" s="208" t="s">
        <v>1061</v>
      </c>
      <c r="D3" s="209">
        <v>149</v>
      </c>
      <c r="E3" s="210">
        <v>405000</v>
      </c>
      <c r="F3" s="210">
        <v>311000</v>
      </c>
      <c r="H3" s="208" t="s">
        <v>17</v>
      </c>
      <c r="I3" s="208" t="s">
        <v>1504</v>
      </c>
      <c r="J3" s="208" t="s">
        <v>1468</v>
      </c>
      <c r="K3" s="208" t="s">
        <v>1469</v>
      </c>
      <c r="L3" s="208" t="s">
        <v>1470</v>
      </c>
      <c r="M3" s="208" t="s">
        <v>21</v>
      </c>
      <c r="N3" s="208" t="s">
        <v>1471</v>
      </c>
      <c r="O3" s="208" t="s">
        <v>1913</v>
      </c>
      <c r="Q3" s="208" t="s">
        <v>1474</v>
      </c>
      <c r="R3" s="209" t="s">
        <v>1475</v>
      </c>
      <c r="S3" s="208" t="s">
        <v>1864</v>
      </c>
      <c r="T3" s="208" t="s">
        <v>1931</v>
      </c>
      <c r="U3" s="208" t="s">
        <v>1932</v>
      </c>
      <c r="V3" s="208" t="s">
        <v>1932</v>
      </c>
      <c r="W3" s="209" t="s">
        <v>1933</v>
      </c>
      <c r="X3" s="211">
        <f t="shared" si="0"/>
        <v>45219.693749999999</v>
      </c>
      <c r="Y3" s="208" t="s">
        <v>1481</v>
      </c>
      <c r="Z3" s="208" t="s">
        <v>1524</v>
      </c>
      <c r="AA3" s="208" t="s">
        <v>1483</v>
      </c>
      <c r="AB3" s="208" t="s">
        <v>1887</v>
      </c>
      <c r="AC3" s="208" t="s">
        <v>1622</v>
      </c>
      <c r="AD3" s="208">
        <v>200</v>
      </c>
      <c r="AF3" s="208">
        <v>480</v>
      </c>
      <c r="AG3" s="208" t="s">
        <v>1486</v>
      </c>
      <c r="AH3" s="208" t="s">
        <v>1487</v>
      </c>
      <c r="AI3" s="208" t="s">
        <v>1488</v>
      </c>
      <c r="AJ3" s="208" t="s">
        <v>1489</v>
      </c>
      <c r="AL3" s="208" t="s">
        <v>1490</v>
      </c>
      <c r="AM3" s="208" t="s">
        <v>1888</v>
      </c>
      <c r="AN3" s="208" t="s">
        <v>1889</v>
      </c>
      <c r="AO3" s="208" t="s">
        <v>1890</v>
      </c>
      <c r="AP3" s="208" t="s">
        <v>1494</v>
      </c>
      <c r="AT3" s="208" t="s">
        <v>1905</v>
      </c>
      <c r="AU3" s="208" t="s">
        <v>1932</v>
      </c>
      <c r="AV3" s="208" t="s">
        <v>1934</v>
      </c>
      <c r="AW3" s="208" t="s">
        <v>1935</v>
      </c>
      <c r="AX3" s="208" t="s">
        <v>1872</v>
      </c>
      <c r="BB3" s="208" t="s">
        <v>1864</v>
      </c>
      <c r="BC3" s="208" t="s">
        <v>1932</v>
      </c>
      <c r="BD3" s="208" t="s">
        <v>1932</v>
      </c>
      <c r="BE3" s="208" t="s">
        <v>1933</v>
      </c>
      <c r="BF3" s="208" t="s">
        <v>1474</v>
      </c>
      <c r="BG3" s="208" t="b">
        <v>1</v>
      </c>
      <c r="BH3" s="208" t="b">
        <v>1</v>
      </c>
      <c r="BK3" s="208" t="b">
        <v>0</v>
      </c>
    </row>
    <row r="4" spans="1:64" hidden="1">
      <c r="B4" s="208">
        <v>15292</v>
      </c>
      <c r="C4" s="208" t="s">
        <v>1061</v>
      </c>
      <c r="D4" s="209">
        <v>149</v>
      </c>
      <c r="E4" s="210">
        <v>307028.71999999997</v>
      </c>
      <c r="F4" s="210">
        <v>221060.68</v>
      </c>
      <c r="H4" s="208" t="s">
        <v>17</v>
      </c>
      <c r="I4" s="208" t="s">
        <v>1504</v>
      </c>
      <c r="J4" s="208" t="s">
        <v>1468</v>
      </c>
      <c r="K4" s="208" t="s">
        <v>1469</v>
      </c>
      <c r="L4" s="208" t="s">
        <v>1470</v>
      </c>
      <c r="M4" s="208" t="s">
        <v>1668</v>
      </c>
      <c r="N4" s="208" t="s">
        <v>1471</v>
      </c>
      <c r="O4" s="208" t="s">
        <v>1913</v>
      </c>
      <c r="Q4" s="208" t="s">
        <v>2108</v>
      </c>
      <c r="R4" s="209" t="s">
        <v>1475</v>
      </c>
      <c r="S4" s="208" t="s">
        <v>2109</v>
      </c>
      <c r="T4" s="208" t="s">
        <v>1888</v>
      </c>
      <c r="U4" s="208" t="s">
        <v>2110</v>
      </c>
      <c r="V4" s="208" t="s">
        <v>2111</v>
      </c>
      <c r="W4" s="209" t="s">
        <v>2112</v>
      </c>
      <c r="X4" s="211">
        <f t="shared" si="0"/>
        <v>45035.769444444442</v>
      </c>
      <c r="Y4" s="208" t="s">
        <v>1481</v>
      </c>
      <c r="Z4" s="208" t="s">
        <v>1482</v>
      </c>
      <c r="AA4" s="208" t="s">
        <v>1483</v>
      </c>
      <c r="AB4" s="208" t="s">
        <v>1887</v>
      </c>
      <c r="AC4" s="208" t="s">
        <v>1622</v>
      </c>
      <c r="AD4" s="208">
        <v>196.13</v>
      </c>
      <c r="AF4" s="208">
        <v>480</v>
      </c>
      <c r="AG4" s="208" t="s">
        <v>1486</v>
      </c>
      <c r="AH4" s="208" t="s">
        <v>1487</v>
      </c>
      <c r="AI4" s="208" t="s">
        <v>1488</v>
      </c>
      <c r="AJ4" s="208" t="s">
        <v>1489</v>
      </c>
      <c r="AL4" s="208" t="s">
        <v>1490</v>
      </c>
      <c r="AM4" s="208" t="s">
        <v>1888</v>
      </c>
      <c r="AN4" s="208" t="s">
        <v>1889</v>
      </c>
      <c r="AO4" s="208" t="s">
        <v>1890</v>
      </c>
      <c r="AP4" s="208" t="s">
        <v>1494</v>
      </c>
      <c r="AQ4" s="208" t="s">
        <v>1902</v>
      </c>
      <c r="AR4" s="208" t="s">
        <v>1489</v>
      </c>
      <c r="AS4" s="208" t="s">
        <v>1564</v>
      </c>
      <c r="AT4" s="208" t="s">
        <v>2113</v>
      </c>
      <c r="AU4" s="208" t="s">
        <v>2110</v>
      </c>
      <c r="AV4" s="208" t="s">
        <v>2114</v>
      </c>
      <c r="AW4" s="208" t="s">
        <v>2110</v>
      </c>
      <c r="AX4" s="208" t="s">
        <v>2115</v>
      </c>
      <c r="AY4" s="208" t="s">
        <v>1902</v>
      </c>
      <c r="AZ4" s="208" t="s">
        <v>1489</v>
      </c>
      <c r="BA4" s="208" t="s">
        <v>1564</v>
      </c>
      <c r="BB4" s="208" t="s">
        <v>2109</v>
      </c>
      <c r="BC4" s="208" t="s">
        <v>2110</v>
      </c>
      <c r="BD4" s="208" t="s">
        <v>2111</v>
      </c>
      <c r="BE4" s="208" t="s">
        <v>2112</v>
      </c>
      <c r="BF4" s="208" t="s">
        <v>2108</v>
      </c>
      <c r="BH4" s="208" t="b">
        <v>0</v>
      </c>
      <c r="BK4" s="208" t="b">
        <v>0</v>
      </c>
    </row>
    <row r="5" spans="1:64" hidden="1">
      <c r="B5" s="208">
        <v>15292</v>
      </c>
      <c r="C5" s="208" t="s">
        <v>1061</v>
      </c>
      <c r="D5" s="209">
        <v>149</v>
      </c>
      <c r="E5" s="210">
        <v>238460</v>
      </c>
      <c r="F5" s="210">
        <v>164537</v>
      </c>
      <c r="H5" s="208" t="s">
        <v>17</v>
      </c>
      <c r="I5" s="208" t="s">
        <v>1504</v>
      </c>
      <c r="J5" s="208" t="s">
        <v>1468</v>
      </c>
      <c r="K5" s="208" t="s">
        <v>1469</v>
      </c>
      <c r="L5" s="208" t="s">
        <v>1470</v>
      </c>
      <c r="M5" s="208" t="s">
        <v>1668</v>
      </c>
      <c r="N5" s="208" t="s">
        <v>1471</v>
      </c>
      <c r="O5" s="208" t="s">
        <v>2220</v>
      </c>
      <c r="Q5" s="208" t="s">
        <v>2229</v>
      </c>
      <c r="R5" s="209" t="s">
        <v>1475</v>
      </c>
      <c r="S5" s="208" t="s">
        <v>2222</v>
      </c>
      <c r="T5" s="208" t="s">
        <v>2223</v>
      </c>
      <c r="U5" s="208" t="s">
        <v>1519</v>
      </c>
      <c r="V5" s="208" t="s">
        <v>2237</v>
      </c>
      <c r="W5" s="209" t="s">
        <v>2273</v>
      </c>
      <c r="X5" s="211">
        <f t="shared" si="0"/>
        <v>44726.875</v>
      </c>
      <c r="Y5" s="208" t="s">
        <v>2226</v>
      </c>
      <c r="Z5" s="208" t="s">
        <v>1482</v>
      </c>
      <c r="AA5" s="208" t="s">
        <v>1483</v>
      </c>
      <c r="AB5" s="208" t="s">
        <v>2288</v>
      </c>
      <c r="AC5" s="208" t="s">
        <v>1622</v>
      </c>
      <c r="AD5" s="208">
        <v>330</v>
      </c>
      <c r="AE5" s="208">
        <v>0</v>
      </c>
      <c r="AF5" s="208">
        <v>480</v>
      </c>
      <c r="AG5" s="208" t="s">
        <v>1486</v>
      </c>
      <c r="AH5" s="208" t="s">
        <v>1487</v>
      </c>
      <c r="AI5" s="208" t="s">
        <v>1488</v>
      </c>
      <c r="AJ5" s="208" t="s">
        <v>1489</v>
      </c>
      <c r="AL5" s="208" t="s">
        <v>1517</v>
      </c>
      <c r="AM5" s="208" t="s">
        <v>1519</v>
      </c>
      <c r="AN5" s="208" t="s">
        <v>1519</v>
      </c>
      <c r="AO5" s="208" t="s">
        <v>1624</v>
      </c>
      <c r="AP5" s="208" t="s">
        <v>1521</v>
      </c>
      <c r="AQ5" s="208" t="s">
        <v>1902</v>
      </c>
      <c r="AS5" s="208" t="s">
        <v>1564</v>
      </c>
      <c r="AT5" s="208" t="s">
        <v>2222</v>
      </c>
      <c r="AU5" s="208" t="s">
        <v>1519</v>
      </c>
      <c r="AV5" s="208" t="s">
        <v>2237</v>
      </c>
      <c r="AW5" s="208" t="s">
        <v>2273</v>
      </c>
      <c r="AX5" s="208" t="s">
        <v>2229</v>
      </c>
      <c r="AY5" s="208" t="s">
        <v>1902</v>
      </c>
      <c r="BB5" s="208" t="s">
        <v>2222</v>
      </c>
      <c r="BC5" s="208" t="s">
        <v>2273</v>
      </c>
      <c r="BD5" s="208" t="s">
        <v>2237</v>
      </c>
      <c r="BE5" s="208" t="s">
        <v>2239</v>
      </c>
      <c r="BF5" s="208" t="s">
        <v>2240</v>
      </c>
      <c r="BH5" s="208" t="b">
        <v>0</v>
      </c>
      <c r="BK5" s="208" t="b">
        <v>0</v>
      </c>
    </row>
    <row r="6" spans="1:64" hidden="1">
      <c r="B6" s="208">
        <v>15292</v>
      </c>
      <c r="C6" s="208" t="s">
        <v>1061</v>
      </c>
      <c r="D6" s="209">
        <v>3417</v>
      </c>
      <c r="E6" s="210">
        <v>579000</v>
      </c>
      <c r="F6" s="210">
        <v>446000</v>
      </c>
      <c r="H6" s="208" t="s">
        <v>17</v>
      </c>
      <c r="I6" s="208" t="s">
        <v>1504</v>
      </c>
      <c r="J6" s="208" t="s">
        <v>1468</v>
      </c>
      <c r="K6" s="208" t="s">
        <v>1469</v>
      </c>
      <c r="L6" s="208" t="s">
        <v>1470</v>
      </c>
      <c r="M6" s="208" t="s">
        <v>21</v>
      </c>
      <c r="N6" s="208" t="s">
        <v>1471</v>
      </c>
      <c r="O6" s="208" t="s">
        <v>1547</v>
      </c>
      <c r="P6" s="208" t="s">
        <v>1473</v>
      </c>
      <c r="Q6" s="208" t="s">
        <v>1474</v>
      </c>
      <c r="R6" s="209" t="s">
        <v>1475</v>
      </c>
      <c r="S6" s="208" t="s">
        <v>1670</v>
      </c>
      <c r="T6" s="208" t="s">
        <v>1805</v>
      </c>
      <c r="U6" s="208" t="s">
        <v>1806</v>
      </c>
      <c r="V6" s="208" t="s">
        <v>1673</v>
      </c>
      <c r="W6" s="209" t="s">
        <v>1807</v>
      </c>
      <c r="X6" s="211">
        <f t="shared" si="0"/>
        <v>45848.463194444441</v>
      </c>
      <c r="Y6" s="208" t="s">
        <v>1481</v>
      </c>
      <c r="Z6" s="208" t="s">
        <v>1482</v>
      </c>
      <c r="AA6" s="208" t="s">
        <v>1483</v>
      </c>
      <c r="AB6" s="208" t="s">
        <v>1808</v>
      </c>
      <c r="AC6" s="208" t="s">
        <v>1509</v>
      </c>
      <c r="AD6" s="208">
        <v>217.23</v>
      </c>
      <c r="AF6" s="208">
        <v>352</v>
      </c>
      <c r="AG6" s="208" t="s">
        <v>1486</v>
      </c>
      <c r="AH6" s="208" t="s">
        <v>1487</v>
      </c>
      <c r="AI6" s="208" t="s">
        <v>1488</v>
      </c>
      <c r="AJ6" s="208" t="s">
        <v>1489</v>
      </c>
      <c r="AL6" s="208" t="s">
        <v>1490</v>
      </c>
      <c r="AM6" s="208" t="s">
        <v>1809</v>
      </c>
      <c r="AN6" s="208" t="s">
        <v>1492</v>
      </c>
      <c r="AO6" s="208" t="s">
        <v>1810</v>
      </c>
      <c r="AP6" s="208" t="s">
        <v>1494</v>
      </c>
      <c r="AT6" s="208" t="s">
        <v>1565</v>
      </c>
      <c r="AU6" s="208" t="s">
        <v>1806</v>
      </c>
      <c r="AV6" s="208" t="s">
        <v>1714</v>
      </c>
      <c r="AW6" s="208" t="s">
        <v>1806</v>
      </c>
      <c r="AX6" s="208" t="s">
        <v>1572</v>
      </c>
      <c r="BB6" s="208" t="s">
        <v>1670</v>
      </c>
      <c r="BC6" s="208" t="s">
        <v>1806</v>
      </c>
      <c r="BD6" s="208" t="s">
        <v>1673</v>
      </c>
      <c r="BE6" s="208" t="s">
        <v>1807</v>
      </c>
      <c r="BF6" s="208" t="s">
        <v>1474</v>
      </c>
      <c r="BH6" s="208" t="b">
        <v>0</v>
      </c>
      <c r="BK6" s="208" t="b">
        <v>0</v>
      </c>
    </row>
    <row r="7" spans="1:64" hidden="1">
      <c r="B7" s="208">
        <v>15292</v>
      </c>
      <c r="C7" s="208" t="s">
        <v>1061</v>
      </c>
      <c r="D7" s="209">
        <v>3417</v>
      </c>
      <c r="E7" s="210">
        <v>600000</v>
      </c>
      <c r="F7" s="210">
        <v>462000</v>
      </c>
      <c r="H7" s="208" t="s">
        <v>17</v>
      </c>
      <c r="I7" s="208" t="s">
        <v>1504</v>
      </c>
      <c r="J7" s="208" t="s">
        <v>1468</v>
      </c>
      <c r="K7" s="208" t="s">
        <v>1469</v>
      </c>
      <c r="L7" s="208" t="s">
        <v>1470</v>
      </c>
      <c r="M7" s="208" t="s">
        <v>21</v>
      </c>
      <c r="N7" s="208" t="s">
        <v>1471</v>
      </c>
      <c r="O7" s="208" t="s">
        <v>1913</v>
      </c>
      <c r="Q7" s="208" t="s">
        <v>1474</v>
      </c>
      <c r="R7" s="209" t="s">
        <v>1475</v>
      </c>
      <c r="S7" s="208" t="s">
        <v>1864</v>
      </c>
      <c r="T7" s="208" t="s">
        <v>1921</v>
      </c>
      <c r="U7" s="208" t="s">
        <v>1922</v>
      </c>
      <c r="V7" s="208" t="s">
        <v>1923</v>
      </c>
      <c r="W7" s="209" t="s">
        <v>1924</v>
      </c>
      <c r="X7" s="211">
        <f t="shared" si="0"/>
        <v>45219.683333333334</v>
      </c>
      <c r="Y7" s="208" t="s">
        <v>1481</v>
      </c>
      <c r="Z7" s="208" t="s">
        <v>1524</v>
      </c>
      <c r="AA7" s="208" t="s">
        <v>1483</v>
      </c>
      <c r="AB7" s="208" t="s">
        <v>1808</v>
      </c>
      <c r="AC7" s="208" t="s">
        <v>1509</v>
      </c>
      <c r="AD7" s="208">
        <v>190</v>
      </c>
      <c r="AF7" s="208">
        <v>352</v>
      </c>
      <c r="AG7" s="208" t="s">
        <v>1486</v>
      </c>
      <c r="AH7" s="208" t="s">
        <v>1487</v>
      </c>
      <c r="AI7" s="208" t="s">
        <v>1488</v>
      </c>
      <c r="AJ7" s="208" t="s">
        <v>1489</v>
      </c>
      <c r="AL7" s="208" t="s">
        <v>1490</v>
      </c>
      <c r="AM7" s="208" t="s">
        <v>1809</v>
      </c>
      <c r="AN7" s="208" t="s">
        <v>1492</v>
      </c>
      <c r="AO7" s="208" t="s">
        <v>1810</v>
      </c>
      <c r="AP7" s="208" t="s">
        <v>1494</v>
      </c>
      <c r="AT7" s="208" t="s">
        <v>1925</v>
      </c>
      <c r="AU7" s="208" t="s">
        <v>1922</v>
      </c>
      <c r="AV7" s="208" t="s">
        <v>1926</v>
      </c>
      <c r="AW7" s="208" t="s">
        <v>1927</v>
      </c>
      <c r="AX7" s="208" t="s">
        <v>1872</v>
      </c>
      <c r="BB7" s="208" t="s">
        <v>1864</v>
      </c>
      <c r="BC7" s="208" t="s">
        <v>1922</v>
      </c>
      <c r="BD7" s="208" t="s">
        <v>1923</v>
      </c>
      <c r="BE7" s="208" t="s">
        <v>1924</v>
      </c>
      <c r="BF7" s="208" t="s">
        <v>1474</v>
      </c>
      <c r="BH7" s="208" t="b">
        <v>1</v>
      </c>
      <c r="BK7" s="208" t="b">
        <v>0</v>
      </c>
    </row>
    <row r="8" spans="1:64" hidden="1">
      <c r="B8" s="208">
        <v>15292</v>
      </c>
      <c r="C8" s="208" t="s">
        <v>1061</v>
      </c>
      <c r="D8" s="209">
        <v>3417</v>
      </c>
      <c r="E8" s="210">
        <v>573295.03</v>
      </c>
      <c r="F8" s="210">
        <v>412772.42</v>
      </c>
      <c r="H8" s="208" t="s">
        <v>17</v>
      </c>
      <c r="I8" s="208" t="s">
        <v>1504</v>
      </c>
      <c r="J8" s="208" t="s">
        <v>1468</v>
      </c>
      <c r="K8" s="208" t="s">
        <v>1469</v>
      </c>
      <c r="L8" s="208" t="s">
        <v>1470</v>
      </c>
      <c r="M8" s="208" t="s">
        <v>1668</v>
      </c>
      <c r="N8" s="208" t="s">
        <v>1471</v>
      </c>
      <c r="O8" s="208" t="s">
        <v>2116</v>
      </c>
      <c r="P8" s="208" t="s">
        <v>2101</v>
      </c>
      <c r="Q8" s="208" t="s">
        <v>2108</v>
      </c>
      <c r="R8" s="209" t="s">
        <v>1475</v>
      </c>
      <c r="S8" s="208" t="s">
        <v>2109</v>
      </c>
      <c r="T8" s="208" t="s">
        <v>1809</v>
      </c>
      <c r="U8" s="208" t="s">
        <v>2158</v>
      </c>
      <c r="V8" s="208" t="s">
        <v>2111</v>
      </c>
      <c r="W8" s="209" t="s">
        <v>2159</v>
      </c>
      <c r="X8" s="211">
        <f t="shared" si="0"/>
        <v>45035.765972222223</v>
      </c>
      <c r="Y8" s="208" t="s">
        <v>1481</v>
      </c>
      <c r="Z8" s="208" t="s">
        <v>1482</v>
      </c>
      <c r="AA8" s="208" t="s">
        <v>1483</v>
      </c>
      <c r="AB8" s="208" t="s">
        <v>1808</v>
      </c>
      <c r="AC8" s="208" t="s">
        <v>1509</v>
      </c>
      <c r="AD8" s="208">
        <v>160</v>
      </c>
      <c r="AF8" s="208">
        <v>352</v>
      </c>
      <c r="AG8" s="208" t="s">
        <v>1486</v>
      </c>
      <c r="AH8" s="208" t="s">
        <v>1487</v>
      </c>
      <c r="AI8" s="208" t="s">
        <v>1488</v>
      </c>
      <c r="AJ8" s="208" t="s">
        <v>1489</v>
      </c>
      <c r="AL8" s="208" t="s">
        <v>1490</v>
      </c>
      <c r="AM8" s="208" t="s">
        <v>1809</v>
      </c>
      <c r="AN8" s="208" t="s">
        <v>1492</v>
      </c>
      <c r="AO8" s="208" t="s">
        <v>1810</v>
      </c>
      <c r="AP8" s="208" t="s">
        <v>1494</v>
      </c>
      <c r="AQ8" s="208" t="s">
        <v>1902</v>
      </c>
      <c r="AR8" s="208" t="s">
        <v>1489</v>
      </c>
      <c r="AS8" s="208" t="s">
        <v>1564</v>
      </c>
      <c r="AT8" s="208" t="s">
        <v>2147</v>
      </c>
      <c r="AU8" s="208" t="s">
        <v>2158</v>
      </c>
      <c r="AV8" s="208" t="s">
        <v>2148</v>
      </c>
      <c r="AW8" s="208" t="s">
        <v>2158</v>
      </c>
      <c r="AX8" s="208" t="s">
        <v>2115</v>
      </c>
      <c r="AY8" s="208" t="s">
        <v>1902</v>
      </c>
      <c r="AZ8" s="208" t="s">
        <v>1489</v>
      </c>
      <c r="BA8" s="208" t="s">
        <v>2122</v>
      </c>
      <c r="BB8" s="208" t="s">
        <v>2109</v>
      </c>
      <c r="BC8" s="208" t="s">
        <v>2158</v>
      </c>
      <c r="BD8" s="208" t="s">
        <v>2111</v>
      </c>
      <c r="BE8" s="208" t="s">
        <v>2159</v>
      </c>
      <c r="BF8" s="208" t="s">
        <v>2108</v>
      </c>
      <c r="BG8" s="208" t="b">
        <v>1</v>
      </c>
      <c r="BH8" s="208" t="b">
        <v>0</v>
      </c>
      <c r="BK8" s="208" t="b">
        <v>0</v>
      </c>
    </row>
    <row r="9" spans="1:64" hidden="1">
      <c r="B9" s="208">
        <v>15292</v>
      </c>
      <c r="C9" s="208" t="s">
        <v>1061</v>
      </c>
      <c r="D9" s="209">
        <v>3417</v>
      </c>
      <c r="E9" s="210">
        <v>850560</v>
      </c>
      <c r="F9" s="210">
        <v>637920</v>
      </c>
      <c r="H9" s="208" t="s">
        <v>17</v>
      </c>
      <c r="I9" s="208" t="s">
        <v>1504</v>
      </c>
      <c r="J9" s="208" t="s">
        <v>1468</v>
      </c>
      <c r="K9" s="208" t="s">
        <v>1469</v>
      </c>
      <c r="L9" s="208" t="s">
        <v>1470</v>
      </c>
      <c r="M9" s="208" t="s">
        <v>2099</v>
      </c>
      <c r="N9" s="208" t="s">
        <v>1471</v>
      </c>
      <c r="O9" s="208" t="s">
        <v>2220</v>
      </c>
      <c r="Q9" s="208" t="s">
        <v>2108</v>
      </c>
      <c r="R9" s="209" t="s">
        <v>1475</v>
      </c>
      <c r="S9" s="208" t="s">
        <v>2230</v>
      </c>
      <c r="T9" s="208" t="s">
        <v>2341</v>
      </c>
      <c r="U9" s="208" t="s">
        <v>1637</v>
      </c>
      <c r="V9" s="208" t="s">
        <v>2065</v>
      </c>
      <c r="W9" s="209" t="s">
        <v>2065</v>
      </c>
      <c r="X9" s="211">
        <f t="shared" si="0"/>
        <v>44770.875</v>
      </c>
      <c r="Y9" s="208" t="s">
        <v>2226</v>
      </c>
      <c r="Z9" s="208" t="s">
        <v>1482</v>
      </c>
      <c r="AA9" s="208" t="s">
        <v>1483</v>
      </c>
      <c r="AB9" s="208" t="s">
        <v>2342</v>
      </c>
      <c r="AC9" s="208" t="s">
        <v>1509</v>
      </c>
      <c r="AD9" s="208">
        <v>350</v>
      </c>
      <c r="AE9" s="208">
        <v>0</v>
      </c>
      <c r="AF9" s="208">
        <v>1109</v>
      </c>
      <c r="AG9" s="208" t="s">
        <v>1486</v>
      </c>
      <c r="AH9" s="208" t="s">
        <v>1487</v>
      </c>
      <c r="AI9" s="208" t="s">
        <v>1488</v>
      </c>
      <c r="AJ9" s="208" t="s">
        <v>1489</v>
      </c>
      <c r="AL9" s="208" t="s">
        <v>1635</v>
      </c>
      <c r="AM9" s="208" t="s">
        <v>1637</v>
      </c>
      <c r="AN9" s="208" t="s">
        <v>1637</v>
      </c>
      <c r="AO9" s="208" t="s">
        <v>1637</v>
      </c>
      <c r="AP9" s="208" t="s">
        <v>1638</v>
      </c>
      <c r="AQ9" s="208" t="s">
        <v>1902</v>
      </c>
      <c r="AT9" s="208" t="s">
        <v>2230</v>
      </c>
      <c r="AU9" s="208" t="s">
        <v>1637</v>
      </c>
      <c r="AV9" s="208" t="s">
        <v>2065</v>
      </c>
      <c r="AW9" s="208" t="s">
        <v>2065</v>
      </c>
      <c r="AX9" s="208" t="s">
        <v>2108</v>
      </c>
      <c r="AY9" s="208" t="s">
        <v>1902</v>
      </c>
      <c r="BB9" s="208" t="s">
        <v>2230</v>
      </c>
      <c r="BC9" s="208" t="s">
        <v>2065</v>
      </c>
      <c r="BD9" s="208" t="s">
        <v>2065</v>
      </c>
      <c r="BE9" s="208" t="s">
        <v>2065</v>
      </c>
      <c r="BF9" s="208" t="s">
        <v>2108</v>
      </c>
      <c r="BH9" s="208" t="b">
        <v>0</v>
      </c>
      <c r="BK9" s="208" t="b">
        <v>0</v>
      </c>
    </row>
    <row r="10" spans="1:64" hidden="1">
      <c r="B10" s="208">
        <v>15292</v>
      </c>
      <c r="C10" s="208" t="s">
        <v>1061</v>
      </c>
      <c r="D10" s="209">
        <v>3417</v>
      </c>
      <c r="E10" s="210">
        <v>528068</v>
      </c>
      <c r="F10" s="210">
        <v>380209</v>
      </c>
      <c r="H10" s="208" t="s">
        <v>17</v>
      </c>
      <c r="I10" s="208" t="s">
        <v>1504</v>
      </c>
      <c r="J10" s="208" t="s">
        <v>1468</v>
      </c>
      <c r="K10" s="208" t="s">
        <v>1469</v>
      </c>
      <c r="L10" s="208" t="s">
        <v>1470</v>
      </c>
      <c r="M10" s="208" t="s">
        <v>1668</v>
      </c>
      <c r="N10" s="208" t="s">
        <v>1471</v>
      </c>
      <c r="O10" s="208" t="s">
        <v>2220</v>
      </c>
      <c r="Q10" s="208" t="s">
        <v>2235</v>
      </c>
      <c r="R10" s="209" t="s">
        <v>1475</v>
      </c>
      <c r="S10" s="208" t="s">
        <v>2222</v>
      </c>
      <c r="T10" s="208" t="s">
        <v>2321</v>
      </c>
      <c r="U10" s="208" t="s">
        <v>1519</v>
      </c>
      <c r="V10" s="208" t="s">
        <v>2237</v>
      </c>
      <c r="W10" s="209" t="s">
        <v>2228</v>
      </c>
      <c r="X10" s="211">
        <f t="shared" si="0"/>
        <v>44727.875</v>
      </c>
      <c r="Y10" s="208" t="s">
        <v>2226</v>
      </c>
      <c r="Z10" s="208" t="s">
        <v>1482</v>
      </c>
      <c r="AA10" s="208" t="s">
        <v>1483</v>
      </c>
      <c r="AB10" s="208" t="s">
        <v>2342</v>
      </c>
      <c r="AC10" s="208" t="s">
        <v>1509</v>
      </c>
      <c r="AD10" s="208">
        <v>190</v>
      </c>
      <c r="AE10" s="208">
        <v>0</v>
      </c>
      <c r="AF10" s="208">
        <v>352</v>
      </c>
      <c r="AG10" s="208" t="s">
        <v>1486</v>
      </c>
      <c r="AH10" s="208" t="s">
        <v>1487</v>
      </c>
      <c r="AI10" s="208" t="s">
        <v>1488</v>
      </c>
      <c r="AJ10" s="208" t="s">
        <v>1489</v>
      </c>
      <c r="AL10" s="208" t="s">
        <v>1517</v>
      </c>
      <c r="AM10" s="208" t="s">
        <v>1519</v>
      </c>
      <c r="AN10" s="208" t="s">
        <v>1519</v>
      </c>
      <c r="AO10" s="208" t="s">
        <v>1624</v>
      </c>
      <c r="AP10" s="208" t="s">
        <v>1521</v>
      </c>
      <c r="AQ10" s="208" t="s">
        <v>1902</v>
      </c>
      <c r="AS10" s="208" t="s">
        <v>1564</v>
      </c>
      <c r="AT10" s="208" t="s">
        <v>2222</v>
      </c>
      <c r="AU10" s="208" t="s">
        <v>1519</v>
      </c>
      <c r="AV10" s="208" t="s">
        <v>2237</v>
      </c>
      <c r="AW10" s="208" t="s">
        <v>2228</v>
      </c>
      <c r="AX10" s="208" t="s">
        <v>2235</v>
      </c>
      <c r="AY10" s="208" t="s">
        <v>1902</v>
      </c>
      <c r="BB10" s="208" t="s">
        <v>2222</v>
      </c>
      <c r="BC10" s="208" t="s">
        <v>2228</v>
      </c>
      <c r="BD10" s="208" t="s">
        <v>2237</v>
      </c>
      <c r="BE10" s="208" t="s">
        <v>2239</v>
      </c>
      <c r="BF10" s="208" t="s">
        <v>2240</v>
      </c>
      <c r="BH10" s="208" t="b">
        <v>0</v>
      </c>
      <c r="BK10" s="208" t="b">
        <v>0</v>
      </c>
    </row>
    <row r="11" spans="1:64" hidden="1">
      <c r="B11" s="208">
        <v>15292</v>
      </c>
      <c r="C11" s="208" t="s">
        <v>1061</v>
      </c>
      <c r="D11" s="209">
        <v>5103</v>
      </c>
      <c r="E11" s="210">
        <v>536000</v>
      </c>
      <c r="F11" s="210">
        <v>391000</v>
      </c>
      <c r="H11" s="208" t="s">
        <v>17</v>
      </c>
      <c r="I11" s="208" t="s">
        <v>1504</v>
      </c>
      <c r="J11" s="208" t="s">
        <v>1468</v>
      </c>
      <c r="K11" s="208" t="s">
        <v>1469</v>
      </c>
      <c r="L11" s="208" t="s">
        <v>1470</v>
      </c>
      <c r="M11" s="208" t="s">
        <v>21</v>
      </c>
      <c r="N11" s="208" t="s">
        <v>1471</v>
      </c>
      <c r="O11" s="208" t="s">
        <v>1472</v>
      </c>
      <c r="P11" s="208" t="s">
        <v>1473</v>
      </c>
      <c r="Q11" s="208" t="s">
        <v>1474</v>
      </c>
      <c r="R11" s="209" t="s">
        <v>1475</v>
      </c>
      <c r="S11" s="208" t="s">
        <v>1476</v>
      </c>
      <c r="T11" s="208" t="s">
        <v>1505</v>
      </c>
      <c r="U11" s="208" t="s">
        <v>1506</v>
      </c>
      <c r="V11" s="208" t="s">
        <v>1479</v>
      </c>
      <c r="W11" s="209" t="s">
        <v>1507</v>
      </c>
      <c r="X11" s="211">
        <f t="shared" si="0"/>
        <v>46035.53125</v>
      </c>
      <c r="Y11" s="208" t="s">
        <v>1481</v>
      </c>
      <c r="Z11" s="208" t="s">
        <v>1482</v>
      </c>
      <c r="AA11" s="208" t="s">
        <v>1483</v>
      </c>
      <c r="AB11" s="208" t="s">
        <v>1508</v>
      </c>
      <c r="AC11" s="208" t="s">
        <v>1509</v>
      </c>
      <c r="AD11" s="208">
        <v>336.6</v>
      </c>
      <c r="AF11" s="208">
        <v>312.5</v>
      </c>
      <c r="AG11" s="208" t="s">
        <v>1486</v>
      </c>
      <c r="AH11" s="208" t="s">
        <v>1487</v>
      </c>
      <c r="AI11" s="208" t="s">
        <v>1488</v>
      </c>
      <c r="AJ11" s="208" t="s">
        <v>1489</v>
      </c>
      <c r="AL11" s="208" t="s">
        <v>1490</v>
      </c>
      <c r="AM11" s="208" t="s">
        <v>1510</v>
      </c>
      <c r="AN11" s="208" t="s">
        <v>1511</v>
      </c>
      <c r="AO11" s="208" t="s">
        <v>1512</v>
      </c>
      <c r="AP11" s="208" t="s">
        <v>1494</v>
      </c>
      <c r="AT11" s="208" t="s">
        <v>1495</v>
      </c>
      <c r="AU11" s="208" t="s">
        <v>1506</v>
      </c>
      <c r="AV11" s="208" t="s">
        <v>1496</v>
      </c>
      <c r="AW11" s="208" t="s">
        <v>1506</v>
      </c>
      <c r="AX11" s="208" t="s">
        <v>1497</v>
      </c>
      <c r="BB11" s="208" t="s">
        <v>1476</v>
      </c>
      <c r="BC11" s="208" t="s">
        <v>1506</v>
      </c>
      <c r="BD11" s="208" t="s">
        <v>1479</v>
      </c>
      <c r="BE11" s="208" t="s">
        <v>1507</v>
      </c>
      <c r="BF11" s="208" t="s">
        <v>1474</v>
      </c>
      <c r="BH11" s="208" t="b">
        <v>0</v>
      </c>
      <c r="BK11" s="208" t="b">
        <v>0</v>
      </c>
    </row>
    <row r="12" spans="1:64" hidden="1">
      <c r="B12" s="208">
        <v>15292</v>
      </c>
      <c r="C12" s="208" t="s">
        <v>1061</v>
      </c>
      <c r="D12" s="209">
        <v>5103</v>
      </c>
      <c r="E12" s="210">
        <v>571000</v>
      </c>
      <c r="F12" s="210">
        <v>439000</v>
      </c>
      <c r="H12" s="208" t="s">
        <v>17</v>
      </c>
      <c r="I12" s="208" t="s">
        <v>1795</v>
      </c>
      <c r="J12" s="208" t="s">
        <v>1468</v>
      </c>
      <c r="K12" s="208" t="s">
        <v>1469</v>
      </c>
      <c r="L12" s="208" t="s">
        <v>1470</v>
      </c>
      <c r="M12" s="208" t="s">
        <v>21</v>
      </c>
      <c r="N12" s="208" t="s">
        <v>1471</v>
      </c>
      <c r="O12" s="208" t="s">
        <v>1913</v>
      </c>
      <c r="Q12" s="208" t="s">
        <v>1474</v>
      </c>
      <c r="R12" s="209" t="s">
        <v>1475</v>
      </c>
      <c r="S12" s="208" t="s">
        <v>1864</v>
      </c>
      <c r="T12" s="208" t="s">
        <v>1936</v>
      </c>
      <c r="U12" s="208" t="s">
        <v>1937</v>
      </c>
      <c r="V12" s="208" t="s">
        <v>1938</v>
      </c>
      <c r="W12" s="209" t="s">
        <v>1939</v>
      </c>
      <c r="X12" s="211">
        <f t="shared" si="0"/>
        <v>45219.691666666666</v>
      </c>
      <c r="Y12" s="208" t="s">
        <v>1481</v>
      </c>
      <c r="Z12" s="208" t="s">
        <v>1524</v>
      </c>
      <c r="AA12" s="208" t="s">
        <v>1483</v>
      </c>
      <c r="AB12" s="208" t="s">
        <v>1508</v>
      </c>
      <c r="AC12" s="208" t="s">
        <v>1509</v>
      </c>
      <c r="AD12" s="208">
        <v>324.60000000000002</v>
      </c>
      <c r="AF12" s="208">
        <v>312.5</v>
      </c>
      <c r="AG12" s="208" t="s">
        <v>1486</v>
      </c>
      <c r="AH12" s="208" t="s">
        <v>1487</v>
      </c>
      <c r="AI12" s="208" t="s">
        <v>1488</v>
      </c>
      <c r="AJ12" s="208" t="s">
        <v>1489</v>
      </c>
      <c r="AL12" s="208" t="s">
        <v>1490</v>
      </c>
      <c r="AM12" s="208" t="s">
        <v>1510</v>
      </c>
      <c r="AN12" s="208" t="s">
        <v>1511</v>
      </c>
      <c r="AO12" s="208" t="s">
        <v>1512</v>
      </c>
      <c r="AP12" s="208" t="s">
        <v>1494</v>
      </c>
      <c r="AT12" s="208" t="s">
        <v>1940</v>
      </c>
      <c r="AU12" s="208" t="s">
        <v>1937</v>
      </c>
      <c r="AV12" s="208" t="s">
        <v>1941</v>
      </c>
      <c r="AW12" s="208" t="s">
        <v>1942</v>
      </c>
      <c r="AX12" s="208" t="s">
        <v>1872</v>
      </c>
      <c r="BB12" s="208" t="s">
        <v>1864</v>
      </c>
      <c r="BC12" s="208" t="s">
        <v>1937</v>
      </c>
      <c r="BD12" s="208" t="s">
        <v>1938</v>
      </c>
      <c r="BE12" s="208" t="s">
        <v>1939</v>
      </c>
      <c r="BF12" s="208" t="s">
        <v>1474</v>
      </c>
      <c r="BH12" s="208" t="b">
        <v>1</v>
      </c>
      <c r="BK12" s="208" t="b">
        <v>0</v>
      </c>
    </row>
    <row r="13" spans="1:64" hidden="1">
      <c r="B13" s="208">
        <v>15292</v>
      </c>
      <c r="C13" s="208" t="s">
        <v>1061</v>
      </c>
      <c r="D13" s="209">
        <v>5103</v>
      </c>
      <c r="E13" s="210">
        <v>701861.9</v>
      </c>
      <c r="F13" s="210">
        <v>512359.18</v>
      </c>
      <c r="H13" s="208" t="s">
        <v>17</v>
      </c>
      <c r="I13" s="208" t="s">
        <v>1504</v>
      </c>
      <c r="J13" s="208" t="s">
        <v>1468</v>
      </c>
      <c r="K13" s="208" t="s">
        <v>1469</v>
      </c>
      <c r="L13" s="208" t="s">
        <v>1470</v>
      </c>
      <c r="M13" s="208" t="s">
        <v>1668</v>
      </c>
      <c r="N13" s="208" t="s">
        <v>1471</v>
      </c>
      <c r="O13" s="208" t="s">
        <v>2116</v>
      </c>
      <c r="P13" s="208" t="s">
        <v>2101</v>
      </c>
      <c r="Q13" s="208" t="s">
        <v>2108</v>
      </c>
      <c r="R13" s="209" t="s">
        <v>1475</v>
      </c>
      <c r="S13" s="208" t="s">
        <v>2109</v>
      </c>
      <c r="T13" s="208" t="s">
        <v>1510</v>
      </c>
      <c r="U13" s="208" t="s">
        <v>2162</v>
      </c>
      <c r="V13" s="208" t="s">
        <v>2111</v>
      </c>
      <c r="W13" s="209" t="s">
        <v>2163</v>
      </c>
      <c r="X13" s="211">
        <f t="shared" si="0"/>
        <v>45035.759027777778</v>
      </c>
      <c r="Y13" s="208" t="s">
        <v>1481</v>
      </c>
      <c r="Z13" s="208" t="s">
        <v>1482</v>
      </c>
      <c r="AA13" s="208" t="s">
        <v>1483</v>
      </c>
      <c r="AB13" s="208" t="s">
        <v>1508</v>
      </c>
      <c r="AC13" s="208" t="s">
        <v>1509</v>
      </c>
      <c r="AD13" s="208">
        <v>324.60000000000002</v>
      </c>
      <c r="AF13" s="208">
        <v>312.5</v>
      </c>
      <c r="AG13" s="208" t="s">
        <v>1486</v>
      </c>
      <c r="AH13" s="208" t="s">
        <v>1487</v>
      </c>
      <c r="AI13" s="208" t="s">
        <v>1488</v>
      </c>
      <c r="AJ13" s="208" t="s">
        <v>1489</v>
      </c>
      <c r="AL13" s="208" t="s">
        <v>1490</v>
      </c>
      <c r="AM13" s="208" t="s">
        <v>1510</v>
      </c>
      <c r="AN13" s="208" t="s">
        <v>1511</v>
      </c>
      <c r="AO13" s="208" t="s">
        <v>1512</v>
      </c>
      <c r="AP13" s="208" t="s">
        <v>1494</v>
      </c>
      <c r="AQ13" s="208" t="s">
        <v>1902</v>
      </c>
      <c r="AR13" s="208" t="s">
        <v>1489</v>
      </c>
      <c r="AS13" s="208" t="s">
        <v>1564</v>
      </c>
      <c r="AT13" s="208" t="s">
        <v>2113</v>
      </c>
      <c r="AU13" s="208" t="s">
        <v>2162</v>
      </c>
      <c r="AV13" s="208" t="s">
        <v>2114</v>
      </c>
      <c r="AW13" s="208" t="s">
        <v>2162</v>
      </c>
      <c r="AX13" s="208" t="s">
        <v>2115</v>
      </c>
      <c r="AY13" s="208" t="s">
        <v>1902</v>
      </c>
      <c r="AZ13" s="208" t="s">
        <v>1489</v>
      </c>
      <c r="BA13" s="208" t="s">
        <v>1564</v>
      </c>
      <c r="BB13" s="208" t="s">
        <v>2109</v>
      </c>
      <c r="BC13" s="208" t="s">
        <v>2162</v>
      </c>
      <c r="BD13" s="208" t="s">
        <v>2111</v>
      </c>
      <c r="BE13" s="208" t="s">
        <v>2163</v>
      </c>
      <c r="BF13" s="208" t="s">
        <v>2108</v>
      </c>
      <c r="BH13" s="208" t="b">
        <v>0</v>
      </c>
      <c r="BK13" s="208" t="b">
        <v>0</v>
      </c>
    </row>
    <row r="14" spans="1:64" hidden="1">
      <c r="B14" s="208">
        <v>15292</v>
      </c>
      <c r="C14" s="208" t="s">
        <v>1061</v>
      </c>
      <c r="D14" s="209">
        <v>5103</v>
      </c>
      <c r="E14" s="210">
        <v>524177</v>
      </c>
      <c r="F14" s="210">
        <v>382650</v>
      </c>
      <c r="H14" s="208" t="s">
        <v>17</v>
      </c>
      <c r="I14" s="208" t="s">
        <v>2290</v>
      </c>
      <c r="J14" s="208" t="s">
        <v>1468</v>
      </c>
      <c r="K14" s="208" t="s">
        <v>1469</v>
      </c>
      <c r="L14" s="208" t="s">
        <v>1470</v>
      </c>
      <c r="M14" s="208" t="s">
        <v>1668</v>
      </c>
      <c r="N14" s="208" t="s">
        <v>1471</v>
      </c>
      <c r="O14" s="208" t="s">
        <v>2220</v>
      </c>
      <c r="Q14" s="208" t="s">
        <v>2229</v>
      </c>
      <c r="R14" s="209" t="s">
        <v>1475</v>
      </c>
      <c r="S14" s="208" t="s">
        <v>2230</v>
      </c>
      <c r="T14" s="208" t="s">
        <v>2312</v>
      </c>
      <c r="U14" s="208" t="s">
        <v>1637</v>
      </c>
      <c r="V14" s="208" t="s">
        <v>2065</v>
      </c>
      <c r="W14" s="209" t="s">
        <v>2065</v>
      </c>
      <c r="X14" s="211">
        <f t="shared" si="0"/>
        <v>44770.875</v>
      </c>
      <c r="Y14" s="208" t="s">
        <v>2226</v>
      </c>
      <c r="Z14" s="208" t="s">
        <v>1482</v>
      </c>
      <c r="AA14" s="208" t="s">
        <v>1483</v>
      </c>
      <c r="AB14" s="208" t="s">
        <v>2313</v>
      </c>
      <c r="AC14" s="208" t="s">
        <v>2314</v>
      </c>
      <c r="AD14" s="208">
        <v>250</v>
      </c>
      <c r="AE14" s="208">
        <v>0</v>
      </c>
      <c r="AF14" s="208">
        <v>312.5</v>
      </c>
      <c r="AG14" s="208" t="s">
        <v>1486</v>
      </c>
      <c r="AH14" s="208" t="s">
        <v>1487</v>
      </c>
      <c r="AI14" s="208" t="s">
        <v>1488</v>
      </c>
      <c r="AJ14" s="208" t="s">
        <v>1489</v>
      </c>
      <c r="AL14" s="208" t="s">
        <v>1635</v>
      </c>
      <c r="AM14" s="208" t="s">
        <v>1637</v>
      </c>
      <c r="AN14" s="208" t="s">
        <v>1637</v>
      </c>
      <c r="AO14" s="208" t="s">
        <v>1637</v>
      </c>
      <c r="AP14" s="208" t="s">
        <v>1638</v>
      </c>
      <c r="AQ14" s="208" t="s">
        <v>1902</v>
      </c>
      <c r="AS14" s="208" t="s">
        <v>1564</v>
      </c>
      <c r="AT14" s="208" t="s">
        <v>2230</v>
      </c>
      <c r="AU14" s="208" t="s">
        <v>1637</v>
      </c>
      <c r="AV14" s="208" t="s">
        <v>2065</v>
      </c>
      <c r="AW14" s="208" t="s">
        <v>2065</v>
      </c>
      <c r="AX14" s="208" t="s">
        <v>2229</v>
      </c>
      <c r="AY14" s="208" t="s">
        <v>1902</v>
      </c>
      <c r="BB14" s="208" t="s">
        <v>2230</v>
      </c>
      <c r="BC14" s="208" t="s">
        <v>2065</v>
      </c>
      <c r="BD14" s="208" t="s">
        <v>2065</v>
      </c>
      <c r="BE14" s="208" t="s">
        <v>2065</v>
      </c>
      <c r="BF14" s="208" t="s">
        <v>2108</v>
      </c>
      <c r="BH14" s="208" t="b">
        <v>0</v>
      </c>
      <c r="BK14" s="208" t="b">
        <v>0</v>
      </c>
    </row>
    <row r="15" spans="1:64" hidden="1">
      <c r="B15" s="208">
        <v>15292</v>
      </c>
      <c r="C15" s="208" t="s">
        <v>1061</v>
      </c>
      <c r="D15" s="209">
        <v>5103</v>
      </c>
      <c r="E15" s="210">
        <v>596457</v>
      </c>
      <c r="F15" s="210">
        <v>417520</v>
      </c>
      <c r="H15" s="208" t="s">
        <v>17</v>
      </c>
      <c r="I15" s="208" t="s">
        <v>1504</v>
      </c>
      <c r="J15" s="208" t="s">
        <v>1468</v>
      </c>
      <c r="K15" s="208" t="s">
        <v>1469</v>
      </c>
      <c r="L15" s="208" t="s">
        <v>1470</v>
      </c>
      <c r="M15" s="208" t="s">
        <v>1668</v>
      </c>
      <c r="N15" s="208" t="s">
        <v>1471</v>
      </c>
      <c r="O15" s="208" t="s">
        <v>2220</v>
      </c>
      <c r="Q15" s="208" t="s">
        <v>2235</v>
      </c>
      <c r="R15" s="209" t="s">
        <v>1475</v>
      </c>
      <c r="S15" s="208" t="s">
        <v>2222</v>
      </c>
      <c r="T15" s="208" t="s">
        <v>2321</v>
      </c>
      <c r="U15" s="208" t="s">
        <v>1519</v>
      </c>
      <c r="V15" s="208" t="s">
        <v>2237</v>
      </c>
      <c r="W15" s="209" t="s">
        <v>2228</v>
      </c>
      <c r="X15" s="211">
        <f t="shared" si="0"/>
        <v>44727.875</v>
      </c>
      <c r="Y15" s="208" t="s">
        <v>2226</v>
      </c>
      <c r="Z15" s="208" t="s">
        <v>1482</v>
      </c>
      <c r="AA15" s="208" t="s">
        <v>1483</v>
      </c>
      <c r="AB15" s="208" t="s">
        <v>2313</v>
      </c>
      <c r="AC15" s="208" t="s">
        <v>1509</v>
      </c>
      <c r="AD15" s="208">
        <v>230</v>
      </c>
      <c r="AE15" s="208">
        <v>0</v>
      </c>
      <c r="AF15" s="208">
        <v>312.5</v>
      </c>
      <c r="AG15" s="208" t="s">
        <v>1486</v>
      </c>
      <c r="AH15" s="208" t="s">
        <v>1487</v>
      </c>
      <c r="AI15" s="208" t="s">
        <v>1488</v>
      </c>
      <c r="AJ15" s="208" t="s">
        <v>1489</v>
      </c>
      <c r="AL15" s="208" t="s">
        <v>1517</v>
      </c>
      <c r="AM15" s="208" t="s">
        <v>1519</v>
      </c>
      <c r="AN15" s="208" t="s">
        <v>1519</v>
      </c>
      <c r="AO15" s="208" t="s">
        <v>1624</v>
      </c>
      <c r="AP15" s="208" t="s">
        <v>1521</v>
      </c>
      <c r="AQ15" s="208" t="s">
        <v>1902</v>
      </c>
      <c r="AS15" s="208" t="s">
        <v>1564</v>
      </c>
      <c r="AT15" s="208" t="s">
        <v>2222</v>
      </c>
      <c r="AU15" s="208" t="s">
        <v>1519</v>
      </c>
      <c r="AV15" s="208" t="s">
        <v>2237</v>
      </c>
      <c r="AW15" s="208" t="s">
        <v>2228</v>
      </c>
      <c r="AX15" s="208" t="s">
        <v>2235</v>
      </c>
      <c r="AY15" s="208" t="s">
        <v>1902</v>
      </c>
      <c r="BB15" s="208" t="s">
        <v>2222</v>
      </c>
      <c r="BC15" s="208" t="s">
        <v>2228</v>
      </c>
      <c r="BD15" s="208" t="s">
        <v>2237</v>
      </c>
      <c r="BE15" s="208" t="s">
        <v>2239</v>
      </c>
      <c r="BF15" s="208" t="s">
        <v>2240</v>
      </c>
      <c r="BH15" s="208" t="b">
        <v>0</v>
      </c>
      <c r="BK15" s="208" t="b">
        <v>0</v>
      </c>
    </row>
    <row r="16" spans="1:64" hidden="1">
      <c r="B16" s="208">
        <v>15292</v>
      </c>
      <c r="C16" s="208" t="s">
        <v>1061</v>
      </c>
      <c r="D16" s="209">
        <v>5104</v>
      </c>
      <c r="E16" s="210">
        <v>1003000</v>
      </c>
      <c r="F16" s="210">
        <v>732000</v>
      </c>
      <c r="H16" s="208" t="s">
        <v>17</v>
      </c>
      <c r="I16" s="208" t="s">
        <v>1529</v>
      </c>
      <c r="J16" s="208" t="s">
        <v>1468</v>
      </c>
      <c r="K16" s="208" t="s">
        <v>1469</v>
      </c>
      <c r="L16" s="208" t="s">
        <v>1470</v>
      </c>
      <c r="M16" s="208" t="s">
        <v>21</v>
      </c>
      <c r="N16" s="208" t="s">
        <v>1471</v>
      </c>
      <c r="O16" s="208" t="s">
        <v>1523</v>
      </c>
      <c r="P16" s="208" t="s">
        <v>1473</v>
      </c>
      <c r="Q16" s="208" t="s">
        <v>1474</v>
      </c>
      <c r="R16" s="209" t="s">
        <v>1475</v>
      </c>
      <c r="S16" s="208" t="s">
        <v>1530</v>
      </c>
      <c r="T16" s="208" t="s">
        <v>1531</v>
      </c>
      <c r="U16" s="208" t="s">
        <v>1532</v>
      </c>
      <c r="V16" s="208" t="s">
        <v>1533</v>
      </c>
      <c r="W16" s="209" t="s">
        <v>1534</v>
      </c>
      <c r="X16" s="211">
        <f t="shared" si="0"/>
        <v>46010.395833333336</v>
      </c>
      <c r="Y16" s="208" t="s">
        <v>1481</v>
      </c>
      <c r="Z16" s="208" t="s">
        <v>1482</v>
      </c>
      <c r="AA16" s="208" t="s">
        <v>1483</v>
      </c>
      <c r="AB16" s="208" t="s">
        <v>1535</v>
      </c>
      <c r="AC16" s="208" t="s">
        <v>1509</v>
      </c>
      <c r="AD16" s="208">
        <v>669.16</v>
      </c>
      <c r="AF16" s="208">
        <v>433.01</v>
      </c>
      <c r="AG16" s="208" t="s">
        <v>1486</v>
      </c>
      <c r="AH16" s="208" t="s">
        <v>1487</v>
      </c>
      <c r="AI16" s="208" t="s">
        <v>1488</v>
      </c>
      <c r="AJ16" s="208" t="s">
        <v>1489</v>
      </c>
      <c r="AL16" s="208" t="s">
        <v>1490</v>
      </c>
      <c r="AM16" s="208" t="s">
        <v>1536</v>
      </c>
      <c r="AN16" s="208" t="s">
        <v>1537</v>
      </c>
      <c r="AO16" s="208" t="s">
        <v>1538</v>
      </c>
      <c r="AP16" s="208" t="s">
        <v>1494</v>
      </c>
      <c r="AT16" s="208" t="s">
        <v>1539</v>
      </c>
      <c r="AU16" s="208" t="s">
        <v>1532</v>
      </c>
      <c r="AV16" s="208" t="s">
        <v>1540</v>
      </c>
      <c r="AW16" s="208" t="s">
        <v>1532</v>
      </c>
      <c r="AX16" s="208" t="s">
        <v>1541</v>
      </c>
      <c r="BB16" s="208" t="s">
        <v>1530</v>
      </c>
      <c r="BC16" s="208" t="s">
        <v>1532</v>
      </c>
      <c r="BD16" s="208" t="s">
        <v>1533</v>
      </c>
      <c r="BE16" s="208" t="s">
        <v>1534</v>
      </c>
      <c r="BF16" s="208" t="s">
        <v>1474</v>
      </c>
      <c r="BH16" s="208" t="b">
        <v>0</v>
      </c>
      <c r="BK16" s="208" t="b">
        <v>0</v>
      </c>
    </row>
    <row r="17" spans="2:63" hidden="1">
      <c r="B17" s="208">
        <v>15292</v>
      </c>
      <c r="C17" s="208" t="s">
        <v>1061</v>
      </c>
      <c r="D17" s="209">
        <v>5104</v>
      </c>
      <c r="E17" s="210">
        <v>1024000</v>
      </c>
      <c r="F17" s="210">
        <v>727000</v>
      </c>
      <c r="H17" s="208" t="s">
        <v>17</v>
      </c>
      <c r="I17" s="208" t="s">
        <v>1795</v>
      </c>
      <c r="J17" s="208" t="s">
        <v>1468</v>
      </c>
      <c r="K17" s="208" t="s">
        <v>1469</v>
      </c>
      <c r="L17" s="208" t="s">
        <v>1470</v>
      </c>
      <c r="M17" s="208" t="s">
        <v>21</v>
      </c>
      <c r="N17" s="208" t="s">
        <v>1471</v>
      </c>
      <c r="O17" s="208" t="s">
        <v>1913</v>
      </c>
      <c r="Q17" s="208" t="s">
        <v>1474</v>
      </c>
      <c r="R17" s="209" t="s">
        <v>1475</v>
      </c>
      <c r="S17" s="208" t="s">
        <v>1905</v>
      </c>
      <c r="T17" s="208" t="s">
        <v>1921</v>
      </c>
      <c r="U17" s="208" t="s">
        <v>1928</v>
      </c>
      <c r="V17" s="208" t="s">
        <v>1929</v>
      </c>
      <c r="W17" s="209" t="s">
        <v>1929</v>
      </c>
      <c r="X17" s="211">
        <f t="shared" si="0"/>
        <v>45117.628472222219</v>
      </c>
      <c r="Y17" s="208" t="s">
        <v>1481</v>
      </c>
      <c r="Z17" s="208" t="s">
        <v>1843</v>
      </c>
      <c r="AA17" s="208" t="s">
        <v>1483</v>
      </c>
      <c r="AB17" s="208" t="s">
        <v>1535</v>
      </c>
      <c r="AC17" s="208" t="s">
        <v>1509</v>
      </c>
      <c r="AD17" s="208">
        <v>669.16</v>
      </c>
      <c r="AF17" s="208">
        <v>433.01</v>
      </c>
      <c r="AG17" s="208" t="s">
        <v>1486</v>
      </c>
      <c r="AH17" s="208" t="s">
        <v>1487</v>
      </c>
      <c r="AI17" s="208" t="s">
        <v>1488</v>
      </c>
      <c r="AJ17" s="208" t="s">
        <v>1489</v>
      </c>
      <c r="AL17" s="208" t="s">
        <v>1490</v>
      </c>
      <c r="AM17" s="208" t="s">
        <v>1536</v>
      </c>
      <c r="AN17" s="208" t="s">
        <v>1537</v>
      </c>
      <c r="AO17" s="208" t="s">
        <v>1538</v>
      </c>
      <c r="AP17" s="208" t="s">
        <v>1494</v>
      </c>
      <c r="AT17" s="208" t="s">
        <v>1905</v>
      </c>
      <c r="AU17" s="208" t="s">
        <v>1928</v>
      </c>
      <c r="AV17" s="208" t="s">
        <v>1930</v>
      </c>
      <c r="AW17" s="208" t="s">
        <v>1928</v>
      </c>
      <c r="AX17" s="208" t="s">
        <v>1872</v>
      </c>
      <c r="BB17" s="208" t="s">
        <v>1905</v>
      </c>
      <c r="BC17" s="208" t="s">
        <v>1928</v>
      </c>
      <c r="BD17" s="208" t="s">
        <v>1929</v>
      </c>
      <c r="BE17" s="208" t="s">
        <v>1929</v>
      </c>
      <c r="BF17" s="208" t="s">
        <v>1474</v>
      </c>
      <c r="BG17" s="208" t="b">
        <v>1</v>
      </c>
      <c r="BH17" s="208" t="b">
        <v>0</v>
      </c>
      <c r="BK17" s="208" t="b">
        <v>0</v>
      </c>
    </row>
    <row r="18" spans="2:63" hidden="1">
      <c r="B18" s="208">
        <v>15292</v>
      </c>
      <c r="C18" s="208" t="s">
        <v>1061</v>
      </c>
      <c r="D18" s="209">
        <v>5104</v>
      </c>
      <c r="E18" s="210">
        <v>1322517.21</v>
      </c>
      <c r="F18" s="210">
        <v>965437.56</v>
      </c>
      <c r="H18" s="208" t="s">
        <v>17</v>
      </c>
      <c r="I18" s="208" t="s">
        <v>1504</v>
      </c>
      <c r="J18" s="208" t="s">
        <v>1468</v>
      </c>
      <c r="K18" s="208" t="s">
        <v>1469</v>
      </c>
      <c r="L18" s="208" t="s">
        <v>1470</v>
      </c>
      <c r="M18" s="208" t="s">
        <v>1668</v>
      </c>
      <c r="N18" s="208" t="s">
        <v>1471</v>
      </c>
      <c r="O18" s="208" t="s">
        <v>2116</v>
      </c>
      <c r="P18" s="208" t="s">
        <v>2101</v>
      </c>
      <c r="Q18" s="208" t="s">
        <v>2108</v>
      </c>
      <c r="R18" s="209" t="s">
        <v>1475</v>
      </c>
      <c r="S18" s="208" t="s">
        <v>2109</v>
      </c>
      <c r="T18" s="208" t="s">
        <v>1536</v>
      </c>
      <c r="U18" s="208" t="s">
        <v>2117</v>
      </c>
      <c r="V18" s="208" t="s">
        <v>2118</v>
      </c>
      <c r="W18" s="209" t="s">
        <v>2119</v>
      </c>
      <c r="X18" s="211">
        <f t="shared" si="0"/>
        <v>45035.761111111111</v>
      </c>
      <c r="Y18" s="208" t="s">
        <v>1481</v>
      </c>
      <c r="Z18" s="208" t="s">
        <v>1482</v>
      </c>
      <c r="AA18" s="208" t="s">
        <v>1483</v>
      </c>
      <c r="AB18" s="208" t="s">
        <v>1535</v>
      </c>
      <c r="AC18" s="208" t="s">
        <v>1509</v>
      </c>
      <c r="AD18" s="208">
        <v>669.16</v>
      </c>
      <c r="AF18" s="208">
        <v>433.01</v>
      </c>
      <c r="AG18" s="208" t="s">
        <v>1486</v>
      </c>
      <c r="AH18" s="208" t="s">
        <v>1487</v>
      </c>
      <c r="AI18" s="208" t="s">
        <v>1488</v>
      </c>
      <c r="AJ18" s="208" t="s">
        <v>1489</v>
      </c>
      <c r="AL18" s="208" t="s">
        <v>1490</v>
      </c>
      <c r="AM18" s="208" t="s">
        <v>1536</v>
      </c>
      <c r="AN18" s="208" t="s">
        <v>1537</v>
      </c>
      <c r="AO18" s="208" t="s">
        <v>1538</v>
      </c>
      <c r="AP18" s="208" t="s">
        <v>1494</v>
      </c>
      <c r="AQ18" s="208" t="s">
        <v>1902</v>
      </c>
      <c r="AR18" s="208" t="s">
        <v>1489</v>
      </c>
      <c r="AS18" s="208" t="s">
        <v>1564</v>
      </c>
      <c r="AT18" s="208" t="s">
        <v>2120</v>
      </c>
      <c r="AU18" s="208" t="s">
        <v>2117</v>
      </c>
      <c r="AV18" s="208" t="s">
        <v>2121</v>
      </c>
      <c r="AW18" s="208" t="s">
        <v>2117</v>
      </c>
      <c r="AX18" s="208" t="s">
        <v>2115</v>
      </c>
      <c r="AY18" s="208" t="s">
        <v>1902</v>
      </c>
      <c r="AZ18" s="208" t="s">
        <v>1489</v>
      </c>
      <c r="BA18" s="208" t="s">
        <v>2122</v>
      </c>
      <c r="BB18" s="208" t="s">
        <v>2109</v>
      </c>
      <c r="BC18" s="208" t="s">
        <v>2117</v>
      </c>
      <c r="BD18" s="208" t="s">
        <v>2118</v>
      </c>
      <c r="BE18" s="208" t="s">
        <v>2119</v>
      </c>
      <c r="BF18" s="208" t="s">
        <v>2108</v>
      </c>
      <c r="BH18" s="208" t="b">
        <v>0</v>
      </c>
      <c r="BK18" s="208" t="b">
        <v>0</v>
      </c>
    </row>
    <row r="19" spans="2:63" hidden="1">
      <c r="B19" s="208">
        <v>15292</v>
      </c>
      <c r="C19" s="208" t="s">
        <v>1061</v>
      </c>
      <c r="D19" s="209">
        <v>5104</v>
      </c>
      <c r="E19" s="210">
        <v>892466</v>
      </c>
      <c r="F19" s="210">
        <v>687199</v>
      </c>
      <c r="H19" s="208" t="s">
        <v>17</v>
      </c>
      <c r="I19" s="208" t="s">
        <v>2290</v>
      </c>
      <c r="J19" s="208" t="s">
        <v>1468</v>
      </c>
      <c r="K19" s="208" t="s">
        <v>1469</v>
      </c>
      <c r="L19" s="208" t="s">
        <v>1470</v>
      </c>
      <c r="M19" s="208" t="s">
        <v>1668</v>
      </c>
      <c r="N19" s="208" t="s">
        <v>1471</v>
      </c>
      <c r="O19" s="208" t="s">
        <v>2220</v>
      </c>
      <c r="Q19" s="208" t="s">
        <v>2229</v>
      </c>
      <c r="R19" s="209" t="s">
        <v>1475</v>
      </c>
      <c r="S19" s="208" t="s">
        <v>2230</v>
      </c>
      <c r="T19" s="208" t="s">
        <v>2326</v>
      </c>
      <c r="U19" s="208" t="s">
        <v>1637</v>
      </c>
      <c r="V19" s="208" t="s">
        <v>2065</v>
      </c>
      <c r="W19" s="209" t="s">
        <v>2065</v>
      </c>
      <c r="X19" s="211">
        <f t="shared" si="0"/>
        <v>44770.875</v>
      </c>
      <c r="Y19" s="208" t="s">
        <v>2226</v>
      </c>
      <c r="Z19" s="208" t="s">
        <v>1482</v>
      </c>
      <c r="AA19" s="208" t="s">
        <v>1483</v>
      </c>
      <c r="AB19" s="208" t="s">
        <v>2327</v>
      </c>
      <c r="AC19" s="208" t="s">
        <v>1826</v>
      </c>
      <c r="AD19" s="208">
        <v>350</v>
      </c>
      <c r="AE19" s="208">
        <v>0</v>
      </c>
      <c r="AF19" s="208">
        <v>430</v>
      </c>
      <c r="AG19" s="208" t="s">
        <v>1486</v>
      </c>
      <c r="AH19" s="208" t="s">
        <v>1487</v>
      </c>
      <c r="AI19" s="208" t="s">
        <v>1488</v>
      </c>
      <c r="AJ19" s="208" t="s">
        <v>1489</v>
      </c>
      <c r="AL19" s="208" t="s">
        <v>1635</v>
      </c>
      <c r="AM19" s="208" t="s">
        <v>1637</v>
      </c>
      <c r="AN19" s="208" t="s">
        <v>1637</v>
      </c>
      <c r="AO19" s="208" t="s">
        <v>1637</v>
      </c>
      <c r="AP19" s="208" t="s">
        <v>1638</v>
      </c>
      <c r="AQ19" s="208" t="s">
        <v>1902</v>
      </c>
      <c r="AS19" s="208" t="s">
        <v>1564</v>
      </c>
      <c r="AT19" s="208" t="s">
        <v>2230</v>
      </c>
      <c r="AU19" s="208" t="s">
        <v>1637</v>
      </c>
      <c r="AV19" s="208" t="s">
        <v>2065</v>
      </c>
      <c r="AW19" s="208" t="s">
        <v>2065</v>
      </c>
      <c r="AX19" s="208" t="s">
        <v>2229</v>
      </c>
      <c r="AY19" s="208" t="s">
        <v>1902</v>
      </c>
      <c r="BB19" s="208" t="s">
        <v>2230</v>
      </c>
      <c r="BC19" s="208" t="s">
        <v>2065</v>
      </c>
      <c r="BD19" s="208" t="s">
        <v>2065</v>
      </c>
      <c r="BE19" s="208" t="s">
        <v>2065</v>
      </c>
      <c r="BF19" s="208" t="s">
        <v>2108</v>
      </c>
      <c r="BH19" s="208" t="b">
        <v>0</v>
      </c>
      <c r="BK19" s="208" t="b">
        <v>0</v>
      </c>
    </row>
    <row r="20" spans="2:63" hidden="1">
      <c r="B20" s="208">
        <v>15292</v>
      </c>
      <c r="C20" s="208" t="s">
        <v>1061</v>
      </c>
      <c r="D20" s="209">
        <v>5104</v>
      </c>
      <c r="E20" s="210">
        <v>987573</v>
      </c>
      <c r="F20" s="210">
        <v>760431</v>
      </c>
      <c r="H20" s="208" t="s">
        <v>17</v>
      </c>
      <c r="I20" s="208" t="s">
        <v>2290</v>
      </c>
      <c r="J20" s="208" t="s">
        <v>1468</v>
      </c>
      <c r="K20" s="208" t="s">
        <v>1469</v>
      </c>
      <c r="L20" s="208" t="s">
        <v>1470</v>
      </c>
      <c r="M20" s="208" t="s">
        <v>1668</v>
      </c>
      <c r="N20" s="208" t="s">
        <v>1471</v>
      </c>
      <c r="O20" s="208" t="s">
        <v>2220</v>
      </c>
      <c r="Q20" s="208" t="s">
        <v>2229</v>
      </c>
      <c r="R20" s="209" t="s">
        <v>1475</v>
      </c>
      <c r="S20" s="208" t="s">
        <v>2222</v>
      </c>
      <c r="T20" s="208" t="s">
        <v>2335</v>
      </c>
      <c r="U20" s="208" t="s">
        <v>1519</v>
      </c>
      <c r="V20" s="208" t="s">
        <v>2237</v>
      </c>
      <c r="W20" s="209" t="s">
        <v>2273</v>
      </c>
      <c r="X20" s="211">
        <f t="shared" si="0"/>
        <v>44726.875</v>
      </c>
      <c r="Y20" s="208" t="s">
        <v>2226</v>
      </c>
      <c r="Z20" s="208" t="s">
        <v>1482</v>
      </c>
      <c r="AA20" s="208" t="s">
        <v>1483</v>
      </c>
      <c r="AB20" s="208" t="s">
        <v>2327</v>
      </c>
      <c r="AC20" s="208" t="s">
        <v>1509</v>
      </c>
      <c r="AD20" s="208">
        <v>699.16</v>
      </c>
      <c r="AE20" s="208">
        <v>0</v>
      </c>
      <c r="AF20" s="208">
        <v>433.01</v>
      </c>
      <c r="AG20" s="208" t="s">
        <v>1486</v>
      </c>
      <c r="AH20" s="208" t="s">
        <v>1487</v>
      </c>
      <c r="AI20" s="208" t="s">
        <v>1488</v>
      </c>
      <c r="AJ20" s="208" t="s">
        <v>1489</v>
      </c>
      <c r="AL20" s="208" t="s">
        <v>1517</v>
      </c>
      <c r="AM20" s="208" t="s">
        <v>1519</v>
      </c>
      <c r="AN20" s="208" t="s">
        <v>1519</v>
      </c>
      <c r="AO20" s="208" t="s">
        <v>1624</v>
      </c>
      <c r="AP20" s="208" t="s">
        <v>1521</v>
      </c>
      <c r="AQ20" s="208" t="s">
        <v>1902</v>
      </c>
      <c r="AS20" s="208" t="s">
        <v>1564</v>
      </c>
      <c r="AT20" s="208" t="s">
        <v>2222</v>
      </c>
      <c r="AU20" s="208" t="s">
        <v>1519</v>
      </c>
      <c r="AV20" s="208" t="s">
        <v>2237</v>
      </c>
      <c r="AW20" s="208" t="s">
        <v>2273</v>
      </c>
      <c r="AX20" s="208" t="s">
        <v>2229</v>
      </c>
      <c r="AY20" s="208" t="s">
        <v>1902</v>
      </c>
      <c r="BB20" s="208" t="s">
        <v>2222</v>
      </c>
      <c r="BC20" s="208" t="s">
        <v>2273</v>
      </c>
      <c r="BD20" s="208" t="s">
        <v>2237</v>
      </c>
      <c r="BE20" s="208" t="s">
        <v>2239</v>
      </c>
      <c r="BF20" s="208" t="s">
        <v>2240</v>
      </c>
      <c r="BH20" s="208" t="b">
        <v>0</v>
      </c>
      <c r="BK20" s="208" t="b">
        <v>0</v>
      </c>
    </row>
    <row r="21" spans="2:63" hidden="1">
      <c r="B21" s="208">
        <v>15292</v>
      </c>
      <c r="C21" s="208" t="s">
        <v>1061</v>
      </c>
      <c r="D21" s="209">
        <v>6529</v>
      </c>
      <c r="E21" s="210">
        <v>418000</v>
      </c>
      <c r="F21" s="210">
        <v>293000</v>
      </c>
      <c r="H21" s="208" t="s">
        <v>17</v>
      </c>
      <c r="I21" s="208" t="s">
        <v>1555</v>
      </c>
      <c r="J21" s="208" t="s">
        <v>1468</v>
      </c>
      <c r="K21" s="208" t="s">
        <v>1469</v>
      </c>
      <c r="L21" s="208" t="s">
        <v>1470</v>
      </c>
      <c r="M21" s="208" t="s">
        <v>21</v>
      </c>
      <c r="N21" s="208" t="s">
        <v>1471</v>
      </c>
      <c r="O21" s="208" t="s">
        <v>1472</v>
      </c>
      <c r="P21" s="208" t="s">
        <v>1473</v>
      </c>
      <c r="Q21" s="208" t="s">
        <v>1474</v>
      </c>
      <c r="R21" s="209" t="s">
        <v>1475</v>
      </c>
      <c r="S21" s="208" t="s">
        <v>1590</v>
      </c>
      <c r="T21" s="208" t="s">
        <v>1606</v>
      </c>
      <c r="U21" s="208" t="s">
        <v>1607</v>
      </c>
      <c r="V21" s="208" t="s">
        <v>1591</v>
      </c>
      <c r="W21" s="209" t="s">
        <v>1608</v>
      </c>
      <c r="X21" s="211">
        <f t="shared" si="0"/>
        <v>45937.429861111108</v>
      </c>
      <c r="Y21" s="208" t="s">
        <v>1481</v>
      </c>
      <c r="Z21" s="208" t="s">
        <v>1482</v>
      </c>
      <c r="AA21" s="208" t="s">
        <v>1483</v>
      </c>
      <c r="AB21" s="208" t="s">
        <v>1600</v>
      </c>
      <c r="AC21" s="208" t="s">
        <v>1601</v>
      </c>
      <c r="AF21" s="208">
        <v>395</v>
      </c>
      <c r="AG21" s="208" t="s">
        <v>1486</v>
      </c>
      <c r="AH21" s="208" t="s">
        <v>1487</v>
      </c>
      <c r="AI21" s="208" t="s">
        <v>1488</v>
      </c>
      <c r="AJ21" s="208" t="s">
        <v>1489</v>
      </c>
      <c r="AL21" s="208" t="s">
        <v>1585</v>
      </c>
      <c r="AM21" s="208" t="s">
        <v>1602</v>
      </c>
      <c r="AN21" s="208" t="s">
        <v>1587</v>
      </c>
      <c r="AO21" s="208" t="s">
        <v>1609</v>
      </c>
      <c r="AP21" s="208" t="s">
        <v>1589</v>
      </c>
      <c r="AT21" s="208" t="s">
        <v>1578</v>
      </c>
      <c r="AU21" s="208" t="s">
        <v>1607</v>
      </c>
      <c r="AV21" s="208" t="s">
        <v>1605</v>
      </c>
      <c r="AW21" s="208" t="s">
        <v>1607</v>
      </c>
      <c r="AX21" s="208" t="s">
        <v>1572</v>
      </c>
      <c r="BB21" s="208" t="s">
        <v>1590</v>
      </c>
      <c r="BC21" s="208" t="s">
        <v>1607</v>
      </c>
      <c r="BD21" s="208" t="s">
        <v>1591</v>
      </c>
      <c r="BE21" s="208" t="s">
        <v>1608</v>
      </c>
      <c r="BF21" s="208" t="s">
        <v>1474</v>
      </c>
      <c r="BH21" s="208" t="b">
        <v>0</v>
      </c>
      <c r="BK21" s="208" t="b">
        <v>0</v>
      </c>
    </row>
    <row r="22" spans="2:63" hidden="1">
      <c r="B22" s="208">
        <v>15292</v>
      </c>
      <c r="C22" s="208" t="s">
        <v>1061</v>
      </c>
      <c r="D22" s="209">
        <v>6529</v>
      </c>
      <c r="E22" s="210">
        <v>284000</v>
      </c>
      <c r="F22" s="210">
        <v>230000</v>
      </c>
      <c r="H22" s="208" t="s">
        <v>17</v>
      </c>
      <c r="I22" s="208" t="s">
        <v>1555</v>
      </c>
      <c r="J22" s="208" t="s">
        <v>1468</v>
      </c>
      <c r="K22" s="208" t="s">
        <v>1469</v>
      </c>
      <c r="L22" s="208" t="s">
        <v>1470</v>
      </c>
      <c r="M22" s="208" t="s">
        <v>21</v>
      </c>
      <c r="N22" s="208" t="s">
        <v>1471</v>
      </c>
      <c r="O22" s="208" t="s">
        <v>1904</v>
      </c>
      <c r="P22" s="208" t="s">
        <v>1626</v>
      </c>
      <c r="Q22" s="208" t="s">
        <v>1474</v>
      </c>
      <c r="R22" s="209" t="s">
        <v>1475</v>
      </c>
      <c r="S22" s="208" t="s">
        <v>1864</v>
      </c>
      <c r="T22" s="208" t="s">
        <v>1965</v>
      </c>
      <c r="U22" s="208" t="s">
        <v>1992</v>
      </c>
      <c r="V22" s="208" t="s">
        <v>1992</v>
      </c>
      <c r="W22" s="209" t="s">
        <v>1993</v>
      </c>
      <c r="X22" s="211">
        <f t="shared" si="0"/>
        <v>45219.696527777778</v>
      </c>
      <c r="Y22" s="208" t="s">
        <v>1481</v>
      </c>
      <c r="Z22" s="208" t="s">
        <v>1524</v>
      </c>
      <c r="AA22" s="208" t="s">
        <v>1483</v>
      </c>
      <c r="AB22" s="208" t="s">
        <v>1600</v>
      </c>
      <c r="AC22" s="208" t="s">
        <v>1601</v>
      </c>
      <c r="AF22" s="208">
        <v>395</v>
      </c>
      <c r="AG22" s="208" t="s">
        <v>1486</v>
      </c>
      <c r="AH22" s="208" t="s">
        <v>1487</v>
      </c>
      <c r="AI22" s="208" t="s">
        <v>1488</v>
      </c>
      <c r="AJ22" s="208" t="s">
        <v>1489</v>
      </c>
      <c r="AL22" s="208" t="s">
        <v>1585</v>
      </c>
      <c r="AM22" s="208" t="s">
        <v>1602</v>
      </c>
      <c r="AN22" s="208" t="s">
        <v>1587</v>
      </c>
      <c r="AO22" s="208" t="s">
        <v>1609</v>
      </c>
      <c r="AP22" s="208" t="s">
        <v>1589</v>
      </c>
      <c r="AT22" s="208" t="s">
        <v>1905</v>
      </c>
      <c r="AU22" s="208" t="s">
        <v>1992</v>
      </c>
      <c r="AV22" s="208" t="s">
        <v>1994</v>
      </c>
      <c r="AW22" s="208" t="s">
        <v>1995</v>
      </c>
      <c r="AX22" s="208" t="s">
        <v>1872</v>
      </c>
      <c r="BB22" s="208" t="s">
        <v>1864</v>
      </c>
      <c r="BC22" s="208" t="s">
        <v>1992</v>
      </c>
      <c r="BD22" s="208" t="s">
        <v>1992</v>
      </c>
      <c r="BE22" s="208" t="s">
        <v>1993</v>
      </c>
      <c r="BF22" s="208" t="s">
        <v>1474</v>
      </c>
      <c r="BG22" s="208" t="b">
        <v>1</v>
      </c>
      <c r="BH22" s="208" t="b">
        <v>1</v>
      </c>
      <c r="BK22" s="208" t="b">
        <v>0</v>
      </c>
    </row>
    <row r="23" spans="2:63" hidden="1">
      <c r="B23" s="208">
        <v>15292</v>
      </c>
      <c r="C23" s="208" t="s">
        <v>1061</v>
      </c>
      <c r="D23" s="209">
        <v>6529</v>
      </c>
      <c r="E23" s="210">
        <v>219785.99</v>
      </c>
      <c r="F23" s="210">
        <v>178026.65</v>
      </c>
      <c r="H23" s="208" t="s">
        <v>17</v>
      </c>
      <c r="I23" s="208" t="s">
        <v>1555</v>
      </c>
      <c r="J23" s="208" t="s">
        <v>1468</v>
      </c>
      <c r="K23" s="208" t="s">
        <v>1469</v>
      </c>
      <c r="L23" s="208" t="s">
        <v>1470</v>
      </c>
      <c r="M23" s="208" t="s">
        <v>1668</v>
      </c>
      <c r="N23" s="208" t="s">
        <v>1471</v>
      </c>
      <c r="O23" s="208" t="s">
        <v>2116</v>
      </c>
      <c r="P23" s="208" t="s">
        <v>2101</v>
      </c>
      <c r="Q23" s="208" t="s">
        <v>2108</v>
      </c>
      <c r="R23" s="209" t="s">
        <v>1475</v>
      </c>
      <c r="S23" s="208" t="s">
        <v>2109</v>
      </c>
      <c r="T23" s="208" t="s">
        <v>1602</v>
      </c>
      <c r="U23" s="208" t="s">
        <v>2190</v>
      </c>
      <c r="V23" s="208" t="s">
        <v>2124</v>
      </c>
      <c r="W23" s="209" t="s">
        <v>2151</v>
      </c>
      <c r="X23" s="211">
        <f t="shared" si="0"/>
        <v>45036.474999999999</v>
      </c>
      <c r="Y23" s="208" t="s">
        <v>1481</v>
      </c>
      <c r="Z23" s="208" t="s">
        <v>1482</v>
      </c>
      <c r="AA23" s="208" t="s">
        <v>1483</v>
      </c>
      <c r="AB23" s="208" t="s">
        <v>1600</v>
      </c>
      <c r="AC23" s="208" t="s">
        <v>1601</v>
      </c>
      <c r="AF23" s="208">
        <v>395</v>
      </c>
      <c r="AG23" s="208" t="s">
        <v>1486</v>
      </c>
      <c r="AH23" s="208" t="s">
        <v>1487</v>
      </c>
      <c r="AI23" s="208" t="s">
        <v>1488</v>
      </c>
      <c r="AJ23" s="208" t="s">
        <v>1489</v>
      </c>
      <c r="AL23" s="208" t="s">
        <v>1585</v>
      </c>
      <c r="AM23" s="208" t="s">
        <v>1602</v>
      </c>
      <c r="AN23" s="208" t="s">
        <v>1587</v>
      </c>
      <c r="AO23" s="208" t="s">
        <v>1609</v>
      </c>
      <c r="AP23" s="208" t="s">
        <v>1589</v>
      </c>
      <c r="AQ23" s="208" t="s">
        <v>1902</v>
      </c>
      <c r="AR23" s="208" t="s">
        <v>1489</v>
      </c>
      <c r="AS23" s="208" t="s">
        <v>2122</v>
      </c>
      <c r="AT23" s="208" t="s">
        <v>2120</v>
      </c>
      <c r="AU23" s="208" t="s">
        <v>2190</v>
      </c>
      <c r="AV23" s="208" t="s">
        <v>2132</v>
      </c>
      <c r="AW23" s="208" t="s">
        <v>2190</v>
      </c>
      <c r="AX23" s="208" t="s">
        <v>2115</v>
      </c>
      <c r="AY23" s="208" t="s">
        <v>1902</v>
      </c>
      <c r="AZ23" s="208" t="s">
        <v>1489</v>
      </c>
      <c r="BA23" s="208" t="s">
        <v>2122</v>
      </c>
      <c r="BB23" s="208" t="s">
        <v>2109</v>
      </c>
      <c r="BC23" s="208" t="s">
        <v>2190</v>
      </c>
      <c r="BD23" s="208" t="s">
        <v>2124</v>
      </c>
      <c r="BE23" s="208" t="s">
        <v>2151</v>
      </c>
      <c r="BF23" s="208" t="s">
        <v>2108</v>
      </c>
      <c r="BH23" s="208" t="b">
        <v>0</v>
      </c>
      <c r="BK23" s="208" t="b">
        <v>0</v>
      </c>
    </row>
    <row r="24" spans="2:63" hidden="1">
      <c r="B24" s="208">
        <v>15292</v>
      </c>
      <c r="C24" s="208" t="s">
        <v>1061</v>
      </c>
      <c r="D24" s="209">
        <v>6529</v>
      </c>
      <c r="E24" s="210">
        <v>222768</v>
      </c>
      <c r="F24" s="210">
        <v>178214</v>
      </c>
      <c r="H24" s="208" t="s">
        <v>17</v>
      </c>
      <c r="I24" s="208" t="s">
        <v>1555</v>
      </c>
      <c r="J24" s="208" t="s">
        <v>1468</v>
      </c>
      <c r="K24" s="208" t="s">
        <v>1469</v>
      </c>
      <c r="L24" s="208" t="s">
        <v>1470</v>
      </c>
      <c r="M24" s="208" t="s">
        <v>2099</v>
      </c>
      <c r="N24" s="208" t="s">
        <v>1471</v>
      </c>
      <c r="O24" s="208" t="s">
        <v>2220</v>
      </c>
      <c r="Q24" s="208" t="s">
        <v>2241</v>
      </c>
      <c r="R24" s="209" t="s">
        <v>1475</v>
      </c>
      <c r="S24" s="208" t="s">
        <v>2230</v>
      </c>
      <c r="T24" s="208" t="s">
        <v>2298</v>
      </c>
      <c r="U24" s="208" t="s">
        <v>1637</v>
      </c>
      <c r="V24" s="208" t="s">
        <v>2233</v>
      </c>
      <c r="W24" s="209" t="s">
        <v>2233</v>
      </c>
      <c r="X24" s="211">
        <f t="shared" si="0"/>
        <v>44773.875</v>
      </c>
      <c r="Y24" s="208" t="s">
        <v>2226</v>
      </c>
      <c r="Z24" s="208" t="s">
        <v>1482</v>
      </c>
      <c r="AA24" s="208" t="s">
        <v>1483</v>
      </c>
      <c r="AB24" s="208" t="s">
        <v>1600</v>
      </c>
      <c r="AC24" s="208" t="s">
        <v>2232</v>
      </c>
      <c r="AD24" s="208">
        <v>0</v>
      </c>
      <c r="AE24" s="208">
        <v>0</v>
      </c>
      <c r="AF24" s="208">
        <v>395</v>
      </c>
      <c r="AG24" s="208" t="s">
        <v>1486</v>
      </c>
      <c r="AH24" s="208" t="s">
        <v>1487</v>
      </c>
      <c r="AI24" s="208" t="s">
        <v>1488</v>
      </c>
      <c r="AJ24" s="208" t="s">
        <v>1489</v>
      </c>
      <c r="AL24" s="208" t="s">
        <v>1635</v>
      </c>
      <c r="AM24" s="208" t="s">
        <v>1637</v>
      </c>
      <c r="AN24" s="208" t="s">
        <v>1637</v>
      </c>
      <c r="AO24" s="208" t="s">
        <v>1637</v>
      </c>
      <c r="AP24" s="208" t="s">
        <v>1638</v>
      </c>
      <c r="AQ24" s="208" t="s">
        <v>1902</v>
      </c>
      <c r="AS24" s="208" t="s">
        <v>1564</v>
      </c>
      <c r="AT24" s="208" t="s">
        <v>2230</v>
      </c>
      <c r="AU24" s="208" t="s">
        <v>1637</v>
      </c>
      <c r="AV24" s="208" t="s">
        <v>2233</v>
      </c>
      <c r="AW24" s="208" t="s">
        <v>2233</v>
      </c>
      <c r="AX24" s="208" t="s">
        <v>2241</v>
      </c>
      <c r="AY24" s="208" t="s">
        <v>1902</v>
      </c>
      <c r="BB24" s="208" t="s">
        <v>2230</v>
      </c>
      <c r="BC24" s="208" t="s">
        <v>2233</v>
      </c>
      <c r="BD24" s="208" t="s">
        <v>2233</v>
      </c>
      <c r="BE24" s="208" t="s">
        <v>2233</v>
      </c>
      <c r="BF24" s="208" t="s">
        <v>1474</v>
      </c>
      <c r="BH24" s="208" t="b">
        <v>0</v>
      </c>
      <c r="BK24" s="208" t="b">
        <v>0</v>
      </c>
    </row>
    <row r="25" spans="2:63" hidden="1">
      <c r="B25" s="208">
        <v>15292</v>
      </c>
      <c r="C25" s="208" t="s">
        <v>1061</v>
      </c>
      <c r="D25" s="209">
        <v>6549</v>
      </c>
      <c r="E25" s="210">
        <v>0</v>
      </c>
      <c r="F25" s="210">
        <v>0</v>
      </c>
      <c r="H25" s="208" t="s">
        <v>17</v>
      </c>
      <c r="I25" s="208" t="s">
        <v>1504</v>
      </c>
      <c r="J25" s="208" t="s">
        <v>1468</v>
      </c>
      <c r="K25" s="208" t="s">
        <v>1469</v>
      </c>
      <c r="L25" s="208" t="s">
        <v>1470</v>
      </c>
      <c r="M25" s="208" t="s">
        <v>21</v>
      </c>
      <c r="N25" s="208" t="s">
        <v>1471</v>
      </c>
      <c r="O25" s="208" t="s">
        <v>1547</v>
      </c>
      <c r="P25" s="208" t="s">
        <v>1473</v>
      </c>
      <c r="Q25" s="208" t="s">
        <v>1474</v>
      </c>
      <c r="R25" s="209" t="s">
        <v>1475</v>
      </c>
      <c r="S25" s="208" t="s">
        <v>1796</v>
      </c>
      <c r="T25" s="208" t="s">
        <v>1822</v>
      </c>
      <c r="U25" s="208" t="s">
        <v>1823</v>
      </c>
      <c r="V25" s="208" t="s">
        <v>1799</v>
      </c>
      <c r="W25" s="209" t="s">
        <v>1824</v>
      </c>
      <c r="X25" s="211">
        <f t="shared" si="0"/>
        <v>45855.717361111114</v>
      </c>
      <c r="Y25" s="208" t="s">
        <v>1481</v>
      </c>
      <c r="Z25" s="208" t="s">
        <v>1482</v>
      </c>
      <c r="AA25" s="208" t="s">
        <v>1483</v>
      </c>
      <c r="AB25" s="208" t="s">
        <v>1825</v>
      </c>
      <c r="AC25" s="208" t="s">
        <v>1826</v>
      </c>
      <c r="AD25" s="208">
        <v>192.54</v>
      </c>
      <c r="AF25" s="208">
        <v>757</v>
      </c>
      <c r="AG25" s="208" t="s">
        <v>1486</v>
      </c>
      <c r="AH25" s="208" t="s">
        <v>1487</v>
      </c>
      <c r="AI25" s="208" t="s">
        <v>1488</v>
      </c>
      <c r="AJ25" s="208" t="s">
        <v>1489</v>
      </c>
      <c r="AL25" s="208" t="s">
        <v>1585</v>
      </c>
      <c r="AM25" s="208" t="s">
        <v>1827</v>
      </c>
      <c r="AN25" s="208" t="s">
        <v>1652</v>
      </c>
      <c r="AO25" s="208" t="s">
        <v>1828</v>
      </c>
      <c r="AP25" s="208" t="s">
        <v>1589</v>
      </c>
      <c r="AT25" s="208" t="s">
        <v>1785</v>
      </c>
      <c r="AU25" s="208" t="s">
        <v>1823</v>
      </c>
      <c r="AV25" s="208" t="s">
        <v>1829</v>
      </c>
      <c r="AW25" s="208" t="s">
        <v>1823</v>
      </c>
      <c r="AX25" s="208" t="s">
        <v>1572</v>
      </c>
      <c r="BB25" s="208" t="s">
        <v>1796</v>
      </c>
      <c r="BC25" s="208" t="s">
        <v>1823</v>
      </c>
      <c r="BD25" s="208" t="s">
        <v>1799</v>
      </c>
      <c r="BE25" s="208" t="s">
        <v>1824</v>
      </c>
      <c r="BF25" s="208" t="s">
        <v>1474</v>
      </c>
      <c r="BG25" s="208" t="b">
        <v>1</v>
      </c>
      <c r="BH25" s="208" t="b">
        <v>0</v>
      </c>
      <c r="BK25" s="208" t="b">
        <v>0</v>
      </c>
    </row>
    <row r="26" spans="2:63" hidden="1">
      <c r="B26" s="208">
        <v>15292</v>
      </c>
      <c r="C26" s="208" t="s">
        <v>1061</v>
      </c>
      <c r="D26" s="209">
        <v>6549</v>
      </c>
      <c r="E26" s="210">
        <v>1158000</v>
      </c>
      <c r="F26" s="210">
        <v>822000</v>
      </c>
      <c r="H26" s="208" t="s">
        <v>17</v>
      </c>
      <c r="I26" s="208" t="s">
        <v>1504</v>
      </c>
      <c r="J26" s="208" t="s">
        <v>1468</v>
      </c>
      <c r="K26" s="208" t="s">
        <v>1469</v>
      </c>
      <c r="L26" s="208" t="s">
        <v>1470</v>
      </c>
      <c r="M26" s="208" t="s">
        <v>21</v>
      </c>
      <c r="N26" s="208" t="s">
        <v>1471</v>
      </c>
      <c r="O26" s="208" t="s">
        <v>1904</v>
      </c>
      <c r="P26" s="208" t="s">
        <v>1626</v>
      </c>
      <c r="Q26" s="208" t="s">
        <v>1474</v>
      </c>
      <c r="R26" s="209" t="s">
        <v>1475</v>
      </c>
      <c r="S26" s="208" t="s">
        <v>1905</v>
      </c>
      <c r="T26" s="208" t="s">
        <v>1965</v>
      </c>
      <c r="U26" s="208" t="s">
        <v>1999</v>
      </c>
      <c r="V26" s="208" t="s">
        <v>2000</v>
      </c>
      <c r="W26" s="209" t="s">
        <v>2001</v>
      </c>
      <c r="X26" s="211">
        <f t="shared" si="0"/>
        <v>45117.727777777778</v>
      </c>
      <c r="Y26" s="208" t="s">
        <v>1481</v>
      </c>
      <c r="Z26" s="208" t="s">
        <v>1524</v>
      </c>
      <c r="AA26" s="208" t="s">
        <v>1483</v>
      </c>
      <c r="AB26" s="208" t="s">
        <v>1825</v>
      </c>
      <c r="AC26" s="208" t="s">
        <v>1826</v>
      </c>
      <c r="AD26" s="208">
        <v>185</v>
      </c>
      <c r="AF26" s="208">
        <v>757</v>
      </c>
      <c r="AG26" s="208" t="s">
        <v>1486</v>
      </c>
      <c r="AH26" s="208" t="s">
        <v>1487</v>
      </c>
      <c r="AI26" s="208" t="s">
        <v>1488</v>
      </c>
      <c r="AJ26" s="208" t="s">
        <v>1489</v>
      </c>
      <c r="AL26" s="208" t="s">
        <v>1585</v>
      </c>
      <c r="AM26" s="208" t="s">
        <v>1827</v>
      </c>
      <c r="AN26" s="208" t="s">
        <v>1652</v>
      </c>
      <c r="AO26" s="208" t="s">
        <v>1828</v>
      </c>
      <c r="AP26" s="208" t="s">
        <v>1589</v>
      </c>
      <c r="AT26" s="208" t="s">
        <v>1905</v>
      </c>
      <c r="AU26" s="208" t="s">
        <v>1999</v>
      </c>
      <c r="AV26" s="208" t="s">
        <v>2002</v>
      </c>
      <c r="AW26" s="208" t="s">
        <v>1999</v>
      </c>
      <c r="AX26" s="208" t="s">
        <v>1872</v>
      </c>
      <c r="BB26" s="208" t="s">
        <v>1905</v>
      </c>
      <c r="BC26" s="208" t="s">
        <v>1999</v>
      </c>
      <c r="BD26" s="208" t="s">
        <v>2000</v>
      </c>
      <c r="BE26" s="208" t="s">
        <v>2001</v>
      </c>
      <c r="BF26" s="208" t="s">
        <v>1474</v>
      </c>
      <c r="BG26" s="208" t="b">
        <v>1</v>
      </c>
      <c r="BH26" s="208" t="b">
        <v>0</v>
      </c>
      <c r="BK26" s="208" t="b">
        <v>0</v>
      </c>
    </row>
    <row r="27" spans="2:63" hidden="1">
      <c r="B27" s="208">
        <v>15292</v>
      </c>
      <c r="C27" s="208" t="s">
        <v>1061</v>
      </c>
      <c r="D27" s="209">
        <v>6549</v>
      </c>
      <c r="E27" s="210">
        <v>1233597.71</v>
      </c>
      <c r="F27" s="210">
        <v>900526.33</v>
      </c>
      <c r="H27" s="208" t="s">
        <v>17</v>
      </c>
      <c r="I27" s="208" t="s">
        <v>1504</v>
      </c>
      <c r="J27" s="208" t="s">
        <v>1468</v>
      </c>
      <c r="K27" s="208" t="s">
        <v>1469</v>
      </c>
      <c r="L27" s="208" t="s">
        <v>1470</v>
      </c>
      <c r="M27" s="208" t="s">
        <v>1668</v>
      </c>
      <c r="N27" s="208" t="s">
        <v>1471</v>
      </c>
      <c r="O27" s="208" t="s">
        <v>2116</v>
      </c>
      <c r="P27" s="208" t="s">
        <v>2101</v>
      </c>
      <c r="Q27" s="208" t="s">
        <v>2108</v>
      </c>
      <c r="R27" s="209" t="s">
        <v>1475</v>
      </c>
      <c r="S27" s="208" t="s">
        <v>2109</v>
      </c>
      <c r="T27" s="208" t="s">
        <v>1827</v>
      </c>
      <c r="U27" s="208" t="s">
        <v>2166</v>
      </c>
      <c r="V27" s="208" t="s">
        <v>2167</v>
      </c>
      <c r="W27" s="209" t="s">
        <v>2168</v>
      </c>
      <c r="X27" s="211">
        <f t="shared" si="0"/>
        <v>45035.768750000003</v>
      </c>
      <c r="Y27" s="208" t="s">
        <v>1481</v>
      </c>
      <c r="Z27" s="208" t="s">
        <v>1482</v>
      </c>
      <c r="AA27" s="208" t="s">
        <v>1483</v>
      </c>
      <c r="AB27" s="208" t="s">
        <v>1825</v>
      </c>
      <c r="AC27" s="208" t="s">
        <v>1826</v>
      </c>
      <c r="AD27" s="208">
        <v>170</v>
      </c>
      <c r="AF27" s="208">
        <v>757</v>
      </c>
      <c r="AG27" s="208" t="s">
        <v>1486</v>
      </c>
      <c r="AH27" s="208" t="s">
        <v>1487</v>
      </c>
      <c r="AI27" s="208" t="s">
        <v>1488</v>
      </c>
      <c r="AJ27" s="208" t="s">
        <v>1489</v>
      </c>
      <c r="AL27" s="208" t="s">
        <v>1585</v>
      </c>
      <c r="AM27" s="208" t="s">
        <v>1827</v>
      </c>
      <c r="AN27" s="208" t="s">
        <v>1652</v>
      </c>
      <c r="AO27" s="208" t="s">
        <v>1828</v>
      </c>
      <c r="AP27" s="208" t="s">
        <v>1589</v>
      </c>
      <c r="AQ27" s="208" t="s">
        <v>1902</v>
      </c>
      <c r="AR27" s="208" t="s">
        <v>1489</v>
      </c>
      <c r="AS27" s="208" t="s">
        <v>1564</v>
      </c>
      <c r="AT27" s="208" t="s">
        <v>2169</v>
      </c>
      <c r="AU27" s="208" t="s">
        <v>2166</v>
      </c>
      <c r="AV27" s="208" t="s">
        <v>2132</v>
      </c>
      <c r="AW27" s="208" t="s">
        <v>2166</v>
      </c>
      <c r="AX27" s="208" t="s">
        <v>2115</v>
      </c>
      <c r="AY27" s="208" t="s">
        <v>1902</v>
      </c>
      <c r="AZ27" s="208" t="s">
        <v>1489</v>
      </c>
      <c r="BA27" s="208" t="s">
        <v>1564</v>
      </c>
      <c r="BB27" s="208" t="s">
        <v>2109</v>
      </c>
      <c r="BC27" s="208" t="s">
        <v>2166</v>
      </c>
      <c r="BD27" s="208" t="s">
        <v>2167</v>
      </c>
      <c r="BE27" s="208" t="s">
        <v>2168</v>
      </c>
      <c r="BF27" s="208" t="s">
        <v>2108</v>
      </c>
      <c r="BH27" s="208" t="b">
        <v>0</v>
      </c>
      <c r="BK27" s="208" t="b">
        <v>0</v>
      </c>
    </row>
    <row r="28" spans="2:63" hidden="1">
      <c r="B28" s="208">
        <v>15292</v>
      </c>
      <c r="C28" s="208" t="s">
        <v>1061</v>
      </c>
      <c r="D28" s="209">
        <v>6549</v>
      </c>
      <c r="E28" s="210">
        <v>0</v>
      </c>
      <c r="F28" s="210">
        <v>0</v>
      </c>
      <c r="H28" s="208" t="s">
        <v>17</v>
      </c>
      <c r="I28" s="208" t="s">
        <v>1504</v>
      </c>
      <c r="J28" s="208" t="s">
        <v>1468</v>
      </c>
      <c r="K28" s="208" t="s">
        <v>1469</v>
      </c>
      <c r="L28" s="208" t="s">
        <v>1470</v>
      </c>
      <c r="M28" s="208" t="s">
        <v>2099</v>
      </c>
      <c r="N28" s="208" t="s">
        <v>1471</v>
      </c>
      <c r="O28" s="208" t="s">
        <v>2220</v>
      </c>
      <c r="Q28" s="208" t="s">
        <v>2108</v>
      </c>
      <c r="R28" s="209" t="s">
        <v>1475</v>
      </c>
      <c r="S28" s="208" t="s">
        <v>2230</v>
      </c>
      <c r="T28" s="208" t="s">
        <v>2331</v>
      </c>
      <c r="U28" s="208" t="s">
        <v>1637</v>
      </c>
      <c r="V28" s="208" t="s">
        <v>1481</v>
      </c>
      <c r="W28" s="209" t="s">
        <v>2065</v>
      </c>
      <c r="X28" s="211">
        <f t="shared" si="0"/>
        <v>44770.875</v>
      </c>
      <c r="Y28" s="208" t="s">
        <v>2226</v>
      </c>
      <c r="Z28" s="208" t="s">
        <v>1482</v>
      </c>
      <c r="AA28" s="208" t="s">
        <v>1483</v>
      </c>
      <c r="AB28" s="208" t="s">
        <v>2316</v>
      </c>
      <c r="AC28" s="208" t="s">
        <v>1509</v>
      </c>
      <c r="AD28" s="208">
        <v>0</v>
      </c>
      <c r="AE28" s="208">
        <v>0</v>
      </c>
      <c r="AF28" s="208">
        <v>0</v>
      </c>
      <c r="AG28" s="208" t="s">
        <v>1486</v>
      </c>
      <c r="AH28" s="208" t="s">
        <v>1487</v>
      </c>
      <c r="AI28" s="208" t="s">
        <v>1488</v>
      </c>
      <c r="AJ28" s="208" t="s">
        <v>1489</v>
      </c>
      <c r="AL28" s="208" t="s">
        <v>1635</v>
      </c>
      <c r="AM28" s="208" t="s">
        <v>1637</v>
      </c>
      <c r="AN28" s="208" t="s">
        <v>1637</v>
      </c>
      <c r="AO28" s="208" t="s">
        <v>1637</v>
      </c>
      <c r="AP28" s="208" t="s">
        <v>1638</v>
      </c>
      <c r="AQ28" s="208" t="s">
        <v>1669</v>
      </c>
      <c r="AT28" s="208" t="s">
        <v>2230</v>
      </c>
      <c r="AU28" s="208" t="s">
        <v>1637</v>
      </c>
      <c r="AV28" s="208" t="s">
        <v>1481</v>
      </c>
      <c r="AW28" s="208" t="s">
        <v>2065</v>
      </c>
      <c r="AX28" s="208" t="s">
        <v>2108</v>
      </c>
      <c r="AY28" s="208" t="s">
        <v>1669</v>
      </c>
      <c r="BB28" s="208" t="s">
        <v>2230</v>
      </c>
      <c r="BC28" s="208" t="s">
        <v>2065</v>
      </c>
      <c r="BD28" s="208" t="s">
        <v>1481</v>
      </c>
      <c r="BE28" s="208" t="s">
        <v>2065</v>
      </c>
      <c r="BF28" s="208" t="s">
        <v>2108</v>
      </c>
      <c r="BH28" s="208" t="b">
        <v>0</v>
      </c>
      <c r="BK28" s="208" t="b">
        <v>0</v>
      </c>
    </row>
    <row r="29" spans="2:63" hidden="1">
      <c r="B29" s="208">
        <v>15292</v>
      </c>
      <c r="C29" s="208" t="s">
        <v>1061</v>
      </c>
      <c r="D29" s="209">
        <v>6549</v>
      </c>
      <c r="H29" s="208" t="s">
        <v>17</v>
      </c>
      <c r="I29" s="208" t="s">
        <v>1504</v>
      </c>
      <c r="J29" s="208" t="s">
        <v>1468</v>
      </c>
      <c r="K29" s="208" t="s">
        <v>1469</v>
      </c>
      <c r="L29" s="208" t="s">
        <v>1470</v>
      </c>
      <c r="M29" s="208" t="s">
        <v>1668</v>
      </c>
      <c r="N29" s="208" t="s">
        <v>1471</v>
      </c>
      <c r="O29" s="208" t="s">
        <v>2220</v>
      </c>
      <c r="Q29" s="208" t="s">
        <v>2229</v>
      </c>
      <c r="R29" s="209" t="s">
        <v>1475</v>
      </c>
      <c r="S29" s="208" t="s">
        <v>2222</v>
      </c>
      <c r="T29" s="208" t="s">
        <v>2315</v>
      </c>
      <c r="U29" s="208" t="s">
        <v>1519</v>
      </c>
      <c r="V29" s="208" t="s">
        <v>2237</v>
      </c>
      <c r="W29" s="209" t="s">
        <v>2273</v>
      </c>
      <c r="X29" s="211">
        <f t="shared" si="0"/>
        <v>44726.875</v>
      </c>
      <c r="Y29" s="208" t="s">
        <v>2226</v>
      </c>
      <c r="Z29" s="208" t="s">
        <v>1482</v>
      </c>
      <c r="AA29" s="208" t="s">
        <v>1483</v>
      </c>
      <c r="AB29" s="208" t="s">
        <v>2316</v>
      </c>
      <c r="AC29" s="208" t="s">
        <v>1509</v>
      </c>
      <c r="AD29" s="208">
        <v>0</v>
      </c>
      <c r="AE29" s="208">
        <v>0</v>
      </c>
      <c r="AF29" s="208">
        <v>0</v>
      </c>
      <c r="AG29" s="208" t="s">
        <v>1486</v>
      </c>
      <c r="AH29" s="208" t="s">
        <v>1487</v>
      </c>
      <c r="AI29" s="208" t="s">
        <v>1488</v>
      </c>
      <c r="AJ29" s="208" t="s">
        <v>1896</v>
      </c>
      <c r="AL29" s="208" t="s">
        <v>1517</v>
      </c>
      <c r="AM29" s="208" t="s">
        <v>1519</v>
      </c>
      <c r="AN29" s="208" t="s">
        <v>1519</v>
      </c>
      <c r="AO29" s="208" t="s">
        <v>1624</v>
      </c>
      <c r="AP29" s="208" t="s">
        <v>1521</v>
      </c>
      <c r="AQ29" s="208" t="s">
        <v>1669</v>
      </c>
      <c r="AT29" s="208" t="s">
        <v>2222</v>
      </c>
      <c r="AU29" s="208" t="s">
        <v>1519</v>
      </c>
      <c r="AV29" s="208" t="s">
        <v>2237</v>
      </c>
      <c r="AW29" s="208" t="s">
        <v>2273</v>
      </c>
      <c r="AX29" s="208" t="s">
        <v>2229</v>
      </c>
      <c r="AY29" s="208" t="s">
        <v>1669</v>
      </c>
      <c r="BB29" s="208" t="s">
        <v>2222</v>
      </c>
      <c r="BC29" s="208" t="s">
        <v>2273</v>
      </c>
      <c r="BD29" s="208" t="s">
        <v>2237</v>
      </c>
      <c r="BE29" s="208" t="s">
        <v>1637</v>
      </c>
      <c r="BH29" s="208" t="b">
        <v>0</v>
      </c>
      <c r="BK29" s="208" t="b">
        <v>0</v>
      </c>
    </row>
    <row r="30" spans="2:63" hidden="1">
      <c r="B30" s="208">
        <v>15292</v>
      </c>
      <c r="C30" s="208" t="s">
        <v>1061</v>
      </c>
      <c r="D30" s="209">
        <v>6660</v>
      </c>
      <c r="E30" s="210">
        <v>1923389.07</v>
      </c>
      <c r="F30" s="210">
        <v>1923389.07</v>
      </c>
      <c r="H30" s="208" t="s">
        <v>17</v>
      </c>
      <c r="I30" s="208" t="s">
        <v>1654</v>
      </c>
      <c r="J30" s="208" t="s">
        <v>1468</v>
      </c>
      <c r="K30" s="208" t="s">
        <v>1469</v>
      </c>
      <c r="L30" s="208" t="s">
        <v>1470</v>
      </c>
      <c r="M30" s="208" t="s">
        <v>23</v>
      </c>
      <c r="N30" s="208" t="s">
        <v>1471</v>
      </c>
      <c r="O30" s="208" t="s">
        <v>1474</v>
      </c>
      <c r="P30" s="208" t="s">
        <v>1851</v>
      </c>
      <c r="Q30" s="208" t="s">
        <v>1474</v>
      </c>
      <c r="R30" s="209" t="s">
        <v>1475</v>
      </c>
      <c r="S30" s="208" t="s">
        <v>1852</v>
      </c>
      <c r="T30" s="208" t="s">
        <v>1862</v>
      </c>
      <c r="U30" s="208" t="s">
        <v>1854</v>
      </c>
      <c r="V30" s="208" t="s">
        <v>1855</v>
      </c>
      <c r="W30" s="209" t="s">
        <v>1863</v>
      </c>
      <c r="X30" s="211">
        <f t="shared" si="0"/>
        <v>45216.500694444447</v>
      </c>
      <c r="Y30" s="208" t="s">
        <v>1481</v>
      </c>
      <c r="Z30" s="208" t="s">
        <v>1524</v>
      </c>
      <c r="AA30" s="208" t="s">
        <v>1483</v>
      </c>
      <c r="AB30" s="208" t="s">
        <v>1664</v>
      </c>
      <c r="AC30" s="208" t="s">
        <v>1665</v>
      </c>
      <c r="AF30" s="208">
        <v>31305</v>
      </c>
      <c r="AG30" s="208" t="s">
        <v>1486</v>
      </c>
      <c r="AH30" s="208" t="s">
        <v>1487</v>
      </c>
      <c r="AI30" s="208" t="s">
        <v>1488</v>
      </c>
      <c r="AJ30" s="208" t="s">
        <v>1489</v>
      </c>
      <c r="AK30" s="208" t="s">
        <v>1657</v>
      </c>
      <c r="AL30" s="208" t="s">
        <v>1658</v>
      </c>
      <c r="AM30" s="208" t="s">
        <v>1666</v>
      </c>
      <c r="AN30" s="208" t="s">
        <v>1662</v>
      </c>
      <c r="AO30" s="208" t="s">
        <v>1667</v>
      </c>
      <c r="AP30" s="208" t="s">
        <v>1494</v>
      </c>
      <c r="AT30" s="208" t="s">
        <v>1857</v>
      </c>
      <c r="AU30" s="208" t="s">
        <v>1854</v>
      </c>
      <c r="AV30" s="208" t="s">
        <v>1858</v>
      </c>
      <c r="AW30" s="208" t="s">
        <v>1854</v>
      </c>
      <c r="AX30" s="208" t="s">
        <v>1859</v>
      </c>
      <c r="BB30" s="208" t="s">
        <v>1852</v>
      </c>
      <c r="BC30" s="208" t="s">
        <v>1854</v>
      </c>
      <c r="BD30" s="208" t="s">
        <v>1855</v>
      </c>
      <c r="BE30" s="208" t="s">
        <v>1863</v>
      </c>
      <c r="BF30" s="208" t="s">
        <v>1474</v>
      </c>
      <c r="BH30" s="208" t="b">
        <v>0</v>
      </c>
      <c r="BK30" s="208" t="b">
        <v>0</v>
      </c>
    </row>
    <row r="31" spans="2:63" hidden="1">
      <c r="B31" s="208">
        <v>15292</v>
      </c>
      <c r="C31" s="208" t="s">
        <v>1061</v>
      </c>
      <c r="D31" s="209">
        <v>6660</v>
      </c>
      <c r="E31" s="210">
        <v>4047000</v>
      </c>
      <c r="F31" s="210">
        <v>4047000</v>
      </c>
      <c r="H31" s="208" t="s">
        <v>17</v>
      </c>
      <c r="I31" s="208" t="s">
        <v>1654</v>
      </c>
      <c r="J31" s="208" t="s">
        <v>1468</v>
      </c>
      <c r="K31" s="208" t="s">
        <v>1469</v>
      </c>
      <c r="L31" s="208" t="s">
        <v>1470</v>
      </c>
      <c r="M31" s="208" t="s">
        <v>1668</v>
      </c>
      <c r="N31" s="208" t="s">
        <v>1471</v>
      </c>
      <c r="O31" s="208" t="s">
        <v>1873</v>
      </c>
      <c r="P31" s="208" t="s">
        <v>1851</v>
      </c>
      <c r="Q31" s="208" t="s">
        <v>1891</v>
      </c>
      <c r="R31" s="209" t="s">
        <v>1475</v>
      </c>
      <c r="S31" s="208" t="s">
        <v>1899</v>
      </c>
      <c r="T31" s="208" t="s">
        <v>1666</v>
      </c>
      <c r="U31" s="208" t="s">
        <v>1893</v>
      </c>
      <c r="V31" s="208" t="s">
        <v>1900</v>
      </c>
      <c r="W31" s="209" t="s">
        <v>1901</v>
      </c>
      <c r="X31" s="211">
        <f t="shared" si="0"/>
        <v>45161.70416666667</v>
      </c>
      <c r="Y31" s="208" t="s">
        <v>1481</v>
      </c>
      <c r="Z31" s="208" t="s">
        <v>1524</v>
      </c>
      <c r="AA31" s="208" t="s">
        <v>1483</v>
      </c>
      <c r="AB31" s="208" t="s">
        <v>1664</v>
      </c>
      <c r="AC31" s="208" t="s">
        <v>1665</v>
      </c>
      <c r="AF31" s="208">
        <v>66000</v>
      </c>
      <c r="AG31" s="208" t="s">
        <v>1486</v>
      </c>
      <c r="AH31" s="208" t="s">
        <v>1487</v>
      </c>
      <c r="AI31" s="208" t="s">
        <v>1488</v>
      </c>
      <c r="AJ31" s="208" t="s">
        <v>1489</v>
      </c>
      <c r="AK31" s="208" t="s">
        <v>1657</v>
      </c>
      <c r="AL31" s="208" t="s">
        <v>1658</v>
      </c>
      <c r="AM31" s="208" t="s">
        <v>1666</v>
      </c>
      <c r="AN31" s="208" t="s">
        <v>1662</v>
      </c>
      <c r="AO31" s="208" t="s">
        <v>1667</v>
      </c>
      <c r="AP31" s="208" t="s">
        <v>1494</v>
      </c>
      <c r="AQ31" s="208" t="s">
        <v>1902</v>
      </c>
      <c r="AR31" s="208" t="s">
        <v>1489</v>
      </c>
      <c r="AS31" s="208" t="s">
        <v>1657</v>
      </c>
      <c r="AT31" s="208" t="s">
        <v>1658</v>
      </c>
      <c r="AU31" s="208" t="s">
        <v>1893</v>
      </c>
      <c r="AV31" s="208" t="s">
        <v>1903</v>
      </c>
      <c r="AW31" s="208" t="s">
        <v>1893</v>
      </c>
      <c r="AX31" s="208" t="s">
        <v>1898</v>
      </c>
      <c r="AY31" s="208" t="s">
        <v>1902</v>
      </c>
      <c r="AZ31" s="208" t="s">
        <v>1489</v>
      </c>
      <c r="BA31" s="208" t="s">
        <v>1657</v>
      </c>
      <c r="BB31" s="208" t="s">
        <v>1899</v>
      </c>
      <c r="BC31" s="208" t="s">
        <v>1893</v>
      </c>
      <c r="BD31" s="208" t="s">
        <v>1900</v>
      </c>
      <c r="BE31" s="208" t="s">
        <v>1901</v>
      </c>
      <c r="BF31" s="208" t="s">
        <v>1891</v>
      </c>
      <c r="BH31" s="208" t="b">
        <v>0</v>
      </c>
      <c r="BK31" s="208" t="b">
        <v>0</v>
      </c>
    </row>
    <row r="32" spans="2:63" hidden="1">
      <c r="B32" s="208">
        <v>15292</v>
      </c>
      <c r="C32" s="208" t="s">
        <v>1061</v>
      </c>
      <c r="D32" s="209">
        <v>6660</v>
      </c>
      <c r="H32" s="208" t="s">
        <v>17</v>
      </c>
      <c r="I32" s="208" t="s">
        <v>1654</v>
      </c>
      <c r="J32" s="208" t="s">
        <v>1468</v>
      </c>
      <c r="K32" s="208" t="s">
        <v>1469</v>
      </c>
      <c r="L32" s="208" t="s">
        <v>1685</v>
      </c>
      <c r="M32" s="208" t="s">
        <v>2099</v>
      </c>
      <c r="N32" s="208" t="s">
        <v>1471</v>
      </c>
      <c r="O32" s="208" t="s">
        <v>2116</v>
      </c>
      <c r="P32" s="208" t="s">
        <v>2101</v>
      </c>
      <c r="Q32" s="208" t="s">
        <v>2108</v>
      </c>
      <c r="R32" s="209" t="s">
        <v>1475</v>
      </c>
      <c r="S32" s="208" t="s">
        <v>2109</v>
      </c>
      <c r="T32" s="208" t="s">
        <v>2012</v>
      </c>
      <c r="U32" s="208" t="s">
        <v>2209</v>
      </c>
      <c r="V32" s="208" t="s">
        <v>2144</v>
      </c>
      <c r="W32" s="209" t="s">
        <v>2210</v>
      </c>
      <c r="X32" s="211">
        <f t="shared" si="0"/>
        <v>45036.484722222223</v>
      </c>
      <c r="Y32" s="208" t="s">
        <v>1481</v>
      </c>
      <c r="Z32" s="208" t="s">
        <v>1482</v>
      </c>
      <c r="AA32" s="208" t="s">
        <v>1483</v>
      </c>
      <c r="AB32" s="208" t="s">
        <v>1655</v>
      </c>
      <c r="AC32" s="208" t="s">
        <v>1665</v>
      </c>
      <c r="AF32" s="208">
        <v>31305.93</v>
      </c>
      <c r="AG32" s="208" t="s">
        <v>1486</v>
      </c>
      <c r="AH32" s="208" t="s">
        <v>1487</v>
      </c>
      <c r="AI32" s="208" t="s">
        <v>1488</v>
      </c>
      <c r="AJ32" s="208" t="s">
        <v>1489</v>
      </c>
      <c r="AL32" s="208" t="s">
        <v>1585</v>
      </c>
      <c r="AM32" s="208" t="s">
        <v>2012</v>
      </c>
      <c r="AN32" s="208" t="s">
        <v>1587</v>
      </c>
      <c r="AO32" s="208" t="s">
        <v>2013</v>
      </c>
      <c r="AP32" s="208" t="s">
        <v>1589</v>
      </c>
      <c r="AQ32" s="208" t="s">
        <v>1669</v>
      </c>
      <c r="AR32" s="208" t="s">
        <v>1489</v>
      </c>
      <c r="AS32" s="208" t="s">
        <v>1564</v>
      </c>
      <c r="AT32" s="208" t="s">
        <v>2120</v>
      </c>
      <c r="AU32" s="208" t="s">
        <v>2209</v>
      </c>
      <c r="AV32" s="208" t="s">
        <v>2132</v>
      </c>
      <c r="AW32" s="208" t="s">
        <v>2209</v>
      </c>
      <c r="AX32" s="208" t="s">
        <v>2115</v>
      </c>
      <c r="AY32" s="208" t="s">
        <v>1669</v>
      </c>
      <c r="AZ32" s="208" t="s">
        <v>1489</v>
      </c>
      <c r="BA32" s="208" t="s">
        <v>1564</v>
      </c>
      <c r="BB32" s="208" t="s">
        <v>2109</v>
      </c>
      <c r="BC32" s="208" t="s">
        <v>2209</v>
      </c>
      <c r="BD32" s="208" t="s">
        <v>2144</v>
      </c>
      <c r="BE32" s="208" t="s">
        <v>2210</v>
      </c>
      <c r="BF32" s="208" t="s">
        <v>2108</v>
      </c>
      <c r="BH32" s="208" t="b">
        <v>0</v>
      </c>
      <c r="BK32" s="208" t="b">
        <v>0</v>
      </c>
    </row>
    <row r="33" spans="2:63" hidden="1">
      <c r="B33" s="208">
        <v>15292</v>
      </c>
      <c r="C33" s="208" t="s">
        <v>1061</v>
      </c>
      <c r="D33" s="209">
        <v>6660</v>
      </c>
      <c r="E33" s="210">
        <v>6314775</v>
      </c>
      <c r="F33" s="210">
        <v>4104603</v>
      </c>
      <c r="H33" s="208" t="s">
        <v>17</v>
      </c>
      <c r="I33" s="208" t="s">
        <v>2249</v>
      </c>
      <c r="J33" s="208" t="s">
        <v>1468</v>
      </c>
      <c r="K33" s="208" t="s">
        <v>1469</v>
      </c>
      <c r="L33" s="208" t="s">
        <v>1685</v>
      </c>
      <c r="M33" s="208" t="s">
        <v>2099</v>
      </c>
      <c r="N33" s="208" t="s">
        <v>1471</v>
      </c>
      <c r="O33" s="208" t="s">
        <v>2220</v>
      </c>
      <c r="Q33" s="208" t="s">
        <v>2241</v>
      </c>
      <c r="R33" s="209" t="s">
        <v>1475</v>
      </c>
      <c r="S33" s="208" t="s">
        <v>2230</v>
      </c>
      <c r="T33" s="208" t="s">
        <v>2307</v>
      </c>
      <c r="U33" s="208" t="s">
        <v>1637</v>
      </c>
      <c r="V33" s="208" t="s">
        <v>2233</v>
      </c>
      <c r="W33" s="209" t="s">
        <v>2233</v>
      </c>
      <c r="X33" s="211">
        <f t="shared" si="0"/>
        <v>44773.875</v>
      </c>
      <c r="Y33" s="208" t="s">
        <v>2226</v>
      </c>
      <c r="Z33" s="208" t="s">
        <v>1482</v>
      </c>
      <c r="AA33" s="208" t="s">
        <v>1483</v>
      </c>
      <c r="AD33" s="208">
        <v>31300</v>
      </c>
      <c r="AH33" s="208" t="s">
        <v>1487</v>
      </c>
      <c r="AI33" s="208" t="s">
        <v>1488</v>
      </c>
      <c r="AJ33" s="208" t="s">
        <v>1489</v>
      </c>
      <c r="AL33" s="208" t="s">
        <v>1635</v>
      </c>
      <c r="AM33" s="208" t="s">
        <v>1637</v>
      </c>
      <c r="AN33" s="208" t="s">
        <v>1637</v>
      </c>
      <c r="AO33" s="208" t="s">
        <v>2065</v>
      </c>
      <c r="AP33" s="208" t="s">
        <v>1638</v>
      </c>
      <c r="AQ33" s="208" t="s">
        <v>1902</v>
      </c>
      <c r="AS33" s="208" t="s">
        <v>1564</v>
      </c>
      <c r="AT33" s="208" t="s">
        <v>2230</v>
      </c>
      <c r="AU33" s="208" t="s">
        <v>1637</v>
      </c>
      <c r="AV33" s="208" t="s">
        <v>2233</v>
      </c>
      <c r="AW33" s="208" t="s">
        <v>2233</v>
      </c>
      <c r="AX33" s="208" t="s">
        <v>2241</v>
      </c>
      <c r="AY33" s="208" t="s">
        <v>1902</v>
      </c>
      <c r="BB33" s="208" t="s">
        <v>2230</v>
      </c>
      <c r="BC33" s="208" t="s">
        <v>2233</v>
      </c>
      <c r="BD33" s="208" t="s">
        <v>2233</v>
      </c>
      <c r="BE33" s="208" t="s">
        <v>2233</v>
      </c>
      <c r="BF33" s="208" t="s">
        <v>1474</v>
      </c>
      <c r="BH33" s="208" t="b">
        <v>0</v>
      </c>
      <c r="BK33" s="208" t="b">
        <v>0</v>
      </c>
    </row>
    <row r="34" spans="2:63" hidden="1">
      <c r="B34" s="208">
        <v>15292</v>
      </c>
      <c r="C34" s="208" t="s">
        <v>1061</v>
      </c>
      <c r="D34" s="209">
        <v>6660</v>
      </c>
      <c r="E34" s="210">
        <v>266383</v>
      </c>
      <c r="F34" s="210">
        <v>191796</v>
      </c>
      <c r="H34" s="208" t="s">
        <v>17</v>
      </c>
      <c r="I34" s="208" t="s">
        <v>1504</v>
      </c>
      <c r="J34" s="208" t="s">
        <v>1468</v>
      </c>
      <c r="K34" s="208" t="s">
        <v>1469</v>
      </c>
      <c r="L34" s="208" t="s">
        <v>1470</v>
      </c>
      <c r="M34" s="208" t="s">
        <v>1668</v>
      </c>
      <c r="N34" s="208" t="s">
        <v>1471</v>
      </c>
      <c r="O34" s="208" t="s">
        <v>2220</v>
      </c>
      <c r="Q34" s="208" t="s">
        <v>2235</v>
      </c>
      <c r="R34" s="209" t="s">
        <v>1475</v>
      </c>
      <c r="S34" s="208" t="s">
        <v>2222</v>
      </c>
      <c r="T34" s="208" t="s">
        <v>2266</v>
      </c>
      <c r="U34" s="208" t="s">
        <v>1519</v>
      </c>
      <c r="V34" s="208" t="s">
        <v>2237</v>
      </c>
      <c r="W34" s="209" t="s">
        <v>2245</v>
      </c>
      <c r="X34" s="211">
        <f t="shared" si="0"/>
        <v>44731.875</v>
      </c>
      <c r="Y34" s="208" t="s">
        <v>2226</v>
      </c>
      <c r="Z34" s="208" t="s">
        <v>1482</v>
      </c>
      <c r="AA34" s="208" t="s">
        <v>1483</v>
      </c>
      <c r="AB34" s="208" t="s">
        <v>1874</v>
      </c>
      <c r="AC34" s="208" t="s">
        <v>1875</v>
      </c>
      <c r="AD34" s="208">
        <v>150</v>
      </c>
      <c r="AE34" s="208">
        <v>0</v>
      </c>
      <c r="AF34" s="208">
        <v>282</v>
      </c>
      <c r="AG34" s="208" t="s">
        <v>1486</v>
      </c>
      <c r="AH34" s="208" t="s">
        <v>1487</v>
      </c>
      <c r="AI34" s="208" t="s">
        <v>1488</v>
      </c>
      <c r="AJ34" s="208" t="s">
        <v>1489</v>
      </c>
      <c r="AL34" s="208" t="s">
        <v>1517</v>
      </c>
      <c r="AM34" s="208" t="s">
        <v>1519</v>
      </c>
      <c r="AN34" s="208" t="s">
        <v>1519</v>
      </c>
      <c r="AO34" s="208" t="s">
        <v>1624</v>
      </c>
      <c r="AP34" s="208" t="s">
        <v>1521</v>
      </c>
      <c r="AQ34" s="208" t="s">
        <v>1902</v>
      </c>
      <c r="AS34" s="208" t="s">
        <v>1564</v>
      </c>
      <c r="AT34" s="208" t="s">
        <v>2222</v>
      </c>
      <c r="AU34" s="208" t="s">
        <v>1519</v>
      </c>
      <c r="AV34" s="208" t="s">
        <v>2237</v>
      </c>
      <c r="AW34" s="208" t="s">
        <v>2245</v>
      </c>
      <c r="AX34" s="208" t="s">
        <v>2235</v>
      </c>
      <c r="AY34" s="208" t="s">
        <v>1902</v>
      </c>
      <c r="BB34" s="208" t="s">
        <v>2222</v>
      </c>
      <c r="BC34" s="208" t="s">
        <v>2245</v>
      </c>
      <c r="BD34" s="208" t="s">
        <v>2237</v>
      </c>
      <c r="BE34" s="208" t="s">
        <v>2239</v>
      </c>
      <c r="BF34" s="208" t="s">
        <v>2240</v>
      </c>
      <c r="BH34" s="208" t="b">
        <v>0</v>
      </c>
      <c r="BK34" s="208" t="b">
        <v>0</v>
      </c>
    </row>
    <row r="35" spans="2:63" hidden="1">
      <c r="B35" s="208">
        <v>15292</v>
      </c>
      <c r="C35" s="208" t="s">
        <v>1061</v>
      </c>
      <c r="D35" s="209">
        <v>11054</v>
      </c>
      <c r="E35" s="210">
        <v>737278.6</v>
      </c>
      <c r="F35" s="210">
        <v>737278.6</v>
      </c>
      <c r="H35" s="208" t="s">
        <v>17</v>
      </c>
      <c r="I35" s="208" t="s">
        <v>1654</v>
      </c>
      <c r="J35" s="208" t="s">
        <v>1468</v>
      </c>
      <c r="K35" s="208" t="s">
        <v>1469</v>
      </c>
      <c r="L35" s="208" t="s">
        <v>1470</v>
      </c>
      <c r="M35" s="208" t="s">
        <v>23</v>
      </c>
      <c r="N35" s="208" t="s">
        <v>1471</v>
      </c>
      <c r="O35" s="208" t="s">
        <v>1474</v>
      </c>
      <c r="P35" s="208" t="s">
        <v>1851</v>
      </c>
      <c r="Q35" s="208" t="s">
        <v>1474</v>
      </c>
      <c r="R35" s="209" t="s">
        <v>1475</v>
      </c>
      <c r="S35" s="208" t="s">
        <v>1852</v>
      </c>
      <c r="T35" s="208" t="s">
        <v>1860</v>
      </c>
      <c r="U35" s="208" t="s">
        <v>1854</v>
      </c>
      <c r="V35" s="208" t="s">
        <v>1855</v>
      </c>
      <c r="W35" s="209" t="s">
        <v>1861</v>
      </c>
      <c r="X35" s="211">
        <f t="shared" si="0"/>
        <v>45216.506249999999</v>
      </c>
      <c r="Y35" s="208" t="s">
        <v>1481</v>
      </c>
      <c r="Z35" s="208" t="s">
        <v>1524</v>
      </c>
      <c r="AA35" s="208" t="s">
        <v>1483</v>
      </c>
      <c r="AB35" s="208" t="s">
        <v>1655</v>
      </c>
      <c r="AC35" s="208" t="s">
        <v>1656</v>
      </c>
      <c r="AF35" s="208">
        <v>12000</v>
      </c>
      <c r="AG35" s="208" t="s">
        <v>1486</v>
      </c>
      <c r="AH35" s="208" t="s">
        <v>1487</v>
      </c>
      <c r="AI35" s="208" t="s">
        <v>1488</v>
      </c>
      <c r="AJ35" s="208" t="s">
        <v>1489</v>
      </c>
      <c r="AK35" s="208" t="s">
        <v>1657</v>
      </c>
      <c r="AL35" s="208" t="s">
        <v>1658</v>
      </c>
      <c r="AM35" s="208" t="s">
        <v>1659</v>
      </c>
      <c r="AN35" s="208" t="s">
        <v>1660</v>
      </c>
      <c r="AO35" s="208" t="s">
        <v>1661</v>
      </c>
      <c r="AP35" s="208" t="s">
        <v>1494</v>
      </c>
      <c r="AT35" s="208" t="s">
        <v>1857</v>
      </c>
      <c r="AU35" s="208" t="s">
        <v>1854</v>
      </c>
      <c r="AV35" s="208" t="s">
        <v>1858</v>
      </c>
      <c r="AW35" s="208" t="s">
        <v>1854</v>
      </c>
      <c r="AX35" s="208" t="s">
        <v>1859</v>
      </c>
      <c r="BB35" s="208" t="s">
        <v>1852</v>
      </c>
      <c r="BC35" s="208" t="s">
        <v>1854</v>
      </c>
      <c r="BD35" s="208" t="s">
        <v>1855</v>
      </c>
      <c r="BE35" s="208" t="s">
        <v>1861</v>
      </c>
      <c r="BF35" s="208" t="s">
        <v>1474</v>
      </c>
      <c r="BH35" s="208" t="b">
        <v>0</v>
      </c>
      <c r="BK35" s="208" t="b">
        <v>0</v>
      </c>
    </row>
    <row r="36" spans="2:63" hidden="1">
      <c r="B36" s="208">
        <v>15292</v>
      </c>
      <c r="C36" s="208" t="s">
        <v>1061</v>
      </c>
      <c r="D36" s="209">
        <v>11054</v>
      </c>
      <c r="E36" s="210">
        <v>0</v>
      </c>
      <c r="F36" s="210">
        <v>0</v>
      </c>
      <c r="H36" s="208" t="s">
        <v>17</v>
      </c>
      <c r="I36" s="208" t="s">
        <v>1654</v>
      </c>
      <c r="J36" s="208" t="s">
        <v>1468</v>
      </c>
      <c r="K36" s="208" t="s">
        <v>1469</v>
      </c>
      <c r="L36" s="208" t="s">
        <v>1470</v>
      </c>
      <c r="M36" s="208" t="s">
        <v>1668</v>
      </c>
      <c r="N36" s="208" t="s">
        <v>1471</v>
      </c>
      <c r="O36" s="208" t="s">
        <v>1873</v>
      </c>
      <c r="P36" s="208" t="s">
        <v>1851</v>
      </c>
      <c r="Q36" s="208" t="s">
        <v>1891</v>
      </c>
      <c r="R36" s="209" t="s">
        <v>1475</v>
      </c>
      <c r="S36" s="208" t="s">
        <v>1892</v>
      </c>
      <c r="T36" s="208" t="s">
        <v>1659</v>
      </c>
      <c r="U36" s="208" t="s">
        <v>1893</v>
      </c>
      <c r="V36" s="208" t="s">
        <v>1894</v>
      </c>
      <c r="W36" s="209" t="s">
        <v>1895</v>
      </c>
      <c r="X36" s="211">
        <f t="shared" si="0"/>
        <v>45160.674305555556</v>
      </c>
      <c r="Y36" s="208" t="s">
        <v>1481</v>
      </c>
      <c r="Z36" s="208" t="s">
        <v>1524</v>
      </c>
      <c r="AA36" s="208" t="s">
        <v>1483</v>
      </c>
      <c r="AB36" s="208" t="s">
        <v>1655</v>
      </c>
      <c r="AC36" s="208" t="s">
        <v>1656</v>
      </c>
      <c r="AF36" s="208">
        <v>12000</v>
      </c>
      <c r="AG36" s="208" t="s">
        <v>1486</v>
      </c>
      <c r="AH36" s="208" t="s">
        <v>1487</v>
      </c>
      <c r="AI36" s="208" t="s">
        <v>1488</v>
      </c>
      <c r="AJ36" s="208" t="s">
        <v>1489</v>
      </c>
      <c r="AK36" s="208" t="s">
        <v>1657</v>
      </c>
      <c r="AL36" s="208" t="s">
        <v>1658</v>
      </c>
      <c r="AM36" s="208" t="s">
        <v>1659</v>
      </c>
      <c r="AN36" s="208" t="s">
        <v>1660</v>
      </c>
      <c r="AO36" s="208" t="s">
        <v>1661</v>
      </c>
      <c r="AP36" s="208" t="s">
        <v>1494</v>
      </c>
      <c r="AQ36" s="208" t="s">
        <v>1669</v>
      </c>
      <c r="AR36" s="208" t="s">
        <v>1896</v>
      </c>
      <c r="AS36" s="208" t="s">
        <v>1657</v>
      </c>
      <c r="AT36" s="208" t="s">
        <v>1658</v>
      </c>
      <c r="AU36" s="208" t="s">
        <v>1893</v>
      </c>
      <c r="AV36" s="208" t="s">
        <v>1897</v>
      </c>
      <c r="AW36" s="208" t="s">
        <v>1893</v>
      </c>
      <c r="AX36" s="208" t="s">
        <v>1898</v>
      </c>
      <c r="AY36" s="208" t="s">
        <v>1669</v>
      </c>
      <c r="AZ36" s="208" t="s">
        <v>1896</v>
      </c>
      <c r="BA36" s="208" t="s">
        <v>1657</v>
      </c>
      <c r="BB36" s="208" t="s">
        <v>1892</v>
      </c>
      <c r="BC36" s="208" t="s">
        <v>1893</v>
      </c>
      <c r="BD36" s="208" t="s">
        <v>1894</v>
      </c>
      <c r="BE36" s="208" t="s">
        <v>1895</v>
      </c>
      <c r="BF36" s="208" t="s">
        <v>1891</v>
      </c>
      <c r="BH36" s="208" t="b">
        <v>0</v>
      </c>
      <c r="BK36" s="208" t="b">
        <v>0</v>
      </c>
    </row>
    <row r="37" spans="2:63" hidden="1">
      <c r="B37" s="208">
        <v>15292</v>
      </c>
      <c r="C37" s="208" t="s">
        <v>1061</v>
      </c>
      <c r="D37" s="209">
        <v>11054</v>
      </c>
      <c r="E37" s="210">
        <v>3763636.36</v>
      </c>
      <c r="F37" s="210">
        <v>1505454.55</v>
      </c>
      <c r="H37" s="208" t="s">
        <v>17</v>
      </c>
      <c r="I37" s="208" t="s">
        <v>1654</v>
      </c>
      <c r="J37" s="208" t="s">
        <v>1468</v>
      </c>
      <c r="K37" s="208" t="s">
        <v>1469</v>
      </c>
      <c r="L37" s="208" t="s">
        <v>1685</v>
      </c>
      <c r="M37" s="208" t="s">
        <v>2099</v>
      </c>
      <c r="N37" s="208" t="s">
        <v>1471</v>
      </c>
      <c r="O37" s="208" t="s">
        <v>2100</v>
      </c>
      <c r="P37" s="208" t="s">
        <v>2101</v>
      </c>
      <c r="Q37" s="208" t="s">
        <v>1891</v>
      </c>
      <c r="R37" s="209" t="s">
        <v>1475</v>
      </c>
      <c r="S37" s="208" t="s">
        <v>2102</v>
      </c>
      <c r="T37" s="208" t="s">
        <v>2103</v>
      </c>
      <c r="U37" s="208" t="s">
        <v>2104</v>
      </c>
      <c r="V37" s="208" t="s">
        <v>2105</v>
      </c>
      <c r="W37" s="209" t="s">
        <v>2106</v>
      </c>
      <c r="X37" s="211">
        <f t="shared" si="0"/>
        <v>45049.439583333333</v>
      </c>
      <c r="Y37" s="208" t="s">
        <v>1481</v>
      </c>
      <c r="Z37" s="208" t="s">
        <v>1482</v>
      </c>
      <c r="AA37" s="208" t="s">
        <v>1483</v>
      </c>
      <c r="AB37" s="208" t="s">
        <v>1664</v>
      </c>
      <c r="AC37" s="208" t="s">
        <v>2089</v>
      </c>
      <c r="AF37" s="208">
        <v>12000</v>
      </c>
      <c r="AG37" s="208" t="s">
        <v>1486</v>
      </c>
      <c r="AH37" s="208" t="s">
        <v>2090</v>
      </c>
      <c r="AI37" s="208" t="s">
        <v>1488</v>
      </c>
      <c r="AJ37" s="208" t="s">
        <v>1489</v>
      </c>
      <c r="AL37" s="208" t="s">
        <v>2091</v>
      </c>
      <c r="AM37" s="208" t="s">
        <v>2092</v>
      </c>
      <c r="AN37" s="208" t="s">
        <v>2093</v>
      </c>
      <c r="AO37" s="208" t="s">
        <v>2094</v>
      </c>
      <c r="AP37" s="208" t="s">
        <v>1589</v>
      </c>
      <c r="AQ37" s="208" t="s">
        <v>1902</v>
      </c>
      <c r="AR37" s="208" t="s">
        <v>1489</v>
      </c>
      <c r="AS37" s="208" t="s">
        <v>1564</v>
      </c>
      <c r="AT37" s="208" t="s">
        <v>2102</v>
      </c>
      <c r="AU37" s="208" t="s">
        <v>2104</v>
      </c>
      <c r="AV37" s="208" t="s">
        <v>2107</v>
      </c>
      <c r="AW37" s="208" t="s">
        <v>2104</v>
      </c>
      <c r="AX37" s="208" t="s">
        <v>1898</v>
      </c>
      <c r="AY37" s="208" t="s">
        <v>1902</v>
      </c>
      <c r="AZ37" s="208" t="s">
        <v>1489</v>
      </c>
      <c r="BA37" s="208" t="s">
        <v>1564</v>
      </c>
      <c r="BB37" s="208" t="s">
        <v>2102</v>
      </c>
      <c r="BC37" s="208" t="s">
        <v>2104</v>
      </c>
      <c r="BD37" s="208" t="s">
        <v>2105</v>
      </c>
      <c r="BE37" s="208" t="s">
        <v>2106</v>
      </c>
      <c r="BF37" s="208" t="s">
        <v>1891</v>
      </c>
      <c r="BH37" s="208" t="b">
        <v>0</v>
      </c>
      <c r="BK37" s="208" t="b">
        <v>0</v>
      </c>
    </row>
    <row r="38" spans="2:63" hidden="1">
      <c r="B38" s="208">
        <v>15292</v>
      </c>
      <c r="C38" s="208" t="s">
        <v>1061</v>
      </c>
      <c r="D38" s="209">
        <v>11054</v>
      </c>
      <c r="E38" s="210">
        <v>2810000</v>
      </c>
      <c r="F38" s="210">
        <v>1967000</v>
      </c>
      <c r="H38" s="208" t="s">
        <v>17</v>
      </c>
      <c r="I38" s="208" t="s">
        <v>2249</v>
      </c>
      <c r="J38" s="208" t="s">
        <v>1468</v>
      </c>
      <c r="K38" s="208" t="s">
        <v>1469</v>
      </c>
      <c r="L38" s="208" t="s">
        <v>1685</v>
      </c>
      <c r="M38" s="208" t="s">
        <v>2099</v>
      </c>
      <c r="N38" s="208" t="s">
        <v>1471</v>
      </c>
      <c r="O38" s="208" t="s">
        <v>2220</v>
      </c>
      <c r="Q38" s="208" t="s">
        <v>2241</v>
      </c>
      <c r="R38" s="209" t="s">
        <v>1475</v>
      </c>
      <c r="S38" s="208" t="s">
        <v>2230</v>
      </c>
      <c r="T38" s="208" t="s">
        <v>2250</v>
      </c>
      <c r="U38" s="208" t="s">
        <v>1637</v>
      </c>
      <c r="V38" s="208" t="s">
        <v>2233</v>
      </c>
      <c r="W38" s="209" t="s">
        <v>2233</v>
      </c>
      <c r="X38" s="211">
        <f t="shared" si="0"/>
        <v>44773.875</v>
      </c>
      <c r="Y38" s="208" t="s">
        <v>2226</v>
      </c>
      <c r="Z38" s="208" t="s">
        <v>1482</v>
      </c>
      <c r="AA38" s="208" t="s">
        <v>1483</v>
      </c>
      <c r="AF38" s="208">
        <v>12000</v>
      </c>
      <c r="AG38" s="208" t="s">
        <v>1486</v>
      </c>
      <c r="AH38" s="208" t="s">
        <v>1487</v>
      </c>
      <c r="AI38" s="208" t="s">
        <v>1488</v>
      </c>
      <c r="AJ38" s="208" t="s">
        <v>1489</v>
      </c>
      <c r="AL38" s="208" t="s">
        <v>1635</v>
      </c>
      <c r="AM38" s="208" t="s">
        <v>1637</v>
      </c>
      <c r="AN38" s="208" t="s">
        <v>1637</v>
      </c>
      <c r="AO38" s="208" t="s">
        <v>2065</v>
      </c>
      <c r="AP38" s="208" t="s">
        <v>1638</v>
      </c>
      <c r="AQ38" s="208" t="s">
        <v>1902</v>
      </c>
      <c r="AS38" s="208" t="s">
        <v>1564</v>
      </c>
      <c r="AT38" s="208" t="s">
        <v>2230</v>
      </c>
      <c r="AU38" s="208" t="s">
        <v>1637</v>
      </c>
      <c r="AV38" s="208" t="s">
        <v>2233</v>
      </c>
      <c r="AW38" s="208" t="s">
        <v>2233</v>
      </c>
      <c r="AX38" s="208" t="s">
        <v>2241</v>
      </c>
      <c r="AY38" s="208" t="s">
        <v>1902</v>
      </c>
      <c r="BB38" s="208" t="s">
        <v>2230</v>
      </c>
      <c r="BC38" s="208" t="s">
        <v>2233</v>
      </c>
      <c r="BD38" s="208" t="s">
        <v>2233</v>
      </c>
      <c r="BE38" s="208" t="s">
        <v>2233</v>
      </c>
      <c r="BF38" s="208" t="s">
        <v>1474</v>
      </c>
      <c r="BH38" s="208" t="b">
        <v>0</v>
      </c>
      <c r="BK38" s="208" t="b">
        <v>0</v>
      </c>
    </row>
    <row r="39" spans="2:63" hidden="1">
      <c r="B39" s="208">
        <v>15292</v>
      </c>
      <c r="C39" s="208" t="s">
        <v>1061</v>
      </c>
      <c r="D39" s="209">
        <v>11054</v>
      </c>
      <c r="E39" s="210">
        <v>145777</v>
      </c>
      <c r="F39" s="210">
        <v>102044</v>
      </c>
      <c r="H39" s="208" t="s">
        <v>17</v>
      </c>
      <c r="I39" s="208" t="s">
        <v>1504</v>
      </c>
      <c r="J39" s="208" t="s">
        <v>1468</v>
      </c>
      <c r="K39" s="208" t="s">
        <v>1469</v>
      </c>
      <c r="L39" s="208" t="s">
        <v>1470</v>
      </c>
      <c r="M39" s="208" t="s">
        <v>1668</v>
      </c>
      <c r="N39" s="208" t="s">
        <v>1471</v>
      </c>
      <c r="O39" s="208" t="s">
        <v>2220</v>
      </c>
      <c r="Q39" s="208" t="s">
        <v>2235</v>
      </c>
      <c r="R39" s="209" t="s">
        <v>1475</v>
      </c>
      <c r="S39" s="208" t="s">
        <v>2222</v>
      </c>
      <c r="T39" s="208" t="s">
        <v>2236</v>
      </c>
      <c r="U39" s="208" t="s">
        <v>1519</v>
      </c>
      <c r="V39" s="208" t="s">
        <v>2237</v>
      </c>
      <c r="W39" s="209" t="s">
        <v>2228</v>
      </c>
      <c r="X39" s="211">
        <f t="shared" si="0"/>
        <v>44727.875</v>
      </c>
      <c r="Y39" s="208" t="s">
        <v>2226</v>
      </c>
      <c r="Z39" s="208" t="s">
        <v>1482</v>
      </c>
      <c r="AA39" s="208" t="s">
        <v>1483</v>
      </c>
      <c r="AB39" s="208" t="s">
        <v>1876</v>
      </c>
      <c r="AC39" s="208" t="s">
        <v>1877</v>
      </c>
      <c r="AD39" s="208">
        <v>69</v>
      </c>
      <c r="AE39" s="208">
        <v>0</v>
      </c>
      <c r="AF39" s="208">
        <v>102</v>
      </c>
      <c r="AG39" s="208" t="s">
        <v>1486</v>
      </c>
      <c r="AH39" s="208" t="s">
        <v>1487</v>
      </c>
      <c r="AI39" s="208" t="s">
        <v>1488</v>
      </c>
      <c r="AJ39" s="208" t="s">
        <v>1489</v>
      </c>
      <c r="AL39" s="208" t="s">
        <v>1517</v>
      </c>
      <c r="AM39" s="208" t="s">
        <v>1519</v>
      </c>
      <c r="AN39" s="208" t="s">
        <v>1519</v>
      </c>
      <c r="AO39" s="208" t="s">
        <v>1624</v>
      </c>
      <c r="AP39" s="208" t="s">
        <v>1521</v>
      </c>
      <c r="AQ39" s="208" t="s">
        <v>1902</v>
      </c>
      <c r="AS39" s="208" t="s">
        <v>2122</v>
      </c>
      <c r="AT39" s="208" t="s">
        <v>2222</v>
      </c>
      <c r="AU39" s="208" t="s">
        <v>1519</v>
      </c>
      <c r="AV39" s="208" t="s">
        <v>2237</v>
      </c>
      <c r="AW39" s="208" t="s">
        <v>2228</v>
      </c>
      <c r="AX39" s="208" t="s">
        <v>2235</v>
      </c>
      <c r="AY39" s="208" t="s">
        <v>1902</v>
      </c>
      <c r="BB39" s="208" t="s">
        <v>2222</v>
      </c>
      <c r="BC39" s="208" t="s">
        <v>2228</v>
      </c>
      <c r="BD39" s="208" t="s">
        <v>2237</v>
      </c>
      <c r="BE39" s="208" t="s">
        <v>2239</v>
      </c>
      <c r="BF39" s="208" t="s">
        <v>2240</v>
      </c>
      <c r="BH39" s="208" t="b">
        <v>0</v>
      </c>
      <c r="BK39" s="208" t="b">
        <v>0</v>
      </c>
    </row>
    <row r="40" spans="2:63" hidden="1">
      <c r="B40" s="208">
        <v>15292</v>
      </c>
      <c r="C40" s="208" t="s">
        <v>1061</v>
      </c>
      <c r="D40" s="209">
        <v>11055</v>
      </c>
      <c r="E40" s="210">
        <v>1832137.33</v>
      </c>
      <c r="F40" s="210">
        <v>1832137.33</v>
      </c>
      <c r="H40" s="208" t="s">
        <v>17</v>
      </c>
      <c r="I40" s="208" t="s">
        <v>1654</v>
      </c>
      <c r="J40" s="208" t="s">
        <v>1468</v>
      </c>
      <c r="K40" s="208" t="s">
        <v>1469</v>
      </c>
      <c r="L40" s="208" t="s">
        <v>1470</v>
      </c>
      <c r="M40" s="208" t="s">
        <v>23</v>
      </c>
      <c r="N40" s="208" t="s">
        <v>1471</v>
      </c>
      <c r="O40" s="208" t="s">
        <v>1474</v>
      </c>
      <c r="P40" s="208" t="s">
        <v>1851</v>
      </c>
      <c r="Q40" s="208" t="s">
        <v>1474</v>
      </c>
      <c r="R40" s="209" t="s">
        <v>1475</v>
      </c>
      <c r="S40" s="208" t="s">
        <v>1852</v>
      </c>
      <c r="T40" s="208" t="s">
        <v>1853</v>
      </c>
      <c r="U40" s="208" t="s">
        <v>1854</v>
      </c>
      <c r="V40" s="208" t="s">
        <v>1855</v>
      </c>
      <c r="W40" s="209" t="s">
        <v>1856</v>
      </c>
      <c r="X40" s="211">
        <f t="shared" si="0"/>
        <v>45216.496527777781</v>
      </c>
      <c r="Y40" s="208" t="s">
        <v>1481</v>
      </c>
      <c r="Z40" s="208" t="s">
        <v>1524</v>
      </c>
      <c r="AA40" s="208" t="s">
        <v>1483</v>
      </c>
      <c r="AB40" s="208" t="s">
        <v>1655</v>
      </c>
      <c r="AC40" s="208" t="s">
        <v>1656</v>
      </c>
      <c r="AF40" s="208">
        <v>29820</v>
      </c>
      <c r="AG40" s="208" t="s">
        <v>1486</v>
      </c>
      <c r="AH40" s="208" t="s">
        <v>1487</v>
      </c>
      <c r="AI40" s="208" t="s">
        <v>1488</v>
      </c>
      <c r="AJ40" s="208" t="s">
        <v>1489</v>
      </c>
      <c r="AK40" s="208" t="s">
        <v>1657</v>
      </c>
      <c r="AL40" s="208" t="s">
        <v>1658</v>
      </c>
      <c r="AM40" s="208" t="s">
        <v>1659</v>
      </c>
      <c r="AN40" s="208" t="s">
        <v>1662</v>
      </c>
      <c r="AO40" s="208" t="s">
        <v>1663</v>
      </c>
      <c r="AP40" s="208" t="s">
        <v>1494</v>
      </c>
      <c r="AT40" s="208" t="s">
        <v>1857</v>
      </c>
      <c r="AU40" s="208" t="s">
        <v>1854</v>
      </c>
      <c r="AV40" s="208" t="s">
        <v>1858</v>
      </c>
      <c r="AW40" s="208" t="s">
        <v>1854</v>
      </c>
      <c r="AX40" s="208" t="s">
        <v>1859</v>
      </c>
      <c r="BB40" s="208" t="s">
        <v>1852</v>
      </c>
      <c r="BC40" s="208" t="s">
        <v>1854</v>
      </c>
      <c r="BD40" s="208" t="s">
        <v>1855</v>
      </c>
      <c r="BE40" s="208" t="s">
        <v>1856</v>
      </c>
      <c r="BF40" s="208" t="s">
        <v>1474</v>
      </c>
      <c r="BH40" s="208" t="b">
        <v>0</v>
      </c>
      <c r="BK40" s="208" t="b">
        <v>0</v>
      </c>
    </row>
    <row r="41" spans="2:63" hidden="1">
      <c r="B41" s="208">
        <v>15292</v>
      </c>
      <c r="C41" s="208" t="s">
        <v>1061</v>
      </c>
      <c r="D41" s="209">
        <v>11055</v>
      </c>
      <c r="E41" s="210">
        <v>0</v>
      </c>
      <c r="F41" s="210">
        <v>0</v>
      </c>
      <c r="H41" s="208" t="s">
        <v>17</v>
      </c>
      <c r="I41" s="208" t="s">
        <v>1654</v>
      </c>
      <c r="J41" s="208" t="s">
        <v>1468</v>
      </c>
      <c r="K41" s="208" t="s">
        <v>1469</v>
      </c>
      <c r="L41" s="208" t="s">
        <v>1470</v>
      </c>
      <c r="M41" s="208" t="s">
        <v>1668</v>
      </c>
      <c r="N41" s="208" t="s">
        <v>1471</v>
      </c>
      <c r="O41" s="208" t="s">
        <v>1873</v>
      </c>
      <c r="P41" s="208" t="s">
        <v>1851</v>
      </c>
      <c r="Q41" s="208" t="s">
        <v>1891</v>
      </c>
      <c r="R41" s="209" t="s">
        <v>1475</v>
      </c>
      <c r="S41" s="208" t="s">
        <v>1892</v>
      </c>
      <c r="T41" s="208" t="s">
        <v>1659</v>
      </c>
      <c r="U41" s="208" t="s">
        <v>1893</v>
      </c>
      <c r="V41" s="208" t="s">
        <v>1894</v>
      </c>
      <c r="W41" s="209" t="s">
        <v>1895</v>
      </c>
      <c r="X41" s="211">
        <f t="shared" si="0"/>
        <v>45160.674305555556</v>
      </c>
      <c r="Y41" s="208" t="s">
        <v>1481</v>
      </c>
      <c r="Z41" s="208" t="s">
        <v>1524</v>
      </c>
      <c r="AA41" s="208" t="s">
        <v>1483</v>
      </c>
      <c r="AB41" s="208" t="s">
        <v>1655</v>
      </c>
      <c r="AC41" s="208" t="s">
        <v>1656</v>
      </c>
      <c r="AF41" s="208">
        <v>29820</v>
      </c>
      <c r="AG41" s="208" t="s">
        <v>1486</v>
      </c>
      <c r="AH41" s="208" t="s">
        <v>1487</v>
      </c>
      <c r="AI41" s="208" t="s">
        <v>1488</v>
      </c>
      <c r="AJ41" s="208" t="s">
        <v>1489</v>
      </c>
      <c r="AK41" s="208" t="s">
        <v>1657</v>
      </c>
      <c r="AL41" s="208" t="s">
        <v>1658</v>
      </c>
      <c r="AM41" s="208" t="s">
        <v>1659</v>
      </c>
      <c r="AN41" s="208" t="s">
        <v>1662</v>
      </c>
      <c r="AO41" s="208" t="s">
        <v>1663</v>
      </c>
      <c r="AP41" s="208" t="s">
        <v>1494</v>
      </c>
      <c r="AQ41" s="208" t="s">
        <v>1669</v>
      </c>
      <c r="AR41" s="208" t="s">
        <v>1896</v>
      </c>
      <c r="AS41" s="208" t="s">
        <v>1657</v>
      </c>
      <c r="AT41" s="208" t="s">
        <v>1658</v>
      </c>
      <c r="AU41" s="208" t="s">
        <v>1893</v>
      </c>
      <c r="AV41" s="208" t="s">
        <v>1897</v>
      </c>
      <c r="AW41" s="208" t="s">
        <v>1893</v>
      </c>
      <c r="AX41" s="208" t="s">
        <v>1898</v>
      </c>
      <c r="AY41" s="208" t="s">
        <v>1669</v>
      </c>
      <c r="AZ41" s="208" t="s">
        <v>1896</v>
      </c>
      <c r="BA41" s="208" t="s">
        <v>1657</v>
      </c>
      <c r="BB41" s="208" t="s">
        <v>1892</v>
      </c>
      <c r="BC41" s="208" t="s">
        <v>1893</v>
      </c>
      <c r="BD41" s="208" t="s">
        <v>1894</v>
      </c>
      <c r="BE41" s="208" t="s">
        <v>1895</v>
      </c>
      <c r="BF41" s="208" t="s">
        <v>1891</v>
      </c>
      <c r="BH41" s="208" t="b">
        <v>0</v>
      </c>
      <c r="BK41" s="208" t="b">
        <v>0</v>
      </c>
    </row>
    <row r="42" spans="2:63" hidden="1">
      <c r="B42" s="208">
        <v>15292</v>
      </c>
      <c r="C42" s="208" t="s">
        <v>1061</v>
      </c>
      <c r="D42" s="209">
        <v>11055</v>
      </c>
      <c r="H42" s="208" t="s">
        <v>2196</v>
      </c>
      <c r="I42" s="208" t="s">
        <v>2197</v>
      </c>
      <c r="J42" s="208" t="s">
        <v>1468</v>
      </c>
      <c r="K42" s="208" t="s">
        <v>1469</v>
      </c>
      <c r="L42" s="208" t="s">
        <v>2198</v>
      </c>
      <c r="M42" s="208" t="s">
        <v>1668</v>
      </c>
      <c r="N42" s="208" t="s">
        <v>1686</v>
      </c>
      <c r="O42" s="208" t="s">
        <v>2116</v>
      </c>
      <c r="P42" s="208" t="s">
        <v>2101</v>
      </c>
      <c r="Q42" s="208" t="s">
        <v>1494</v>
      </c>
      <c r="R42" s="209" t="s">
        <v>1475</v>
      </c>
      <c r="S42" s="208" t="s">
        <v>2169</v>
      </c>
      <c r="T42" s="208" t="s">
        <v>1645</v>
      </c>
      <c r="U42" s="208" t="s">
        <v>2199</v>
      </c>
      <c r="V42" s="208" t="s">
        <v>2200</v>
      </c>
      <c r="W42" s="209" t="s">
        <v>2201</v>
      </c>
      <c r="X42" s="211">
        <f t="shared" si="0"/>
        <v>45029.425694444442</v>
      </c>
      <c r="Y42" s="208" t="s">
        <v>1481</v>
      </c>
      <c r="Z42" s="208" t="s">
        <v>1482</v>
      </c>
      <c r="AA42" s="208" t="s">
        <v>1483</v>
      </c>
      <c r="AB42" s="208" t="s">
        <v>1664</v>
      </c>
      <c r="AC42" s="208" t="s">
        <v>2202</v>
      </c>
      <c r="AF42" s="208">
        <v>2.98</v>
      </c>
      <c r="AG42" s="208" t="s">
        <v>1486</v>
      </c>
      <c r="AH42" s="208" t="s">
        <v>2203</v>
      </c>
      <c r="AI42" s="208" t="s">
        <v>1488</v>
      </c>
      <c r="AJ42" s="208" t="s">
        <v>1489</v>
      </c>
      <c r="AL42" s="208" t="s">
        <v>2169</v>
      </c>
      <c r="AM42" s="208" t="s">
        <v>2199</v>
      </c>
      <c r="AN42" s="208" t="s">
        <v>2200</v>
      </c>
      <c r="AO42" s="208" t="s">
        <v>2201</v>
      </c>
      <c r="AP42" s="208" t="s">
        <v>1494</v>
      </c>
      <c r="AT42" s="208" t="s">
        <v>1481</v>
      </c>
      <c r="AU42" s="208" t="s">
        <v>1481</v>
      </c>
      <c r="AV42" s="208" t="s">
        <v>1481</v>
      </c>
      <c r="AW42" s="208" t="s">
        <v>1481</v>
      </c>
      <c r="BB42" s="208" t="s">
        <v>1481</v>
      </c>
      <c r="BC42" s="208" t="s">
        <v>1481</v>
      </c>
      <c r="BD42" s="208" t="s">
        <v>1481</v>
      </c>
      <c r="BE42" s="208" t="s">
        <v>1481</v>
      </c>
      <c r="BG42" s="208" t="b">
        <v>0</v>
      </c>
      <c r="BH42" s="208" t="b">
        <v>0</v>
      </c>
      <c r="BK42" s="208" t="b">
        <v>0</v>
      </c>
    </row>
    <row r="43" spans="2:63" hidden="1">
      <c r="B43" s="208">
        <v>15292</v>
      </c>
      <c r="C43" s="208" t="s">
        <v>1061</v>
      </c>
      <c r="D43" s="209">
        <v>11055</v>
      </c>
      <c r="E43" s="210">
        <v>6016185</v>
      </c>
      <c r="F43" s="210">
        <v>3910520</v>
      </c>
      <c r="H43" s="208" t="s">
        <v>17</v>
      </c>
      <c r="I43" s="208" t="s">
        <v>2249</v>
      </c>
      <c r="J43" s="208" t="s">
        <v>1468</v>
      </c>
      <c r="K43" s="208" t="s">
        <v>1469</v>
      </c>
      <c r="L43" s="208" t="s">
        <v>1685</v>
      </c>
      <c r="M43" s="208" t="s">
        <v>2099</v>
      </c>
      <c r="N43" s="208" t="s">
        <v>1471</v>
      </c>
      <c r="O43" s="208" t="s">
        <v>2220</v>
      </c>
      <c r="Q43" s="208" t="s">
        <v>2241</v>
      </c>
      <c r="R43" s="209" t="s">
        <v>1475</v>
      </c>
      <c r="S43" s="208" t="s">
        <v>2230</v>
      </c>
      <c r="T43" s="208" t="s">
        <v>2341</v>
      </c>
      <c r="U43" s="208" t="s">
        <v>1637</v>
      </c>
      <c r="V43" s="208" t="s">
        <v>2233</v>
      </c>
      <c r="W43" s="209" t="s">
        <v>2233</v>
      </c>
      <c r="X43" s="211">
        <f t="shared" si="0"/>
        <v>44773.875</v>
      </c>
      <c r="Y43" s="208" t="s">
        <v>2226</v>
      </c>
      <c r="Z43" s="208" t="s">
        <v>1482</v>
      </c>
      <c r="AA43" s="208" t="s">
        <v>1483</v>
      </c>
      <c r="AF43" s="208">
        <v>29820</v>
      </c>
      <c r="AG43" s="208" t="s">
        <v>1486</v>
      </c>
      <c r="AH43" s="208" t="s">
        <v>1487</v>
      </c>
      <c r="AI43" s="208" t="s">
        <v>1488</v>
      </c>
      <c r="AJ43" s="208" t="s">
        <v>1489</v>
      </c>
      <c r="AL43" s="208" t="s">
        <v>1635</v>
      </c>
      <c r="AM43" s="208" t="s">
        <v>1637</v>
      </c>
      <c r="AN43" s="208" t="s">
        <v>1637</v>
      </c>
      <c r="AO43" s="208" t="s">
        <v>2065</v>
      </c>
      <c r="AP43" s="208" t="s">
        <v>1638</v>
      </c>
      <c r="AQ43" s="208" t="s">
        <v>1902</v>
      </c>
      <c r="AS43" s="208" t="s">
        <v>1564</v>
      </c>
      <c r="AT43" s="208" t="s">
        <v>2230</v>
      </c>
      <c r="AU43" s="208" t="s">
        <v>1637</v>
      </c>
      <c r="AV43" s="208" t="s">
        <v>2233</v>
      </c>
      <c r="AW43" s="208" t="s">
        <v>2233</v>
      </c>
      <c r="AX43" s="208" t="s">
        <v>2241</v>
      </c>
      <c r="AY43" s="208" t="s">
        <v>1902</v>
      </c>
      <c r="BB43" s="208" t="s">
        <v>2230</v>
      </c>
      <c r="BC43" s="208" t="s">
        <v>2233</v>
      </c>
      <c r="BD43" s="208" t="s">
        <v>2233</v>
      </c>
      <c r="BE43" s="208" t="s">
        <v>2233</v>
      </c>
      <c r="BF43" s="208" t="s">
        <v>1474</v>
      </c>
      <c r="BH43" s="208" t="b">
        <v>0</v>
      </c>
      <c r="BK43" s="208" t="b">
        <v>0</v>
      </c>
    </row>
    <row r="44" spans="2:63" hidden="1">
      <c r="B44" s="208">
        <v>15292</v>
      </c>
      <c r="C44" s="208" t="s">
        <v>1061</v>
      </c>
      <c r="D44" s="209">
        <v>11055</v>
      </c>
      <c r="E44" s="210">
        <v>145777</v>
      </c>
      <c r="F44" s="210">
        <v>102044</v>
      </c>
      <c r="H44" s="208" t="s">
        <v>17</v>
      </c>
      <c r="I44" s="208" t="s">
        <v>1504</v>
      </c>
      <c r="J44" s="208" t="s">
        <v>1468</v>
      </c>
      <c r="K44" s="208" t="s">
        <v>1469</v>
      </c>
      <c r="L44" s="208" t="s">
        <v>1470</v>
      </c>
      <c r="M44" s="208" t="s">
        <v>1668</v>
      </c>
      <c r="N44" s="208" t="s">
        <v>1471</v>
      </c>
      <c r="O44" s="208" t="s">
        <v>2220</v>
      </c>
      <c r="Q44" s="208" t="s">
        <v>2235</v>
      </c>
      <c r="R44" s="209" t="s">
        <v>1475</v>
      </c>
      <c r="S44" s="208" t="s">
        <v>2222</v>
      </c>
      <c r="T44" s="208" t="s">
        <v>2223</v>
      </c>
      <c r="U44" s="208" t="s">
        <v>1519</v>
      </c>
      <c r="V44" s="208" t="s">
        <v>2237</v>
      </c>
      <c r="W44" s="209" t="s">
        <v>2228</v>
      </c>
      <c r="X44" s="211">
        <f t="shared" si="0"/>
        <v>44727.875</v>
      </c>
      <c r="Y44" s="208" t="s">
        <v>2226</v>
      </c>
      <c r="Z44" s="208" t="s">
        <v>1482</v>
      </c>
      <c r="AA44" s="208" t="s">
        <v>1483</v>
      </c>
      <c r="AB44" s="208" t="s">
        <v>1878</v>
      </c>
      <c r="AC44" s="208" t="s">
        <v>1877</v>
      </c>
      <c r="AD44" s="208">
        <v>69</v>
      </c>
      <c r="AE44" s="208">
        <v>0</v>
      </c>
      <c r="AF44" s="208">
        <v>102</v>
      </c>
      <c r="AG44" s="208" t="s">
        <v>1486</v>
      </c>
      <c r="AH44" s="208" t="s">
        <v>1487</v>
      </c>
      <c r="AI44" s="208" t="s">
        <v>1488</v>
      </c>
      <c r="AJ44" s="208" t="s">
        <v>1489</v>
      </c>
      <c r="AL44" s="208" t="s">
        <v>1517</v>
      </c>
      <c r="AM44" s="208" t="s">
        <v>1519</v>
      </c>
      <c r="AN44" s="208" t="s">
        <v>1519</v>
      </c>
      <c r="AO44" s="208" t="s">
        <v>1624</v>
      </c>
      <c r="AP44" s="208" t="s">
        <v>1521</v>
      </c>
      <c r="AQ44" s="208" t="s">
        <v>1902</v>
      </c>
      <c r="AS44" s="208" t="s">
        <v>1564</v>
      </c>
      <c r="AT44" s="208" t="s">
        <v>2222</v>
      </c>
      <c r="AU44" s="208" t="s">
        <v>1519</v>
      </c>
      <c r="AV44" s="208" t="s">
        <v>2237</v>
      </c>
      <c r="AW44" s="208" t="s">
        <v>2228</v>
      </c>
      <c r="AX44" s="208" t="s">
        <v>2235</v>
      </c>
      <c r="AY44" s="208" t="s">
        <v>1902</v>
      </c>
      <c r="BB44" s="208" t="s">
        <v>2222</v>
      </c>
      <c r="BC44" s="208" t="s">
        <v>2228</v>
      </c>
      <c r="BD44" s="208" t="s">
        <v>2237</v>
      </c>
      <c r="BE44" s="208" t="s">
        <v>2239</v>
      </c>
      <c r="BF44" s="208" t="s">
        <v>2240</v>
      </c>
      <c r="BH44" s="208" t="b">
        <v>0</v>
      </c>
      <c r="BK44" s="208" t="b">
        <v>0</v>
      </c>
    </row>
    <row r="45" spans="2:63" hidden="1">
      <c r="B45" s="208">
        <v>15292</v>
      </c>
      <c r="C45" s="208" t="s">
        <v>1061</v>
      </c>
      <c r="D45" s="209">
        <v>23299</v>
      </c>
      <c r="E45" s="210">
        <v>7158000</v>
      </c>
      <c r="F45" s="210">
        <v>4796000</v>
      </c>
      <c r="H45" s="208" t="s">
        <v>17</v>
      </c>
      <c r="I45" s="208" t="s">
        <v>1555</v>
      </c>
      <c r="J45" s="208" t="s">
        <v>1468</v>
      </c>
      <c r="K45" s="208" t="s">
        <v>1469</v>
      </c>
      <c r="L45" s="208" t="s">
        <v>1470</v>
      </c>
      <c r="M45" s="208" t="s">
        <v>21</v>
      </c>
      <c r="N45" s="208" t="s">
        <v>1471</v>
      </c>
      <c r="O45" s="208" t="s">
        <v>1625</v>
      </c>
      <c r="P45" s="208" t="s">
        <v>1626</v>
      </c>
      <c r="Q45" s="208" t="s">
        <v>1474</v>
      </c>
      <c r="R45" s="209" t="s">
        <v>1475</v>
      </c>
      <c r="S45" s="208" t="s">
        <v>1627</v>
      </c>
      <c r="T45" s="208" t="s">
        <v>1628</v>
      </c>
      <c r="U45" s="208" t="s">
        <v>1629</v>
      </c>
      <c r="V45" s="208" t="s">
        <v>1630</v>
      </c>
      <c r="W45" s="209" t="s">
        <v>1631</v>
      </c>
      <c r="X45" s="211">
        <f t="shared" si="0"/>
        <v>45883.421527777777</v>
      </c>
      <c r="Y45" s="208" t="s">
        <v>1481</v>
      </c>
      <c r="Z45" s="208" t="s">
        <v>1632</v>
      </c>
      <c r="AA45" s="208" t="s">
        <v>1483</v>
      </c>
      <c r="AB45" s="208" t="s">
        <v>1633</v>
      </c>
      <c r="AC45" s="208" t="s">
        <v>1634</v>
      </c>
      <c r="AF45" s="208">
        <v>4455.09</v>
      </c>
      <c r="AG45" s="208" t="s">
        <v>1486</v>
      </c>
      <c r="AH45" s="208" t="s">
        <v>1487</v>
      </c>
      <c r="AI45" s="208" t="s">
        <v>1488</v>
      </c>
      <c r="AJ45" s="208" t="s">
        <v>1489</v>
      </c>
      <c r="AL45" s="208" t="s">
        <v>1635</v>
      </c>
      <c r="AM45" s="208" t="s">
        <v>1636</v>
      </c>
      <c r="AN45" s="208" t="s">
        <v>1637</v>
      </c>
      <c r="AO45" s="208" t="s">
        <v>1637</v>
      </c>
      <c r="AP45" s="208" t="s">
        <v>1638</v>
      </c>
      <c r="AT45" s="208" t="s">
        <v>1627</v>
      </c>
      <c r="AU45" s="208" t="s">
        <v>1629</v>
      </c>
      <c r="AV45" s="208" t="s">
        <v>1639</v>
      </c>
      <c r="AW45" s="208" t="s">
        <v>1629</v>
      </c>
      <c r="AX45" s="208" t="s">
        <v>1572</v>
      </c>
      <c r="BB45" s="208" t="s">
        <v>1627</v>
      </c>
      <c r="BC45" s="208" t="s">
        <v>1629</v>
      </c>
      <c r="BD45" s="208" t="s">
        <v>1630</v>
      </c>
      <c r="BE45" s="208" t="s">
        <v>1631</v>
      </c>
      <c r="BF45" s="208" t="s">
        <v>1474</v>
      </c>
      <c r="BG45" s="208" t="b">
        <v>1</v>
      </c>
      <c r="BH45" s="208" t="b">
        <v>0</v>
      </c>
      <c r="BK45" s="208" t="b">
        <v>0</v>
      </c>
    </row>
    <row r="46" spans="2:63" hidden="1">
      <c r="B46" s="208">
        <v>15292</v>
      </c>
      <c r="C46" s="208" t="s">
        <v>1061</v>
      </c>
      <c r="D46" s="209">
        <v>23299</v>
      </c>
      <c r="E46" s="210">
        <v>5681000</v>
      </c>
      <c r="F46" s="210">
        <v>3833000</v>
      </c>
      <c r="H46" s="208" t="s">
        <v>17</v>
      </c>
      <c r="I46" s="208" t="s">
        <v>1555</v>
      </c>
      <c r="J46" s="208" t="s">
        <v>1468</v>
      </c>
      <c r="K46" s="208" t="s">
        <v>1469</v>
      </c>
      <c r="L46" s="208" t="s">
        <v>1470</v>
      </c>
      <c r="M46" s="208" t="s">
        <v>21</v>
      </c>
      <c r="N46" s="208" t="s">
        <v>1471</v>
      </c>
      <c r="O46" s="208" t="s">
        <v>1904</v>
      </c>
      <c r="P46" s="208" t="s">
        <v>1626</v>
      </c>
      <c r="Q46" s="208" t="s">
        <v>1474</v>
      </c>
      <c r="R46" s="209" t="s">
        <v>1475</v>
      </c>
      <c r="S46" s="208" t="s">
        <v>1948</v>
      </c>
      <c r="T46" s="208" t="s">
        <v>2052</v>
      </c>
      <c r="U46" s="208" t="s">
        <v>2053</v>
      </c>
      <c r="V46" s="208" t="s">
        <v>2053</v>
      </c>
      <c r="W46" s="209" t="s">
        <v>2054</v>
      </c>
      <c r="X46" s="211">
        <f t="shared" si="0"/>
        <v>45189.385416666664</v>
      </c>
      <c r="Y46" s="208" t="s">
        <v>1481</v>
      </c>
      <c r="Z46" s="208" t="s">
        <v>1524</v>
      </c>
      <c r="AA46" s="208" t="s">
        <v>1483</v>
      </c>
      <c r="AB46" s="208" t="s">
        <v>1633</v>
      </c>
      <c r="AC46" s="208" t="s">
        <v>1634</v>
      </c>
      <c r="AF46" s="208">
        <v>4455.09</v>
      </c>
      <c r="AG46" s="208" t="s">
        <v>1486</v>
      </c>
      <c r="AH46" s="208" t="s">
        <v>1487</v>
      </c>
      <c r="AI46" s="208" t="s">
        <v>1488</v>
      </c>
      <c r="AJ46" s="208" t="s">
        <v>1489</v>
      </c>
      <c r="AL46" s="208" t="s">
        <v>1635</v>
      </c>
      <c r="AM46" s="208" t="s">
        <v>1636</v>
      </c>
      <c r="AN46" s="208" t="s">
        <v>1637</v>
      </c>
      <c r="AO46" s="208" t="s">
        <v>1637</v>
      </c>
      <c r="AP46" s="208" t="s">
        <v>1638</v>
      </c>
      <c r="AT46" s="208" t="s">
        <v>2006</v>
      </c>
      <c r="AU46" s="208" t="s">
        <v>2053</v>
      </c>
      <c r="AV46" s="208" t="s">
        <v>2055</v>
      </c>
      <c r="AW46" s="208" t="s">
        <v>2056</v>
      </c>
      <c r="AX46" s="208" t="s">
        <v>1474</v>
      </c>
      <c r="BB46" s="208" t="s">
        <v>1948</v>
      </c>
      <c r="BC46" s="208" t="s">
        <v>2053</v>
      </c>
      <c r="BD46" s="208" t="s">
        <v>2053</v>
      </c>
      <c r="BE46" s="208" t="s">
        <v>2054</v>
      </c>
      <c r="BF46" s="208" t="s">
        <v>1474</v>
      </c>
      <c r="BG46" s="208" t="b">
        <v>1</v>
      </c>
      <c r="BH46" s="208" t="b">
        <v>1</v>
      </c>
      <c r="BK46" s="208" t="b">
        <v>0</v>
      </c>
    </row>
    <row r="47" spans="2:63" hidden="1">
      <c r="B47" s="208">
        <v>15292</v>
      </c>
      <c r="C47" s="208" t="s">
        <v>1061</v>
      </c>
      <c r="D47" s="209">
        <v>23299</v>
      </c>
      <c r="E47" s="210">
        <v>3048591.98</v>
      </c>
      <c r="F47" s="210">
        <v>1219436.79</v>
      </c>
      <c r="H47" s="208" t="s">
        <v>17</v>
      </c>
      <c r="I47" s="208" t="s">
        <v>1555</v>
      </c>
      <c r="J47" s="208" t="s">
        <v>1468</v>
      </c>
      <c r="K47" s="208" t="s">
        <v>1469</v>
      </c>
      <c r="L47" s="208" t="s">
        <v>1685</v>
      </c>
      <c r="M47" s="208" t="s">
        <v>2099</v>
      </c>
      <c r="N47" s="208" t="s">
        <v>1471</v>
      </c>
      <c r="O47" s="208" t="s">
        <v>2116</v>
      </c>
      <c r="P47" s="208" t="s">
        <v>2101</v>
      </c>
      <c r="Q47" s="208" t="s">
        <v>1891</v>
      </c>
      <c r="R47" s="209" t="s">
        <v>1475</v>
      </c>
      <c r="S47" s="208" t="s">
        <v>2174</v>
      </c>
      <c r="T47" s="208" t="s">
        <v>1706</v>
      </c>
      <c r="U47" s="208" t="s">
        <v>2175</v>
      </c>
      <c r="V47" s="208" t="s">
        <v>2176</v>
      </c>
      <c r="W47" s="209" t="s">
        <v>2177</v>
      </c>
      <c r="X47" s="211">
        <f t="shared" si="0"/>
        <v>45033.426388888889</v>
      </c>
      <c r="Y47" s="208" t="s">
        <v>1481</v>
      </c>
      <c r="Z47" s="208" t="s">
        <v>1482</v>
      </c>
      <c r="AA47" s="208" t="s">
        <v>1483</v>
      </c>
      <c r="AB47" s="208" t="s">
        <v>2178</v>
      </c>
      <c r="AC47" s="208" t="s">
        <v>2179</v>
      </c>
      <c r="AD47" s="208">
        <v>528.22</v>
      </c>
      <c r="AF47" s="208">
        <v>4455.09</v>
      </c>
      <c r="AG47" s="208" t="s">
        <v>1486</v>
      </c>
      <c r="AH47" s="208" t="s">
        <v>1487</v>
      </c>
      <c r="AI47" s="208" t="s">
        <v>1488</v>
      </c>
      <c r="AJ47" s="208" t="s">
        <v>1489</v>
      </c>
      <c r="AL47" s="208" t="s">
        <v>1490</v>
      </c>
      <c r="AM47" s="208" t="s">
        <v>1706</v>
      </c>
      <c r="AN47" s="208" t="s">
        <v>1492</v>
      </c>
      <c r="AO47" s="208" t="s">
        <v>2180</v>
      </c>
      <c r="AP47" s="208" t="s">
        <v>1494</v>
      </c>
      <c r="AQ47" s="208" t="s">
        <v>1902</v>
      </c>
      <c r="AR47" s="208" t="s">
        <v>1489</v>
      </c>
      <c r="AS47" s="208" t="s">
        <v>1564</v>
      </c>
      <c r="AT47" s="208" t="s">
        <v>2113</v>
      </c>
      <c r="AU47" s="208" t="s">
        <v>2175</v>
      </c>
      <c r="AV47" s="208" t="s">
        <v>2114</v>
      </c>
      <c r="AW47" s="208" t="s">
        <v>2175</v>
      </c>
      <c r="AX47" s="208" t="s">
        <v>2115</v>
      </c>
      <c r="AY47" s="208" t="s">
        <v>1902</v>
      </c>
      <c r="AZ47" s="208" t="s">
        <v>1489</v>
      </c>
      <c r="BA47" s="208" t="s">
        <v>1564</v>
      </c>
      <c r="BB47" s="208" t="s">
        <v>2174</v>
      </c>
      <c r="BC47" s="208" t="s">
        <v>2175</v>
      </c>
      <c r="BD47" s="208" t="s">
        <v>2176</v>
      </c>
      <c r="BE47" s="208" t="s">
        <v>2177</v>
      </c>
      <c r="BF47" s="208" t="s">
        <v>1891</v>
      </c>
      <c r="BH47" s="208" t="b">
        <v>0</v>
      </c>
      <c r="BK47" s="208" t="b">
        <v>0</v>
      </c>
    </row>
    <row r="48" spans="2:63" hidden="1">
      <c r="B48" s="208">
        <v>15292</v>
      </c>
      <c r="C48" s="208" t="s">
        <v>1061</v>
      </c>
      <c r="D48" s="209">
        <v>23299</v>
      </c>
      <c r="E48" s="210">
        <v>9356985</v>
      </c>
      <c r="F48" s="210">
        <v>6549889</v>
      </c>
      <c r="H48" s="208" t="s">
        <v>17</v>
      </c>
      <c r="I48" s="208" t="s">
        <v>1555</v>
      </c>
      <c r="J48" s="208" t="s">
        <v>1468</v>
      </c>
      <c r="K48" s="208" t="s">
        <v>1469</v>
      </c>
      <c r="L48" s="208" t="s">
        <v>1470</v>
      </c>
      <c r="M48" s="208" t="s">
        <v>2099</v>
      </c>
      <c r="N48" s="208" t="s">
        <v>1471</v>
      </c>
      <c r="O48" s="208" t="s">
        <v>2220</v>
      </c>
      <c r="Q48" s="208" t="s">
        <v>2241</v>
      </c>
      <c r="R48" s="209" t="s">
        <v>1475</v>
      </c>
      <c r="S48" s="208" t="s">
        <v>2230</v>
      </c>
      <c r="T48" s="208" t="s">
        <v>2344</v>
      </c>
      <c r="U48" s="208" t="s">
        <v>1637</v>
      </c>
      <c r="V48" s="208" t="s">
        <v>2233</v>
      </c>
      <c r="W48" s="209" t="s">
        <v>2233</v>
      </c>
      <c r="X48" s="211">
        <f t="shared" si="0"/>
        <v>44773.875</v>
      </c>
      <c r="Y48" s="208" t="s">
        <v>2226</v>
      </c>
      <c r="Z48" s="208" t="s">
        <v>1482</v>
      </c>
      <c r="AA48" s="208" t="s">
        <v>1483</v>
      </c>
      <c r="AB48" s="208" t="s">
        <v>1633</v>
      </c>
      <c r="AC48" s="208" t="s">
        <v>1634</v>
      </c>
      <c r="AD48" s="208">
        <v>0</v>
      </c>
      <c r="AE48" s="208">
        <v>0</v>
      </c>
      <c r="AF48" s="208">
        <v>5800</v>
      </c>
      <c r="AG48" s="208" t="s">
        <v>1486</v>
      </c>
      <c r="AH48" s="208" t="s">
        <v>1487</v>
      </c>
      <c r="AI48" s="208" t="s">
        <v>1488</v>
      </c>
      <c r="AJ48" s="208" t="s">
        <v>1489</v>
      </c>
      <c r="AL48" s="208" t="s">
        <v>1635</v>
      </c>
      <c r="AM48" s="208" t="s">
        <v>1637</v>
      </c>
      <c r="AN48" s="208" t="s">
        <v>1637</v>
      </c>
      <c r="AO48" s="208" t="s">
        <v>1637</v>
      </c>
      <c r="AP48" s="208" t="s">
        <v>1638</v>
      </c>
      <c r="AQ48" s="208" t="s">
        <v>1902</v>
      </c>
      <c r="AS48" s="208" t="s">
        <v>1564</v>
      </c>
      <c r="AT48" s="208" t="s">
        <v>2230</v>
      </c>
      <c r="AU48" s="208" t="s">
        <v>1637</v>
      </c>
      <c r="AV48" s="208" t="s">
        <v>2233</v>
      </c>
      <c r="AW48" s="208" t="s">
        <v>2233</v>
      </c>
      <c r="AX48" s="208" t="s">
        <v>2241</v>
      </c>
      <c r="AY48" s="208" t="s">
        <v>1902</v>
      </c>
      <c r="BB48" s="208" t="s">
        <v>2230</v>
      </c>
      <c r="BC48" s="208" t="s">
        <v>2233</v>
      </c>
      <c r="BD48" s="208" t="s">
        <v>2233</v>
      </c>
      <c r="BE48" s="208" t="s">
        <v>2233</v>
      </c>
      <c r="BF48" s="208" t="s">
        <v>1474</v>
      </c>
      <c r="BH48" s="208" t="b">
        <v>0</v>
      </c>
      <c r="BK48" s="208" t="b">
        <v>0</v>
      </c>
    </row>
    <row r="49" spans="2:63">
      <c r="B49" s="208">
        <v>15292</v>
      </c>
      <c r="C49" s="208" t="s">
        <v>1061</v>
      </c>
      <c r="D49" s="209">
        <v>32744</v>
      </c>
      <c r="E49" s="210">
        <v>2741000</v>
      </c>
      <c r="F49" s="210">
        <v>1645000</v>
      </c>
      <c r="H49" s="208" t="s">
        <v>17</v>
      </c>
      <c r="I49" s="208" t="s">
        <v>1504</v>
      </c>
      <c r="J49" s="208" t="s">
        <v>1468</v>
      </c>
      <c r="K49" s="208" t="s">
        <v>1469</v>
      </c>
      <c r="L49" s="208" t="s">
        <v>1470</v>
      </c>
      <c r="M49" s="208" t="s">
        <v>21</v>
      </c>
      <c r="N49" s="208" t="s">
        <v>1471</v>
      </c>
      <c r="O49" s="208" t="s">
        <v>1547</v>
      </c>
      <c r="P49" s="208" t="s">
        <v>1473</v>
      </c>
      <c r="Q49" s="208" t="s">
        <v>1474</v>
      </c>
      <c r="R49" s="209" t="s">
        <v>1475</v>
      </c>
      <c r="S49" s="208" t="s">
        <v>1796</v>
      </c>
      <c r="T49" s="208" t="s">
        <v>1830</v>
      </c>
      <c r="U49" s="208" t="s">
        <v>1831</v>
      </c>
      <c r="V49" s="208" t="s">
        <v>1832</v>
      </c>
      <c r="W49" s="209" t="s">
        <v>1833</v>
      </c>
      <c r="X49" s="211">
        <f t="shared" si="0"/>
        <v>45855.723611111112</v>
      </c>
      <c r="Y49" s="208" t="s">
        <v>1481</v>
      </c>
      <c r="Z49" s="208" t="s">
        <v>1482</v>
      </c>
      <c r="AA49" s="208" t="s">
        <v>1483</v>
      </c>
      <c r="AB49" s="208" t="s">
        <v>1825</v>
      </c>
      <c r="AC49" s="208" t="s">
        <v>1826</v>
      </c>
      <c r="AD49" s="208">
        <v>400</v>
      </c>
      <c r="AF49" s="208">
        <v>714.6</v>
      </c>
      <c r="AG49" s="208" t="s">
        <v>1486</v>
      </c>
      <c r="AH49" s="208" t="s">
        <v>1487</v>
      </c>
      <c r="AI49" s="208" t="s">
        <v>1488</v>
      </c>
      <c r="AJ49" s="208" t="s">
        <v>1489</v>
      </c>
      <c r="AL49" s="208" t="s">
        <v>1585</v>
      </c>
      <c r="AM49" s="208" t="s">
        <v>1834</v>
      </c>
      <c r="AN49" s="208" t="s">
        <v>1652</v>
      </c>
      <c r="AO49" s="208" t="s">
        <v>1835</v>
      </c>
      <c r="AP49" s="208" t="s">
        <v>1589</v>
      </c>
      <c r="AT49" s="208" t="s">
        <v>1785</v>
      </c>
      <c r="AU49" s="208" t="s">
        <v>1831</v>
      </c>
      <c r="AV49" s="208" t="s">
        <v>1836</v>
      </c>
      <c r="AW49" s="208" t="s">
        <v>1837</v>
      </c>
      <c r="AX49" s="208" t="s">
        <v>1572</v>
      </c>
      <c r="BB49" s="208" t="s">
        <v>1796</v>
      </c>
      <c r="BC49" s="208" t="s">
        <v>1831</v>
      </c>
      <c r="BD49" s="208" t="s">
        <v>1832</v>
      </c>
      <c r="BE49" s="208" t="s">
        <v>1833</v>
      </c>
      <c r="BF49" s="208" t="s">
        <v>1474</v>
      </c>
      <c r="BG49" s="208" t="b">
        <v>1</v>
      </c>
      <c r="BH49" s="208" t="b">
        <v>1</v>
      </c>
      <c r="BK49" s="208" t="b">
        <v>0</v>
      </c>
    </row>
    <row r="50" spans="2:63">
      <c r="B50" s="208">
        <v>15292</v>
      </c>
      <c r="C50" s="208" t="s">
        <v>1061</v>
      </c>
      <c r="D50" s="209">
        <v>32744</v>
      </c>
      <c r="E50" s="210">
        <v>1381000</v>
      </c>
      <c r="F50" s="210">
        <v>980000</v>
      </c>
      <c r="H50" s="208" t="s">
        <v>17</v>
      </c>
      <c r="I50" s="208" t="s">
        <v>1504</v>
      </c>
      <c r="J50" s="208" t="s">
        <v>1468</v>
      </c>
      <c r="K50" s="208" t="s">
        <v>1469</v>
      </c>
      <c r="L50" s="208" t="s">
        <v>1470</v>
      </c>
      <c r="M50" s="208" t="s">
        <v>21</v>
      </c>
      <c r="N50" s="208" t="s">
        <v>1471</v>
      </c>
      <c r="O50" s="208" t="s">
        <v>1904</v>
      </c>
      <c r="P50" s="208" t="s">
        <v>1626</v>
      </c>
      <c r="Q50" s="208" t="s">
        <v>1474</v>
      </c>
      <c r="R50" s="209" t="s">
        <v>1475</v>
      </c>
      <c r="S50" s="208" t="s">
        <v>1905</v>
      </c>
      <c r="T50" s="208" t="s">
        <v>2052</v>
      </c>
      <c r="U50" s="208" t="s">
        <v>2083</v>
      </c>
      <c r="V50" s="208" t="s">
        <v>2084</v>
      </c>
      <c r="W50" s="209" t="s">
        <v>2085</v>
      </c>
      <c r="X50" s="211">
        <f t="shared" si="0"/>
        <v>45117.603472222225</v>
      </c>
      <c r="Y50" s="208" t="s">
        <v>1481</v>
      </c>
      <c r="Z50" s="208" t="s">
        <v>1524</v>
      </c>
      <c r="AA50" s="208" t="s">
        <v>1483</v>
      </c>
      <c r="AB50" s="208" t="s">
        <v>1825</v>
      </c>
      <c r="AC50" s="208" t="s">
        <v>1826</v>
      </c>
      <c r="AD50" s="208">
        <v>600</v>
      </c>
      <c r="AF50" s="208">
        <v>714.6</v>
      </c>
      <c r="AG50" s="208" t="s">
        <v>1486</v>
      </c>
      <c r="AH50" s="208" t="s">
        <v>1487</v>
      </c>
      <c r="AI50" s="208" t="s">
        <v>1488</v>
      </c>
      <c r="AJ50" s="208" t="s">
        <v>1489</v>
      </c>
      <c r="AL50" s="208" t="s">
        <v>1585</v>
      </c>
      <c r="AM50" s="208" t="s">
        <v>1834</v>
      </c>
      <c r="AN50" s="208" t="s">
        <v>1652</v>
      </c>
      <c r="AO50" s="208" t="s">
        <v>1835</v>
      </c>
      <c r="AP50" s="208" t="s">
        <v>1589</v>
      </c>
      <c r="AT50" s="208" t="s">
        <v>1905</v>
      </c>
      <c r="AU50" s="208" t="s">
        <v>2083</v>
      </c>
      <c r="AV50" s="208" t="s">
        <v>2086</v>
      </c>
      <c r="AW50" s="208" t="s">
        <v>2083</v>
      </c>
      <c r="AX50" s="208" t="s">
        <v>1872</v>
      </c>
      <c r="BB50" s="208" t="s">
        <v>1905</v>
      </c>
      <c r="BC50" s="208" t="s">
        <v>2083</v>
      </c>
      <c r="BD50" s="208" t="s">
        <v>2084</v>
      </c>
      <c r="BE50" s="208" t="s">
        <v>2085</v>
      </c>
      <c r="BF50" s="208" t="s">
        <v>1474</v>
      </c>
      <c r="BG50" s="208" t="b">
        <v>1</v>
      </c>
      <c r="BH50" s="208" t="b">
        <v>0</v>
      </c>
      <c r="BK50" s="208" t="b">
        <v>0</v>
      </c>
    </row>
    <row r="51" spans="2:63">
      <c r="B51" s="208">
        <v>15292</v>
      </c>
      <c r="C51" s="208" t="s">
        <v>1061</v>
      </c>
      <c r="D51" s="209">
        <v>32744</v>
      </c>
      <c r="E51" s="210">
        <v>1332165.3799999999</v>
      </c>
      <c r="F51" s="210">
        <v>959159.07</v>
      </c>
      <c r="H51" s="208" t="s">
        <v>17</v>
      </c>
      <c r="I51" s="208" t="s">
        <v>1504</v>
      </c>
      <c r="J51" s="208" t="s">
        <v>1468</v>
      </c>
      <c r="K51" s="208" t="s">
        <v>1469</v>
      </c>
      <c r="L51" s="208" t="s">
        <v>1470</v>
      </c>
      <c r="M51" s="208" t="s">
        <v>1668</v>
      </c>
      <c r="N51" s="208" t="s">
        <v>1471</v>
      </c>
      <c r="O51" s="208" t="s">
        <v>2116</v>
      </c>
      <c r="P51" s="208" t="s">
        <v>2101</v>
      </c>
      <c r="Q51" s="208" t="s">
        <v>2108</v>
      </c>
      <c r="R51" s="209" t="s">
        <v>1475</v>
      </c>
      <c r="S51" s="208" t="s">
        <v>2109</v>
      </c>
      <c r="T51" s="208" t="s">
        <v>1834</v>
      </c>
      <c r="U51" s="208" t="s">
        <v>2160</v>
      </c>
      <c r="V51" s="208" t="s">
        <v>2124</v>
      </c>
      <c r="W51" s="209" t="s">
        <v>2161</v>
      </c>
      <c r="X51" s="211">
        <f t="shared" si="0"/>
        <v>45035.763888888891</v>
      </c>
      <c r="Y51" s="208" t="s">
        <v>1481</v>
      </c>
      <c r="Z51" s="208" t="s">
        <v>1482</v>
      </c>
      <c r="AA51" s="208" t="s">
        <v>1483</v>
      </c>
      <c r="AB51" s="208" t="s">
        <v>1825</v>
      </c>
      <c r="AC51" s="208" t="s">
        <v>1826</v>
      </c>
      <c r="AD51" s="208">
        <v>400</v>
      </c>
      <c r="AF51" s="208">
        <v>714.6</v>
      </c>
      <c r="AG51" s="208" t="s">
        <v>1486</v>
      </c>
      <c r="AH51" s="208" t="s">
        <v>1487</v>
      </c>
      <c r="AI51" s="208" t="s">
        <v>1488</v>
      </c>
      <c r="AJ51" s="208" t="s">
        <v>1489</v>
      </c>
      <c r="AL51" s="208" t="s">
        <v>1585</v>
      </c>
      <c r="AM51" s="208" t="s">
        <v>1834</v>
      </c>
      <c r="AN51" s="208" t="s">
        <v>1652</v>
      </c>
      <c r="AO51" s="208" t="s">
        <v>1835</v>
      </c>
      <c r="AP51" s="208" t="s">
        <v>1589</v>
      </c>
      <c r="AQ51" s="208" t="s">
        <v>1902</v>
      </c>
      <c r="AR51" s="208" t="s">
        <v>1489</v>
      </c>
      <c r="AS51" s="208" t="s">
        <v>1564</v>
      </c>
      <c r="AT51" s="208" t="s">
        <v>2120</v>
      </c>
      <c r="AU51" s="208" t="s">
        <v>2160</v>
      </c>
      <c r="AV51" s="208" t="s">
        <v>2132</v>
      </c>
      <c r="AW51" s="208" t="s">
        <v>2160</v>
      </c>
      <c r="AX51" s="208" t="s">
        <v>2115</v>
      </c>
      <c r="AY51" s="208" t="s">
        <v>1902</v>
      </c>
      <c r="AZ51" s="208" t="s">
        <v>1489</v>
      </c>
      <c r="BA51" s="208" t="s">
        <v>1564</v>
      </c>
      <c r="BB51" s="208" t="s">
        <v>2109</v>
      </c>
      <c r="BC51" s="208" t="s">
        <v>2160</v>
      </c>
      <c r="BD51" s="208" t="s">
        <v>2124</v>
      </c>
      <c r="BE51" s="208" t="s">
        <v>2161</v>
      </c>
      <c r="BF51" s="208" t="s">
        <v>2108</v>
      </c>
      <c r="BH51" s="208" t="b">
        <v>0</v>
      </c>
      <c r="BK51" s="208" t="b">
        <v>0</v>
      </c>
    </row>
    <row r="52" spans="2:63">
      <c r="B52" s="208">
        <v>15292</v>
      </c>
      <c r="C52" s="208" t="s">
        <v>1061</v>
      </c>
      <c r="D52" s="209">
        <v>32744</v>
      </c>
      <c r="E52" s="210">
        <v>1573452</v>
      </c>
      <c r="F52" s="210">
        <v>1180089</v>
      </c>
      <c r="H52" s="208" t="s">
        <v>17</v>
      </c>
      <c r="I52" s="208" t="s">
        <v>1504</v>
      </c>
      <c r="J52" s="208" t="s">
        <v>1468</v>
      </c>
      <c r="K52" s="208" t="s">
        <v>1469</v>
      </c>
      <c r="L52" s="208" t="s">
        <v>1470</v>
      </c>
      <c r="M52" s="208" t="s">
        <v>2099</v>
      </c>
      <c r="N52" s="208" t="s">
        <v>1471</v>
      </c>
      <c r="O52" s="208" t="s">
        <v>2220</v>
      </c>
      <c r="Q52" s="208" t="s">
        <v>2108</v>
      </c>
      <c r="R52" s="209" t="s">
        <v>1475</v>
      </c>
      <c r="S52" s="208" t="s">
        <v>2230</v>
      </c>
      <c r="T52" s="208" t="s">
        <v>2293</v>
      </c>
      <c r="U52" s="208" t="s">
        <v>1637</v>
      </c>
      <c r="V52" s="208" t="s">
        <v>2233</v>
      </c>
      <c r="W52" s="209" t="s">
        <v>2233</v>
      </c>
      <c r="X52" s="211">
        <f t="shared" si="0"/>
        <v>44773.875</v>
      </c>
      <c r="Y52" s="208" t="s">
        <v>2226</v>
      </c>
      <c r="Z52" s="208" t="s">
        <v>1482</v>
      </c>
      <c r="AA52" s="208" t="s">
        <v>1483</v>
      </c>
      <c r="AB52" s="208" t="s">
        <v>2294</v>
      </c>
      <c r="AC52" s="208" t="s">
        <v>1509</v>
      </c>
      <c r="AD52" s="208">
        <v>500</v>
      </c>
      <c r="AE52" s="208">
        <v>0</v>
      </c>
      <c r="AF52" s="208">
        <v>714.6</v>
      </c>
      <c r="AG52" s="208" t="s">
        <v>1486</v>
      </c>
      <c r="AH52" s="208" t="s">
        <v>1487</v>
      </c>
      <c r="AI52" s="208" t="s">
        <v>1488</v>
      </c>
      <c r="AJ52" s="208" t="s">
        <v>1489</v>
      </c>
      <c r="AL52" s="208" t="s">
        <v>1635</v>
      </c>
      <c r="AM52" s="208" t="s">
        <v>1637</v>
      </c>
      <c r="AN52" s="208" t="s">
        <v>1637</v>
      </c>
      <c r="AO52" s="208" t="s">
        <v>1637</v>
      </c>
      <c r="AP52" s="208" t="s">
        <v>1638</v>
      </c>
      <c r="AQ52" s="208" t="s">
        <v>1902</v>
      </c>
      <c r="AT52" s="208" t="s">
        <v>2230</v>
      </c>
      <c r="AU52" s="208" t="s">
        <v>1637</v>
      </c>
      <c r="AV52" s="208" t="s">
        <v>2233</v>
      </c>
      <c r="AW52" s="208" t="s">
        <v>2233</v>
      </c>
      <c r="AX52" s="208" t="s">
        <v>2108</v>
      </c>
      <c r="AY52" s="208" t="s">
        <v>1902</v>
      </c>
      <c r="BB52" s="208" t="s">
        <v>2230</v>
      </c>
      <c r="BC52" s="208" t="s">
        <v>2233</v>
      </c>
      <c r="BD52" s="208" t="s">
        <v>2233</v>
      </c>
      <c r="BE52" s="208" t="s">
        <v>2233</v>
      </c>
      <c r="BF52" s="208" t="s">
        <v>2108</v>
      </c>
      <c r="BH52" s="208" t="b">
        <v>0</v>
      </c>
      <c r="BK52" s="208" t="b">
        <v>0</v>
      </c>
    </row>
    <row r="53" spans="2:63">
      <c r="B53" s="208">
        <v>15292</v>
      </c>
      <c r="C53" s="208" t="s">
        <v>1061</v>
      </c>
      <c r="D53" s="209">
        <v>32744</v>
      </c>
      <c r="E53" s="210">
        <v>2046104</v>
      </c>
      <c r="F53" s="210">
        <v>1534578</v>
      </c>
      <c r="H53" s="208" t="s">
        <v>17</v>
      </c>
      <c r="I53" s="208" t="s">
        <v>1504</v>
      </c>
      <c r="J53" s="208" t="s">
        <v>1468</v>
      </c>
      <c r="K53" s="208" t="s">
        <v>1469</v>
      </c>
      <c r="L53" s="208" t="s">
        <v>1470</v>
      </c>
      <c r="M53" s="208" t="s">
        <v>1668</v>
      </c>
      <c r="N53" s="208" t="s">
        <v>1471</v>
      </c>
      <c r="O53" s="208" t="s">
        <v>2220</v>
      </c>
      <c r="Q53" s="208" t="s">
        <v>2235</v>
      </c>
      <c r="R53" s="209" t="s">
        <v>1475</v>
      </c>
      <c r="S53" s="208" t="s">
        <v>2222</v>
      </c>
      <c r="T53" s="208" t="s">
        <v>2321</v>
      </c>
      <c r="U53" s="208" t="s">
        <v>1519</v>
      </c>
      <c r="V53" s="208" t="s">
        <v>2237</v>
      </c>
      <c r="W53" s="209" t="s">
        <v>2245</v>
      </c>
      <c r="X53" s="211">
        <f t="shared" si="0"/>
        <v>44731.875</v>
      </c>
      <c r="Y53" s="208" t="s">
        <v>2226</v>
      </c>
      <c r="Z53" s="208" t="s">
        <v>1482</v>
      </c>
      <c r="AA53" s="208" t="s">
        <v>1483</v>
      </c>
      <c r="AB53" s="208" t="s">
        <v>2294</v>
      </c>
      <c r="AC53" s="208" t="s">
        <v>2322</v>
      </c>
      <c r="AD53" s="208">
        <v>1044.6099999999999</v>
      </c>
      <c r="AE53" s="208">
        <v>0</v>
      </c>
      <c r="AF53" s="208">
        <v>1471.6</v>
      </c>
      <c r="AG53" s="208" t="s">
        <v>1486</v>
      </c>
      <c r="AH53" s="208" t="s">
        <v>1487</v>
      </c>
      <c r="AI53" s="208" t="s">
        <v>1488</v>
      </c>
      <c r="AJ53" s="208" t="s">
        <v>1489</v>
      </c>
      <c r="AL53" s="208" t="s">
        <v>1517</v>
      </c>
      <c r="AM53" s="208" t="s">
        <v>1519</v>
      </c>
      <c r="AN53" s="208" t="s">
        <v>1519</v>
      </c>
      <c r="AO53" s="208" t="s">
        <v>1624</v>
      </c>
      <c r="AP53" s="208" t="s">
        <v>1521</v>
      </c>
      <c r="AQ53" s="208" t="s">
        <v>1902</v>
      </c>
      <c r="AS53" s="208" t="s">
        <v>1564</v>
      </c>
      <c r="AT53" s="208" t="s">
        <v>2222</v>
      </c>
      <c r="AU53" s="208" t="s">
        <v>1519</v>
      </c>
      <c r="AV53" s="208" t="s">
        <v>2237</v>
      </c>
      <c r="AW53" s="208" t="s">
        <v>2245</v>
      </c>
      <c r="AX53" s="208" t="s">
        <v>2235</v>
      </c>
      <c r="AY53" s="208" t="s">
        <v>1902</v>
      </c>
      <c r="BB53" s="208" t="s">
        <v>2222</v>
      </c>
      <c r="BC53" s="208" t="s">
        <v>2245</v>
      </c>
      <c r="BD53" s="208" t="s">
        <v>2237</v>
      </c>
      <c r="BE53" s="208" t="s">
        <v>2239</v>
      </c>
      <c r="BF53" s="208" t="s">
        <v>2240</v>
      </c>
      <c r="BH53" s="208" t="b">
        <v>0</v>
      </c>
      <c r="BK53" s="208" t="b">
        <v>0</v>
      </c>
    </row>
    <row r="54" spans="2:63" hidden="1">
      <c r="B54" s="208">
        <v>15292</v>
      </c>
      <c r="C54" s="208" t="s">
        <v>1061</v>
      </c>
      <c r="D54" s="209">
        <v>36052</v>
      </c>
      <c r="E54" s="210">
        <v>159000</v>
      </c>
      <c r="F54" s="210">
        <v>122000</v>
      </c>
      <c r="H54" s="208" t="s">
        <v>17</v>
      </c>
      <c r="I54" s="208" t="s">
        <v>1467</v>
      </c>
      <c r="J54" s="208" t="s">
        <v>1468</v>
      </c>
      <c r="K54" s="208" t="s">
        <v>1469</v>
      </c>
      <c r="L54" s="208" t="s">
        <v>1470</v>
      </c>
      <c r="M54" s="208" t="s">
        <v>21</v>
      </c>
      <c r="N54" s="208" t="s">
        <v>1471</v>
      </c>
      <c r="O54" s="208" t="s">
        <v>1472</v>
      </c>
      <c r="P54" s="208" t="s">
        <v>1473</v>
      </c>
      <c r="Q54" s="208" t="s">
        <v>1474</v>
      </c>
      <c r="R54" s="209" t="s">
        <v>1475</v>
      </c>
      <c r="S54" s="208" t="s">
        <v>1495</v>
      </c>
      <c r="T54" s="208" t="s">
        <v>1498</v>
      </c>
      <c r="U54" s="208" t="s">
        <v>1499</v>
      </c>
      <c r="V54" s="208" t="s">
        <v>1500</v>
      </c>
      <c r="W54" s="209" t="s">
        <v>1501</v>
      </c>
      <c r="X54" s="211">
        <f t="shared" si="0"/>
        <v>46038.760416666664</v>
      </c>
      <c r="Y54" s="208" t="s">
        <v>1481</v>
      </c>
      <c r="Z54" s="208" t="s">
        <v>1482</v>
      </c>
      <c r="AA54" s="208" t="s">
        <v>1483</v>
      </c>
      <c r="AB54" s="208" t="s">
        <v>1502</v>
      </c>
      <c r="AC54" s="208" t="s">
        <v>1485</v>
      </c>
      <c r="AD54" s="208">
        <v>78.900000000000006</v>
      </c>
      <c r="AE54" s="208">
        <v>64.400000000000006</v>
      </c>
      <c r="AG54" s="208" t="s">
        <v>1486</v>
      </c>
      <c r="AH54" s="208" t="s">
        <v>1487</v>
      </c>
      <c r="AI54" s="208" t="s">
        <v>1488</v>
      </c>
      <c r="AJ54" s="208" t="s">
        <v>1489</v>
      </c>
      <c r="AL54" s="208" t="s">
        <v>1490</v>
      </c>
      <c r="AM54" s="208" t="s">
        <v>1503</v>
      </c>
      <c r="AN54" s="208" t="s">
        <v>1492</v>
      </c>
      <c r="AO54" s="208" t="s">
        <v>1493</v>
      </c>
      <c r="AP54" s="208" t="s">
        <v>1494</v>
      </c>
      <c r="AT54" s="208" t="s">
        <v>1495</v>
      </c>
      <c r="AU54" s="208" t="s">
        <v>1499</v>
      </c>
      <c r="AV54" s="208" t="s">
        <v>1496</v>
      </c>
      <c r="AW54" s="208" t="s">
        <v>1499</v>
      </c>
      <c r="AX54" s="208" t="s">
        <v>1497</v>
      </c>
      <c r="BB54" s="208" t="s">
        <v>1495</v>
      </c>
      <c r="BC54" s="208" t="s">
        <v>1499</v>
      </c>
      <c r="BD54" s="208" t="s">
        <v>1500</v>
      </c>
      <c r="BE54" s="208" t="s">
        <v>1501</v>
      </c>
      <c r="BF54" s="208" t="s">
        <v>1474</v>
      </c>
      <c r="BH54" s="208" t="b">
        <v>0</v>
      </c>
      <c r="BK54" s="208" t="b">
        <v>0</v>
      </c>
    </row>
    <row r="55" spans="2:63" hidden="1">
      <c r="B55" s="208">
        <v>15292</v>
      </c>
      <c r="C55" s="208" t="s">
        <v>1061</v>
      </c>
      <c r="D55" s="209">
        <v>36052</v>
      </c>
      <c r="E55" s="210">
        <v>165000</v>
      </c>
      <c r="F55" s="210">
        <v>123000</v>
      </c>
      <c r="H55" s="208" t="s">
        <v>17</v>
      </c>
      <c r="I55" s="208" t="s">
        <v>1522</v>
      </c>
      <c r="J55" s="208" t="s">
        <v>1468</v>
      </c>
      <c r="K55" s="208" t="s">
        <v>1469</v>
      </c>
      <c r="L55" s="208" t="s">
        <v>1470</v>
      </c>
      <c r="M55" s="208" t="s">
        <v>21</v>
      </c>
      <c r="N55" s="208" t="s">
        <v>1471</v>
      </c>
      <c r="O55" s="208" t="s">
        <v>1904</v>
      </c>
      <c r="P55" s="208" t="s">
        <v>1626</v>
      </c>
      <c r="Q55" s="208" t="s">
        <v>1474</v>
      </c>
      <c r="R55" s="209" t="s">
        <v>1475</v>
      </c>
      <c r="S55" s="208" t="s">
        <v>1864</v>
      </c>
      <c r="T55" s="208" t="s">
        <v>2052</v>
      </c>
      <c r="U55" s="208" t="s">
        <v>2070</v>
      </c>
      <c r="V55" s="208" t="s">
        <v>2071</v>
      </c>
      <c r="W55" s="209" t="s">
        <v>2072</v>
      </c>
      <c r="X55" s="211">
        <f t="shared" si="0"/>
        <v>45219.703472222223</v>
      </c>
      <c r="Y55" s="208" t="s">
        <v>1481</v>
      </c>
      <c r="Z55" s="208" t="s">
        <v>1524</v>
      </c>
      <c r="AA55" s="208" t="s">
        <v>1483</v>
      </c>
      <c r="AB55" s="208" t="s">
        <v>1502</v>
      </c>
      <c r="AC55" s="208" t="s">
        <v>1485</v>
      </c>
      <c r="AD55" s="208">
        <v>78.900000000000006</v>
      </c>
      <c r="AE55" s="208">
        <v>64.400000000000006</v>
      </c>
      <c r="AG55" s="208" t="s">
        <v>1486</v>
      </c>
      <c r="AH55" s="208" t="s">
        <v>1487</v>
      </c>
      <c r="AI55" s="208" t="s">
        <v>1488</v>
      </c>
      <c r="AJ55" s="208" t="s">
        <v>1489</v>
      </c>
      <c r="AL55" s="208" t="s">
        <v>1490</v>
      </c>
      <c r="AM55" s="208" t="s">
        <v>1503</v>
      </c>
      <c r="AN55" s="208" t="s">
        <v>1492</v>
      </c>
      <c r="AO55" s="208" t="s">
        <v>1493</v>
      </c>
      <c r="AP55" s="208" t="s">
        <v>1494</v>
      </c>
      <c r="AT55" s="208" t="s">
        <v>1905</v>
      </c>
      <c r="AU55" s="208" t="s">
        <v>2070</v>
      </c>
      <c r="AV55" s="208" t="s">
        <v>2073</v>
      </c>
      <c r="AW55" s="208" t="s">
        <v>2074</v>
      </c>
      <c r="AX55" s="208" t="s">
        <v>1872</v>
      </c>
      <c r="BB55" s="208" t="s">
        <v>1864</v>
      </c>
      <c r="BC55" s="208" t="s">
        <v>2070</v>
      </c>
      <c r="BD55" s="208" t="s">
        <v>2071</v>
      </c>
      <c r="BE55" s="208" t="s">
        <v>2072</v>
      </c>
      <c r="BF55" s="208" t="s">
        <v>1474</v>
      </c>
      <c r="BG55" s="208" t="b">
        <v>1</v>
      </c>
      <c r="BH55" s="208" t="b">
        <v>1</v>
      </c>
      <c r="BK55" s="208" t="b">
        <v>0</v>
      </c>
    </row>
    <row r="56" spans="2:63" hidden="1">
      <c r="B56" s="208">
        <v>15292</v>
      </c>
      <c r="C56" s="208" t="s">
        <v>1061</v>
      </c>
      <c r="D56" s="209">
        <v>36052</v>
      </c>
      <c r="E56" s="210">
        <v>110378.82</v>
      </c>
      <c r="F56" s="210">
        <v>110378.82</v>
      </c>
      <c r="H56" s="208" t="s">
        <v>17</v>
      </c>
      <c r="I56" s="208" t="s">
        <v>1522</v>
      </c>
      <c r="J56" s="208" t="s">
        <v>1468</v>
      </c>
      <c r="K56" s="208" t="s">
        <v>1469</v>
      </c>
      <c r="L56" s="208" t="s">
        <v>1470</v>
      </c>
      <c r="M56" s="208" t="s">
        <v>1668</v>
      </c>
      <c r="N56" s="208" t="s">
        <v>1471</v>
      </c>
      <c r="O56" s="208" t="s">
        <v>2116</v>
      </c>
      <c r="P56" s="208" t="s">
        <v>2101</v>
      </c>
      <c r="Q56" s="208" t="s">
        <v>2108</v>
      </c>
      <c r="R56" s="209" t="s">
        <v>1475</v>
      </c>
      <c r="S56" s="208" t="s">
        <v>2109</v>
      </c>
      <c r="T56" s="208" t="s">
        <v>1503</v>
      </c>
      <c r="U56" s="208" t="s">
        <v>2185</v>
      </c>
      <c r="V56" s="208" t="s">
        <v>2111</v>
      </c>
      <c r="W56" s="209" t="s">
        <v>2186</v>
      </c>
      <c r="X56" s="211">
        <f t="shared" si="0"/>
        <v>45035.756944444445</v>
      </c>
      <c r="Y56" s="208" t="s">
        <v>1481</v>
      </c>
      <c r="Z56" s="208" t="s">
        <v>1482</v>
      </c>
      <c r="AA56" s="208" t="s">
        <v>1483</v>
      </c>
      <c r="AB56" s="208" t="s">
        <v>1502</v>
      </c>
      <c r="AC56" s="208" t="s">
        <v>1485</v>
      </c>
      <c r="AD56" s="208">
        <v>78.900000000000006</v>
      </c>
      <c r="AE56" s="208">
        <v>64.400000000000006</v>
      </c>
      <c r="AG56" s="208" t="s">
        <v>1486</v>
      </c>
      <c r="AH56" s="208" t="s">
        <v>1487</v>
      </c>
      <c r="AI56" s="208" t="s">
        <v>1488</v>
      </c>
      <c r="AJ56" s="208" t="s">
        <v>1489</v>
      </c>
      <c r="AL56" s="208" t="s">
        <v>1490</v>
      </c>
      <c r="AM56" s="208" t="s">
        <v>1503</v>
      </c>
      <c r="AN56" s="208" t="s">
        <v>1492</v>
      </c>
      <c r="AO56" s="208" t="s">
        <v>1493</v>
      </c>
      <c r="AP56" s="208" t="s">
        <v>1494</v>
      </c>
      <c r="AQ56" s="208" t="s">
        <v>1902</v>
      </c>
      <c r="AR56" s="208" t="s">
        <v>1489</v>
      </c>
      <c r="AS56" s="208" t="s">
        <v>2122</v>
      </c>
      <c r="AT56" s="208" t="s">
        <v>2113</v>
      </c>
      <c r="AU56" s="208" t="s">
        <v>2185</v>
      </c>
      <c r="AV56" s="208" t="s">
        <v>2114</v>
      </c>
      <c r="AW56" s="208" t="s">
        <v>2187</v>
      </c>
      <c r="AX56" s="208" t="s">
        <v>2115</v>
      </c>
      <c r="AY56" s="208" t="s">
        <v>1902</v>
      </c>
      <c r="AZ56" s="208" t="s">
        <v>1489</v>
      </c>
      <c r="BA56" s="208" t="s">
        <v>2122</v>
      </c>
      <c r="BB56" s="208" t="s">
        <v>2109</v>
      </c>
      <c r="BC56" s="208" t="s">
        <v>2185</v>
      </c>
      <c r="BD56" s="208" t="s">
        <v>2111</v>
      </c>
      <c r="BE56" s="208" t="s">
        <v>2186</v>
      </c>
      <c r="BF56" s="208" t="s">
        <v>2108</v>
      </c>
      <c r="BH56" s="208" t="b">
        <v>0</v>
      </c>
      <c r="BK56" s="208" t="b">
        <v>0</v>
      </c>
    </row>
    <row r="57" spans="2:63" hidden="1">
      <c r="B57" s="208">
        <v>15292</v>
      </c>
      <c r="C57" s="208" t="s">
        <v>1061</v>
      </c>
      <c r="D57" s="209">
        <v>36052</v>
      </c>
      <c r="E57" s="210">
        <v>146258</v>
      </c>
      <c r="F57" s="210">
        <v>117006</v>
      </c>
      <c r="H57" s="208" t="s">
        <v>17</v>
      </c>
      <c r="I57" s="208" t="s">
        <v>1467</v>
      </c>
      <c r="J57" s="208" t="s">
        <v>1468</v>
      </c>
      <c r="K57" s="208" t="s">
        <v>1469</v>
      </c>
      <c r="L57" s="208" t="s">
        <v>1470</v>
      </c>
      <c r="M57" s="208" t="s">
        <v>2099</v>
      </c>
      <c r="N57" s="208" t="s">
        <v>1471</v>
      </c>
      <c r="O57" s="208" t="s">
        <v>2220</v>
      </c>
      <c r="Q57" s="208" t="s">
        <v>2108</v>
      </c>
      <c r="R57" s="209" t="s">
        <v>1475</v>
      </c>
      <c r="S57" s="208" t="s">
        <v>2230</v>
      </c>
      <c r="T57" s="208" t="s">
        <v>2299</v>
      </c>
      <c r="U57" s="208" t="s">
        <v>1637</v>
      </c>
      <c r="V57" s="208" t="s">
        <v>2065</v>
      </c>
      <c r="W57" s="209" t="s">
        <v>2065</v>
      </c>
      <c r="X57" s="211">
        <f t="shared" si="0"/>
        <v>44770.875</v>
      </c>
      <c r="Y57" s="208" t="s">
        <v>2226</v>
      </c>
      <c r="Z57" s="208" t="s">
        <v>1482</v>
      </c>
      <c r="AA57" s="208" t="s">
        <v>1483</v>
      </c>
      <c r="AB57" s="208" t="s">
        <v>2300</v>
      </c>
      <c r="AC57" s="208" t="s">
        <v>1485</v>
      </c>
      <c r="AD57" s="208">
        <v>0</v>
      </c>
      <c r="AE57" s="208">
        <v>64.400000000000006</v>
      </c>
      <c r="AF57" s="208">
        <v>0</v>
      </c>
      <c r="AG57" s="208" t="s">
        <v>1486</v>
      </c>
      <c r="AH57" s="208" t="s">
        <v>1487</v>
      </c>
      <c r="AI57" s="208" t="s">
        <v>1488</v>
      </c>
      <c r="AJ57" s="208" t="s">
        <v>1489</v>
      </c>
      <c r="AL57" s="208" t="s">
        <v>1635</v>
      </c>
      <c r="AM57" s="208" t="s">
        <v>1637</v>
      </c>
      <c r="AN57" s="208" t="s">
        <v>1637</v>
      </c>
      <c r="AO57" s="208" t="s">
        <v>1637</v>
      </c>
      <c r="AP57" s="208" t="s">
        <v>1638</v>
      </c>
      <c r="AQ57" s="208" t="s">
        <v>1902</v>
      </c>
      <c r="AT57" s="208" t="s">
        <v>2230</v>
      </c>
      <c r="AU57" s="208" t="s">
        <v>1637</v>
      </c>
      <c r="AV57" s="208" t="s">
        <v>2065</v>
      </c>
      <c r="AW57" s="208" t="s">
        <v>2065</v>
      </c>
      <c r="AX57" s="208" t="s">
        <v>2108</v>
      </c>
      <c r="AY57" s="208" t="s">
        <v>1902</v>
      </c>
      <c r="BB57" s="208" t="s">
        <v>2230</v>
      </c>
      <c r="BC57" s="208" t="s">
        <v>2065</v>
      </c>
      <c r="BD57" s="208" t="s">
        <v>2065</v>
      </c>
      <c r="BE57" s="208" t="s">
        <v>2065</v>
      </c>
      <c r="BF57" s="208" t="s">
        <v>2108</v>
      </c>
      <c r="BH57" s="208" t="b">
        <v>0</v>
      </c>
      <c r="BK57" s="208" t="b">
        <v>0</v>
      </c>
    </row>
    <row r="58" spans="2:63" hidden="1">
      <c r="B58" s="208">
        <v>15292</v>
      </c>
      <c r="C58" s="208" t="s">
        <v>1061</v>
      </c>
      <c r="D58" s="209">
        <v>36052</v>
      </c>
      <c r="E58" s="210">
        <v>179991</v>
      </c>
      <c r="F58" s="210">
        <v>122394</v>
      </c>
      <c r="H58" s="208" t="s">
        <v>17</v>
      </c>
      <c r="I58" s="208" t="s">
        <v>1504</v>
      </c>
      <c r="J58" s="208" t="s">
        <v>1468</v>
      </c>
      <c r="K58" s="208" t="s">
        <v>1469</v>
      </c>
      <c r="L58" s="208" t="s">
        <v>1470</v>
      </c>
      <c r="M58" s="208" t="s">
        <v>1668</v>
      </c>
      <c r="N58" s="208" t="s">
        <v>1471</v>
      </c>
      <c r="O58" s="208" t="s">
        <v>2220</v>
      </c>
      <c r="Q58" s="208" t="s">
        <v>2235</v>
      </c>
      <c r="R58" s="209" t="s">
        <v>1475</v>
      </c>
      <c r="S58" s="208" t="s">
        <v>2222</v>
      </c>
      <c r="T58" s="208" t="s">
        <v>2261</v>
      </c>
      <c r="U58" s="208" t="s">
        <v>1519</v>
      </c>
      <c r="V58" s="208" t="s">
        <v>2237</v>
      </c>
      <c r="W58" s="209" t="s">
        <v>2245</v>
      </c>
      <c r="X58" s="211">
        <f t="shared" si="0"/>
        <v>44731.875</v>
      </c>
      <c r="Y58" s="208" t="s">
        <v>2226</v>
      </c>
      <c r="Z58" s="208" t="s">
        <v>1482</v>
      </c>
      <c r="AA58" s="208" t="s">
        <v>1483</v>
      </c>
      <c r="AB58" s="208" t="s">
        <v>1885</v>
      </c>
      <c r="AC58" s="208" t="s">
        <v>1886</v>
      </c>
      <c r="AD58" s="208">
        <v>110</v>
      </c>
      <c r="AE58" s="208">
        <v>0</v>
      </c>
      <c r="AF58" s="208">
        <v>200</v>
      </c>
      <c r="AG58" s="208" t="s">
        <v>1486</v>
      </c>
      <c r="AH58" s="208" t="s">
        <v>1487</v>
      </c>
      <c r="AI58" s="208" t="s">
        <v>1488</v>
      </c>
      <c r="AJ58" s="208" t="s">
        <v>1489</v>
      </c>
      <c r="AL58" s="208" t="s">
        <v>1517</v>
      </c>
      <c r="AM58" s="208" t="s">
        <v>1519</v>
      </c>
      <c r="AN58" s="208" t="s">
        <v>1519</v>
      </c>
      <c r="AO58" s="208" t="s">
        <v>1624</v>
      </c>
      <c r="AP58" s="208" t="s">
        <v>1521</v>
      </c>
      <c r="AQ58" s="208" t="s">
        <v>1902</v>
      </c>
      <c r="AS58" s="208" t="s">
        <v>1564</v>
      </c>
      <c r="AT58" s="208" t="s">
        <v>2222</v>
      </c>
      <c r="AU58" s="208" t="s">
        <v>1519</v>
      </c>
      <c r="AV58" s="208" t="s">
        <v>2237</v>
      </c>
      <c r="AW58" s="208" t="s">
        <v>2245</v>
      </c>
      <c r="AX58" s="208" t="s">
        <v>2235</v>
      </c>
      <c r="AY58" s="208" t="s">
        <v>1902</v>
      </c>
      <c r="BB58" s="208" t="s">
        <v>2222</v>
      </c>
      <c r="BC58" s="208" t="s">
        <v>2245</v>
      </c>
      <c r="BD58" s="208" t="s">
        <v>2237</v>
      </c>
      <c r="BE58" s="208" t="s">
        <v>2239</v>
      </c>
      <c r="BF58" s="208" t="s">
        <v>2240</v>
      </c>
      <c r="BH58" s="208" t="b">
        <v>0</v>
      </c>
      <c r="BK58" s="208" t="b">
        <v>0</v>
      </c>
    </row>
    <row r="59" spans="2:63" hidden="1">
      <c r="B59" s="208">
        <v>15292</v>
      </c>
      <c r="C59" s="208" t="s">
        <v>1061</v>
      </c>
      <c r="D59" s="209">
        <v>36053</v>
      </c>
      <c r="E59" s="210">
        <v>137000</v>
      </c>
      <c r="F59" s="210">
        <v>105000</v>
      </c>
      <c r="H59" s="208" t="s">
        <v>17</v>
      </c>
      <c r="I59" s="208" t="s">
        <v>1467</v>
      </c>
      <c r="J59" s="208" t="s">
        <v>1468</v>
      </c>
      <c r="K59" s="208" t="s">
        <v>1469</v>
      </c>
      <c r="L59" s="208" t="s">
        <v>1470</v>
      </c>
      <c r="M59" s="208" t="s">
        <v>21</v>
      </c>
      <c r="N59" s="208" t="s">
        <v>1471</v>
      </c>
      <c r="O59" s="208" t="s">
        <v>1472</v>
      </c>
      <c r="P59" s="208" t="s">
        <v>1473</v>
      </c>
      <c r="Q59" s="208" t="s">
        <v>1474</v>
      </c>
      <c r="R59" s="209" t="s">
        <v>1475</v>
      </c>
      <c r="S59" s="208" t="s">
        <v>1476</v>
      </c>
      <c r="T59" s="208" t="s">
        <v>1477</v>
      </c>
      <c r="U59" s="208" t="s">
        <v>1478</v>
      </c>
      <c r="V59" s="208" t="s">
        <v>1479</v>
      </c>
      <c r="W59" s="209" t="s">
        <v>1480</v>
      </c>
      <c r="X59" s="211">
        <f t="shared" si="0"/>
        <v>46035.53402777778</v>
      </c>
      <c r="Y59" s="208" t="s">
        <v>1481</v>
      </c>
      <c r="Z59" s="208" t="s">
        <v>1482</v>
      </c>
      <c r="AA59" s="208" t="s">
        <v>1483</v>
      </c>
      <c r="AB59" s="208" t="s">
        <v>1484</v>
      </c>
      <c r="AC59" s="208" t="s">
        <v>1485</v>
      </c>
      <c r="AD59" s="208">
        <v>78.900000000000006</v>
      </c>
      <c r="AE59" s="208">
        <v>64.400000000000006</v>
      </c>
      <c r="AG59" s="208" t="s">
        <v>1486</v>
      </c>
      <c r="AH59" s="208" t="s">
        <v>1487</v>
      </c>
      <c r="AI59" s="208" t="s">
        <v>1488</v>
      </c>
      <c r="AJ59" s="208" t="s">
        <v>1489</v>
      </c>
      <c r="AL59" s="208" t="s">
        <v>1490</v>
      </c>
      <c r="AM59" s="208" t="s">
        <v>1491</v>
      </c>
      <c r="AN59" s="208" t="s">
        <v>1492</v>
      </c>
      <c r="AO59" s="208" t="s">
        <v>1493</v>
      </c>
      <c r="AP59" s="208" t="s">
        <v>1494</v>
      </c>
      <c r="AT59" s="208" t="s">
        <v>1495</v>
      </c>
      <c r="AU59" s="208" t="s">
        <v>1478</v>
      </c>
      <c r="AV59" s="208" t="s">
        <v>1496</v>
      </c>
      <c r="AW59" s="208" t="s">
        <v>1478</v>
      </c>
      <c r="AX59" s="208" t="s">
        <v>1497</v>
      </c>
      <c r="BB59" s="208" t="s">
        <v>1476</v>
      </c>
      <c r="BC59" s="208" t="s">
        <v>1478</v>
      </c>
      <c r="BD59" s="208" t="s">
        <v>1479</v>
      </c>
      <c r="BE59" s="208" t="s">
        <v>1480</v>
      </c>
      <c r="BF59" s="208" t="s">
        <v>1474</v>
      </c>
      <c r="BH59" s="208" t="b">
        <v>0</v>
      </c>
      <c r="BK59" s="208" t="b">
        <v>0</v>
      </c>
    </row>
    <row r="60" spans="2:63" hidden="1">
      <c r="B60" s="208">
        <v>15292</v>
      </c>
      <c r="C60" s="208" t="s">
        <v>1061</v>
      </c>
      <c r="D60" s="209">
        <v>36053</v>
      </c>
      <c r="E60" s="210">
        <v>165000</v>
      </c>
      <c r="F60" s="210">
        <v>123000</v>
      </c>
      <c r="H60" s="208" t="s">
        <v>17</v>
      </c>
      <c r="I60" s="208" t="s">
        <v>1522</v>
      </c>
      <c r="J60" s="208" t="s">
        <v>1468</v>
      </c>
      <c r="K60" s="208" t="s">
        <v>1469</v>
      </c>
      <c r="L60" s="208" t="s">
        <v>1470</v>
      </c>
      <c r="M60" s="208" t="s">
        <v>21</v>
      </c>
      <c r="N60" s="208" t="s">
        <v>1471</v>
      </c>
      <c r="O60" s="208" t="s">
        <v>1904</v>
      </c>
      <c r="P60" s="208" t="s">
        <v>1626</v>
      </c>
      <c r="Q60" s="208" t="s">
        <v>1474</v>
      </c>
      <c r="R60" s="209" t="s">
        <v>1475</v>
      </c>
      <c r="S60" s="208" t="s">
        <v>1864</v>
      </c>
      <c r="T60" s="208" t="s">
        <v>2052</v>
      </c>
      <c r="U60" s="208" t="s">
        <v>2075</v>
      </c>
      <c r="V60" s="208" t="s">
        <v>2076</v>
      </c>
      <c r="W60" s="209" t="s">
        <v>2077</v>
      </c>
      <c r="X60" s="211">
        <f t="shared" si="0"/>
        <v>45219.715277777781</v>
      </c>
      <c r="Y60" s="208" t="s">
        <v>1481</v>
      </c>
      <c r="Z60" s="208" t="s">
        <v>1524</v>
      </c>
      <c r="AA60" s="208" t="s">
        <v>1483</v>
      </c>
      <c r="AB60" s="208" t="s">
        <v>1484</v>
      </c>
      <c r="AC60" s="208" t="s">
        <v>1485</v>
      </c>
      <c r="AD60" s="208">
        <v>78.900000000000006</v>
      </c>
      <c r="AE60" s="208">
        <v>64.400000000000006</v>
      </c>
      <c r="AG60" s="208" t="s">
        <v>1486</v>
      </c>
      <c r="AH60" s="208" t="s">
        <v>1487</v>
      </c>
      <c r="AI60" s="208" t="s">
        <v>1488</v>
      </c>
      <c r="AJ60" s="208" t="s">
        <v>1489</v>
      </c>
      <c r="AL60" s="208" t="s">
        <v>1490</v>
      </c>
      <c r="AM60" s="208" t="s">
        <v>1491</v>
      </c>
      <c r="AN60" s="208" t="s">
        <v>1492</v>
      </c>
      <c r="AO60" s="208" t="s">
        <v>1493</v>
      </c>
      <c r="AP60" s="208" t="s">
        <v>1494</v>
      </c>
      <c r="AT60" s="208" t="s">
        <v>1905</v>
      </c>
      <c r="AU60" s="208" t="s">
        <v>2075</v>
      </c>
      <c r="AV60" s="208" t="s">
        <v>2073</v>
      </c>
      <c r="AW60" s="208" t="s">
        <v>2078</v>
      </c>
      <c r="AX60" s="208" t="s">
        <v>1872</v>
      </c>
      <c r="BB60" s="208" t="s">
        <v>1864</v>
      </c>
      <c r="BC60" s="208" t="s">
        <v>2075</v>
      </c>
      <c r="BD60" s="208" t="s">
        <v>2076</v>
      </c>
      <c r="BE60" s="208" t="s">
        <v>2077</v>
      </c>
      <c r="BF60" s="208" t="s">
        <v>1474</v>
      </c>
      <c r="BG60" s="208" t="b">
        <v>1</v>
      </c>
      <c r="BH60" s="208" t="b">
        <v>1</v>
      </c>
      <c r="BK60" s="208" t="b">
        <v>0</v>
      </c>
    </row>
    <row r="61" spans="2:63" hidden="1">
      <c r="B61" s="208">
        <v>15292</v>
      </c>
      <c r="C61" s="208" t="s">
        <v>1061</v>
      </c>
      <c r="D61" s="209">
        <v>36053</v>
      </c>
      <c r="E61" s="210">
        <v>110378.82</v>
      </c>
      <c r="F61" s="210">
        <v>110378.82</v>
      </c>
      <c r="H61" s="208" t="s">
        <v>17</v>
      </c>
      <c r="I61" s="208" t="s">
        <v>1522</v>
      </c>
      <c r="J61" s="208" t="s">
        <v>1468</v>
      </c>
      <c r="K61" s="208" t="s">
        <v>1469</v>
      </c>
      <c r="L61" s="208" t="s">
        <v>1470</v>
      </c>
      <c r="M61" s="208" t="s">
        <v>1668</v>
      </c>
      <c r="N61" s="208" t="s">
        <v>1471</v>
      </c>
      <c r="O61" s="208" t="s">
        <v>2116</v>
      </c>
      <c r="P61" s="208" t="s">
        <v>2101</v>
      </c>
      <c r="Q61" s="208" t="s">
        <v>2108</v>
      </c>
      <c r="R61" s="209" t="s">
        <v>1475</v>
      </c>
      <c r="S61" s="208" t="s">
        <v>2109</v>
      </c>
      <c r="T61" s="208" t="s">
        <v>1491</v>
      </c>
      <c r="U61" s="208" t="s">
        <v>2188</v>
      </c>
      <c r="V61" s="208" t="s">
        <v>2111</v>
      </c>
      <c r="W61" s="209" t="s">
        <v>2189</v>
      </c>
      <c r="X61" s="211">
        <f t="shared" si="0"/>
        <v>45035.757638888892</v>
      </c>
      <c r="Y61" s="208" t="s">
        <v>1481</v>
      </c>
      <c r="Z61" s="208" t="s">
        <v>1482</v>
      </c>
      <c r="AA61" s="208" t="s">
        <v>1483</v>
      </c>
      <c r="AB61" s="208" t="s">
        <v>1484</v>
      </c>
      <c r="AC61" s="208" t="s">
        <v>1485</v>
      </c>
      <c r="AD61" s="208">
        <v>78.900000000000006</v>
      </c>
      <c r="AE61" s="208">
        <v>64.400000000000006</v>
      </c>
      <c r="AG61" s="208" t="s">
        <v>1486</v>
      </c>
      <c r="AH61" s="208" t="s">
        <v>1487</v>
      </c>
      <c r="AI61" s="208" t="s">
        <v>1488</v>
      </c>
      <c r="AJ61" s="208" t="s">
        <v>1489</v>
      </c>
      <c r="AL61" s="208" t="s">
        <v>1490</v>
      </c>
      <c r="AM61" s="208" t="s">
        <v>1491</v>
      </c>
      <c r="AN61" s="208" t="s">
        <v>1492</v>
      </c>
      <c r="AO61" s="208" t="s">
        <v>1493</v>
      </c>
      <c r="AP61" s="208" t="s">
        <v>1494</v>
      </c>
      <c r="AQ61" s="208" t="s">
        <v>1902</v>
      </c>
      <c r="AR61" s="208" t="s">
        <v>1489</v>
      </c>
      <c r="AS61" s="208" t="s">
        <v>1564</v>
      </c>
      <c r="AT61" s="208" t="s">
        <v>2113</v>
      </c>
      <c r="AU61" s="208" t="s">
        <v>2188</v>
      </c>
      <c r="AV61" s="208" t="s">
        <v>2114</v>
      </c>
      <c r="AW61" s="208" t="s">
        <v>2188</v>
      </c>
      <c r="AX61" s="208" t="s">
        <v>2115</v>
      </c>
      <c r="AY61" s="208" t="s">
        <v>1902</v>
      </c>
      <c r="AZ61" s="208" t="s">
        <v>1489</v>
      </c>
      <c r="BA61" s="208" t="s">
        <v>1564</v>
      </c>
      <c r="BB61" s="208" t="s">
        <v>2109</v>
      </c>
      <c r="BC61" s="208" t="s">
        <v>2188</v>
      </c>
      <c r="BD61" s="208" t="s">
        <v>2111</v>
      </c>
      <c r="BE61" s="208" t="s">
        <v>2189</v>
      </c>
      <c r="BF61" s="208" t="s">
        <v>2108</v>
      </c>
      <c r="BH61" s="208" t="b">
        <v>0</v>
      </c>
      <c r="BK61" s="208" t="b">
        <v>0</v>
      </c>
    </row>
    <row r="62" spans="2:63" hidden="1">
      <c r="B62" s="208">
        <v>15292</v>
      </c>
      <c r="C62" s="208" t="s">
        <v>1061</v>
      </c>
      <c r="D62" s="209">
        <v>36053</v>
      </c>
      <c r="E62" s="210">
        <v>111515</v>
      </c>
      <c r="F62" s="210">
        <v>111515</v>
      </c>
      <c r="H62" s="208" t="s">
        <v>17</v>
      </c>
      <c r="I62" s="208" t="s">
        <v>2323</v>
      </c>
      <c r="J62" s="208" t="s">
        <v>1468</v>
      </c>
      <c r="K62" s="208" t="s">
        <v>1469</v>
      </c>
      <c r="L62" s="208" t="s">
        <v>1470</v>
      </c>
      <c r="M62" s="208" t="s">
        <v>2099</v>
      </c>
      <c r="N62" s="208" t="s">
        <v>1471</v>
      </c>
      <c r="O62" s="208" t="s">
        <v>2220</v>
      </c>
      <c r="Q62" s="208" t="s">
        <v>2241</v>
      </c>
      <c r="R62" s="209" t="s">
        <v>1475</v>
      </c>
      <c r="S62" s="208" t="s">
        <v>2317</v>
      </c>
      <c r="T62" s="208" t="s">
        <v>2324</v>
      </c>
      <c r="U62" s="208" t="s">
        <v>2233</v>
      </c>
      <c r="V62" s="208" t="s">
        <v>2233</v>
      </c>
      <c r="W62" s="209" t="s">
        <v>2233</v>
      </c>
      <c r="X62" s="211">
        <f t="shared" si="0"/>
        <v>44773.875</v>
      </c>
      <c r="Y62" s="208" t="s">
        <v>2226</v>
      </c>
      <c r="Z62" s="208" t="s">
        <v>1482</v>
      </c>
      <c r="AA62" s="208" t="s">
        <v>1483</v>
      </c>
      <c r="AB62" s="208" t="s">
        <v>2325</v>
      </c>
      <c r="AC62" s="208" t="s">
        <v>1485</v>
      </c>
      <c r="AD62" s="208">
        <v>0</v>
      </c>
      <c r="AE62" s="208">
        <v>64.400000000000006</v>
      </c>
      <c r="AF62" s="208">
        <v>0</v>
      </c>
      <c r="AG62" s="208" t="s">
        <v>1486</v>
      </c>
      <c r="AH62" s="208" t="s">
        <v>1487</v>
      </c>
      <c r="AI62" s="208" t="s">
        <v>1488</v>
      </c>
      <c r="AJ62" s="208" t="s">
        <v>1489</v>
      </c>
      <c r="AL62" s="208" t="s">
        <v>2320</v>
      </c>
      <c r="AM62" s="208" t="s">
        <v>2233</v>
      </c>
      <c r="AN62" s="208" t="s">
        <v>2233</v>
      </c>
      <c r="AO62" s="208" t="s">
        <v>2233</v>
      </c>
      <c r="AP62" s="208" t="s">
        <v>1638</v>
      </c>
      <c r="AQ62" s="208" t="s">
        <v>1902</v>
      </c>
      <c r="AS62" s="208" t="s">
        <v>1564</v>
      </c>
      <c r="AT62" s="208" t="s">
        <v>2317</v>
      </c>
      <c r="AU62" s="208" t="s">
        <v>2233</v>
      </c>
      <c r="AV62" s="208" t="s">
        <v>2233</v>
      </c>
      <c r="AW62" s="208" t="s">
        <v>2233</v>
      </c>
      <c r="AX62" s="208" t="s">
        <v>2241</v>
      </c>
      <c r="AY62" s="208" t="s">
        <v>1902</v>
      </c>
      <c r="BB62" s="208" t="s">
        <v>2317</v>
      </c>
      <c r="BC62" s="208" t="s">
        <v>2233</v>
      </c>
      <c r="BD62" s="208" t="s">
        <v>2233</v>
      </c>
      <c r="BE62" s="208" t="s">
        <v>2233</v>
      </c>
      <c r="BF62" s="208" t="s">
        <v>1474</v>
      </c>
      <c r="BH62" s="208" t="b">
        <v>0</v>
      </c>
      <c r="BK62" s="208" t="b">
        <v>0</v>
      </c>
    </row>
    <row r="63" spans="2:63" hidden="1">
      <c r="B63" s="208">
        <v>15292</v>
      </c>
      <c r="C63" s="208" t="s">
        <v>1061</v>
      </c>
      <c r="D63" s="209">
        <v>36053</v>
      </c>
      <c r="E63" s="210">
        <v>179991</v>
      </c>
      <c r="F63" s="210">
        <v>122394</v>
      </c>
      <c r="H63" s="208" t="s">
        <v>17</v>
      </c>
      <c r="I63" s="208" t="s">
        <v>1504</v>
      </c>
      <c r="J63" s="208" t="s">
        <v>1468</v>
      </c>
      <c r="K63" s="208" t="s">
        <v>1469</v>
      </c>
      <c r="L63" s="208" t="s">
        <v>1470</v>
      </c>
      <c r="M63" s="208" t="s">
        <v>1668</v>
      </c>
      <c r="N63" s="208" t="s">
        <v>1471</v>
      </c>
      <c r="O63" s="208" t="s">
        <v>2220</v>
      </c>
      <c r="Q63" s="208" t="s">
        <v>2235</v>
      </c>
      <c r="R63" s="209" t="s">
        <v>1475</v>
      </c>
      <c r="S63" s="208" t="s">
        <v>2222</v>
      </c>
      <c r="T63" s="208" t="s">
        <v>2260</v>
      </c>
      <c r="U63" s="208" t="s">
        <v>1519</v>
      </c>
      <c r="V63" s="208" t="s">
        <v>2237</v>
      </c>
      <c r="W63" s="209" t="s">
        <v>2245</v>
      </c>
      <c r="X63" s="211">
        <f t="shared" si="0"/>
        <v>44731.875</v>
      </c>
      <c r="Y63" s="208" t="s">
        <v>2226</v>
      </c>
      <c r="Z63" s="208" t="s">
        <v>1482</v>
      </c>
      <c r="AA63" s="208" t="s">
        <v>1483</v>
      </c>
      <c r="AB63" s="208" t="s">
        <v>1882</v>
      </c>
      <c r="AC63" s="208" t="s">
        <v>1883</v>
      </c>
      <c r="AD63" s="208">
        <v>110</v>
      </c>
      <c r="AE63" s="208">
        <v>0</v>
      </c>
      <c r="AF63" s="208">
        <v>200</v>
      </c>
      <c r="AG63" s="208" t="s">
        <v>1486</v>
      </c>
      <c r="AH63" s="208" t="s">
        <v>1487</v>
      </c>
      <c r="AI63" s="208" t="s">
        <v>1488</v>
      </c>
      <c r="AJ63" s="208" t="s">
        <v>1489</v>
      </c>
      <c r="AL63" s="208" t="s">
        <v>1517</v>
      </c>
      <c r="AM63" s="208" t="s">
        <v>1519</v>
      </c>
      <c r="AN63" s="208" t="s">
        <v>1519</v>
      </c>
      <c r="AO63" s="208" t="s">
        <v>1624</v>
      </c>
      <c r="AP63" s="208" t="s">
        <v>1521</v>
      </c>
      <c r="AQ63" s="208" t="s">
        <v>1902</v>
      </c>
      <c r="AS63" s="208" t="s">
        <v>2122</v>
      </c>
      <c r="AT63" s="208" t="s">
        <v>2222</v>
      </c>
      <c r="AU63" s="208" t="s">
        <v>1519</v>
      </c>
      <c r="AV63" s="208" t="s">
        <v>2237</v>
      </c>
      <c r="AW63" s="208" t="s">
        <v>2245</v>
      </c>
      <c r="AX63" s="208" t="s">
        <v>2235</v>
      </c>
      <c r="AY63" s="208" t="s">
        <v>1902</v>
      </c>
      <c r="BB63" s="208" t="s">
        <v>2222</v>
      </c>
      <c r="BC63" s="208" t="s">
        <v>2245</v>
      </c>
      <c r="BD63" s="208" t="s">
        <v>2237</v>
      </c>
      <c r="BE63" s="208" t="s">
        <v>2239</v>
      </c>
      <c r="BF63" s="208" t="s">
        <v>2240</v>
      </c>
      <c r="BH63" s="208" t="b">
        <v>0</v>
      </c>
      <c r="BK63" s="208" t="b">
        <v>0</v>
      </c>
    </row>
    <row r="64" spans="2:63" hidden="1">
      <c r="B64" s="208">
        <v>15292</v>
      </c>
      <c r="C64" s="208" t="s">
        <v>1061</v>
      </c>
      <c r="D64" s="209">
        <v>48207</v>
      </c>
      <c r="E64" s="210">
        <v>3074000</v>
      </c>
      <c r="F64" s="210">
        <v>2460000</v>
      </c>
      <c r="H64" s="208" t="s">
        <v>17</v>
      </c>
      <c r="I64" s="208" t="s">
        <v>1555</v>
      </c>
      <c r="J64" s="208" t="s">
        <v>1468</v>
      </c>
      <c r="K64" s="208" t="s">
        <v>1469</v>
      </c>
      <c r="L64" s="208" t="s">
        <v>1470</v>
      </c>
      <c r="M64" s="208" t="s">
        <v>23</v>
      </c>
      <c r="N64" s="208" t="s">
        <v>1471</v>
      </c>
      <c r="O64" s="208" t="s">
        <v>1625</v>
      </c>
      <c r="P64" s="208" t="s">
        <v>1838</v>
      </c>
      <c r="Q64" s="208" t="s">
        <v>1474</v>
      </c>
      <c r="R64" s="209" t="s">
        <v>1475</v>
      </c>
      <c r="S64" s="208" t="s">
        <v>1590</v>
      </c>
      <c r="T64" s="208" t="s">
        <v>1839</v>
      </c>
      <c r="U64" s="208" t="s">
        <v>1840</v>
      </c>
      <c r="V64" s="208" t="s">
        <v>1841</v>
      </c>
      <c r="W64" s="209" t="s">
        <v>1842</v>
      </c>
      <c r="X64" s="211">
        <f t="shared" si="0"/>
        <v>45937.738888888889</v>
      </c>
      <c r="Y64" s="208" t="s">
        <v>1481</v>
      </c>
      <c r="Z64" s="208" t="s">
        <v>1843</v>
      </c>
      <c r="AA64" s="208" t="s">
        <v>1483</v>
      </c>
      <c r="AB64" s="208" t="s">
        <v>1844</v>
      </c>
      <c r="AC64" s="208" t="s">
        <v>1845</v>
      </c>
      <c r="AF64" s="208">
        <v>3085.8</v>
      </c>
      <c r="AG64" s="208" t="s">
        <v>1486</v>
      </c>
      <c r="AH64" s="208" t="s">
        <v>1487</v>
      </c>
      <c r="AI64" s="208" t="s">
        <v>1488</v>
      </c>
      <c r="AJ64" s="208" t="s">
        <v>1489</v>
      </c>
      <c r="AL64" s="208" t="s">
        <v>1585</v>
      </c>
      <c r="AM64" s="208" t="s">
        <v>1846</v>
      </c>
      <c r="AN64" s="208" t="s">
        <v>1652</v>
      </c>
      <c r="AO64" s="208" t="s">
        <v>1847</v>
      </c>
      <c r="AP64" s="208" t="s">
        <v>1589</v>
      </c>
      <c r="AT64" s="208" t="s">
        <v>1848</v>
      </c>
      <c r="AU64" s="208" t="s">
        <v>1840</v>
      </c>
      <c r="AV64" s="208" t="s">
        <v>1849</v>
      </c>
      <c r="AW64" s="208" t="s">
        <v>1850</v>
      </c>
      <c r="AX64" s="208" t="s">
        <v>1572</v>
      </c>
      <c r="BB64" s="208" t="s">
        <v>1590</v>
      </c>
      <c r="BC64" s="208" t="s">
        <v>1840</v>
      </c>
      <c r="BD64" s="208" t="s">
        <v>1841</v>
      </c>
      <c r="BE64" s="208" t="s">
        <v>1842</v>
      </c>
      <c r="BF64" s="208" t="s">
        <v>1474</v>
      </c>
      <c r="BH64" s="208" t="b">
        <v>1</v>
      </c>
      <c r="BK64" s="208" t="b">
        <v>0</v>
      </c>
    </row>
    <row r="65" spans="2:63" hidden="1">
      <c r="B65" s="208">
        <v>15292</v>
      </c>
      <c r="C65" s="208" t="s">
        <v>1061</v>
      </c>
      <c r="D65" s="209">
        <v>48207</v>
      </c>
      <c r="E65" s="210">
        <v>3167056</v>
      </c>
      <c r="F65" s="210">
        <v>2217000</v>
      </c>
      <c r="H65" s="208" t="s">
        <v>17</v>
      </c>
      <c r="I65" s="208" t="s">
        <v>1555</v>
      </c>
      <c r="J65" s="208" t="s">
        <v>1468</v>
      </c>
      <c r="K65" s="208" t="s">
        <v>1469</v>
      </c>
      <c r="L65" s="208" t="s">
        <v>1470</v>
      </c>
      <c r="M65" s="208" t="s">
        <v>23</v>
      </c>
      <c r="N65" s="208" t="s">
        <v>1471</v>
      </c>
      <c r="O65" s="208" t="s">
        <v>1913</v>
      </c>
      <c r="Q65" s="208" t="s">
        <v>1474</v>
      </c>
      <c r="R65" s="209" t="s">
        <v>1475</v>
      </c>
      <c r="S65" s="208" t="s">
        <v>1948</v>
      </c>
      <c r="T65" s="208" t="s">
        <v>1949</v>
      </c>
      <c r="U65" s="208" t="s">
        <v>1950</v>
      </c>
      <c r="V65" s="208" t="s">
        <v>1951</v>
      </c>
      <c r="W65" s="209" t="s">
        <v>1952</v>
      </c>
      <c r="X65" s="211">
        <f t="shared" si="0"/>
        <v>45189.649305555555</v>
      </c>
      <c r="Y65" s="208" t="s">
        <v>1481</v>
      </c>
      <c r="Z65" s="208" t="s">
        <v>1524</v>
      </c>
      <c r="AA65" s="208" t="s">
        <v>1483</v>
      </c>
      <c r="AB65" s="208" t="s">
        <v>1844</v>
      </c>
      <c r="AC65" s="208" t="s">
        <v>1845</v>
      </c>
      <c r="AF65" s="208">
        <v>3085.8</v>
      </c>
      <c r="AG65" s="208" t="s">
        <v>1486</v>
      </c>
      <c r="AH65" s="208" t="s">
        <v>1487</v>
      </c>
      <c r="AI65" s="208" t="s">
        <v>1488</v>
      </c>
      <c r="AJ65" s="208" t="s">
        <v>1489</v>
      </c>
      <c r="AL65" s="208" t="s">
        <v>1585</v>
      </c>
      <c r="AM65" s="208" t="s">
        <v>1846</v>
      </c>
      <c r="AN65" s="208" t="s">
        <v>1652</v>
      </c>
      <c r="AO65" s="208" t="s">
        <v>1847</v>
      </c>
      <c r="AP65" s="208" t="s">
        <v>1589</v>
      </c>
      <c r="AT65" s="208" t="s">
        <v>1914</v>
      </c>
      <c r="AU65" s="208" t="s">
        <v>1950</v>
      </c>
      <c r="AV65" s="208" t="s">
        <v>1953</v>
      </c>
      <c r="AW65" s="208" t="s">
        <v>1954</v>
      </c>
      <c r="AX65" s="208" t="s">
        <v>1859</v>
      </c>
      <c r="BB65" s="208" t="s">
        <v>1948</v>
      </c>
      <c r="BC65" s="208" t="s">
        <v>1950</v>
      </c>
      <c r="BD65" s="208" t="s">
        <v>1951</v>
      </c>
      <c r="BE65" s="208" t="s">
        <v>1952</v>
      </c>
      <c r="BF65" s="208" t="s">
        <v>1474</v>
      </c>
      <c r="BH65" s="208" t="b">
        <v>1</v>
      </c>
      <c r="BK65" s="208" t="b">
        <v>0</v>
      </c>
    </row>
    <row r="66" spans="2:63" hidden="1">
      <c r="B66" s="208">
        <v>15292</v>
      </c>
      <c r="C66" s="208" t="s">
        <v>1061</v>
      </c>
      <c r="D66" s="209">
        <v>48207</v>
      </c>
      <c r="E66" s="210">
        <v>4842088.2699999996</v>
      </c>
      <c r="F66" s="210">
        <v>3922091.5</v>
      </c>
      <c r="H66" s="208" t="s">
        <v>17</v>
      </c>
      <c r="I66" s="208" t="s">
        <v>1555</v>
      </c>
      <c r="J66" s="208" t="s">
        <v>1468</v>
      </c>
      <c r="K66" s="208" t="s">
        <v>1469</v>
      </c>
      <c r="L66" s="208" t="s">
        <v>1470</v>
      </c>
      <c r="M66" s="208" t="s">
        <v>1668</v>
      </c>
      <c r="N66" s="208" t="s">
        <v>1471</v>
      </c>
      <c r="O66" s="208" t="s">
        <v>2116</v>
      </c>
      <c r="P66" s="208" t="s">
        <v>2101</v>
      </c>
      <c r="Q66" s="208" t="s">
        <v>2108</v>
      </c>
      <c r="R66" s="209" t="s">
        <v>1475</v>
      </c>
      <c r="S66" s="208" t="s">
        <v>2109</v>
      </c>
      <c r="T66" s="208" t="s">
        <v>1846</v>
      </c>
      <c r="U66" s="208" t="s">
        <v>2213</v>
      </c>
      <c r="V66" s="208" t="s">
        <v>2214</v>
      </c>
      <c r="W66" s="209" t="s">
        <v>2215</v>
      </c>
      <c r="X66" s="211">
        <f t="shared" ref="X66:X129" si="1">W66*1</f>
        <v>45036.46597222222</v>
      </c>
      <c r="Y66" s="208" t="s">
        <v>1481</v>
      </c>
      <c r="Z66" s="208" t="s">
        <v>1482</v>
      </c>
      <c r="AA66" s="208" t="s">
        <v>1483</v>
      </c>
      <c r="AB66" s="208" t="s">
        <v>1844</v>
      </c>
      <c r="AC66" s="208" t="s">
        <v>1845</v>
      </c>
      <c r="AF66" s="208">
        <v>3085.8</v>
      </c>
      <c r="AG66" s="208" t="s">
        <v>1486</v>
      </c>
      <c r="AH66" s="208" t="s">
        <v>1487</v>
      </c>
      <c r="AI66" s="208" t="s">
        <v>1488</v>
      </c>
      <c r="AJ66" s="208" t="s">
        <v>1489</v>
      </c>
      <c r="AL66" s="208" t="s">
        <v>1585</v>
      </c>
      <c r="AM66" s="208" t="s">
        <v>1846</v>
      </c>
      <c r="AN66" s="208" t="s">
        <v>1652</v>
      </c>
      <c r="AO66" s="208" t="s">
        <v>1847</v>
      </c>
      <c r="AP66" s="208" t="s">
        <v>1589</v>
      </c>
      <c r="AQ66" s="208" t="s">
        <v>1902</v>
      </c>
      <c r="AR66" s="208" t="s">
        <v>1489</v>
      </c>
      <c r="AS66" s="208" t="s">
        <v>1564</v>
      </c>
      <c r="AT66" s="208" t="s">
        <v>2120</v>
      </c>
      <c r="AU66" s="208" t="s">
        <v>2213</v>
      </c>
      <c r="AV66" s="208" t="s">
        <v>2132</v>
      </c>
      <c r="AW66" s="208" t="s">
        <v>2213</v>
      </c>
      <c r="AX66" s="208" t="s">
        <v>2115</v>
      </c>
      <c r="AY66" s="208" t="s">
        <v>1902</v>
      </c>
      <c r="AZ66" s="208" t="s">
        <v>1489</v>
      </c>
      <c r="BA66" s="208" t="s">
        <v>1564</v>
      </c>
      <c r="BB66" s="208" t="s">
        <v>2109</v>
      </c>
      <c r="BC66" s="208" t="s">
        <v>2213</v>
      </c>
      <c r="BD66" s="208" t="s">
        <v>2214</v>
      </c>
      <c r="BE66" s="208" t="s">
        <v>2215</v>
      </c>
      <c r="BF66" s="208" t="s">
        <v>2108</v>
      </c>
      <c r="BH66" s="208" t="b">
        <v>0</v>
      </c>
      <c r="BK66" s="208" t="b">
        <v>0</v>
      </c>
    </row>
    <row r="67" spans="2:63" hidden="1">
      <c r="B67" s="208">
        <v>15292</v>
      </c>
      <c r="C67" s="208" t="s">
        <v>1061</v>
      </c>
      <c r="D67" s="209">
        <v>48207</v>
      </c>
      <c r="E67" s="210">
        <v>3760168</v>
      </c>
      <c r="F67" s="210">
        <v>3196142</v>
      </c>
      <c r="H67" s="208" t="s">
        <v>17</v>
      </c>
      <c r="I67" s="208" t="s">
        <v>1555</v>
      </c>
      <c r="J67" s="208" t="s">
        <v>1468</v>
      </c>
      <c r="K67" s="208" t="s">
        <v>1469</v>
      </c>
      <c r="L67" s="208" t="s">
        <v>1470</v>
      </c>
      <c r="M67" s="208" t="s">
        <v>1668</v>
      </c>
      <c r="N67" s="208" t="s">
        <v>1471</v>
      </c>
      <c r="O67" s="208" t="s">
        <v>2220</v>
      </c>
      <c r="Q67" s="208" t="s">
        <v>2229</v>
      </c>
      <c r="R67" s="209" t="s">
        <v>1475</v>
      </c>
      <c r="S67" s="208" t="s">
        <v>2230</v>
      </c>
      <c r="T67" s="208" t="s">
        <v>2231</v>
      </c>
      <c r="U67" s="208" t="s">
        <v>1637</v>
      </c>
      <c r="V67" s="208" t="s">
        <v>2065</v>
      </c>
      <c r="W67" s="209" t="s">
        <v>2065</v>
      </c>
      <c r="X67" s="211">
        <f t="shared" si="1"/>
        <v>44770.875</v>
      </c>
      <c r="Y67" s="208" t="s">
        <v>2226</v>
      </c>
      <c r="Z67" s="208" t="s">
        <v>1482</v>
      </c>
      <c r="AA67" s="208" t="s">
        <v>1483</v>
      </c>
      <c r="AB67" s="208" t="s">
        <v>1844</v>
      </c>
      <c r="AC67" s="208" t="s">
        <v>2232</v>
      </c>
      <c r="AD67" s="208">
        <v>0</v>
      </c>
      <c r="AE67" s="208">
        <v>0</v>
      </c>
      <c r="AF67" s="208">
        <v>3085.8</v>
      </c>
      <c r="AG67" s="208" t="s">
        <v>1486</v>
      </c>
      <c r="AH67" s="208" t="s">
        <v>1487</v>
      </c>
      <c r="AI67" s="208" t="s">
        <v>1488</v>
      </c>
      <c r="AJ67" s="208" t="s">
        <v>1489</v>
      </c>
      <c r="AL67" s="208" t="s">
        <v>1635</v>
      </c>
      <c r="AM67" s="208" t="s">
        <v>1637</v>
      </c>
      <c r="AN67" s="208" t="s">
        <v>1637</v>
      </c>
      <c r="AO67" s="208" t="s">
        <v>1637</v>
      </c>
      <c r="AP67" s="208" t="s">
        <v>1638</v>
      </c>
      <c r="AQ67" s="208" t="s">
        <v>1902</v>
      </c>
      <c r="AS67" s="208" t="s">
        <v>1657</v>
      </c>
      <c r="AT67" s="208" t="s">
        <v>2230</v>
      </c>
      <c r="AU67" s="208" t="s">
        <v>1637</v>
      </c>
      <c r="AV67" s="208" t="s">
        <v>2065</v>
      </c>
      <c r="AW67" s="208" t="s">
        <v>2065</v>
      </c>
      <c r="AX67" s="208" t="s">
        <v>2229</v>
      </c>
      <c r="AY67" s="208" t="s">
        <v>1902</v>
      </c>
      <c r="BB67" s="208" t="s">
        <v>2230</v>
      </c>
      <c r="BC67" s="208" t="s">
        <v>2065</v>
      </c>
      <c r="BD67" s="208" t="s">
        <v>2065</v>
      </c>
      <c r="BE67" s="208" t="s">
        <v>2233</v>
      </c>
      <c r="BF67" s="208" t="s">
        <v>2234</v>
      </c>
      <c r="BH67" s="208" t="b">
        <v>0</v>
      </c>
      <c r="BK67" s="208" t="b">
        <v>0</v>
      </c>
    </row>
    <row r="68" spans="2:63" hidden="1">
      <c r="B68" s="208">
        <v>15292</v>
      </c>
      <c r="C68" s="208" t="s">
        <v>1061</v>
      </c>
      <c r="D68" s="209">
        <v>52218</v>
      </c>
      <c r="E68" s="210">
        <v>656000</v>
      </c>
      <c r="F68" s="210">
        <v>459000</v>
      </c>
      <c r="H68" s="208" t="s">
        <v>17</v>
      </c>
      <c r="I68" s="208" t="s">
        <v>1795</v>
      </c>
      <c r="J68" s="208" t="s">
        <v>1468</v>
      </c>
      <c r="K68" s="208" t="s">
        <v>1469</v>
      </c>
      <c r="L68" s="208" t="s">
        <v>1470</v>
      </c>
      <c r="M68" s="208" t="s">
        <v>21</v>
      </c>
      <c r="N68" s="208" t="s">
        <v>1471</v>
      </c>
      <c r="O68" s="208" t="s">
        <v>1547</v>
      </c>
      <c r="P68" s="208" t="s">
        <v>1473</v>
      </c>
      <c r="Q68" s="208" t="s">
        <v>1474</v>
      </c>
      <c r="R68" s="209" t="s">
        <v>1475</v>
      </c>
      <c r="S68" s="208" t="s">
        <v>1796</v>
      </c>
      <c r="T68" s="208" t="s">
        <v>1797</v>
      </c>
      <c r="U68" s="208" t="s">
        <v>1798</v>
      </c>
      <c r="V68" s="208" t="s">
        <v>1799</v>
      </c>
      <c r="W68" s="209" t="s">
        <v>1800</v>
      </c>
      <c r="X68" s="211">
        <f t="shared" si="1"/>
        <v>45855.727083333331</v>
      </c>
      <c r="Y68" s="208" t="s">
        <v>1481</v>
      </c>
      <c r="Z68" s="208" t="s">
        <v>1482</v>
      </c>
      <c r="AA68" s="208" t="s">
        <v>1483</v>
      </c>
      <c r="AB68" s="208" t="s">
        <v>1801</v>
      </c>
      <c r="AC68" s="208" t="s">
        <v>1509</v>
      </c>
      <c r="AD68" s="208">
        <v>331.05</v>
      </c>
      <c r="AF68" s="208">
        <v>336</v>
      </c>
      <c r="AG68" s="208" t="s">
        <v>1486</v>
      </c>
      <c r="AH68" s="208" t="s">
        <v>1487</v>
      </c>
      <c r="AI68" s="208" t="s">
        <v>1488</v>
      </c>
      <c r="AJ68" s="208" t="s">
        <v>1489</v>
      </c>
      <c r="AL68" s="208" t="s">
        <v>1490</v>
      </c>
      <c r="AM68" s="208" t="s">
        <v>1802</v>
      </c>
      <c r="AN68" s="208" t="s">
        <v>1492</v>
      </c>
      <c r="AO68" s="208" t="s">
        <v>1803</v>
      </c>
      <c r="AP68" s="208" t="s">
        <v>1494</v>
      </c>
      <c r="AT68" s="208" t="s">
        <v>1785</v>
      </c>
      <c r="AU68" s="208" t="s">
        <v>1798</v>
      </c>
      <c r="AV68" s="208" t="s">
        <v>1804</v>
      </c>
      <c r="AW68" s="208" t="s">
        <v>1798</v>
      </c>
      <c r="AX68" s="208" t="s">
        <v>1572</v>
      </c>
      <c r="BB68" s="208" t="s">
        <v>1796</v>
      </c>
      <c r="BC68" s="208" t="s">
        <v>1798</v>
      </c>
      <c r="BD68" s="208" t="s">
        <v>1799</v>
      </c>
      <c r="BE68" s="208" t="s">
        <v>1800</v>
      </c>
      <c r="BF68" s="208" t="s">
        <v>1474</v>
      </c>
      <c r="BG68" s="208" t="b">
        <v>1</v>
      </c>
      <c r="BH68" s="208" t="b">
        <v>0</v>
      </c>
      <c r="BK68" s="208" t="b">
        <v>0</v>
      </c>
    </row>
    <row r="69" spans="2:63" hidden="1">
      <c r="B69" s="208">
        <v>15292</v>
      </c>
      <c r="C69" s="208" t="s">
        <v>1061</v>
      </c>
      <c r="D69" s="209">
        <v>52218</v>
      </c>
      <c r="E69" s="210">
        <v>567000</v>
      </c>
      <c r="F69" s="210">
        <v>436000</v>
      </c>
      <c r="H69" s="208" t="s">
        <v>17</v>
      </c>
      <c r="I69" s="208" t="s">
        <v>1504</v>
      </c>
      <c r="J69" s="208" t="s">
        <v>1468</v>
      </c>
      <c r="K69" s="208" t="s">
        <v>1469</v>
      </c>
      <c r="L69" s="208" t="s">
        <v>1470</v>
      </c>
      <c r="M69" s="208" t="s">
        <v>21</v>
      </c>
      <c r="N69" s="208" t="s">
        <v>1471</v>
      </c>
      <c r="O69" s="208" t="s">
        <v>1913</v>
      </c>
      <c r="Q69" s="208" t="s">
        <v>1474</v>
      </c>
      <c r="R69" s="209" t="s">
        <v>1475</v>
      </c>
      <c r="S69" s="208" t="s">
        <v>1864</v>
      </c>
      <c r="T69" s="208" t="s">
        <v>1943</v>
      </c>
      <c r="U69" s="208" t="s">
        <v>1944</v>
      </c>
      <c r="V69" s="208" t="s">
        <v>1945</v>
      </c>
      <c r="W69" s="209" t="s">
        <v>1946</v>
      </c>
      <c r="X69" s="211">
        <f t="shared" si="1"/>
        <v>45219.719444444447</v>
      </c>
      <c r="Y69" s="208" t="s">
        <v>1481</v>
      </c>
      <c r="Z69" s="208" t="s">
        <v>1524</v>
      </c>
      <c r="AA69" s="208" t="s">
        <v>1483</v>
      </c>
      <c r="AB69" s="208" t="s">
        <v>1801</v>
      </c>
      <c r="AC69" s="208" t="s">
        <v>1509</v>
      </c>
      <c r="AD69" s="208">
        <v>180</v>
      </c>
      <c r="AF69" s="208">
        <v>336</v>
      </c>
      <c r="AG69" s="208" t="s">
        <v>1486</v>
      </c>
      <c r="AH69" s="208" t="s">
        <v>1487</v>
      </c>
      <c r="AI69" s="208" t="s">
        <v>1488</v>
      </c>
      <c r="AJ69" s="208" t="s">
        <v>1489</v>
      </c>
      <c r="AL69" s="208" t="s">
        <v>1490</v>
      </c>
      <c r="AM69" s="208" t="s">
        <v>1802</v>
      </c>
      <c r="AN69" s="208" t="s">
        <v>1492</v>
      </c>
      <c r="AO69" s="208" t="s">
        <v>1803</v>
      </c>
      <c r="AP69" s="208" t="s">
        <v>1494</v>
      </c>
      <c r="AT69" s="208" t="s">
        <v>1905</v>
      </c>
      <c r="AU69" s="208" t="s">
        <v>1944</v>
      </c>
      <c r="AV69" s="208" t="s">
        <v>1947</v>
      </c>
      <c r="AW69" s="208" t="s">
        <v>1929</v>
      </c>
      <c r="AX69" s="208" t="s">
        <v>1872</v>
      </c>
      <c r="BB69" s="208" t="s">
        <v>1864</v>
      </c>
      <c r="BC69" s="208" t="s">
        <v>1944</v>
      </c>
      <c r="BD69" s="208" t="s">
        <v>1945</v>
      </c>
      <c r="BE69" s="208" t="s">
        <v>1946</v>
      </c>
      <c r="BF69" s="208" t="s">
        <v>1474</v>
      </c>
      <c r="BG69" s="208" t="b">
        <v>1</v>
      </c>
      <c r="BH69" s="208" t="b">
        <v>1</v>
      </c>
      <c r="BK69" s="208" t="b">
        <v>0</v>
      </c>
    </row>
    <row r="70" spans="2:63" hidden="1">
      <c r="B70" s="208">
        <v>15292</v>
      </c>
      <c r="C70" s="208" t="s">
        <v>1061</v>
      </c>
      <c r="D70" s="209">
        <v>52218</v>
      </c>
      <c r="E70" s="210">
        <v>638763.36</v>
      </c>
      <c r="F70" s="210">
        <v>459909.62</v>
      </c>
      <c r="H70" s="208" t="s">
        <v>17</v>
      </c>
      <c r="I70" s="208" t="s">
        <v>1504</v>
      </c>
      <c r="J70" s="208" t="s">
        <v>1468</v>
      </c>
      <c r="K70" s="208" t="s">
        <v>1469</v>
      </c>
      <c r="L70" s="208" t="s">
        <v>1470</v>
      </c>
      <c r="M70" s="208" t="s">
        <v>1668</v>
      </c>
      <c r="N70" s="208" t="s">
        <v>1471</v>
      </c>
      <c r="O70" s="208" t="s">
        <v>2116</v>
      </c>
      <c r="P70" s="208" t="s">
        <v>2101</v>
      </c>
      <c r="Q70" s="208" t="s">
        <v>2108</v>
      </c>
      <c r="R70" s="209" t="s">
        <v>1475</v>
      </c>
      <c r="S70" s="208" t="s">
        <v>2109</v>
      </c>
      <c r="T70" s="208" t="s">
        <v>1802</v>
      </c>
      <c r="U70" s="208" t="s">
        <v>2145</v>
      </c>
      <c r="V70" s="208" t="s">
        <v>2111</v>
      </c>
      <c r="W70" s="209" t="s">
        <v>2146</v>
      </c>
      <c r="X70" s="211">
        <f t="shared" si="1"/>
        <v>45035.770833333336</v>
      </c>
      <c r="Y70" s="208" t="s">
        <v>1481</v>
      </c>
      <c r="Z70" s="208" t="s">
        <v>1482</v>
      </c>
      <c r="AA70" s="208" t="s">
        <v>1483</v>
      </c>
      <c r="AB70" s="208" t="s">
        <v>1801</v>
      </c>
      <c r="AC70" s="208" t="s">
        <v>1509</v>
      </c>
      <c r="AD70" s="208">
        <v>180</v>
      </c>
      <c r="AF70" s="208">
        <v>336</v>
      </c>
      <c r="AG70" s="208" t="s">
        <v>1486</v>
      </c>
      <c r="AH70" s="208" t="s">
        <v>1487</v>
      </c>
      <c r="AI70" s="208" t="s">
        <v>1488</v>
      </c>
      <c r="AJ70" s="208" t="s">
        <v>1489</v>
      </c>
      <c r="AL70" s="208" t="s">
        <v>1490</v>
      </c>
      <c r="AM70" s="208" t="s">
        <v>1802</v>
      </c>
      <c r="AN70" s="208" t="s">
        <v>1492</v>
      </c>
      <c r="AO70" s="208" t="s">
        <v>1803</v>
      </c>
      <c r="AP70" s="208" t="s">
        <v>1494</v>
      </c>
      <c r="AQ70" s="208" t="s">
        <v>1902</v>
      </c>
      <c r="AR70" s="208" t="s">
        <v>1489</v>
      </c>
      <c r="AS70" s="208" t="s">
        <v>2122</v>
      </c>
      <c r="AT70" s="208" t="s">
        <v>2147</v>
      </c>
      <c r="AU70" s="208" t="s">
        <v>2145</v>
      </c>
      <c r="AV70" s="208" t="s">
        <v>2148</v>
      </c>
      <c r="AW70" s="208" t="s">
        <v>2145</v>
      </c>
      <c r="AX70" s="208" t="s">
        <v>2115</v>
      </c>
      <c r="AY70" s="208" t="s">
        <v>1902</v>
      </c>
      <c r="AZ70" s="208" t="s">
        <v>1489</v>
      </c>
      <c r="BA70" s="208" t="s">
        <v>2122</v>
      </c>
      <c r="BB70" s="208" t="s">
        <v>2109</v>
      </c>
      <c r="BC70" s="208" t="s">
        <v>2145</v>
      </c>
      <c r="BD70" s="208" t="s">
        <v>2111</v>
      </c>
      <c r="BE70" s="208" t="s">
        <v>2146</v>
      </c>
      <c r="BF70" s="208" t="s">
        <v>2108</v>
      </c>
      <c r="BG70" s="208" t="b">
        <v>1</v>
      </c>
      <c r="BH70" s="208" t="b">
        <v>0</v>
      </c>
      <c r="BK70" s="208" t="b">
        <v>0</v>
      </c>
    </row>
    <row r="71" spans="2:63" hidden="1">
      <c r="B71" s="208">
        <v>15292</v>
      </c>
      <c r="C71" s="208" t="s">
        <v>1061</v>
      </c>
      <c r="D71" s="209">
        <v>52218</v>
      </c>
      <c r="E71" s="210">
        <v>950578</v>
      </c>
      <c r="F71" s="210">
        <v>693922</v>
      </c>
      <c r="H71" s="208" t="s">
        <v>17</v>
      </c>
      <c r="I71" s="208" t="s">
        <v>1784</v>
      </c>
      <c r="J71" s="208" t="s">
        <v>1468</v>
      </c>
      <c r="K71" s="208" t="s">
        <v>1469</v>
      </c>
      <c r="L71" s="208" t="s">
        <v>1470</v>
      </c>
      <c r="M71" s="208" t="s">
        <v>1668</v>
      </c>
      <c r="N71" s="208" t="s">
        <v>1471</v>
      </c>
      <c r="O71" s="208" t="s">
        <v>2220</v>
      </c>
      <c r="Q71" s="208" t="s">
        <v>2229</v>
      </c>
      <c r="R71" s="209" t="s">
        <v>1475</v>
      </c>
      <c r="S71" s="208" t="s">
        <v>2230</v>
      </c>
      <c r="T71" s="208" t="s">
        <v>2285</v>
      </c>
      <c r="U71" s="208" t="s">
        <v>1637</v>
      </c>
      <c r="V71" s="208" t="s">
        <v>2065</v>
      </c>
      <c r="W71" s="209" t="s">
        <v>2065</v>
      </c>
      <c r="X71" s="211">
        <f t="shared" si="1"/>
        <v>44770.875</v>
      </c>
      <c r="Y71" s="208" t="s">
        <v>2226</v>
      </c>
      <c r="Z71" s="208" t="s">
        <v>1482</v>
      </c>
      <c r="AA71" s="208" t="s">
        <v>1483</v>
      </c>
      <c r="AB71" s="208" t="s">
        <v>2286</v>
      </c>
      <c r="AC71" s="208" t="s">
        <v>1509</v>
      </c>
      <c r="AD71" s="208">
        <v>200</v>
      </c>
      <c r="AE71" s="208">
        <v>0</v>
      </c>
      <c r="AF71" s="208">
        <v>336</v>
      </c>
      <c r="AG71" s="208" t="s">
        <v>1486</v>
      </c>
      <c r="AH71" s="208" t="s">
        <v>1487</v>
      </c>
      <c r="AI71" s="208" t="s">
        <v>1488</v>
      </c>
      <c r="AJ71" s="208" t="s">
        <v>1489</v>
      </c>
      <c r="AL71" s="208" t="s">
        <v>1635</v>
      </c>
      <c r="AM71" s="208" t="s">
        <v>1637</v>
      </c>
      <c r="AN71" s="208" t="s">
        <v>1637</v>
      </c>
      <c r="AO71" s="208" t="s">
        <v>1637</v>
      </c>
      <c r="AP71" s="208" t="s">
        <v>1638</v>
      </c>
      <c r="AQ71" s="208" t="s">
        <v>1902</v>
      </c>
      <c r="AS71" s="208" t="s">
        <v>1564</v>
      </c>
      <c r="AT71" s="208" t="s">
        <v>2230</v>
      </c>
      <c r="AU71" s="208" t="s">
        <v>1637</v>
      </c>
      <c r="AV71" s="208" t="s">
        <v>2065</v>
      </c>
      <c r="AW71" s="208" t="s">
        <v>2065</v>
      </c>
      <c r="AX71" s="208" t="s">
        <v>2229</v>
      </c>
      <c r="AY71" s="208" t="s">
        <v>1902</v>
      </c>
      <c r="BB71" s="208" t="s">
        <v>2230</v>
      </c>
      <c r="BC71" s="208" t="s">
        <v>2065</v>
      </c>
      <c r="BD71" s="208" t="s">
        <v>2065</v>
      </c>
      <c r="BE71" s="208" t="s">
        <v>2065</v>
      </c>
      <c r="BF71" s="208" t="s">
        <v>2108</v>
      </c>
      <c r="BH71" s="208" t="b">
        <v>0</v>
      </c>
      <c r="BK71" s="208" t="b">
        <v>0</v>
      </c>
    </row>
    <row r="72" spans="2:63" hidden="1">
      <c r="B72" s="208">
        <v>15292</v>
      </c>
      <c r="C72" s="208" t="s">
        <v>1061</v>
      </c>
      <c r="D72" s="209">
        <v>52218</v>
      </c>
      <c r="E72" s="210">
        <v>475513</v>
      </c>
      <c r="F72" s="210">
        <v>342369</v>
      </c>
      <c r="H72" s="208" t="s">
        <v>17</v>
      </c>
      <c r="I72" s="208" t="s">
        <v>2290</v>
      </c>
      <c r="J72" s="208" t="s">
        <v>1468</v>
      </c>
      <c r="K72" s="208" t="s">
        <v>1469</v>
      </c>
      <c r="L72" s="208" t="s">
        <v>1470</v>
      </c>
      <c r="M72" s="208" t="s">
        <v>1668</v>
      </c>
      <c r="N72" s="208" t="s">
        <v>1471</v>
      </c>
      <c r="O72" s="208" t="s">
        <v>2220</v>
      </c>
      <c r="Q72" s="208" t="s">
        <v>2235</v>
      </c>
      <c r="R72" s="209" t="s">
        <v>1475</v>
      </c>
      <c r="S72" s="208" t="s">
        <v>2222</v>
      </c>
      <c r="T72" s="208" t="s">
        <v>2266</v>
      </c>
      <c r="U72" s="208" t="s">
        <v>1519</v>
      </c>
      <c r="V72" s="208" t="s">
        <v>2237</v>
      </c>
      <c r="W72" s="209" t="s">
        <v>2228</v>
      </c>
      <c r="X72" s="211">
        <f t="shared" si="1"/>
        <v>44727.875</v>
      </c>
      <c r="Y72" s="208" t="s">
        <v>2226</v>
      </c>
      <c r="Z72" s="208" t="s">
        <v>1482</v>
      </c>
      <c r="AA72" s="208" t="s">
        <v>1483</v>
      </c>
      <c r="AB72" s="208" t="s">
        <v>2308</v>
      </c>
      <c r="AC72" s="208" t="s">
        <v>1509</v>
      </c>
      <c r="AD72" s="208">
        <v>180</v>
      </c>
      <c r="AE72" s="208">
        <v>0</v>
      </c>
      <c r="AF72" s="208">
        <v>336</v>
      </c>
      <c r="AG72" s="208" t="s">
        <v>1486</v>
      </c>
      <c r="AH72" s="208" t="s">
        <v>1487</v>
      </c>
      <c r="AI72" s="208" t="s">
        <v>1488</v>
      </c>
      <c r="AJ72" s="208" t="s">
        <v>1489</v>
      </c>
      <c r="AL72" s="208" t="s">
        <v>1517</v>
      </c>
      <c r="AM72" s="208" t="s">
        <v>1519</v>
      </c>
      <c r="AN72" s="208" t="s">
        <v>1519</v>
      </c>
      <c r="AO72" s="208" t="s">
        <v>1624</v>
      </c>
      <c r="AP72" s="208" t="s">
        <v>1521</v>
      </c>
      <c r="AQ72" s="208" t="s">
        <v>1902</v>
      </c>
      <c r="AS72" s="208" t="s">
        <v>1564</v>
      </c>
      <c r="AT72" s="208" t="s">
        <v>2222</v>
      </c>
      <c r="AU72" s="208" t="s">
        <v>1519</v>
      </c>
      <c r="AV72" s="208" t="s">
        <v>2237</v>
      </c>
      <c r="AW72" s="208" t="s">
        <v>2228</v>
      </c>
      <c r="AX72" s="208" t="s">
        <v>2235</v>
      </c>
      <c r="AY72" s="208" t="s">
        <v>1902</v>
      </c>
      <c r="BB72" s="208" t="s">
        <v>2222</v>
      </c>
      <c r="BC72" s="208" t="s">
        <v>2228</v>
      </c>
      <c r="BD72" s="208" t="s">
        <v>2237</v>
      </c>
      <c r="BE72" s="208" t="s">
        <v>2239</v>
      </c>
      <c r="BF72" s="208" t="s">
        <v>2240</v>
      </c>
      <c r="BH72" s="208" t="b">
        <v>0</v>
      </c>
      <c r="BK72" s="208" t="b">
        <v>0</v>
      </c>
    </row>
    <row r="73" spans="2:63" hidden="1">
      <c r="B73" s="208">
        <v>15292</v>
      </c>
      <c r="C73" s="208" t="s">
        <v>1061</v>
      </c>
      <c r="D73" s="209">
        <v>53194</v>
      </c>
      <c r="E73" s="210">
        <v>414000</v>
      </c>
      <c r="F73" s="210">
        <v>290000</v>
      </c>
      <c r="H73" s="208" t="s">
        <v>17</v>
      </c>
      <c r="I73" s="208" t="s">
        <v>1555</v>
      </c>
      <c r="J73" s="208" t="s">
        <v>1468</v>
      </c>
      <c r="K73" s="208" t="s">
        <v>1469</v>
      </c>
      <c r="L73" s="208" t="s">
        <v>1470</v>
      </c>
      <c r="M73" s="208" t="s">
        <v>21</v>
      </c>
      <c r="N73" s="208" t="s">
        <v>1471</v>
      </c>
      <c r="O73" s="208" t="s">
        <v>1472</v>
      </c>
      <c r="P73" s="208" t="s">
        <v>1473</v>
      </c>
      <c r="Q73" s="208" t="s">
        <v>1474</v>
      </c>
      <c r="R73" s="209" t="s">
        <v>1475</v>
      </c>
      <c r="S73" s="208" t="s">
        <v>1590</v>
      </c>
      <c r="T73" s="208" t="s">
        <v>1597</v>
      </c>
      <c r="U73" s="208" t="s">
        <v>1598</v>
      </c>
      <c r="V73" s="208" t="s">
        <v>1591</v>
      </c>
      <c r="W73" s="209" t="s">
        <v>1599</v>
      </c>
      <c r="X73" s="211">
        <f t="shared" si="1"/>
        <v>45937.429166666669</v>
      </c>
      <c r="Y73" s="208" t="s">
        <v>1481</v>
      </c>
      <c r="Z73" s="208" t="s">
        <v>1482</v>
      </c>
      <c r="AA73" s="208" t="s">
        <v>1483</v>
      </c>
      <c r="AB73" s="208" t="s">
        <v>1600</v>
      </c>
      <c r="AC73" s="208" t="s">
        <v>1601</v>
      </c>
      <c r="AF73" s="208">
        <v>390</v>
      </c>
      <c r="AG73" s="208" t="s">
        <v>1486</v>
      </c>
      <c r="AH73" s="208" t="s">
        <v>1487</v>
      </c>
      <c r="AI73" s="208" t="s">
        <v>1488</v>
      </c>
      <c r="AJ73" s="208" t="s">
        <v>1489</v>
      </c>
      <c r="AL73" s="208" t="s">
        <v>1585</v>
      </c>
      <c r="AM73" s="208" t="s">
        <v>1602</v>
      </c>
      <c r="AN73" s="208" t="s">
        <v>1603</v>
      </c>
      <c r="AO73" s="208" t="s">
        <v>1604</v>
      </c>
      <c r="AP73" s="208" t="s">
        <v>1589</v>
      </c>
      <c r="AT73" s="208" t="s">
        <v>1578</v>
      </c>
      <c r="AU73" s="208" t="s">
        <v>1598</v>
      </c>
      <c r="AV73" s="208" t="s">
        <v>1605</v>
      </c>
      <c r="AW73" s="208" t="s">
        <v>1598</v>
      </c>
      <c r="AX73" s="208" t="s">
        <v>1572</v>
      </c>
      <c r="BB73" s="208" t="s">
        <v>1590</v>
      </c>
      <c r="BC73" s="208" t="s">
        <v>1598</v>
      </c>
      <c r="BD73" s="208" t="s">
        <v>1591</v>
      </c>
      <c r="BE73" s="208" t="s">
        <v>1599</v>
      </c>
      <c r="BF73" s="208" t="s">
        <v>1474</v>
      </c>
      <c r="BH73" s="208" t="b">
        <v>0</v>
      </c>
      <c r="BK73" s="208" t="b">
        <v>0</v>
      </c>
    </row>
    <row r="74" spans="2:63" hidden="1">
      <c r="B74" s="208">
        <v>15292</v>
      </c>
      <c r="C74" s="208" t="s">
        <v>1061</v>
      </c>
      <c r="D74" s="209">
        <v>53194</v>
      </c>
      <c r="E74" s="210">
        <v>282000</v>
      </c>
      <c r="F74" s="210">
        <v>222000</v>
      </c>
      <c r="H74" s="208" t="s">
        <v>17</v>
      </c>
      <c r="I74" s="208" t="s">
        <v>1555</v>
      </c>
      <c r="J74" s="208" t="s">
        <v>1468</v>
      </c>
      <c r="K74" s="208" t="s">
        <v>1469</v>
      </c>
      <c r="L74" s="208" t="s">
        <v>1470</v>
      </c>
      <c r="M74" s="208" t="s">
        <v>21</v>
      </c>
      <c r="N74" s="208" t="s">
        <v>1471</v>
      </c>
      <c r="O74" s="208" t="s">
        <v>1474</v>
      </c>
      <c r="P74" s="208" t="s">
        <v>1838</v>
      </c>
      <c r="Q74" s="208" t="s">
        <v>1474</v>
      </c>
      <c r="R74" s="209" t="s">
        <v>1475</v>
      </c>
      <c r="S74" s="208" t="s">
        <v>1864</v>
      </c>
      <c r="T74" s="208" t="s">
        <v>1865</v>
      </c>
      <c r="U74" s="208" t="s">
        <v>1866</v>
      </c>
      <c r="V74" s="208" t="s">
        <v>1867</v>
      </c>
      <c r="W74" s="209" t="s">
        <v>1868</v>
      </c>
      <c r="X74" s="211">
        <f t="shared" si="1"/>
        <v>45219.734722222223</v>
      </c>
      <c r="Y74" s="208" t="s">
        <v>1481</v>
      </c>
      <c r="Z74" s="208" t="s">
        <v>1524</v>
      </c>
      <c r="AA74" s="208" t="s">
        <v>1483</v>
      </c>
      <c r="AB74" s="208" t="s">
        <v>1600</v>
      </c>
      <c r="AC74" s="208" t="s">
        <v>1601</v>
      </c>
      <c r="AF74" s="208">
        <v>390</v>
      </c>
      <c r="AG74" s="208" t="s">
        <v>1486</v>
      </c>
      <c r="AH74" s="208" t="s">
        <v>1487</v>
      </c>
      <c r="AI74" s="208" t="s">
        <v>1488</v>
      </c>
      <c r="AJ74" s="208" t="s">
        <v>1489</v>
      </c>
      <c r="AL74" s="208" t="s">
        <v>1585</v>
      </c>
      <c r="AM74" s="208" t="s">
        <v>1602</v>
      </c>
      <c r="AN74" s="208" t="s">
        <v>1603</v>
      </c>
      <c r="AO74" s="208" t="s">
        <v>1604</v>
      </c>
      <c r="AP74" s="208" t="s">
        <v>1589</v>
      </c>
      <c r="AT74" s="208" t="s">
        <v>1869</v>
      </c>
      <c r="AU74" s="208" t="s">
        <v>1866</v>
      </c>
      <c r="AV74" s="208" t="s">
        <v>1870</v>
      </c>
      <c r="AW74" s="208" t="s">
        <v>1871</v>
      </c>
      <c r="AX74" s="208" t="s">
        <v>1872</v>
      </c>
      <c r="BB74" s="208" t="s">
        <v>1864</v>
      </c>
      <c r="BC74" s="208" t="s">
        <v>1866</v>
      </c>
      <c r="BD74" s="208" t="s">
        <v>1867</v>
      </c>
      <c r="BE74" s="208" t="s">
        <v>1868</v>
      </c>
      <c r="BF74" s="208" t="s">
        <v>1474</v>
      </c>
      <c r="BH74" s="208" t="b">
        <v>1</v>
      </c>
      <c r="BK74" s="208" t="b">
        <v>0</v>
      </c>
    </row>
    <row r="75" spans="2:63" hidden="1">
      <c r="B75" s="208">
        <v>15292</v>
      </c>
      <c r="C75" s="208" t="s">
        <v>1061</v>
      </c>
      <c r="D75" s="209">
        <v>53194</v>
      </c>
      <c r="E75" s="210">
        <v>627000</v>
      </c>
      <c r="F75" s="210">
        <v>445000</v>
      </c>
      <c r="H75" s="208" t="s">
        <v>17</v>
      </c>
      <c r="I75" s="208" t="s">
        <v>1795</v>
      </c>
      <c r="J75" s="208" t="s">
        <v>1468</v>
      </c>
      <c r="K75" s="208" t="s">
        <v>1469</v>
      </c>
      <c r="L75" s="208" t="s">
        <v>1685</v>
      </c>
      <c r="M75" s="208" t="s">
        <v>23</v>
      </c>
      <c r="N75" s="208" t="s">
        <v>1471</v>
      </c>
      <c r="O75" s="208" t="s">
        <v>1904</v>
      </c>
      <c r="P75" s="208" t="s">
        <v>1626</v>
      </c>
      <c r="Q75" s="208" t="s">
        <v>1474</v>
      </c>
      <c r="R75" s="209" t="s">
        <v>1475</v>
      </c>
      <c r="S75" s="208" t="s">
        <v>1905</v>
      </c>
      <c r="T75" s="208" t="s">
        <v>1906</v>
      </c>
      <c r="U75" s="208" t="s">
        <v>1907</v>
      </c>
      <c r="V75" s="208" t="s">
        <v>1908</v>
      </c>
      <c r="W75" s="209" t="s">
        <v>1909</v>
      </c>
      <c r="X75" s="211">
        <f t="shared" si="1"/>
        <v>45117.640277777777</v>
      </c>
      <c r="Y75" s="208" t="s">
        <v>1481</v>
      </c>
      <c r="Z75" s="208" t="s">
        <v>1524</v>
      </c>
      <c r="AA75" s="208" t="s">
        <v>1483</v>
      </c>
      <c r="AB75" s="208" t="s">
        <v>1910</v>
      </c>
      <c r="AC75" s="208" t="s">
        <v>1485</v>
      </c>
      <c r="AD75" s="208">
        <v>225.56</v>
      </c>
      <c r="AF75" s="208">
        <v>523.74</v>
      </c>
      <c r="AG75" s="208" t="s">
        <v>1486</v>
      </c>
      <c r="AH75" s="208" t="s">
        <v>1487</v>
      </c>
      <c r="AI75" s="208" t="s">
        <v>1488</v>
      </c>
      <c r="AJ75" s="208" t="s">
        <v>1489</v>
      </c>
      <c r="AL75" s="208" t="s">
        <v>1517</v>
      </c>
      <c r="AM75" s="208" t="s">
        <v>1911</v>
      </c>
      <c r="AN75" s="208" t="s">
        <v>1519</v>
      </c>
      <c r="AO75" s="208" t="s">
        <v>1624</v>
      </c>
      <c r="AP75" s="208" t="s">
        <v>1521</v>
      </c>
      <c r="AT75" s="208" t="s">
        <v>1905</v>
      </c>
      <c r="AU75" s="208" t="s">
        <v>1907</v>
      </c>
      <c r="AV75" s="208" t="s">
        <v>1912</v>
      </c>
      <c r="AW75" s="208" t="s">
        <v>1907</v>
      </c>
      <c r="AX75" s="208" t="s">
        <v>1872</v>
      </c>
      <c r="BB75" s="208" t="s">
        <v>1905</v>
      </c>
      <c r="BC75" s="208" t="s">
        <v>1907</v>
      </c>
      <c r="BD75" s="208" t="s">
        <v>1908</v>
      </c>
      <c r="BE75" s="208" t="s">
        <v>1909</v>
      </c>
      <c r="BF75" s="208" t="s">
        <v>1474</v>
      </c>
      <c r="BG75" s="208" t="b">
        <v>1</v>
      </c>
      <c r="BH75" s="208" t="b">
        <v>0</v>
      </c>
      <c r="BK75" s="208" t="b">
        <v>0</v>
      </c>
    </row>
    <row r="76" spans="2:63" hidden="1">
      <c r="B76" s="208">
        <v>15292</v>
      </c>
      <c r="C76" s="208" t="s">
        <v>1061</v>
      </c>
      <c r="D76" s="209">
        <v>53194</v>
      </c>
      <c r="E76" s="210">
        <v>217696.1</v>
      </c>
      <c r="F76" s="210">
        <v>176333.84</v>
      </c>
      <c r="H76" s="208" t="s">
        <v>17</v>
      </c>
      <c r="I76" s="208" t="s">
        <v>1555</v>
      </c>
      <c r="J76" s="208" t="s">
        <v>1468</v>
      </c>
      <c r="K76" s="208" t="s">
        <v>1469</v>
      </c>
      <c r="L76" s="208" t="s">
        <v>1470</v>
      </c>
      <c r="M76" s="208" t="s">
        <v>1668</v>
      </c>
      <c r="N76" s="208" t="s">
        <v>1471</v>
      </c>
      <c r="O76" s="208" t="s">
        <v>2116</v>
      </c>
      <c r="P76" s="208" t="s">
        <v>2101</v>
      </c>
      <c r="Q76" s="208" t="s">
        <v>2108</v>
      </c>
      <c r="R76" s="209" t="s">
        <v>1475</v>
      </c>
      <c r="S76" s="208" t="s">
        <v>2109</v>
      </c>
      <c r="T76" s="208" t="s">
        <v>2191</v>
      </c>
      <c r="U76" s="208" t="s">
        <v>2192</v>
      </c>
      <c r="V76" s="208" t="s">
        <v>2124</v>
      </c>
      <c r="W76" s="209" t="s">
        <v>2193</v>
      </c>
      <c r="X76" s="211">
        <f t="shared" si="1"/>
        <v>45036.472916666666</v>
      </c>
      <c r="Y76" s="208" t="s">
        <v>1481</v>
      </c>
      <c r="Z76" s="208" t="s">
        <v>1482</v>
      </c>
      <c r="AA76" s="208" t="s">
        <v>1483</v>
      </c>
      <c r="AB76" s="208" t="s">
        <v>1600</v>
      </c>
      <c r="AC76" s="208" t="s">
        <v>1601</v>
      </c>
      <c r="AF76" s="208">
        <v>390</v>
      </c>
      <c r="AG76" s="208" t="s">
        <v>1486</v>
      </c>
      <c r="AH76" s="208" t="s">
        <v>1487</v>
      </c>
      <c r="AI76" s="208" t="s">
        <v>1488</v>
      </c>
      <c r="AJ76" s="208" t="s">
        <v>1489</v>
      </c>
      <c r="AL76" s="208" t="s">
        <v>1585</v>
      </c>
      <c r="AM76" s="208" t="s">
        <v>1602</v>
      </c>
      <c r="AN76" s="208" t="s">
        <v>1603</v>
      </c>
      <c r="AO76" s="208" t="s">
        <v>1604</v>
      </c>
      <c r="AP76" s="208" t="s">
        <v>1589</v>
      </c>
      <c r="AQ76" s="208" t="s">
        <v>1902</v>
      </c>
      <c r="AR76" s="208" t="s">
        <v>1489</v>
      </c>
      <c r="AS76" s="208" t="s">
        <v>1564</v>
      </c>
      <c r="AT76" s="208" t="s">
        <v>2120</v>
      </c>
      <c r="AU76" s="208" t="s">
        <v>2192</v>
      </c>
      <c r="AV76" s="208" t="s">
        <v>2121</v>
      </c>
      <c r="AW76" s="208" t="s">
        <v>2192</v>
      </c>
      <c r="AX76" s="208" t="s">
        <v>2115</v>
      </c>
      <c r="AY76" s="208" t="s">
        <v>1902</v>
      </c>
      <c r="AZ76" s="208" t="s">
        <v>1489</v>
      </c>
      <c r="BA76" s="208" t="s">
        <v>1564</v>
      </c>
      <c r="BB76" s="208" t="s">
        <v>2109</v>
      </c>
      <c r="BC76" s="208" t="s">
        <v>2192</v>
      </c>
      <c r="BD76" s="208" t="s">
        <v>2124</v>
      </c>
      <c r="BE76" s="208" t="s">
        <v>2193</v>
      </c>
      <c r="BF76" s="208" t="s">
        <v>2108</v>
      </c>
      <c r="BH76" s="208" t="b">
        <v>0</v>
      </c>
      <c r="BK76" s="208" t="b">
        <v>0</v>
      </c>
    </row>
    <row r="77" spans="2:63" hidden="1">
      <c r="B77" s="208">
        <v>15292</v>
      </c>
      <c r="C77" s="208" t="s">
        <v>1061</v>
      </c>
      <c r="D77" s="209">
        <v>53194</v>
      </c>
      <c r="E77" s="210">
        <v>219948</v>
      </c>
      <c r="F77" s="210">
        <v>175958</v>
      </c>
      <c r="H77" s="208" t="s">
        <v>17</v>
      </c>
      <c r="I77" s="208" t="s">
        <v>1555</v>
      </c>
      <c r="J77" s="208" t="s">
        <v>1468</v>
      </c>
      <c r="K77" s="208" t="s">
        <v>1469</v>
      </c>
      <c r="L77" s="208" t="s">
        <v>1470</v>
      </c>
      <c r="M77" s="208" t="s">
        <v>2099</v>
      </c>
      <c r="N77" s="208" t="s">
        <v>1471</v>
      </c>
      <c r="O77" s="208" t="s">
        <v>2220</v>
      </c>
      <c r="Q77" s="208" t="s">
        <v>2241</v>
      </c>
      <c r="R77" s="209" t="s">
        <v>1475</v>
      </c>
      <c r="S77" s="208" t="s">
        <v>2230</v>
      </c>
      <c r="T77" s="208" t="s">
        <v>2285</v>
      </c>
      <c r="U77" s="208" t="s">
        <v>1637</v>
      </c>
      <c r="V77" s="208" t="s">
        <v>2233</v>
      </c>
      <c r="W77" s="209" t="s">
        <v>2233</v>
      </c>
      <c r="X77" s="211">
        <f t="shared" si="1"/>
        <v>44773.875</v>
      </c>
      <c r="Y77" s="208" t="s">
        <v>2226</v>
      </c>
      <c r="Z77" s="208" t="s">
        <v>1482</v>
      </c>
      <c r="AA77" s="208" t="s">
        <v>1483</v>
      </c>
      <c r="AB77" s="208" t="s">
        <v>1600</v>
      </c>
      <c r="AC77" s="208" t="s">
        <v>2232</v>
      </c>
      <c r="AD77" s="208">
        <v>0</v>
      </c>
      <c r="AE77" s="208">
        <v>0</v>
      </c>
      <c r="AF77" s="208">
        <v>390</v>
      </c>
      <c r="AG77" s="208" t="s">
        <v>1486</v>
      </c>
      <c r="AH77" s="208" t="s">
        <v>1487</v>
      </c>
      <c r="AI77" s="208" t="s">
        <v>1488</v>
      </c>
      <c r="AJ77" s="208" t="s">
        <v>1489</v>
      </c>
      <c r="AL77" s="208" t="s">
        <v>1635</v>
      </c>
      <c r="AM77" s="208" t="s">
        <v>1637</v>
      </c>
      <c r="AN77" s="208" t="s">
        <v>1637</v>
      </c>
      <c r="AO77" s="208" t="s">
        <v>1637</v>
      </c>
      <c r="AP77" s="208" t="s">
        <v>1638</v>
      </c>
      <c r="AQ77" s="208" t="s">
        <v>1902</v>
      </c>
      <c r="AS77" s="208" t="s">
        <v>1564</v>
      </c>
      <c r="AT77" s="208" t="s">
        <v>2230</v>
      </c>
      <c r="AU77" s="208" t="s">
        <v>1637</v>
      </c>
      <c r="AV77" s="208" t="s">
        <v>2233</v>
      </c>
      <c r="AW77" s="208" t="s">
        <v>2233</v>
      </c>
      <c r="AX77" s="208" t="s">
        <v>2241</v>
      </c>
      <c r="AY77" s="208" t="s">
        <v>1902</v>
      </c>
      <c r="BB77" s="208" t="s">
        <v>2230</v>
      </c>
      <c r="BC77" s="208" t="s">
        <v>2233</v>
      </c>
      <c r="BD77" s="208" t="s">
        <v>2233</v>
      </c>
      <c r="BE77" s="208" t="s">
        <v>2233</v>
      </c>
      <c r="BH77" s="208" t="b">
        <v>0</v>
      </c>
      <c r="BK77" s="208" t="b">
        <v>0</v>
      </c>
    </row>
    <row r="78" spans="2:63" hidden="1">
      <c r="B78" s="208">
        <v>15292</v>
      </c>
      <c r="C78" s="208" t="s">
        <v>1061</v>
      </c>
      <c r="D78" s="209">
        <v>53194</v>
      </c>
      <c r="E78" s="210">
        <v>581714</v>
      </c>
      <c r="F78" s="210">
        <v>436285</v>
      </c>
      <c r="H78" s="208" t="s">
        <v>17</v>
      </c>
      <c r="I78" s="208" t="s">
        <v>2290</v>
      </c>
      <c r="J78" s="208" t="s">
        <v>1468</v>
      </c>
      <c r="K78" s="208" t="s">
        <v>1469</v>
      </c>
      <c r="L78" s="208" t="s">
        <v>1685</v>
      </c>
      <c r="M78" s="208" t="s">
        <v>2099</v>
      </c>
      <c r="N78" s="208" t="s">
        <v>1471</v>
      </c>
      <c r="O78" s="208" t="s">
        <v>2220</v>
      </c>
      <c r="Q78" s="208" t="s">
        <v>2235</v>
      </c>
      <c r="R78" s="209" t="s">
        <v>1475</v>
      </c>
      <c r="S78" s="208" t="s">
        <v>2222</v>
      </c>
      <c r="T78" s="208" t="s">
        <v>2261</v>
      </c>
      <c r="U78" s="208" t="s">
        <v>1519</v>
      </c>
      <c r="V78" s="208" t="s">
        <v>2224</v>
      </c>
      <c r="W78" s="209" t="s">
        <v>2291</v>
      </c>
      <c r="X78" s="211">
        <f t="shared" si="1"/>
        <v>44719.875</v>
      </c>
      <c r="Y78" s="208" t="s">
        <v>2226</v>
      </c>
      <c r="Z78" s="208" t="s">
        <v>1482</v>
      </c>
      <c r="AA78" s="208" t="s">
        <v>1483</v>
      </c>
      <c r="AB78" s="208" t="s">
        <v>1910</v>
      </c>
      <c r="AC78" s="208" t="s">
        <v>1485</v>
      </c>
      <c r="AD78" s="208">
        <v>225.56</v>
      </c>
      <c r="AE78" s="208">
        <v>0</v>
      </c>
      <c r="AF78" s="208">
        <v>523.74</v>
      </c>
      <c r="AG78" s="208" t="s">
        <v>1486</v>
      </c>
      <c r="AH78" s="208" t="s">
        <v>1487</v>
      </c>
      <c r="AI78" s="208" t="s">
        <v>1488</v>
      </c>
      <c r="AJ78" s="208" t="s">
        <v>1489</v>
      </c>
      <c r="AL78" s="208" t="s">
        <v>1517</v>
      </c>
      <c r="AM78" s="208" t="s">
        <v>1519</v>
      </c>
      <c r="AN78" s="208" t="s">
        <v>1519</v>
      </c>
      <c r="AO78" s="208" t="s">
        <v>1624</v>
      </c>
      <c r="AP78" s="208" t="s">
        <v>1521</v>
      </c>
      <c r="AQ78" s="208" t="s">
        <v>1902</v>
      </c>
      <c r="AS78" s="208" t="s">
        <v>1564</v>
      </c>
      <c r="AT78" s="208" t="s">
        <v>2222</v>
      </c>
      <c r="AU78" s="208" t="s">
        <v>1519</v>
      </c>
      <c r="AV78" s="208" t="s">
        <v>2224</v>
      </c>
      <c r="AW78" s="208" t="s">
        <v>2291</v>
      </c>
      <c r="AX78" s="208" t="s">
        <v>2235</v>
      </c>
      <c r="AY78" s="208" t="s">
        <v>1902</v>
      </c>
      <c r="BB78" s="208" t="s">
        <v>2222</v>
      </c>
      <c r="BC78" s="208" t="s">
        <v>2291</v>
      </c>
      <c r="BD78" s="208" t="s">
        <v>2224</v>
      </c>
      <c r="BE78" s="208" t="s">
        <v>2239</v>
      </c>
      <c r="BF78" s="208" t="s">
        <v>2240</v>
      </c>
      <c r="BH78" s="208" t="b">
        <v>0</v>
      </c>
      <c r="BK78" s="208" t="b">
        <v>0</v>
      </c>
    </row>
    <row r="79" spans="2:63" hidden="1">
      <c r="B79" s="208">
        <v>15292</v>
      </c>
      <c r="C79" s="208" t="s">
        <v>1061</v>
      </c>
      <c r="D79" s="209">
        <v>59250</v>
      </c>
      <c r="E79" s="210">
        <v>232000</v>
      </c>
      <c r="F79" s="210">
        <v>165000</v>
      </c>
      <c r="H79" s="208" t="s">
        <v>17</v>
      </c>
      <c r="I79" s="208" t="s">
        <v>1467</v>
      </c>
      <c r="J79" s="208" t="s">
        <v>1468</v>
      </c>
      <c r="K79" s="208" t="s">
        <v>1469</v>
      </c>
      <c r="L79" s="208" t="s">
        <v>1470</v>
      </c>
      <c r="M79" s="208" t="s">
        <v>21</v>
      </c>
      <c r="N79" s="208" t="s">
        <v>1471</v>
      </c>
      <c r="O79" s="208" t="s">
        <v>1547</v>
      </c>
      <c r="P79" s="208" t="s">
        <v>1473</v>
      </c>
      <c r="Q79" s="208" t="s">
        <v>1474</v>
      </c>
      <c r="R79" s="209" t="s">
        <v>1475</v>
      </c>
      <c r="S79" s="208" t="s">
        <v>1548</v>
      </c>
      <c r="T79" s="208" t="s">
        <v>1549</v>
      </c>
      <c r="U79" s="208" t="s">
        <v>1550</v>
      </c>
      <c r="V79" s="208" t="s">
        <v>1551</v>
      </c>
      <c r="W79" s="209" t="s">
        <v>1552</v>
      </c>
      <c r="X79" s="211">
        <f t="shared" si="1"/>
        <v>45980.42291666667</v>
      </c>
      <c r="Y79" s="208" t="s">
        <v>1481</v>
      </c>
      <c r="Z79" s="208" t="s">
        <v>1482</v>
      </c>
      <c r="AA79" s="208" t="s">
        <v>1483</v>
      </c>
      <c r="AB79" s="208" t="s">
        <v>1542</v>
      </c>
      <c r="AC79" s="208" t="s">
        <v>1543</v>
      </c>
      <c r="AD79" s="208">
        <v>142.19</v>
      </c>
      <c r="AE79" s="208">
        <v>97.83</v>
      </c>
      <c r="AG79" s="208" t="s">
        <v>1486</v>
      </c>
      <c r="AH79" s="208" t="s">
        <v>1487</v>
      </c>
      <c r="AI79" s="208" t="s">
        <v>1488</v>
      </c>
      <c r="AJ79" s="208" t="s">
        <v>1489</v>
      </c>
      <c r="AL79" s="208" t="s">
        <v>1490</v>
      </c>
      <c r="AM79" s="208" t="s">
        <v>1544</v>
      </c>
      <c r="AN79" s="208" t="s">
        <v>1545</v>
      </c>
      <c r="AO79" s="208" t="s">
        <v>1546</v>
      </c>
      <c r="AP79" s="208" t="s">
        <v>1494</v>
      </c>
      <c r="AT79" s="208" t="s">
        <v>1553</v>
      </c>
      <c r="AU79" s="208" t="s">
        <v>1550</v>
      </c>
      <c r="AV79" s="208" t="s">
        <v>1554</v>
      </c>
      <c r="AW79" s="208" t="s">
        <v>1550</v>
      </c>
      <c r="AX79" s="208" t="s">
        <v>1541</v>
      </c>
      <c r="BB79" s="208" t="s">
        <v>1548</v>
      </c>
      <c r="BC79" s="208" t="s">
        <v>1550</v>
      </c>
      <c r="BD79" s="208" t="s">
        <v>1551</v>
      </c>
      <c r="BE79" s="208" t="s">
        <v>1552</v>
      </c>
      <c r="BF79" s="208" t="s">
        <v>1474</v>
      </c>
      <c r="BH79" s="208" t="b">
        <v>0</v>
      </c>
      <c r="BK79" s="208" t="b">
        <v>0</v>
      </c>
    </row>
    <row r="80" spans="2:63" hidden="1">
      <c r="B80" s="208">
        <v>15292</v>
      </c>
      <c r="C80" s="208" t="s">
        <v>1061</v>
      </c>
      <c r="D80" s="209">
        <v>59250</v>
      </c>
      <c r="E80" s="210">
        <v>203000</v>
      </c>
      <c r="F80" s="210">
        <v>160000</v>
      </c>
      <c r="H80" s="208" t="s">
        <v>17</v>
      </c>
      <c r="I80" s="208" t="s">
        <v>1467</v>
      </c>
      <c r="J80" s="208" t="s">
        <v>1468</v>
      </c>
      <c r="K80" s="208" t="s">
        <v>1469</v>
      </c>
      <c r="L80" s="208" t="s">
        <v>1470</v>
      </c>
      <c r="M80" s="208" t="s">
        <v>21</v>
      </c>
      <c r="N80" s="208" t="s">
        <v>1471</v>
      </c>
      <c r="O80" s="208" t="s">
        <v>1904</v>
      </c>
      <c r="P80" s="208" t="s">
        <v>1626</v>
      </c>
      <c r="Q80" s="208" t="s">
        <v>1474</v>
      </c>
      <c r="R80" s="209" t="s">
        <v>1475</v>
      </c>
      <c r="S80" s="208" t="s">
        <v>1864</v>
      </c>
      <c r="T80" s="208" t="s">
        <v>2052</v>
      </c>
      <c r="U80" s="208" t="s">
        <v>2095</v>
      </c>
      <c r="V80" s="208" t="s">
        <v>2096</v>
      </c>
      <c r="W80" s="209" t="s">
        <v>2097</v>
      </c>
      <c r="X80" s="211">
        <f t="shared" si="1"/>
        <v>45219.673611111109</v>
      </c>
      <c r="Y80" s="208" t="s">
        <v>1481</v>
      </c>
      <c r="Z80" s="208" t="s">
        <v>1524</v>
      </c>
      <c r="AA80" s="208" t="s">
        <v>1483</v>
      </c>
      <c r="AB80" s="208" t="s">
        <v>1542</v>
      </c>
      <c r="AC80" s="208" t="s">
        <v>1543</v>
      </c>
      <c r="AD80" s="208">
        <v>142.19</v>
      </c>
      <c r="AE80" s="208">
        <v>97.83</v>
      </c>
      <c r="AG80" s="208" t="s">
        <v>1486</v>
      </c>
      <c r="AH80" s="208" t="s">
        <v>1487</v>
      </c>
      <c r="AI80" s="208" t="s">
        <v>1488</v>
      </c>
      <c r="AJ80" s="208" t="s">
        <v>1489</v>
      </c>
      <c r="AL80" s="208" t="s">
        <v>1490</v>
      </c>
      <c r="AM80" s="208" t="s">
        <v>1544</v>
      </c>
      <c r="AN80" s="208" t="s">
        <v>1545</v>
      </c>
      <c r="AO80" s="208" t="s">
        <v>1546</v>
      </c>
      <c r="AP80" s="208" t="s">
        <v>1494</v>
      </c>
      <c r="AT80" s="208" t="s">
        <v>1985</v>
      </c>
      <c r="AU80" s="208" t="s">
        <v>2095</v>
      </c>
      <c r="AV80" s="208" t="s">
        <v>2020</v>
      </c>
      <c r="AW80" s="208" t="s">
        <v>2098</v>
      </c>
      <c r="AX80" s="208" t="s">
        <v>1872</v>
      </c>
      <c r="BB80" s="208" t="s">
        <v>1864</v>
      </c>
      <c r="BC80" s="208" t="s">
        <v>2095</v>
      </c>
      <c r="BD80" s="208" t="s">
        <v>2096</v>
      </c>
      <c r="BE80" s="208" t="s">
        <v>2097</v>
      </c>
      <c r="BF80" s="208" t="s">
        <v>1474</v>
      </c>
      <c r="BH80" s="208" t="b">
        <v>1</v>
      </c>
      <c r="BK80" s="208" t="b">
        <v>0</v>
      </c>
    </row>
    <row r="81" spans="2:63" hidden="1">
      <c r="B81" s="208">
        <v>15292</v>
      </c>
      <c r="C81" s="208" t="s">
        <v>1061</v>
      </c>
      <c r="D81" s="209">
        <v>59250</v>
      </c>
      <c r="E81" s="210">
        <v>253361.73</v>
      </c>
      <c r="F81" s="210">
        <v>182420.45</v>
      </c>
      <c r="H81" s="208" t="s">
        <v>17</v>
      </c>
      <c r="I81" s="208" t="s">
        <v>1467</v>
      </c>
      <c r="J81" s="208" t="s">
        <v>1468</v>
      </c>
      <c r="K81" s="208" t="s">
        <v>1469</v>
      </c>
      <c r="L81" s="208" t="s">
        <v>1470</v>
      </c>
      <c r="M81" s="208" t="s">
        <v>1668</v>
      </c>
      <c r="N81" s="208" t="s">
        <v>1471</v>
      </c>
      <c r="O81" s="208" t="s">
        <v>2116</v>
      </c>
      <c r="P81" s="208" t="s">
        <v>2101</v>
      </c>
      <c r="Q81" s="208" t="s">
        <v>2108</v>
      </c>
      <c r="R81" s="209" t="s">
        <v>1475</v>
      </c>
      <c r="S81" s="208" t="s">
        <v>2109</v>
      </c>
      <c r="T81" s="208" t="s">
        <v>1544</v>
      </c>
      <c r="U81" s="208" t="s">
        <v>2123</v>
      </c>
      <c r="V81" s="208" t="s">
        <v>2124</v>
      </c>
      <c r="W81" s="209" t="s">
        <v>2125</v>
      </c>
      <c r="X81" s="211">
        <f t="shared" si="1"/>
        <v>45036.411805555559</v>
      </c>
      <c r="Y81" s="208" t="s">
        <v>1481</v>
      </c>
      <c r="Z81" s="208" t="s">
        <v>1482</v>
      </c>
      <c r="AA81" s="208" t="s">
        <v>1483</v>
      </c>
      <c r="AB81" s="208" t="s">
        <v>1542</v>
      </c>
      <c r="AC81" s="208" t="s">
        <v>1543</v>
      </c>
      <c r="AD81" s="208">
        <v>142.19</v>
      </c>
      <c r="AE81" s="208">
        <v>97.83</v>
      </c>
      <c r="AG81" s="208" t="s">
        <v>1486</v>
      </c>
      <c r="AH81" s="208" t="s">
        <v>1487</v>
      </c>
      <c r="AI81" s="208" t="s">
        <v>1488</v>
      </c>
      <c r="AJ81" s="208" t="s">
        <v>1489</v>
      </c>
      <c r="AL81" s="208" t="s">
        <v>1490</v>
      </c>
      <c r="AM81" s="208" t="s">
        <v>1544</v>
      </c>
      <c r="AN81" s="208" t="s">
        <v>1545</v>
      </c>
      <c r="AO81" s="208" t="s">
        <v>1546</v>
      </c>
      <c r="AP81" s="208" t="s">
        <v>1494</v>
      </c>
      <c r="AQ81" s="208" t="s">
        <v>1902</v>
      </c>
      <c r="AR81" s="208" t="s">
        <v>1489</v>
      </c>
      <c r="AS81" s="208" t="s">
        <v>2122</v>
      </c>
      <c r="AT81" s="208" t="s">
        <v>2120</v>
      </c>
      <c r="AU81" s="208" t="s">
        <v>2123</v>
      </c>
      <c r="AV81" s="208" t="s">
        <v>2121</v>
      </c>
      <c r="AW81" s="208" t="s">
        <v>2123</v>
      </c>
      <c r="AX81" s="208" t="s">
        <v>2115</v>
      </c>
      <c r="AY81" s="208" t="s">
        <v>1902</v>
      </c>
      <c r="AZ81" s="208" t="s">
        <v>1489</v>
      </c>
      <c r="BA81" s="208" t="s">
        <v>2122</v>
      </c>
      <c r="BB81" s="208" t="s">
        <v>2109</v>
      </c>
      <c r="BC81" s="208" t="s">
        <v>2123</v>
      </c>
      <c r="BD81" s="208" t="s">
        <v>2124</v>
      </c>
      <c r="BE81" s="208" t="s">
        <v>2125</v>
      </c>
      <c r="BF81" s="208" t="s">
        <v>2108</v>
      </c>
      <c r="BH81" s="208" t="b">
        <v>0</v>
      </c>
      <c r="BK81" s="208" t="b">
        <v>0</v>
      </c>
    </row>
    <row r="82" spans="2:63" hidden="1">
      <c r="B82" s="208">
        <v>15292</v>
      </c>
      <c r="C82" s="208" t="s">
        <v>1061</v>
      </c>
      <c r="D82" s="209">
        <v>59250</v>
      </c>
      <c r="E82" s="210">
        <v>322806</v>
      </c>
      <c r="F82" s="210">
        <v>242104</v>
      </c>
      <c r="H82" s="208" t="s">
        <v>17</v>
      </c>
      <c r="I82" s="208" t="s">
        <v>1467</v>
      </c>
      <c r="J82" s="208" t="s">
        <v>1468</v>
      </c>
      <c r="K82" s="208" t="s">
        <v>1469</v>
      </c>
      <c r="L82" s="208" t="s">
        <v>1470</v>
      </c>
      <c r="M82" s="208" t="s">
        <v>2099</v>
      </c>
      <c r="N82" s="208" t="s">
        <v>1471</v>
      </c>
      <c r="O82" s="208" t="s">
        <v>2220</v>
      </c>
      <c r="Q82" s="208" t="s">
        <v>2108</v>
      </c>
      <c r="R82" s="209" t="s">
        <v>1475</v>
      </c>
      <c r="S82" s="208" t="s">
        <v>2317</v>
      </c>
      <c r="T82" s="208" t="s">
        <v>2318</v>
      </c>
      <c r="U82" s="208" t="s">
        <v>2233</v>
      </c>
      <c r="V82" s="208" t="s">
        <v>2233</v>
      </c>
      <c r="W82" s="209" t="s">
        <v>2233</v>
      </c>
      <c r="X82" s="211">
        <f t="shared" si="1"/>
        <v>44773.875</v>
      </c>
      <c r="Y82" s="208" t="s">
        <v>2226</v>
      </c>
      <c r="Z82" s="208" t="s">
        <v>1482</v>
      </c>
      <c r="AA82" s="208" t="s">
        <v>1483</v>
      </c>
      <c r="AB82" s="208" t="s">
        <v>2303</v>
      </c>
      <c r="AC82" s="208" t="s">
        <v>2319</v>
      </c>
      <c r="AD82" s="208">
        <v>0</v>
      </c>
      <c r="AE82" s="208">
        <v>97.82</v>
      </c>
      <c r="AF82" s="208">
        <v>0</v>
      </c>
      <c r="AG82" s="208" t="s">
        <v>1486</v>
      </c>
      <c r="AH82" s="208" t="s">
        <v>1487</v>
      </c>
      <c r="AI82" s="208" t="s">
        <v>1488</v>
      </c>
      <c r="AJ82" s="208" t="s">
        <v>1489</v>
      </c>
      <c r="AL82" s="208" t="s">
        <v>2320</v>
      </c>
      <c r="AM82" s="208" t="s">
        <v>2233</v>
      </c>
      <c r="AN82" s="208" t="s">
        <v>2233</v>
      </c>
      <c r="AO82" s="208" t="s">
        <v>2233</v>
      </c>
      <c r="AP82" s="208" t="s">
        <v>1638</v>
      </c>
      <c r="AQ82" s="208" t="s">
        <v>1902</v>
      </c>
      <c r="AT82" s="208" t="s">
        <v>2317</v>
      </c>
      <c r="AU82" s="208" t="s">
        <v>2233</v>
      </c>
      <c r="AV82" s="208" t="s">
        <v>2233</v>
      </c>
      <c r="AW82" s="208" t="s">
        <v>2233</v>
      </c>
      <c r="AX82" s="208" t="s">
        <v>2108</v>
      </c>
      <c r="AY82" s="208" t="s">
        <v>1902</v>
      </c>
      <c r="BB82" s="208" t="s">
        <v>2317</v>
      </c>
      <c r="BC82" s="208" t="s">
        <v>2233</v>
      </c>
      <c r="BD82" s="208" t="s">
        <v>2233</v>
      </c>
      <c r="BE82" s="208" t="s">
        <v>2233</v>
      </c>
      <c r="BF82" s="208" t="s">
        <v>2108</v>
      </c>
      <c r="BH82" s="208" t="b">
        <v>0</v>
      </c>
      <c r="BK82" s="208" t="b">
        <v>0</v>
      </c>
    </row>
    <row r="83" spans="2:63" hidden="1">
      <c r="B83" s="208">
        <v>15292</v>
      </c>
      <c r="C83" s="208" t="s">
        <v>1061</v>
      </c>
      <c r="D83" s="209">
        <v>59250</v>
      </c>
      <c r="H83" s="208" t="s">
        <v>17</v>
      </c>
      <c r="I83" s="208" t="s">
        <v>1555</v>
      </c>
      <c r="J83" s="208" t="s">
        <v>1468</v>
      </c>
      <c r="K83" s="208" t="s">
        <v>1469</v>
      </c>
      <c r="L83" s="208" t="s">
        <v>2198</v>
      </c>
      <c r="M83" s="208" t="s">
        <v>1668</v>
      </c>
      <c r="N83" s="208" t="s">
        <v>1471</v>
      </c>
      <c r="O83" s="208" t="s">
        <v>2220</v>
      </c>
      <c r="R83" s="209" t="s">
        <v>1475</v>
      </c>
      <c r="S83" s="208" t="s">
        <v>2251</v>
      </c>
      <c r="T83" s="208" t="s">
        <v>2252</v>
      </c>
      <c r="U83" s="208" t="s">
        <v>2253</v>
      </c>
      <c r="V83" s="208" t="s">
        <v>1481</v>
      </c>
      <c r="W83" s="209" t="s">
        <v>1637</v>
      </c>
      <c r="X83" s="211">
        <f t="shared" si="1"/>
        <v>44769.875</v>
      </c>
      <c r="Y83" s="208" t="s">
        <v>2226</v>
      </c>
      <c r="Z83" s="208" t="s">
        <v>1482</v>
      </c>
      <c r="AA83" s="208" t="s">
        <v>1483</v>
      </c>
      <c r="AB83" s="208" t="s">
        <v>1664</v>
      </c>
      <c r="AC83" s="208" t="s">
        <v>2254</v>
      </c>
      <c r="AF83" s="208">
        <v>250</v>
      </c>
      <c r="AG83" s="208" t="s">
        <v>1486</v>
      </c>
      <c r="AH83" s="208" t="s">
        <v>1487</v>
      </c>
      <c r="AI83" s="208" t="s">
        <v>1488</v>
      </c>
      <c r="AJ83" s="208" t="s">
        <v>2255</v>
      </c>
      <c r="AL83" s="208" t="s">
        <v>2256</v>
      </c>
      <c r="AM83" s="208" t="s">
        <v>2253</v>
      </c>
      <c r="AN83" s="208" t="s">
        <v>2253</v>
      </c>
      <c r="AO83" s="208" t="s">
        <v>2257</v>
      </c>
      <c r="AP83" s="208" t="s">
        <v>1521</v>
      </c>
      <c r="AQ83" s="208" t="s">
        <v>1902</v>
      </c>
      <c r="AT83" s="208" t="s">
        <v>2251</v>
      </c>
      <c r="AU83" s="208" t="s">
        <v>2253</v>
      </c>
      <c r="AV83" s="208" t="s">
        <v>1481</v>
      </c>
      <c r="AW83" s="208" t="s">
        <v>1637</v>
      </c>
      <c r="AY83" s="208" t="s">
        <v>1902</v>
      </c>
      <c r="BB83" s="208" t="s">
        <v>2251</v>
      </c>
      <c r="BC83" s="208" t="s">
        <v>1637</v>
      </c>
      <c r="BD83" s="208" t="s">
        <v>1481</v>
      </c>
      <c r="BE83" s="208" t="s">
        <v>1637</v>
      </c>
      <c r="BH83" s="208" t="b">
        <v>0</v>
      </c>
      <c r="BK83" s="208" t="b">
        <v>0</v>
      </c>
    </row>
    <row r="84" spans="2:63" hidden="1">
      <c r="B84" s="208">
        <v>15292</v>
      </c>
      <c r="C84" s="208" t="s">
        <v>1061</v>
      </c>
      <c r="D84" s="209">
        <v>59251</v>
      </c>
      <c r="E84" s="210">
        <v>199000</v>
      </c>
      <c r="F84" s="210">
        <v>142000</v>
      </c>
      <c r="H84" s="208" t="s">
        <v>17</v>
      </c>
      <c r="I84" s="208" t="s">
        <v>1467</v>
      </c>
      <c r="J84" s="208" t="s">
        <v>1468</v>
      </c>
      <c r="K84" s="208" t="s">
        <v>1469</v>
      </c>
      <c r="L84" s="208" t="s">
        <v>1470</v>
      </c>
      <c r="M84" s="208" t="s">
        <v>21</v>
      </c>
      <c r="N84" s="208" t="s">
        <v>1471</v>
      </c>
      <c r="O84" s="208" t="s">
        <v>1547</v>
      </c>
      <c r="P84" s="208" t="s">
        <v>1473</v>
      </c>
      <c r="Q84" s="208" t="s">
        <v>1474</v>
      </c>
      <c r="R84" s="209" t="s">
        <v>1475</v>
      </c>
      <c r="S84" s="208" t="s">
        <v>1670</v>
      </c>
      <c r="T84" s="208" t="s">
        <v>1671</v>
      </c>
      <c r="U84" s="208" t="s">
        <v>1672</v>
      </c>
      <c r="V84" s="208" t="s">
        <v>1673</v>
      </c>
      <c r="W84" s="209" t="s">
        <v>1674</v>
      </c>
      <c r="X84" s="211">
        <f t="shared" si="1"/>
        <v>45848.456250000003</v>
      </c>
      <c r="Y84" s="208" t="s">
        <v>1481</v>
      </c>
      <c r="Z84" s="208" t="s">
        <v>1482</v>
      </c>
      <c r="AA84" s="208" t="s">
        <v>1483</v>
      </c>
      <c r="AB84" s="208" t="s">
        <v>1542</v>
      </c>
      <c r="AC84" s="208" t="s">
        <v>1543</v>
      </c>
      <c r="AD84" s="208">
        <v>107.09</v>
      </c>
      <c r="AE84" s="208">
        <v>73.680000000000007</v>
      </c>
      <c r="AG84" s="208" t="s">
        <v>1486</v>
      </c>
      <c r="AH84" s="208" t="s">
        <v>1487</v>
      </c>
      <c r="AI84" s="208" t="s">
        <v>1488</v>
      </c>
      <c r="AJ84" s="208" t="s">
        <v>1489</v>
      </c>
      <c r="AL84" s="208" t="s">
        <v>1490</v>
      </c>
      <c r="AM84" s="208" t="s">
        <v>1675</v>
      </c>
      <c r="AN84" s="208" t="s">
        <v>1492</v>
      </c>
      <c r="AO84" s="208" t="s">
        <v>1676</v>
      </c>
      <c r="AP84" s="208" t="s">
        <v>1494</v>
      </c>
      <c r="AT84" s="208" t="s">
        <v>1677</v>
      </c>
      <c r="AU84" s="208" t="s">
        <v>1672</v>
      </c>
      <c r="AV84" s="208" t="s">
        <v>1678</v>
      </c>
      <c r="AW84" s="208" t="s">
        <v>1672</v>
      </c>
      <c r="AX84" s="208" t="s">
        <v>1572</v>
      </c>
      <c r="BB84" s="208" t="s">
        <v>1670</v>
      </c>
      <c r="BC84" s="208" t="s">
        <v>1672</v>
      </c>
      <c r="BD84" s="208" t="s">
        <v>1673</v>
      </c>
      <c r="BE84" s="208" t="s">
        <v>1674</v>
      </c>
      <c r="BF84" s="208" t="s">
        <v>1474</v>
      </c>
      <c r="BH84" s="208" t="b">
        <v>0</v>
      </c>
      <c r="BK84" s="208" t="b">
        <v>0</v>
      </c>
    </row>
    <row r="85" spans="2:63" hidden="1">
      <c r="B85" s="208">
        <v>15292</v>
      </c>
      <c r="C85" s="208" t="s">
        <v>1061</v>
      </c>
      <c r="D85" s="209">
        <v>59251</v>
      </c>
      <c r="E85" s="210">
        <v>294000</v>
      </c>
      <c r="F85" s="210">
        <v>206000</v>
      </c>
      <c r="H85" s="208" t="s">
        <v>17</v>
      </c>
      <c r="I85" s="208" t="s">
        <v>1504</v>
      </c>
      <c r="J85" s="208" t="s">
        <v>1468</v>
      </c>
      <c r="K85" s="208" t="s">
        <v>1469</v>
      </c>
      <c r="L85" s="208" t="s">
        <v>1470</v>
      </c>
      <c r="M85" s="208" t="s">
        <v>21</v>
      </c>
      <c r="N85" s="208" t="s">
        <v>1471</v>
      </c>
      <c r="O85" s="208" t="s">
        <v>1547</v>
      </c>
      <c r="P85" s="208" t="s">
        <v>1473</v>
      </c>
      <c r="Q85" s="208" t="s">
        <v>1474</v>
      </c>
      <c r="R85" s="209" t="s">
        <v>1475</v>
      </c>
      <c r="S85" s="208" t="s">
        <v>1729</v>
      </c>
      <c r="T85" s="208" t="s">
        <v>1730</v>
      </c>
      <c r="U85" s="208" t="s">
        <v>1731</v>
      </c>
      <c r="V85" s="208" t="s">
        <v>1732</v>
      </c>
      <c r="W85" s="209" t="s">
        <v>1733</v>
      </c>
      <c r="X85" s="211">
        <f t="shared" si="1"/>
        <v>45846.635416666664</v>
      </c>
      <c r="Y85" s="208" t="s">
        <v>1481</v>
      </c>
      <c r="Z85" s="208" t="s">
        <v>1482</v>
      </c>
      <c r="AA85" s="208" t="s">
        <v>1483</v>
      </c>
      <c r="AB85" s="208" t="s">
        <v>1734</v>
      </c>
      <c r="AC85" s="208" t="s">
        <v>1622</v>
      </c>
      <c r="AD85" s="208">
        <v>120</v>
      </c>
      <c r="AF85" s="208">
        <v>192</v>
      </c>
      <c r="AG85" s="208" t="s">
        <v>1486</v>
      </c>
      <c r="AH85" s="208" t="s">
        <v>1487</v>
      </c>
      <c r="AI85" s="208" t="s">
        <v>1488</v>
      </c>
      <c r="AJ85" s="208" t="s">
        <v>1489</v>
      </c>
      <c r="AL85" s="208" t="s">
        <v>1517</v>
      </c>
      <c r="AM85" s="208" t="s">
        <v>1735</v>
      </c>
      <c r="AN85" s="208" t="s">
        <v>1519</v>
      </c>
      <c r="AO85" s="208" t="s">
        <v>1624</v>
      </c>
      <c r="AP85" s="208" t="s">
        <v>1521</v>
      </c>
      <c r="AT85" s="208" t="s">
        <v>1565</v>
      </c>
      <c r="AU85" s="208" t="s">
        <v>1731</v>
      </c>
      <c r="AV85" s="208" t="s">
        <v>1714</v>
      </c>
      <c r="AW85" s="208" t="s">
        <v>1731</v>
      </c>
      <c r="AX85" s="208" t="s">
        <v>1572</v>
      </c>
      <c r="BB85" s="208" t="s">
        <v>1729</v>
      </c>
      <c r="BC85" s="208" t="s">
        <v>1731</v>
      </c>
      <c r="BD85" s="208" t="s">
        <v>1732</v>
      </c>
      <c r="BE85" s="208" t="s">
        <v>1733</v>
      </c>
      <c r="BF85" s="208" t="s">
        <v>1474</v>
      </c>
      <c r="BH85" s="208" t="b">
        <v>0</v>
      </c>
      <c r="BK85" s="208" t="b">
        <v>0</v>
      </c>
    </row>
    <row r="86" spans="2:63" hidden="1">
      <c r="B86" s="208">
        <v>15292</v>
      </c>
      <c r="C86" s="208" t="s">
        <v>1061</v>
      </c>
      <c r="D86" s="209">
        <v>59251</v>
      </c>
      <c r="E86" s="210">
        <v>170000</v>
      </c>
      <c r="F86" s="210">
        <v>137000</v>
      </c>
      <c r="H86" s="208" t="s">
        <v>17</v>
      </c>
      <c r="I86" s="208" t="s">
        <v>1467</v>
      </c>
      <c r="J86" s="208" t="s">
        <v>1468</v>
      </c>
      <c r="K86" s="208" t="s">
        <v>1469</v>
      </c>
      <c r="L86" s="208" t="s">
        <v>1470</v>
      </c>
      <c r="M86" s="208" t="s">
        <v>21</v>
      </c>
      <c r="N86" s="208" t="s">
        <v>1471</v>
      </c>
      <c r="O86" s="208" t="s">
        <v>1904</v>
      </c>
      <c r="P86" s="208" t="s">
        <v>1626</v>
      </c>
      <c r="Q86" s="208" t="s">
        <v>1474</v>
      </c>
      <c r="R86" s="209" t="s">
        <v>1475</v>
      </c>
      <c r="S86" s="208" t="s">
        <v>1864</v>
      </c>
      <c r="T86" s="208" t="s">
        <v>1965</v>
      </c>
      <c r="U86" s="208" t="s">
        <v>1983</v>
      </c>
      <c r="V86" s="208" t="s">
        <v>1983</v>
      </c>
      <c r="W86" s="209" t="s">
        <v>1984</v>
      </c>
      <c r="X86" s="211">
        <f t="shared" si="1"/>
        <v>45219.729861111111</v>
      </c>
      <c r="Y86" s="208" t="s">
        <v>1481</v>
      </c>
      <c r="Z86" s="208" t="s">
        <v>1524</v>
      </c>
      <c r="AA86" s="208" t="s">
        <v>1483</v>
      </c>
      <c r="AB86" s="208" t="s">
        <v>1542</v>
      </c>
      <c r="AC86" s="208" t="s">
        <v>1543</v>
      </c>
      <c r="AD86" s="208">
        <v>107.09</v>
      </c>
      <c r="AE86" s="208">
        <v>73.680000000000007</v>
      </c>
      <c r="AG86" s="208" t="s">
        <v>1486</v>
      </c>
      <c r="AH86" s="208" t="s">
        <v>1487</v>
      </c>
      <c r="AI86" s="208" t="s">
        <v>1488</v>
      </c>
      <c r="AJ86" s="208" t="s">
        <v>1489</v>
      </c>
      <c r="AL86" s="208" t="s">
        <v>1490</v>
      </c>
      <c r="AM86" s="208" t="s">
        <v>1675</v>
      </c>
      <c r="AN86" s="208" t="s">
        <v>1492</v>
      </c>
      <c r="AO86" s="208" t="s">
        <v>1676</v>
      </c>
      <c r="AP86" s="208" t="s">
        <v>1494</v>
      </c>
      <c r="AT86" s="208" t="s">
        <v>1985</v>
      </c>
      <c r="AU86" s="208" t="s">
        <v>1983</v>
      </c>
      <c r="AV86" s="208" t="s">
        <v>1986</v>
      </c>
      <c r="AW86" s="208" t="s">
        <v>1987</v>
      </c>
      <c r="AX86" s="208" t="s">
        <v>1872</v>
      </c>
      <c r="BB86" s="208" t="s">
        <v>1864</v>
      </c>
      <c r="BC86" s="208" t="s">
        <v>1983</v>
      </c>
      <c r="BD86" s="208" t="s">
        <v>1983</v>
      </c>
      <c r="BE86" s="208" t="s">
        <v>1984</v>
      </c>
      <c r="BF86" s="208" t="s">
        <v>1474</v>
      </c>
      <c r="BH86" s="208" t="b">
        <v>1</v>
      </c>
      <c r="BK86" s="208" t="b">
        <v>0</v>
      </c>
    </row>
    <row r="87" spans="2:63" hidden="1">
      <c r="B87" s="208">
        <v>15292</v>
      </c>
      <c r="C87" s="208" t="s">
        <v>1061</v>
      </c>
      <c r="D87" s="209">
        <v>59251</v>
      </c>
      <c r="E87" s="210">
        <v>196331.45</v>
      </c>
      <c r="F87" s="210">
        <v>141358.65</v>
      </c>
      <c r="H87" s="208" t="s">
        <v>17</v>
      </c>
      <c r="I87" s="208" t="s">
        <v>1467</v>
      </c>
      <c r="J87" s="208" t="s">
        <v>1468</v>
      </c>
      <c r="K87" s="208" t="s">
        <v>1469</v>
      </c>
      <c r="L87" s="208" t="s">
        <v>1470</v>
      </c>
      <c r="M87" s="208" t="s">
        <v>1668</v>
      </c>
      <c r="N87" s="208" t="s">
        <v>1471</v>
      </c>
      <c r="O87" s="208" t="s">
        <v>2116</v>
      </c>
      <c r="P87" s="208" t="s">
        <v>2101</v>
      </c>
      <c r="Q87" s="208" t="s">
        <v>2108</v>
      </c>
      <c r="R87" s="209" t="s">
        <v>1475</v>
      </c>
      <c r="S87" s="208" t="s">
        <v>2109</v>
      </c>
      <c r="T87" s="208" t="s">
        <v>1675</v>
      </c>
      <c r="U87" s="208" t="s">
        <v>2206</v>
      </c>
      <c r="V87" s="208" t="s">
        <v>2124</v>
      </c>
      <c r="W87" s="209" t="s">
        <v>2207</v>
      </c>
      <c r="X87" s="211">
        <f t="shared" si="1"/>
        <v>45036.412499999999</v>
      </c>
      <c r="Y87" s="208" t="s">
        <v>1481</v>
      </c>
      <c r="Z87" s="208" t="s">
        <v>1482</v>
      </c>
      <c r="AA87" s="208" t="s">
        <v>1483</v>
      </c>
      <c r="AB87" s="208" t="s">
        <v>1542</v>
      </c>
      <c r="AC87" s="208" t="s">
        <v>1543</v>
      </c>
      <c r="AD87" s="208">
        <v>107.09</v>
      </c>
      <c r="AE87" s="208">
        <v>73.680000000000007</v>
      </c>
      <c r="AG87" s="208" t="s">
        <v>1486</v>
      </c>
      <c r="AH87" s="208" t="s">
        <v>1487</v>
      </c>
      <c r="AI87" s="208" t="s">
        <v>1488</v>
      </c>
      <c r="AJ87" s="208" t="s">
        <v>1489</v>
      </c>
      <c r="AL87" s="208" t="s">
        <v>1490</v>
      </c>
      <c r="AM87" s="208" t="s">
        <v>1675</v>
      </c>
      <c r="AN87" s="208" t="s">
        <v>1492</v>
      </c>
      <c r="AO87" s="208" t="s">
        <v>1676</v>
      </c>
      <c r="AP87" s="208" t="s">
        <v>1494</v>
      </c>
      <c r="AQ87" s="208" t="s">
        <v>1902</v>
      </c>
      <c r="AR87" s="208" t="s">
        <v>1489</v>
      </c>
      <c r="AS87" s="208" t="s">
        <v>2122</v>
      </c>
      <c r="AT87" s="208" t="s">
        <v>2120</v>
      </c>
      <c r="AU87" s="208" t="s">
        <v>2206</v>
      </c>
      <c r="AV87" s="208" t="s">
        <v>2121</v>
      </c>
      <c r="AW87" s="208" t="s">
        <v>2206</v>
      </c>
      <c r="AX87" s="208" t="s">
        <v>2115</v>
      </c>
      <c r="AY87" s="208" t="s">
        <v>1902</v>
      </c>
      <c r="AZ87" s="208" t="s">
        <v>1489</v>
      </c>
      <c r="BA87" s="208" t="s">
        <v>2122</v>
      </c>
      <c r="BB87" s="208" t="s">
        <v>2109</v>
      </c>
      <c r="BC87" s="208" t="s">
        <v>2206</v>
      </c>
      <c r="BD87" s="208" t="s">
        <v>2124</v>
      </c>
      <c r="BE87" s="208" t="s">
        <v>2207</v>
      </c>
      <c r="BF87" s="208" t="s">
        <v>2108</v>
      </c>
      <c r="BH87" s="208" t="b">
        <v>0</v>
      </c>
      <c r="BK87" s="208" t="b">
        <v>0</v>
      </c>
    </row>
    <row r="88" spans="2:63" hidden="1">
      <c r="B88" s="208">
        <v>15292</v>
      </c>
      <c r="C88" s="208" t="s">
        <v>1061</v>
      </c>
      <c r="D88" s="209">
        <v>59251</v>
      </c>
      <c r="E88" s="210">
        <v>243144</v>
      </c>
      <c r="F88" s="210">
        <v>194515</v>
      </c>
      <c r="H88" s="208" t="s">
        <v>17</v>
      </c>
      <c r="I88" s="208" t="s">
        <v>1467</v>
      </c>
      <c r="J88" s="208" t="s">
        <v>1468</v>
      </c>
      <c r="K88" s="208" t="s">
        <v>1469</v>
      </c>
      <c r="L88" s="208" t="s">
        <v>1470</v>
      </c>
      <c r="M88" s="208" t="s">
        <v>2099</v>
      </c>
      <c r="N88" s="208" t="s">
        <v>1471</v>
      </c>
      <c r="O88" s="208" t="s">
        <v>2220</v>
      </c>
      <c r="Q88" s="208" t="s">
        <v>2108</v>
      </c>
      <c r="R88" s="209" t="s">
        <v>1475</v>
      </c>
      <c r="S88" s="208" t="s">
        <v>2230</v>
      </c>
      <c r="T88" s="208" t="s">
        <v>2302</v>
      </c>
      <c r="U88" s="208" t="s">
        <v>1637</v>
      </c>
      <c r="V88" s="208" t="s">
        <v>2065</v>
      </c>
      <c r="W88" s="209" t="s">
        <v>2065</v>
      </c>
      <c r="X88" s="211">
        <f t="shared" si="1"/>
        <v>44770.875</v>
      </c>
      <c r="Y88" s="208" t="s">
        <v>2226</v>
      </c>
      <c r="Z88" s="208" t="s">
        <v>1482</v>
      </c>
      <c r="AA88" s="208" t="s">
        <v>1483</v>
      </c>
      <c r="AB88" s="208" t="s">
        <v>2303</v>
      </c>
      <c r="AC88" s="208" t="s">
        <v>2304</v>
      </c>
      <c r="AD88" s="208">
        <v>0</v>
      </c>
      <c r="AE88" s="208">
        <v>73.680000000000007</v>
      </c>
      <c r="AF88" s="208">
        <v>0</v>
      </c>
      <c r="AG88" s="208" t="s">
        <v>1486</v>
      </c>
      <c r="AH88" s="208" t="s">
        <v>1487</v>
      </c>
      <c r="AI88" s="208" t="s">
        <v>1488</v>
      </c>
      <c r="AJ88" s="208" t="s">
        <v>1489</v>
      </c>
      <c r="AL88" s="208" t="s">
        <v>1635</v>
      </c>
      <c r="AM88" s="208" t="s">
        <v>1637</v>
      </c>
      <c r="AN88" s="208" t="s">
        <v>1637</v>
      </c>
      <c r="AO88" s="208" t="s">
        <v>1637</v>
      </c>
      <c r="AP88" s="208" t="s">
        <v>1638</v>
      </c>
      <c r="AQ88" s="208" t="s">
        <v>1902</v>
      </c>
      <c r="AT88" s="208" t="s">
        <v>2230</v>
      </c>
      <c r="AU88" s="208" t="s">
        <v>1637</v>
      </c>
      <c r="AV88" s="208" t="s">
        <v>2065</v>
      </c>
      <c r="AW88" s="208" t="s">
        <v>2065</v>
      </c>
      <c r="AX88" s="208" t="s">
        <v>2108</v>
      </c>
      <c r="AY88" s="208" t="s">
        <v>1902</v>
      </c>
      <c r="BB88" s="208" t="s">
        <v>2230</v>
      </c>
      <c r="BC88" s="208" t="s">
        <v>2065</v>
      </c>
      <c r="BD88" s="208" t="s">
        <v>2065</v>
      </c>
      <c r="BE88" s="208" t="s">
        <v>2065</v>
      </c>
      <c r="BF88" s="208" t="s">
        <v>2108</v>
      </c>
      <c r="BH88" s="208" t="b">
        <v>0</v>
      </c>
      <c r="BK88" s="208" t="b">
        <v>0</v>
      </c>
    </row>
    <row r="89" spans="2:63" hidden="1">
      <c r="B89" s="208">
        <v>15292</v>
      </c>
      <c r="C89" s="208" t="s">
        <v>1061</v>
      </c>
      <c r="D89" s="209">
        <v>59251</v>
      </c>
      <c r="E89" s="210">
        <v>314340</v>
      </c>
      <c r="F89" s="210">
        <v>226325</v>
      </c>
      <c r="H89" s="208" t="s">
        <v>17</v>
      </c>
      <c r="I89" s="208" t="s">
        <v>1504</v>
      </c>
      <c r="J89" s="208" t="s">
        <v>1468</v>
      </c>
      <c r="K89" s="208" t="s">
        <v>1469</v>
      </c>
      <c r="L89" s="208" t="s">
        <v>1470</v>
      </c>
      <c r="M89" s="208" t="s">
        <v>1668</v>
      </c>
      <c r="N89" s="208" t="s">
        <v>1471</v>
      </c>
      <c r="O89" s="208" t="s">
        <v>2220</v>
      </c>
      <c r="Q89" s="208" t="s">
        <v>2235</v>
      </c>
      <c r="R89" s="209" t="s">
        <v>1475</v>
      </c>
      <c r="S89" s="208" t="s">
        <v>2222</v>
      </c>
      <c r="T89" s="208" t="s">
        <v>2236</v>
      </c>
      <c r="U89" s="208" t="s">
        <v>1519</v>
      </c>
      <c r="V89" s="208" t="s">
        <v>2237</v>
      </c>
      <c r="W89" s="209" t="s">
        <v>2238</v>
      </c>
      <c r="X89" s="211">
        <f t="shared" si="1"/>
        <v>44728.875</v>
      </c>
      <c r="Y89" s="208" t="s">
        <v>2226</v>
      </c>
      <c r="Z89" s="208" t="s">
        <v>1482</v>
      </c>
      <c r="AA89" s="208" t="s">
        <v>1483</v>
      </c>
      <c r="AB89" s="208" t="s">
        <v>1734</v>
      </c>
      <c r="AC89" s="208" t="s">
        <v>1622</v>
      </c>
      <c r="AD89" s="208">
        <v>120</v>
      </c>
      <c r="AE89" s="208">
        <v>0</v>
      </c>
      <c r="AF89" s="208">
        <v>192</v>
      </c>
      <c r="AG89" s="208" t="s">
        <v>1486</v>
      </c>
      <c r="AH89" s="208" t="s">
        <v>1487</v>
      </c>
      <c r="AI89" s="208" t="s">
        <v>1488</v>
      </c>
      <c r="AJ89" s="208" t="s">
        <v>1489</v>
      </c>
      <c r="AL89" s="208" t="s">
        <v>1517</v>
      </c>
      <c r="AM89" s="208" t="s">
        <v>1519</v>
      </c>
      <c r="AN89" s="208" t="s">
        <v>1519</v>
      </c>
      <c r="AO89" s="208" t="s">
        <v>1624</v>
      </c>
      <c r="AP89" s="208" t="s">
        <v>1521</v>
      </c>
      <c r="AQ89" s="208" t="s">
        <v>1902</v>
      </c>
      <c r="AS89" s="208" t="s">
        <v>1564</v>
      </c>
      <c r="AT89" s="208" t="s">
        <v>2222</v>
      </c>
      <c r="AU89" s="208" t="s">
        <v>1519</v>
      </c>
      <c r="AV89" s="208" t="s">
        <v>2237</v>
      </c>
      <c r="AW89" s="208" t="s">
        <v>2238</v>
      </c>
      <c r="AX89" s="208" t="s">
        <v>2235</v>
      </c>
      <c r="AY89" s="208" t="s">
        <v>1902</v>
      </c>
      <c r="BB89" s="208" t="s">
        <v>2222</v>
      </c>
      <c r="BC89" s="208" t="s">
        <v>2238</v>
      </c>
      <c r="BD89" s="208" t="s">
        <v>2237</v>
      </c>
      <c r="BE89" s="208" t="s">
        <v>2239</v>
      </c>
      <c r="BF89" s="208" t="s">
        <v>2240</v>
      </c>
      <c r="BH89" s="208" t="b">
        <v>0</v>
      </c>
      <c r="BK89" s="208" t="b">
        <v>0</v>
      </c>
    </row>
    <row r="90" spans="2:63" hidden="1">
      <c r="B90" s="208">
        <v>15292</v>
      </c>
      <c r="C90" s="208" t="s">
        <v>1061</v>
      </c>
      <c r="D90" s="209">
        <v>59252</v>
      </c>
      <c r="E90" s="210">
        <v>200000</v>
      </c>
      <c r="F90" s="210">
        <v>142000</v>
      </c>
      <c r="H90" s="208" t="s">
        <v>17</v>
      </c>
      <c r="I90" s="208" t="s">
        <v>1467</v>
      </c>
      <c r="J90" s="208" t="s">
        <v>1468</v>
      </c>
      <c r="K90" s="208" t="s">
        <v>1469</v>
      </c>
      <c r="L90" s="208" t="s">
        <v>1470</v>
      </c>
      <c r="M90" s="208" t="s">
        <v>21</v>
      </c>
      <c r="N90" s="208" t="s">
        <v>1471</v>
      </c>
      <c r="O90" s="208" t="s">
        <v>1547</v>
      </c>
      <c r="P90" s="208" t="s">
        <v>1473</v>
      </c>
      <c r="Q90" s="208" t="s">
        <v>1474</v>
      </c>
      <c r="R90" s="209" t="s">
        <v>1475</v>
      </c>
      <c r="S90" s="208" t="s">
        <v>1736</v>
      </c>
      <c r="T90" s="208" t="s">
        <v>1737</v>
      </c>
      <c r="U90" s="208" t="s">
        <v>1738</v>
      </c>
      <c r="V90" s="208" t="s">
        <v>1739</v>
      </c>
      <c r="W90" s="209" t="s">
        <v>1740</v>
      </c>
      <c r="X90" s="211">
        <f t="shared" si="1"/>
        <v>45846.60833333333</v>
      </c>
      <c r="Y90" s="208" t="s">
        <v>1481</v>
      </c>
      <c r="Z90" s="208" t="s">
        <v>1482</v>
      </c>
      <c r="AA90" s="208" t="s">
        <v>1483</v>
      </c>
      <c r="AB90" s="208" t="s">
        <v>1542</v>
      </c>
      <c r="AC90" s="208" t="s">
        <v>1543</v>
      </c>
      <c r="AD90" s="208">
        <v>107.4</v>
      </c>
      <c r="AE90" s="208">
        <v>73.89</v>
      </c>
      <c r="AG90" s="208" t="s">
        <v>1486</v>
      </c>
      <c r="AH90" s="208" t="s">
        <v>1487</v>
      </c>
      <c r="AI90" s="208" t="s">
        <v>1488</v>
      </c>
      <c r="AJ90" s="208" t="s">
        <v>1489</v>
      </c>
      <c r="AL90" s="208" t="s">
        <v>1490</v>
      </c>
      <c r="AM90" s="208" t="s">
        <v>1741</v>
      </c>
      <c r="AN90" s="208" t="s">
        <v>1492</v>
      </c>
      <c r="AO90" s="208" t="s">
        <v>1742</v>
      </c>
      <c r="AP90" s="208" t="s">
        <v>1494</v>
      </c>
      <c r="AT90" s="208" t="s">
        <v>1565</v>
      </c>
      <c r="AU90" s="208" t="s">
        <v>1738</v>
      </c>
      <c r="AV90" s="208" t="s">
        <v>1743</v>
      </c>
      <c r="AW90" s="208" t="s">
        <v>1738</v>
      </c>
      <c r="AX90" s="208" t="s">
        <v>1572</v>
      </c>
      <c r="BB90" s="208" t="s">
        <v>1736</v>
      </c>
      <c r="BC90" s="208" t="s">
        <v>1738</v>
      </c>
      <c r="BD90" s="208" t="s">
        <v>1739</v>
      </c>
      <c r="BE90" s="208" t="s">
        <v>1740</v>
      </c>
      <c r="BF90" s="208" t="s">
        <v>1474</v>
      </c>
      <c r="BH90" s="208" t="b">
        <v>0</v>
      </c>
      <c r="BK90" s="208" t="b">
        <v>0</v>
      </c>
    </row>
    <row r="91" spans="2:63" hidden="1">
      <c r="B91" s="208">
        <v>15292</v>
      </c>
      <c r="C91" s="208" t="s">
        <v>1061</v>
      </c>
      <c r="D91" s="209">
        <v>59252</v>
      </c>
      <c r="E91" s="210">
        <v>170000</v>
      </c>
      <c r="F91" s="210">
        <v>137000</v>
      </c>
      <c r="H91" s="208" t="s">
        <v>17</v>
      </c>
      <c r="I91" s="208" t="s">
        <v>1467</v>
      </c>
      <c r="J91" s="208" t="s">
        <v>1468</v>
      </c>
      <c r="K91" s="208" t="s">
        <v>1469</v>
      </c>
      <c r="L91" s="208" t="s">
        <v>1470</v>
      </c>
      <c r="M91" s="208" t="s">
        <v>21</v>
      </c>
      <c r="N91" s="208" t="s">
        <v>1471</v>
      </c>
      <c r="O91" s="208" t="s">
        <v>1904</v>
      </c>
      <c r="P91" s="208" t="s">
        <v>1626</v>
      </c>
      <c r="Q91" s="208" t="s">
        <v>1474</v>
      </c>
      <c r="R91" s="209" t="s">
        <v>1475</v>
      </c>
      <c r="S91" s="208" t="s">
        <v>1864</v>
      </c>
      <c r="T91" s="208" t="s">
        <v>1965</v>
      </c>
      <c r="U91" s="208" t="s">
        <v>2018</v>
      </c>
      <c r="V91" s="208" t="s">
        <v>2018</v>
      </c>
      <c r="W91" s="209" t="s">
        <v>2019</v>
      </c>
      <c r="X91" s="211">
        <f t="shared" si="1"/>
        <v>45219.731944444444</v>
      </c>
      <c r="Y91" s="208" t="s">
        <v>1481</v>
      </c>
      <c r="Z91" s="208" t="s">
        <v>1524</v>
      </c>
      <c r="AA91" s="208" t="s">
        <v>1483</v>
      </c>
      <c r="AB91" s="208" t="s">
        <v>1542</v>
      </c>
      <c r="AC91" s="208" t="s">
        <v>1543</v>
      </c>
      <c r="AD91" s="208">
        <v>107.4</v>
      </c>
      <c r="AE91" s="208">
        <v>73.89</v>
      </c>
      <c r="AG91" s="208" t="s">
        <v>1486</v>
      </c>
      <c r="AH91" s="208" t="s">
        <v>1487</v>
      </c>
      <c r="AI91" s="208" t="s">
        <v>1488</v>
      </c>
      <c r="AJ91" s="208" t="s">
        <v>1489</v>
      </c>
      <c r="AL91" s="208" t="s">
        <v>1490</v>
      </c>
      <c r="AM91" s="208" t="s">
        <v>1741</v>
      </c>
      <c r="AN91" s="208" t="s">
        <v>1492</v>
      </c>
      <c r="AO91" s="208" t="s">
        <v>1742</v>
      </c>
      <c r="AP91" s="208" t="s">
        <v>1494</v>
      </c>
      <c r="AT91" s="208" t="s">
        <v>1985</v>
      </c>
      <c r="AU91" s="208" t="s">
        <v>2018</v>
      </c>
      <c r="AV91" s="208" t="s">
        <v>2020</v>
      </c>
      <c r="AW91" s="208" t="s">
        <v>2021</v>
      </c>
      <c r="AX91" s="208" t="s">
        <v>1872</v>
      </c>
      <c r="BB91" s="208" t="s">
        <v>1864</v>
      </c>
      <c r="BC91" s="208" t="s">
        <v>2018</v>
      </c>
      <c r="BD91" s="208" t="s">
        <v>2018</v>
      </c>
      <c r="BE91" s="208" t="s">
        <v>2019</v>
      </c>
      <c r="BF91" s="208" t="s">
        <v>1474</v>
      </c>
      <c r="BH91" s="208" t="b">
        <v>1</v>
      </c>
      <c r="BK91" s="208" t="b">
        <v>0</v>
      </c>
    </row>
    <row r="92" spans="2:63" hidden="1">
      <c r="B92" s="208">
        <v>15292</v>
      </c>
      <c r="C92" s="208" t="s">
        <v>1061</v>
      </c>
      <c r="D92" s="209">
        <v>59252</v>
      </c>
      <c r="E92" s="210">
        <v>196812.62</v>
      </c>
      <c r="F92" s="210">
        <v>141705.09</v>
      </c>
      <c r="H92" s="208" t="s">
        <v>17</v>
      </c>
      <c r="I92" s="208" t="s">
        <v>1467</v>
      </c>
      <c r="J92" s="208" t="s">
        <v>1468</v>
      </c>
      <c r="K92" s="208" t="s">
        <v>1469</v>
      </c>
      <c r="L92" s="208" t="s">
        <v>1470</v>
      </c>
      <c r="M92" s="208" t="s">
        <v>1668</v>
      </c>
      <c r="N92" s="208" t="s">
        <v>1471</v>
      </c>
      <c r="O92" s="208" t="s">
        <v>2116</v>
      </c>
      <c r="P92" s="208" t="s">
        <v>2101</v>
      </c>
      <c r="Q92" s="208" t="s">
        <v>2108</v>
      </c>
      <c r="R92" s="209" t="s">
        <v>1475</v>
      </c>
      <c r="S92" s="208" t="s">
        <v>2109</v>
      </c>
      <c r="T92" s="208" t="s">
        <v>1741</v>
      </c>
      <c r="U92" s="208" t="s">
        <v>2208</v>
      </c>
      <c r="V92" s="208" t="s">
        <v>2124</v>
      </c>
      <c r="W92" s="209" t="s">
        <v>2207</v>
      </c>
      <c r="X92" s="211">
        <f t="shared" si="1"/>
        <v>45036.412499999999</v>
      </c>
      <c r="Y92" s="208" t="s">
        <v>1481</v>
      </c>
      <c r="Z92" s="208" t="s">
        <v>1482</v>
      </c>
      <c r="AA92" s="208" t="s">
        <v>1483</v>
      </c>
      <c r="AB92" s="208" t="s">
        <v>1542</v>
      </c>
      <c r="AC92" s="208" t="s">
        <v>1543</v>
      </c>
      <c r="AD92" s="208">
        <v>107.4</v>
      </c>
      <c r="AE92" s="208">
        <v>73.89</v>
      </c>
      <c r="AG92" s="208" t="s">
        <v>1486</v>
      </c>
      <c r="AH92" s="208" t="s">
        <v>1487</v>
      </c>
      <c r="AI92" s="208" t="s">
        <v>1488</v>
      </c>
      <c r="AJ92" s="208" t="s">
        <v>1489</v>
      </c>
      <c r="AL92" s="208" t="s">
        <v>1490</v>
      </c>
      <c r="AM92" s="208" t="s">
        <v>1741</v>
      </c>
      <c r="AN92" s="208" t="s">
        <v>1492</v>
      </c>
      <c r="AO92" s="208" t="s">
        <v>1742</v>
      </c>
      <c r="AP92" s="208" t="s">
        <v>1494</v>
      </c>
      <c r="AQ92" s="208" t="s">
        <v>1902</v>
      </c>
      <c r="AR92" s="208" t="s">
        <v>1489</v>
      </c>
      <c r="AS92" s="208" t="s">
        <v>1564</v>
      </c>
      <c r="AT92" s="208" t="s">
        <v>2120</v>
      </c>
      <c r="AU92" s="208" t="s">
        <v>2208</v>
      </c>
      <c r="AV92" s="208" t="s">
        <v>2121</v>
      </c>
      <c r="AW92" s="208" t="s">
        <v>2208</v>
      </c>
      <c r="AX92" s="208" t="s">
        <v>2115</v>
      </c>
      <c r="AY92" s="208" t="s">
        <v>1902</v>
      </c>
      <c r="AZ92" s="208" t="s">
        <v>1489</v>
      </c>
      <c r="BA92" s="208" t="s">
        <v>2122</v>
      </c>
      <c r="BB92" s="208" t="s">
        <v>2109</v>
      </c>
      <c r="BC92" s="208" t="s">
        <v>2208</v>
      </c>
      <c r="BD92" s="208" t="s">
        <v>2124</v>
      </c>
      <c r="BE92" s="208" t="s">
        <v>2207</v>
      </c>
      <c r="BF92" s="208" t="s">
        <v>2108</v>
      </c>
      <c r="BH92" s="208" t="b">
        <v>0</v>
      </c>
      <c r="BK92" s="208" t="b">
        <v>0</v>
      </c>
    </row>
    <row r="93" spans="2:63" hidden="1">
      <c r="B93" s="208">
        <v>15292</v>
      </c>
      <c r="C93" s="208" t="s">
        <v>1061</v>
      </c>
      <c r="D93" s="209">
        <v>59252</v>
      </c>
      <c r="E93" s="210">
        <v>163931</v>
      </c>
      <c r="F93" s="210">
        <v>131145</v>
      </c>
      <c r="H93" s="208" t="s">
        <v>17</v>
      </c>
      <c r="I93" s="208" t="s">
        <v>1504</v>
      </c>
      <c r="J93" s="208" t="s">
        <v>1468</v>
      </c>
      <c r="K93" s="208" t="s">
        <v>1469</v>
      </c>
      <c r="L93" s="208" t="s">
        <v>1470</v>
      </c>
      <c r="M93" s="208" t="s">
        <v>2099</v>
      </c>
      <c r="N93" s="208" t="s">
        <v>1471</v>
      </c>
      <c r="O93" s="208" t="s">
        <v>2220</v>
      </c>
      <c r="Q93" s="208" t="s">
        <v>2108</v>
      </c>
      <c r="R93" s="209" t="s">
        <v>1475</v>
      </c>
      <c r="S93" s="208" t="s">
        <v>2230</v>
      </c>
      <c r="T93" s="208" t="s">
        <v>2309</v>
      </c>
      <c r="U93" s="208" t="s">
        <v>1637</v>
      </c>
      <c r="V93" s="208" t="s">
        <v>1637</v>
      </c>
      <c r="W93" s="209" t="s">
        <v>1637</v>
      </c>
      <c r="X93" s="211">
        <f t="shared" si="1"/>
        <v>44769.875</v>
      </c>
      <c r="Y93" s="208" t="s">
        <v>2226</v>
      </c>
      <c r="Z93" s="208" t="s">
        <v>1482</v>
      </c>
      <c r="AA93" s="208" t="s">
        <v>1483</v>
      </c>
      <c r="AB93" s="208" t="s">
        <v>1879</v>
      </c>
      <c r="AC93" s="208" t="s">
        <v>1815</v>
      </c>
      <c r="AD93" s="208">
        <v>70</v>
      </c>
      <c r="AE93" s="208">
        <v>0</v>
      </c>
      <c r="AF93" s="208">
        <v>169.95</v>
      </c>
      <c r="AG93" s="208" t="s">
        <v>1486</v>
      </c>
      <c r="AH93" s="208" t="s">
        <v>1487</v>
      </c>
      <c r="AI93" s="208" t="s">
        <v>1488</v>
      </c>
      <c r="AJ93" s="208" t="s">
        <v>1489</v>
      </c>
      <c r="AL93" s="208" t="s">
        <v>1635</v>
      </c>
      <c r="AM93" s="208" t="s">
        <v>1637</v>
      </c>
      <c r="AN93" s="208" t="s">
        <v>1637</v>
      </c>
      <c r="AO93" s="208" t="s">
        <v>1637</v>
      </c>
      <c r="AP93" s="208" t="s">
        <v>1638</v>
      </c>
      <c r="AQ93" s="208" t="s">
        <v>1902</v>
      </c>
      <c r="AT93" s="208" t="s">
        <v>2230</v>
      </c>
      <c r="AU93" s="208" t="s">
        <v>1637</v>
      </c>
      <c r="AV93" s="208" t="s">
        <v>1637</v>
      </c>
      <c r="AW93" s="208" t="s">
        <v>1637</v>
      </c>
      <c r="AX93" s="208" t="s">
        <v>2108</v>
      </c>
      <c r="AY93" s="208" t="s">
        <v>1902</v>
      </c>
      <c r="BB93" s="208" t="s">
        <v>2230</v>
      </c>
      <c r="BC93" s="208" t="s">
        <v>1637</v>
      </c>
      <c r="BD93" s="208" t="s">
        <v>1637</v>
      </c>
      <c r="BE93" s="208" t="s">
        <v>1637</v>
      </c>
      <c r="BF93" s="208" t="s">
        <v>2108</v>
      </c>
      <c r="BH93" s="208" t="b">
        <v>0</v>
      </c>
      <c r="BK93" s="208" t="b">
        <v>0</v>
      </c>
    </row>
    <row r="94" spans="2:63" hidden="1">
      <c r="B94" s="208">
        <v>15292</v>
      </c>
      <c r="C94" s="208" t="s">
        <v>1061</v>
      </c>
      <c r="D94" s="209">
        <v>59252</v>
      </c>
      <c r="E94" s="210">
        <v>203217</v>
      </c>
      <c r="F94" s="210">
        <v>172734</v>
      </c>
      <c r="H94" s="208" t="s">
        <v>17</v>
      </c>
      <c r="I94" s="208" t="s">
        <v>1504</v>
      </c>
      <c r="J94" s="208" t="s">
        <v>1468</v>
      </c>
      <c r="K94" s="208" t="s">
        <v>1469</v>
      </c>
      <c r="L94" s="208" t="s">
        <v>1470</v>
      </c>
      <c r="M94" s="208" t="s">
        <v>1668</v>
      </c>
      <c r="N94" s="208" t="s">
        <v>1471</v>
      </c>
      <c r="O94" s="208" t="s">
        <v>2220</v>
      </c>
      <c r="Q94" s="208" t="s">
        <v>2235</v>
      </c>
      <c r="R94" s="209" t="s">
        <v>1475</v>
      </c>
      <c r="S94" s="208" t="s">
        <v>2222</v>
      </c>
      <c r="T94" s="208" t="s">
        <v>2266</v>
      </c>
      <c r="U94" s="208" t="s">
        <v>1519</v>
      </c>
      <c r="V94" s="208" t="s">
        <v>2237</v>
      </c>
      <c r="W94" s="209" t="s">
        <v>2228</v>
      </c>
      <c r="X94" s="211">
        <f t="shared" si="1"/>
        <v>44727.875</v>
      </c>
      <c r="Y94" s="208" t="s">
        <v>2226</v>
      </c>
      <c r="Z94" s="208" t="s">
        <v>1482</v>
      </c>
      <c r="AA94" s="208" t="s">
        <v>1483</v>
      </c>
      <c r="AB94" s="208" t="s">
        <v>2328</v>
      </c>
      <c r="AC94" s="208" t="s">
        <v>2329</v>
      </c>
      <c r="AD94" s="208">
        <v>79.239999999999995</v>
      </c>
      <c r="AE94" s="208">
        <v>0</v>
      </c>
      <c r="AF94" s="208">
        <v>169.95</v>
      </c>
      <c r="AG94" s="208" t="s">
        <v>1486</v>
      </c>
      <c r="AH94" s="208" t="s">
        <v>1487</v>
      </c>
      <c r="AI94" s="208" t="s">
        <v>1488</v>
      </c>
      <c r="AJ94" s="208" t="s">
        <v>1489</v>
      </c>
      <c r="AL94" s="208" t="s">
        <v>1517</v>
      </c>
      <c r="AM94" s="208" t="s">
        <v>1519</v>
      </c>
      <c r="AN94" s="208" t="s">
        <v>1519</v>
      </c>
      <c r="AO94" s="208" t="s">
        <v>1624</v>
      </c>
      <c r="AP94" s="208" t="s">
        <v>1521</v>
      </c>
      <c r="AQ94" s="208" t="s">
        <v>1902</v>
      </c>
      <c r="AS94" s="208" t="s">
        <v>1564</v>
      </c>
      <c r="AT94" s="208" t="s">
        <v>2222</v>
      </c>
      <c r="AU94" s="208" t="s">
        <v>1519</v>
      </c>
      <c r="AV94" s="208" t="s">
        <v>2237</v>
      </c>
      <c r="AW94" s="208" t="s">
        <v>2228</v>
      </c>
      <c r="AX94" s="208" t="s">
        <v>2235</v>
      </c>
      <c r="AY94" s="208" t="s">
        <v>1902</v>
      </c>
      <c r="BB94" s="208" t="s">
        <v>2222</v>
      </c>
      <c r="BC94" s="208" t="s">
        <v>2228</v>
      </c>
      <c r="BD94" s="208" t="s">
        <v>2237</v>
      </c>
      <c r="BE94" s="208" t="s">
        <v>2239</v>
      </c>
      <c r="BF94" s="208" t="s">
        <v>2240</v>
      </c>
      <c r="BH94" s="208" t="b">
        <v>0</v>
      </c>
      <c r="BK94" s="208" t="b">
        <v>0</v>
      </c>
    </row>
    <row r="95" spans="2:63" hidden="1">
      <c r="B95" s="208">
        <v>15292</v>
      </c>
      <c r="C95" s="208" t="s">
        <v>1061</v>
      </c>
      <c r="D95" s="209">
        <v>62872</v>
      </c>
      <c r="E95" s="210">
        <v>1002000</v>
      </c>
      <c r="F95" s="210">
        <v>701000</v>
      </c>
      <c r="H95" s="208" t="s">
        <v>17</v>
      </c>
      <c r="I95" s="208" t="s">
        <v>1555</v>
      </c>
      <c r="J95" s="208" t="s">
        <v>1468</v>
      </c>
      <c r="K95" s="208" t="s">
        <v>1469</v>
      </c>
      <c r="L95" s="208" t="s">
        <v>1470</v>
      </c>
      <c r="M95" s="208" t="s">
        <v>23</v>
      </c>
      <c r="N95" s="208" t="s">
        <v>1471</v>
      </c>
      <c r="O95" s="208" t="s">
        <v>1625</v>
      </c>
      <c r="P95" s="208" t="s">
        <v>1626</v>
      </c>
      <c r="Q95" s="208" t="s">
        <v>1474</v>
      </c>
      <c r="R95" s="209" t="s">
        <v>1475</v>
      </c>
      <c r="S95" s="208" t="s">
        <v>1627</v>
      </c>
      <c r="T95" s="208" t="s">
        <v>1647</v>
      </c>
      <c r="U95" s="208" t="s">
        <v>1648</v>
      </c>
      <c r="V95" s="208" t="s">
        <v>1630</v>
      </c>
      <c r="W95" s="209" t="s">
        <v>1649</v>
      </c>
      <c r="X95" s="211">
        <f t="shared" si="1"/>
        <v>45883.427777777775</v>
      </c>
      <c r="Y95" s="208" t="s">
        <v>1481</v>
      </c>
      <c r="Z95" s="208" t="s">
        <v>1632</v>
      </c>
      <c r="AA95" s="208" t="s">
        <v>1483</v>
      </c>
      <c r="AB95" s="208" t="s">
        <v>1650</v>
      </c>
      <c r="AC95" s="208" t="s">
        <v>1644</v>
      </c>
      <c r="AF95" s="208">
        <v>964.28</v>
      </c>
      <c r="AG95" s="208" t="s">
        <v>1486</v>
      </c>
      <c r="AH95" s="208" t="s">
        <v>1487</v>
      </c>
      <c r="AI95" s="208" t="s">
        <v>1488</v>
      </c>
      <c r="AJ95" s="208" t="s">
        <v>1489</v>
      </c>
      <c r="AL95" s="208" t="s">
        <v>1585</v>
      </c>
      <c r="AM95" s="208" t="s">
        <v>1651</v>
      </c>
      <c r="AN95" s="208" t="s">
        <v>1652</v>
      </c>
      <c r="AO95" s="208" t="s">
        <v>1653</v>
      </c>
      <c r="AP95" s="208" t="s">
        <v>1589</v>
      </c>
      <c r="AT95" s="208" t="s">
        <v>1627</v>
      </c>
      <c r="AU95" s="208" t="s">
        <v>1648</v>
      </c>
      <c r="AV95" s="208" t="s">
        <v>1639</v>
      </c>
      <c r="AW95" s="208" t="s">
        <v>1648</v>
      </c>
      <c r="AX95" s="208" t="s">
        <v>1572</v>
      </c>
      <c r="BB95" s="208" t="s">
        <v>1627</v>
      </c>
      <c r="BC95" s="208" t="s">
        <v>1648</v>
      </c>
      <c r="BD95" s="208" t="s">
        <v>1630</v>
      </c>
      <c r="BE95" s="208" t="s">
        <v>1649</v>
      </c>
      <c r="BF95" s="208" t="s">
        <v>1474</v>
      </c>
      <c r="BG95" s="208" t="b">
        <v>1</v>
      </c>
      <c r="BH95" s="208" t="b">
        <v>0</v>
      </c>
      <c r="BK95" s="208" t="b">
        <v>0</v>
      </c>
    </row>
    <row r="96" spans="2:63" hidden="1">
      <c r="B96" s="208">
        <v>15292</v>
      </c>
      <c r="C96" s="208" t="s">
        <v>1061</v>
      </c>
      <c r="D96" s="209">
        <v>62872</v>
      </c>
      <c r="E96" s="210">
        <v>751500</v>
      </c>
      <c r="F96" s="210">
        <v>533549</v>
      </c>
      <c r="H96" s="208" t="s">
        <v>17</v>
      </c>
      <c r="I96" s="208" t="s">
        <v>1555</v>
      </c>
      <c r="J96" s="208" t="s">
        <v>1468</v>
      </c>
      <c r="K96" s="208" t="s">
        <v>1469</v>
      </c>
      <c r="L96" s="208" t="s">
        <v>1470</v>
      </c>
      <c r="M96" s="208" t="s">
        <v>23</v>
      </c>
      <c r="N96" s="208" t="s">
        <v>1471</v>
      </c>
      <c r="O96" s="208" t="s">
        <v>1904</v>
      </c>
      <c r="P96" s="208" t="s">
        <v>1626</v>
      </c>
      <c r="Q96" s="208" t="s">
        <v>1474</v>
      </c>
      <c r="R96" s="209" t="s">
        <v>1475</v>
      </c>
      <c r="S96" s="208" t="s">
        <v>1975</v>
      </c>
      <c r="T96" s="208" t="s">
        <v>1965</v>
      </c>
      <c r="U96" s="208" t="s">
        <v>1976</v>
      </c>
      <c r="V96" s="208" t="s">
        <v>1977</v>
      </c>
      <c r="W96" s="209" t="s">
        <v>1978</v>
      </c>
      <c r="X96" s="211">
        <f t="shared" si="1"/>
        <v>45190.677777777775</v>
      </c>
      <c r="Y96" s="208" t="s">
        <v>1481</v>
      </c>
      <c r="Z96" s="208" t="s">
        <v>1524</v>
      </c>
      <c r="AA96" s="208" t="s">
        <v>1483</v>
      </c>
      <c r="AB96" s="208" t="s">
        <v>1650</v>
      </c>
      <c r="AC96" s="208" t="s">
        <v>1644</v>
      </c>
      <c r="AF96" s="208">
        <v>964.28</v>
      </c>
      <c r="AG96" s="208" t="s">
        <v>1486</v>
      </c>
      <c r="AH96" s="208" t="s">
        <v>1487</v>
      </c>
      <c r="AI96" s="208" t="s">
        <v>1488</v>
      </c>
      <c r="AJ96" s="208" t="s">
        <v>1489</v>
      </c>
      <c r="AL96" s="208" t="s">
        <v>1585</v>
      </c>
      <c r="AM96" s="208" t="s">
        <v>1651</v>
      </c>
      <c r="AN96" s="208" t="s">
        <v>1652</v>
      </c>
      <c r="AO96" s="208" t="s">
        <v>1653</v>
      </c>
      <c r="AP96" s="208" t="s">
        <v>1589</v>
      </c>
      <c r="AT96" s="208" t="s">
        <v>1979</v>
      </c>
      <c r="AU96" s="208" t="s">
        <v>1976</v>
      </c>
      <c r="AV96" s="208" t="s">
        <v>1980</v>
      </c>
      <c r="AW96" s="208" t="s">
        <v>1981</v>
      </c>
      <c r="AX96" s="208" t="s">
        <v>1982</v>
      </c>
      <c r="BB96" s="208" t="s">
        <v>1975</v>
      </c>
      <c r="BC96" s="208" t="s">
        <v>1976</v>
      </c>
      <c r="BD96" s="208" t="s">
        <v>1977</v>
      </c>
      <c r="BE96" s="208" t="s">
        <v>1978</v>
      </c>
      <c r="BF96" s="208" t="s">
        <v>1474</v>
      </c>
      <c r="BH96" s="208" t="b">
        <v>1</v>
      </c>
      <c r="BK96" s="208" t="b">
        <v>0</v>
      </c>
    </row>
    <row r="97" spans="2:63" hidden="1">
      <c r="B97" s="208">
        <v>15292</v>
      </c>
      <c r="C97" s="208" t="s">
        <v>1061</v>
      </c>
      <c r="D97" s="209">
        <v>62872</v>
      </c>
      <c r="E97" s="210">
        <v>396932.03</v>
      </c>
      <c r="F97" s="210">
        <v>297699.02</v>
      </c>
      <c r="H97" s="208" t="s">
        <v>17</v>
      </c>
      <c r="I97" s="208" t="s">
        <v>1555</v>
      </c>
      <c r="J97" s="208" t="s">
        <v>1468</v>
      </c>
      <c r="K97" s="208" t="s">
        <v>1469</v>
      </c>
      <c r="L97" s="208" t="s">
        <v>1470</v>
      </c>
      <c r="M97" s="208" t="s">
        <v>1668</v>
      </c>
      <c r="N97" s="208" t="s">
        <v>1471</v>
      </c>
      <c r="O97" s="208" t="s">
        <v>2116</v>
      </c>
      <c r="P97" s="208" t="s">
        <v>2101</v>
      </c>
      <c r="Q97" s="208" t="s">
        <v>2108</v>
      </c>
      <c r="R97" s="209" t="s">
        <v>1475</v>
      </c>
      <c r="S97" s="208" t="s">
        <v>2109</v>
      </c>
      <c r="T97" s="208" t="s">
        <v>1651</v>
      </c>
      <c r="U97" s="208" t="s">
        <v>2204</v>
      </c>
      <c r="V97" s="208" t="s">
        <v>2111</v>
      </c>
      <c r="W97" s="209" t="s">
        <v>2205</v>
      </c>
      <c r="X97" s="211">
        <f t="shared" si="1"/>
        <v>45036.413888888892</v>
      </c>
      <c r="Y97" s="208" t="s">
        <v>1481</v>
      </c>
      <c r="Z97" s="208" t="s">
        <v>1482</v>
      </c>
      <c r="AA97" s="208" t="s">
        <v>1483</v>
      </c>
      <c r="AB97" s="208" t="s">
        <v>1650</v>
      </c>
      <c r="AC97" s="208" t="s">
        <v>1644</v>
      </c>
      <c r="AF97" s="208">
        <v>964.28</v>
      </c>
      <c r="AG97" s="208" t="s">
        <v>1486</v>
      </c>
      <c r="AH97" s="208" t="s">
        <v>1487</v>
      </c>
      <c r="AI97" s="208" t="s">
        <v>1488</v>
      </c>
      <c r="AJ97" s="208" t="s">
        <v>1489</v>
      </c>
      <c r="AL97" s="208" t="s">
        <v>1585</v>
      </c>
      <c r="AM97" s="208" t="s">
        <v>1651</v>
      </c>
      <c r="AN97" s="208" t="s">
        <v>1652</v>
      </c>
      <c r="AO97" s="208" t="s">
        <v>1653</v>
      </c>
      <c r="AP97" s="208" t="s">
        <v>1589</v>
      </c>
      <c r="AQ97" s="208" t="s">
        <v>1902</v>
      </c>
      <c r="AR97" s="208" t="s">
        <v>1489</v>
      </c>
      <c r="AS97" s="208" t="s">
        <v>1564</v>
      </c>
      <c r="AT97" s="208" t="s">
        <v>2169</v>
      </c>
      <c r="AU97" s="208" t="s">
        <v>2204</v>
      </c>
      <c r="AV97" s="208" t="s">
        <v>2132</v>
      </c>
      <c r="AW97" s="208" t="s">
        <v>2204</v>
      </c>
      <c r="AX97" s="208" t="s">
        <v>2115</v>
      </c>
      <c r="AY97" s="208" t="s">
        <v>1902</v>
      </c>
      <c r="AZ97" s="208" t="s">
        <v>1489</v>
      </c>
      <c r="BA97" s="208" t="s">
        <v>1564</v>
      </c>
      <c r="BB97" s="208" t="s">
        <v>2109</v>
      </c>
      <c r="BC97" s="208" t="s">
        <v>2204</v>
      </c>
      <c r="BD97" s="208" t="s">
        <v>2111</v>
      </c>
      <c r="BE97" s="208" t="s">
        <v>2205</v>
      </c>
      <c r="BF97" s="208" t="s">
        <v>2108</v>
      </c>
      <c r="BH97" s="208" t="b">
        <v>0</v>
      </c>
      <c r="BK97" s="208" t="b">
        <v>0</v>
      </c>
    </row>
    <row r="98" spans="2:63" hidden="1">
      <c r="B98" s="208">
        <v>15292</v>
      </c>
      <c r="C98" s="208" t="s">
        <v>1061</v>
      </c>
      <c r="D98" s="209">
        <v>62872</v>
      </c>
      <c r="E98" s="210">
        <v>662942</v>
      </c>
      <c r="F98" s="210">
        <v>530354</v>
      </c>
      <c r="H98" s="208" t="s">
        <v>17</v>
      </c>
      <c r="I98" s="208" t="s">
        <v>1555</v>
      </c>
      <c r="J98" s="208" t="s">
        <v>1468</v>
      </c>
      <c r="K98" s="208" t="s">
        <v>1469</v>
      </c>
      <c r="L98" s="208" t="s">
        <v>1470</v>
      </c>
      <c r="M98" s="208" t="s">
        <v>2099</v>
      </c>
      <c r="N98" s="208" t="s">
        <v>1471</v>
      </c>
      <c r="O98" s="208" t="s">
        <v>2220</v>
      </c>
      <c r="Q98" s="208" t="s">
        <v>2241</v>
      </c>
      <c r="R98" s="209" t="s">
        <v>1475</v>
      </c>
      <c r="S98" s="208" t="s">
        <v>2230</v>
      </c>
      <c r="T98" s="208" t="s">
        <v>2258</v>
      </c>
      <c r="U98" s="208" t="s">
        <v>1637</v>
      </c>
      <c r="V98" s="208" t="s">
        <v>2233</v>
      </c>
      <c r="W98" s="209" t="s">
        <v>2233</v>
      </c>
      <c r="X98" s="211">
        <f t="shared" si="1"/>
        <v>44773.875</v>
      </c>
      <c r="Y98" s="208" t="s">
        <v>2226</v>
      </c>
      <c r="Z98" s="208" t="s">
        <v>1482</v>
      </c>
      <c r="AA98" s="208" t="s">
        <v>1483</v>
      </c>
      <c r="AB98" s="208" t="s">
        <v>1650</v>
      </c>
      <c r="AC98" s="208" t="s">
        <v>1644</v>
      </c>
      <c r="AD98" s="208">
        <v>0</v>
      </c>
      <c r="AE98" s="208">
        <v>0</v>
      </c>
      <c r="AF98" s="208">
        <v>964.28</v>
      </c>
      <c r="AG98" s="208" t="s">
        <v>1486</v>
      </c>
      <c r="AH98" s="208" t="s">
        <v>1487</v>
      </c>
      <c r="AI98" s="208" t="s">
        <v>1488</v>
      </c>
      <c r="AJ98" s="208" t="s">
        <v>1489</v>
      </c>
      <c r="AL98" s="208" t="s">
        <v>1635</v>
      </c>
      <c r="AM98" s="208" t="s">
        <v>1637</v>
      </c>
      <c r="AN98" s="208" t="s">
        <v>1637</v>
      </c>
      <c r="AO98" s="208" t="s">
        <v>1637</v>
      </c>
      <c r="AP98" s="208" t="s">
        <v>1638</v>
      </c>
      <c r="AQ98" s="208" t="s">
        <v>1902</v>
      </c>
      <c r="AS98" s="208" t="s">
        <v>1564</v>
      </c>
      <c r="AT98" s="208" t="s">
        <v>2230</v>
      </c>
      <c r="AU98" s="208" t="s">
        <v>1637</v>
      </c>
      <c r="AV98" s="208" t="s">
        <v>2233</v>
      </c>
      <c r="AW98" s="208" t="s">
        <v>2233</v>
      </c>
      <c r="AX98" s="208" t="s">
        <v>2241</v>
      </c>
      <c r="AY98" s="208" t="s">
        <v>1902</v>
      </c>
      <c r="BB98" s="208" t="s">
        <v>2230</v>
      </c>
      <c r="BC98" s="208" t="s">
        <v>2233</v>
      </c>
      <c r="BD98" s="208" t="s">
        <v>2233</v>
      </c>
      <c r="BE98" s="208" t="s">
        <v>2233</v>
      </c>
      <c r="BF98" s="208" t="s">
        <v>1474</v>
      </c>
      <c r="BH98" s="208" t="b">
        <v>0</v>
      </c>
      <c r="BK98" s="208" t="b">
        <v>0</v>
      </c>
    </row>
    <row r="99" spans="2:63" hidden="1">
      <c r="B99" s="208">
        <v>15292</v>
      </c>
      <c r="C99" s="208" t="s">
        <v>1061</v>
      </c>
      <c r="D99" s="209">
        <v>62872</v>
      </c>
      <c r="E99" s="210">
        <v>185619</v>
      </c>
      <c r="F99" s="210">
        <v>133646</v>
      </c>
      <c r="H99" s="208" t="s">
        <v>17</v>
      </c>
      <c r="I99" s="208" t="s">
        <v>1504</v>
      </c>
      <c r="J99" s="208" t="s">
        <v>1468</v>
      </c>
      <c r="K99" s="208" t="s">
        <v>1469</v>
      </c>
      <c r="L99" s="208" t="s">
        <v>1470</v>
      </c>
      <c r="M99" s="208" t="s">
        <v>1668</v>
      </c>
      <c r="N99" s="208" t="s">
        <v>1471</v>
      </c>
      <c r="O99" s="208" t="s">
        <v>2220</v>
      </c>
      <c r="Q99" s="208" t="s">
        <v>2235</v>
      </c>
      <c r="R99" s="209" t="s">
        <v>1475</v>
      </c>
      <c r="S99" s="208" t="s">
        <v>2222</v>
      </c>
      <c r="T99" s="208" t="s">
        <v>2282</v>
      </c>
      <c r="U99" s="208" t="s">
        <v>1519</v>
      </c>
      <c r="V99" s="208" t="s">
        <v>2237</v>
      </c>
      <c r="W99" s="209" t="s">
        <v>2245</v>
      </c>
      <c r="X99" s="211">
        <f t="shared" si="1"/>
        <v>44731.875</v>
      </c>
      <c r="Y99" s="208" t="s">
        <v>2226</v>
      </c>
      <c r="Z99" s="208" t="s">
        <v>1482</v>
      </c>
      <c r="AA99" s="208" t="s">
        <v>1483</v>
      </c>
      <c r="AB99" s="208" t="s">
        <v>1884</v>
      </c>
      <c r="AC99" s="208" t="s">
        <v>1775</v>
      </c>
      <c r="AD99" s="208">
        <v>82.36</v>
      </c>
      <c r="AE99" s="208">
        <v>0</v>
      </c>
      <c r="AF99" s="208">
        <v>150</v>
      </c>
      <c r="AG99" s="208" t="s">
        <v>1486</v>
      </c>
      <c r="AH99" s="208" t="s">
        <v>1487</v>
      </c>
      <c r="AI99" s="208" t="s">
        <v>1488</v>
      </c>
      <c r="AJ99" s="208" t="s">
        <v>1489</v>
      </c>
      <c r="AL99" s="208" t="s">
        <v>1517</v>
      </c>
      <c r="AM99" s="208" t="s">
        <v>1519</v>
      </c>
      <c r="AN99" s="208" t="s">
        <v>1519</v>
      </c>
      <c r="AO99" s="208" t="s">
        <v>1624</v>
      </c>
      <c r="AP99" s="208" t="s">
        <v>1521</v>
      </c>
      <c r="AQ99" s="208" t="s">
        <v>1902</v>
      </c>
      <c r="AS99" s="208" t="s">
        <v>1564</v>
      </c>
      <c r="AT99" s="208" t="s">
        <v>2222</v>
      </c>
      <c r="AU99" s="208" t="s">
        <v>1519</v>
      </c>
      <c r="AV99" s="208" t="s">
        <v>2237</v>
      </c>
      <c r="AW99" s="208" t="s">
        <v>2245</v>
      </c>
      <c r="AX99" s="208" t="s">
        <v>2235</v>
      </c>
      <c r="AY99" s="208" t="s">
        <v>1902</v>
      </c>
      <c r="BB99" s="208" t="s">
        <v>2222</v>
      </c>
      <c r="BC99" s="208" t="s">
        <v>2245</v>
      </c>
      <c r="BD99" s="208" t="s">
        <v>2237</v>
      </c>
      <c r="BE99" s="208" t="s">
        <v>2239</v>
      </c>
      <c r="BF99" s="208" t="s">
        <v>2240</v>
      </c>
      <c r="BH99" s="208" t="b">
        <v>0</v>
      </c>
      <c r="BK99" s="208" t="b">
        <v>0</v>
      </c>
    </row>
    <row r="100" spans="2:63" hidden="1">
      <c r="B100" s="208">
        <v>15292</v>
      </c>
      <c r="C100" s="208" t="s">
        <v>1061</v>
      </c>
      <c r="D100" s="209">
        <v>72157</v>
      </c>
      <c r="E100" s="210">
        <v>2969000</v>
      </c>
      <c r="F100" s="210">
        <v>1781000</v>
      </c>
      <c r="H100" s="208" t="s">
        <v>17</v>
      </c>
      <c r="I100" s="208" t="s">
        <v>1555</v>
      </c>
      <c r="J100" s="208" t="s">
        <v>1468</v>
      </c>
      <c r="K100" s="208" t="s">
        <v>1469</v>
      </c>
      <c r="L100" s="208" t="s">
        <v>1470</v>
      </c>
      <c r="M100" s="208" t="s">
        <v>23</v>
      </c>
      <c r="N100" s="208" t="s">
        <v>1471</v>
      </c>
      <c r="O100" s="208" t="s">
        <v>1625</v>
      </c>
      <c r="P100" s="208" t="s">
        <v>1626</v>
      </c>
      <c r="Q100" s="208" t="s">
        <v>1474</v>
      </c>
      <c r="R100" s="209" t="s">
        <v>1475</v>
      </c>
      <c r="S100" s="208" t="s">
        <v>1627</v>
      </c>
      <c r="T100" s="208" t="s">
        <v>1640</v>
      </c>
      <c r="U100" s="208" t="s">
        <v>1641</v>
      </c>
      <c r="V100" s="208" t="s">
        <v>1630</v>
      </c>
      <c r="W100" s="209" t="s">
        <v>1642</v>
      </c>
      <c r="X100" s="211">
        <f t="shared" si="1"/>
        <v>45883.424305555556</v>
      </c>
      <c r="Y100" s="208" t="s">
        <v>1481</v>
      </c>
      <c r="Z100" s="208" t="s">
        <v>1632</v>
      </c>
      <c r="AA100" s="208" t="s">
        <v>1483</v>
      </c>
      <c r="AB100" s="208" t="s">
        <v>1643</v>
      </c>
      <c r="AC100" s="208" t="s">
        <v>1644</v>
      </c>
      <c r="AD100" s="208">
        <v>879.25</v>
      </c>
      <c r="AF100" s="208">
        <v>3406.5</v>
      </c>
      <c r="AG100" s="208" t="s">
        <v>1486</v>
      </c>
      <c r="AH100" s="208" t="s">
        <v>1487</v>
      </c>
      <c r="AI100" s="208" t="s">
        <v>1488</v>
      </c>
      <c r="AJ100" s="208" t="s">
        <v>1489</v>
      </c>
      <c r="AL100" s="208" t="s">
        <v>1490</v>
      </c>
      <c r="AM100" s="208" t="s">
        <v>1645</v>
      </c>
      <c r="AN100" s="208" t="s">
        <v>1492</v>
      </c>
      <c r="AO100" s="208" t="s">
        <v>1646</v>
      </c>
      <c r="AP100" s="208" t="s">
        <v>1494</v>
      </c>
      <c r="AT100" s="208" t="s">
        <v>1627</v>
      </c>
      <c r="AU100" s="208" t="s">
        <v>1641</v>
      </c>
      <c r="AV100" s="208" t="s">
        <v>1639</v>
      </c>
      <c r="AW100" s="208" t="s">
        <v>1641</v>
      </c>
      <c r="AX100" s="208" t="s">
        <v>1572</v>
      </c>
      <c r="BB100" s="208" t="s">
        <v>1627</v>
      </c>
      <c r="BC100" s="208" t="s">
        <v>1641</v>
      </c>
      <c r="BD100" s="208" t="s">
        <v>1630</v>
      </c>
      <c r="BE100" s="208" t="s">
        <v>1642</v>
      </c>
      <c r="BF100" s="208" t="s">
        <v>1474</v>
      </c>
      <c r="BG100" s="208" t="b">
        <v>1</v>
      </c>
      <c r="BH100" s="208" t="b">
        <v>0</v>
      </c>
      <c r="BK100" s="208" t="b">
        <v>0</v>
      </c>
    </row>
    <row r="101" spans="2:63" hidden="1">
      <c r="B101" s="208">
        <v>15292</v>
      </c>
      <c r="C101" s="208" t="s">
        <v>1061</v>
      </c>
      <c r="D101" s="209">
        <v>72157</v>
      </c>
      <c r="E101" s="210">
        <v>2655000</v>
      </c>
      <c r="F101" s="210">
        <v>1593000</v>
      </c>
      <c r="H101" s="208" t="s">
        <v>17</v>
      </c>
      <c r="I101" s="208" t="s">
        <v>1555</v>
      </c>
      <c r="J101" s="208" t="s">
        <v>1468</v>
      </c>
      <c r="K101" s="208" t="s">
        <v>1469</v>
      </c>
      <c r="L101" s="208" t="s">
        <v>1470</v>
      </c>
      <c r="M101" s="208" t="s">
        <v>23</v>
      </c>
      <c r="N101" s="208" t="s">
        <v>1471</v>
      </c>
      <c r="O101" s="208" t="s">
        <v>1904</v>
      </c>
      <c r="P101" s="208" t="s">
        <v>1626</v>
      </c>
      <c r="Q101" s="208" t="s">
        <v>1474</v>
      </c>
      <c r="R101" s="209" t="s">
        <v>1475</v>
      </c>
      <c r="S101" s="208" t="s">
        <v>1975</v>
      </c>
      <c r="T101" s="208" t="s">
        <v>1965</v>
      </c>
      <c r="U101" s="208" t="s">
        <v>2046</v>
      </c>
      <c r="V101" s="208" t="s">
        <v>2046</v>
      </c>
      <c r="W101" s="209" t="s">
        <v>2047</v>
      </c>
      <c r="X101" s="211">
        <f t="shared" si="1"/>
        <v>45190.729861111111</v>
      </c>
      <c r="Y101" s="208" t="s">
        <v>1481</v>
      </c>
      <c r="Z101" s="208" t="s">
        <v>1524</v>
      </c>
      <c r="AA101" s="208" t="s">
        <v>1483</v>
      </c>
      <c r="AB101" s="208" t="s">
        <v>1643</v>
      </c>
      <c r="AC101" s="208" t="s">
        <v>1644</v>
      </c>
      <c r="AD101" s="208">
        <v>879.25</v>
      </c>
      <c r="AF101" s="208">
        <v>3406.5</v>
      </c>
      <c r="AG101" s="208" t="s">
        <v>1486</v>
      </c>
      <c r="AH101" s="208" t="s">
        <v>1487</v>
      </c>
      <c r="AI101" s="208" t="s">
        <v>1488</v>
      </c>
      <c r="AJ101" s="208" t="s">
        <v>1489</v>
      </c>
      <c r="AL101" s="208" t="s">
        <v>1490</v>
      </c>
      <c r="AM101" s="208" t="s">
        <v>1645</v>
      </c>
      <c r="AN101" s="208" t="s">
        <v>1492</v>
      </c>
      <c r="AO101" s="208" t="s">
        <v>1646</v>
      </c>
      <c r="AP101" s="208" t="s">
        <v>1494</v>
      </c>
      <c r="AT101" s="208" t="s">
        <v>1956</v>
      </c>
      <c r="AU101" s="208" t="s">
        <v>2046</v>
      </c>
      <c r="AV101" s="208" t="s">
        <v>2048</v>
      </c>
      <c r="AW101" s="208" t="s">
        <v>2049</v>
      </c>
      <c r="AX101" s="208" t="s">
        <v>1859</v>
      </c>
      <c r="BB101" s="208" t="s">
        <v>1975</v>
      </c>
      <c r="BC101" s="208" t="s">
        <v>2046</v>
      </c>
      <c r="BD101" s="208" t="s">
        <v>2046</v>
      </c>
      <c r="BE101" s="208" t="s">
        <v>2047</v>
      </c>
      <c r="BF101" s="208" t="s">
        <v>1474</v>
      </c>
      <c r="BH101" s="208" t="b">
        <v>1</v>
      </c>
      <c r="BK101" s="208" t="b">
        <v>0</v>
      </c>
    </row>
    <row r="102" spans="2:63" hidden="1">
      <c r="B102" s="208">
        <v>15292</v>
      </c>
      <c r="C102" s="208" t="s">
        <v>1061</v>
      </c>
      <c r="D102" s="209">
        <v>72157</v>
      </c>
      <c r="E102" s="210">
        <v>2262941.7000000002</v>
      </c>
      <c r="F102" s="210">
        <v>1697206.28</v>
      </c>
      <c r="H102" s="208" t="s">
        <v>17</v>
      </c>
      <c r="I102" s="208" t="s">
        <v>1555</v>
      </c>
      <c r="J102" s="208" t="s">
        <v>1468</v>
      </c>
      <c r="K102" s="208" t="s">
        <v>1469</v>
      </c>
      <c r="L102" s="208" t="s">
        <v>1470</v>
      </c>
      <c r="M102" s="208" t="s">
        <v>1668</v>
      </c>
      <c r="N102" s="208" t="s">
        <v>1471</v>
      </c>
      <c r="O102" s="208" t="s">
        <v>2116</v>
      </c>
      <c r="P102" s="208" t="s">
        <v>2101</v>
      </c>
      <c r="Q102" s="208" t="s">
        <v>2108</v>
      </c>
      <c r="R102" s="209" t="s">
        <v>1475</v>
      </c>
      <c r="S102" s="208" t="s">
        <v>2109</v>
      </c>
      <c r="T102" s="208" t="s">
        <v>1645</v>
      </c>
      <c r="U102" s="208" t="s">
        <v>2194</v>
      </c>
      <c r="V102" s="208" t="s">
        <v>2167</v>
      </c>
      <c r="W102" s="209" t="s">
        <v>2195</v>
      </c>
      <c r="X102" s="211">
        <f t="shared" si="1"/>
        <v>45036.419444444444</v>
      </c>
      <c r="Y102" s="208" t="s">
        <v>1481</v>
      </c>
      <c r="Z102" s="208" t="s">
        <v>1482</v>
      </c>
      <c r="AA102" s="208" t="s">
        <v>1483</v>
      </c>
      <c r="AB102" s="208" t="s">
        <v>1643</v>
      </c>
      <c r="AC102" s="208" t="s">
        <v>1644</v>
      </c>
      <c r="AD102" s="208">
        <v>879.25</v>
      </c>
      <c r="AF102" s="208">
        <v>3406.5</v>
      </c>
      <c r="AG102" s="208" t="s">
        <v>1486</v>
      </c>
      <c r="AH102" s="208" t="s">
        <v>1487</v>
      </c>
      <c r="AI102" s="208" t="s">
        <v>1488</v>
      </c>
      <c r="AJ102" s="208" t="s">
        <v>1489</v>
      </c>
      <c r="AL102" s="208" t="s">
        <v>1490</v>
      </c>
      <c r="AM102" s="208" t="s">
        <v>1645</v>
      </c>
      <c r="AN102" s="208" t="s">
        <v>1492</v>
      </c>
      <c r="AO102" s="208" t="s">
        <v>1646</v>
      </c>
      <c r="AP102" s="208" t="s">
        <v>1494</v>
      </c>
      <c r="AQ102" s="208" t="s">
        <v>1902</v>
      </c>
      <c r="AR102" s="208" t="s">
        <v>1489</v>
      </c>
      <c r="AS102" s="208" t="s">
        <v>1564</v>
      </c>
      <c r="AT102" s="208" t="s">
        <v>2113</v>
      </c>
      <c r="AU102" s="208" t="s">
        <v>2194</v>
      </c>
      <c r="AV102" s="208" t="s">
        <v>2114</v>
      </c>
      <c r="AW102" s="208" t="s">
        <v>2194</v>
      </c>
      <c r="AX102" s="208" t="s">
        <v>2115</v>
      </c>
      <c r="AY102" s="208" t="s">
        <v>1902</v>
      </c>
      <c r="AZ102" s="208" t="s">
        <v>1489</v>
      </c>
      <c r="BA102" s="208" t="s">
        <v>1564</v>
      </c>
      <c r="BB102" s="208" t="s">
        <v>2109</v>
      </c>
      <c r="BC102" s="208" t="s">
        <v>2194</v>
      </c>
      <c r="BD102" s="208" t="s">
        <v>2167</v>
      </c>
      <c r="BE102" s="208" t="s">
        <v>2195</v>
      </c>
      <c r="BF102" s="208" t="s">
        <v>2108</v>
      </c>
      <c r="BH102" s="208" t="b">
        <v>0</v>
      </c>
      <c r="BK102" s="208" t="b">
        <v>0</v>
      </c>
    </row>
    <row r="103" spans="2:63" hidden="1">
      <c r="B103" s="208">
        <v>15292</v>
      </c>
      <c r="C103" s="208" t="s">
        <v>1061</v>
      </c>
      <c r="D103" s="209">
        <v>72157</v>
      </c>
      <c r="E103" s="210">
        <v>2980110</v>
      </c>
      <c r="F103" s="210">
        <v>2533093</v>
      </c>
      <c r="H103" s="208" t="s">
        <v>17</v>
      </c>
      <c r="I103" s="208" t="s">
        <v>1555</v>
      </c>
      <c r="J103" s="208" t="s">
        <v>1468</v>
      </c>
      <c r="K103" s="208" t="s">
        <v>1469</v>
      </c>
      <c r="L103" s="208" t="s">
        <v>1470</v>
      </c>
      <c r="M103" s="208" t="s">
        <v>1668</v>
      </c>
      <c r="N103" s="208" t="s">
        <v>1471</v>
      </c>
      <c r="O103" s="208" t="s">
        <v>2220</v>
      </c>
      <c r="Q103" s="208" t="s">
        <v>2229</v>
      </c>
      <c r="R103" s="209" t="s">
        <v>1475</v>
      </c>
      <c r="S103" s="208" t="s">
        <v>2230</v>
      </c>
      <c r="T103" s="208" t="s">
        <v>2279</v>
      </c>
      <c r="U103" s="208" t="s">
        <v>1637</v>
      </c>
      <c r="V103" s="208" t="s">
        <v>2065</v>
      </c>
      <c r="W103" s="209" t="s">
        <v>2065</v>
      </c>
      <c r="X103" s="211">
        <f t="shared" si="1"/>
        <v>44770.875</v>
      </c>
      <c r="Y103" s="208" t="s">
        <v>2226</v>
      </c>
      <c r="Z103" s="208" t="s">
        <v>1482</v>
      </c>
      <c r="AA103" s="208" t="s">
        <v>1483</v>
      </c>
      <c r="AB103" s="208" t="s">
        <v>2280</v>
      </c>
      <c r="AC103" s="208" t="s">
        <v>2281</v>
      </c>
      <c r="AD103" s="208">
        <v>0</v>
      </c>
      <c r="AE103" s="208">
        <v>0</v>
      </c>
      <c r="AF103" s="208">
        <v>3406.5</v>
      </c>
      <c r="AG103" s="208" t="s">
        <v>1486</v>
      </c>
      <c r="AH103" s="208" t="s">
        <v>1487</v>
      </c>
      <c r="AI103" s="208" t="s">
        <v>1488</v>
      </c>
      <c r="AJ103" s="208" t="s">
        <v>1489</v>
      </c>
      <c r="AL103" s="208" t="s">
        <v>1635</v>
      </c>
      <c r="AM103" s="208" t="s">
        <v>1637</v>
      </c>
      <c r="AN103" s="208" t="s">
        <v>1637</v>
      </c>
      <c r="AO103" s="208" t="s">
        <v>1637</v>
      </c>
      <c r="AP103" s="208" t="s">
        <v>1638</v>
      </c>
      <c r="AQ103" s="208" t="s">
        <v>1902</v>
      </c>
      <c r="AS103" s="208" t="s">
        <v>1657</v>
      </c>
      <c r="AT103" s="208" t="s">
        <v>2230</v>
      </c>
      <c r="AU103" s="208" t="s">
        <v>1637</v>
      </c>
      <c r="AV103" s="208" t="s">
        <v>2065</v>
      </c>
      <c r="AW103" s="208" t="s">
        <v>2065</v>
      </c>
      <c r="AX103" s="208" t="s">
        <v>2229</v>
      </c>
      <c r="AY103" s="208" t="s">
        <v>1902</v>
      </c>
      <c r="BB103" s="208" t="s">
        <v>2230</v>
      </c>
      <c r="BC103" s="208" t="s">
        <v>2065</v>
      </c>
      <c r="BD103" s="208" t="s">
        <v>2065</v>
      </c>
      <c r="BE103" s="208" t="s">
        <v>2233</v>
      </c>
      <c r="BF103" s="208" t="s">
        <v>2234</v>
      </c>
      <c r="BH103" s="208" t="b">
        <v>0</v>
      </c>
      <c r="BK103" s="208" t="b">
        <v>0</v>
      </c>
    </row>
    <row r="104" spans="2:63" hidden="1">
      <c r="B104" s="208">
        <v>15292</v>
      </c>
      <c r="C104" s="208" t="s">
        <v>1061</v>
      </c>
      <c r="D104" s="209">
        <v>76858</v>
      </c>
      <c r="E104" s="210">
        <v>672000</v>
      </c>
      <c r="F104" s="210">
        <v>470000</v>
      </c>
      <c r="H104" s="208" t="s">
        <v>17</v>
      </c>
      <c r="I104" s="208" t="s">
        <v>1610</v>
      </c>
      <c r="J104" s="208" t="s">
        <v>1468</v>
      </c>
      <c r="K104" s="208" t="s">
        <v>1469</v>
      </c>
      <c r="L104" s="208" t="s">
        <v>1470</v>
      </c>
      <c r="M104" s="208" t="s">
        <v>21</v>
      </c>
      <c r="N104" s="208" t="s">
        <v>1471</v>
      </c>
      <c r="O104" s="208" t="s">
        <v>1547</v>
      </c>
      <c r="P104" s="208" t="s">
        <v>1473</v>
      </c>
      <c r="Q104" s="208" t="s">
        <v>1474</v>
      </c>
      <c r="R104" s="209" t="s">
        <v>1475</v>
      </c>
      <c r="S104" s="208" t="s">
        <v>1729</v>
      </c>
      <c r="T104" s="208" t="s">
        <v>1811</v>
      </c>
      <c r="U104" s="208" t="s">
        <v>1812</v>
      </c>
      <c r="V104" s="208" t="s">
        <v>1732</v>
      </c>
      <c r="W104" s="209" t="s">
        <v>1813</v>
      </c>
      <c r="X104" s="211">
        <f t="shared" si="1"/>
        <v>45846.631249999999</v>
      </c>
      <c r="Y104" s="208" t="s">
        <v>1481</v>
      </c>
      <c r="Z104" s="208" t="s">
        <v>1482</v>
      </c>
      <c r="AA104" s="208" t="s">
        <v>1483</v>
      </c>
      <c r="AB104" s="208" t="s">
        <v>1814</v>
      </c>
      <c r="AC104" s="208" t="s">
        <v>1815</v>
      </c>
      <c r="AD104" s="208">
        <v>439.36</v>
      </c>
      <c r="AF104" s="208">
        <v>540</v>
      </c>
      <c r="AG104" s="208" t="s">
        <v>1486</v>
      </c>
      <c r="AH104" s="208" t="s">
        <v>1487</v>
      </c>
      <c r="AI104" s="208" t="s">
        <v>1488</v>
      </c>
      <c r="AJ104" s="208" t="s">
        <v>1489</v>
      </c>
      <c r="AL104" s="208" t="s">
        <v>1490</v>
      </c>
      <c r="AM104" s="208" t="s">
        <v>1816</v>
      </c>
      <c r="AN104" s="208" t="s">
        <v>1492</v>
      </c>
      <c r="AO104" s="208" t="s">
        <v>1817</v>
      </c>
      <c r="AP104" s="208" t="s">
        <v>1494</v>
      </c>
      <c r="AT104" s="208" t="s">
        <v>1565</v>
      </c>
      <c r="AU104" s="208" t="s">
        <v>1812</v>
      </c>
      <c r="AV104" s="208" t="s">
        <v>1728</v>
      </c>
      <c r="AW104" s="208" t="s">
        <v>1812</v>
      </c>
      <c r="AX104" s="208" t="s">
        <v>1572</v>
      </c>
      <c r="BB104" s="208" t="s">
        <v>1729</v>
      </c>
      <c r="BC104" s="208" t="s">
        <v>1812</v>
      </c>
      <c r="BD104" s="208" t="s">
        <v>1732</v>
      </c>
      <c r="BE104" s="208" t="s">
        <v>1813</v>
      </c>
      <c r="BF104" s="208" t="s">
        <v>1474</v>
      </c>
      <c r="BH104" s="208" t="b">
        <v>0</v>
      </c>
      <c r="BK104" s="208" t="b">
        <v>0</v>
      </c>
    </row>
    <row r="105" spans="2:63" hidden="1">
      <c r="B105" s="208">
        <v>15292</v>
      </c>
      <c r="C105" s="208" t="s">
        <v>1061</v>
      </c>
      <c r="D105" s="209">
        <v>76858</v>
      </c>
      <c r="E105" s="210">
        <v>590500</v>
      </c>
      <c r="F105" s="210">
        <v>590500</v>
      </c>
      <c r="H105" s="208" t="s">
        <v>17</v>
      </c>
      <c r="I105" s="208" t="s">
        <v>1610</v>
      </c>
      <c r="J105" s="208" t="s">
        <v>1468</v>
      </c>
      <c r="K105" s="208" t="s">
        <v>1469</v>
      </c>
      <c r="L105" s="208" t="s">
        <v>1470</v>
      </c>
      <c r="M105" s="208" t="s">
        <v>21</v>
      </c>
      <c r="N105" s="208" t="s">
        <v>1471</v>
      </c>
      <c r="O105" s="208" t="s">
        <v>1904</v>
      </c>
      <c r="P105" s="208" t="s">
        <v>1626</v>
      </c>
      <c r="Q105" s="208" t="s">
        <v>1474</v>
      </c>
      <c r="R105" s="209" t="s">
        <v>1475</v>
      </c>
      <c r="S105" s="208" t="s">
        <v>2025</v>
      </c>
      <c r="T105" s="208" t="s">
        <v>1965</v>
      </c>
      <c r="U105" s="208" t="s">
        <v>2026</v>
      </c>
      <c r="V105" s="208" t="s">
        <v>2026</v>
      </c>
      <c r="W105" s="209" t="s">
        <v>2027</v>
      </c>
      <c r="X105" s="211">
        <f t="shared" si="1"/>
        <v>45222.680555555555</v>
      </c>
      <c r="Y105" s="208" t="s">
        <v>1481</v>
      </c>
      <c r="Z105" s="208" t="s">
        <v>1524</v>
      </c>
      <c r="AA105" s="208" t="s">
        <v>1483</v>
      </c>
      <c r="AB105" s="208" t="s">
        <v>1814</v>
      </c>
      <c r="AC105" s="208" t="s">
        <v>1815</v>
      </c>
      <c r="AD105" s="208">
        <v>439.36</v>
      </c>
      <c r="AF105" s="208">
        <v>540</v>
      </c>
      <c r="AG105" s="208" t="s">
        <v>1486</v>
      </c>
      <c r="AH105" s="208" t="s">
        <v>1487</v>
      </c>
      <c r="AI105" s="208" t="s">
        <v>1488</v>
      </c>
      <c r="AJ105" s="208" t="s">
        <v>1489</v>
      </c>
      <c r="AL105" s="208" t="s">
        <v>1490</v>
      </c>
      <c r="AM105" s="208" t="s">
        <v>1816</v>
      </c>
      <c r="AN105" s="208" t="s">
        <v>1492</v>
      </c>
      <c r="AO105" s="208" t="s">
        <v>1817</v>
      </c>
      <c r="AP105" s="208" t="s">
        <v>1494</v>
      </c>
      <c r="AT105" s="208" t="s">
        <v>2028</v>
      </c>
      <c r="AU105" s="208" t="s">
        <v>2026</v>
      </c>
      <c r="AV105" s="208" t="s">
        <v>2029</v>
      </c>
      <c r="AW105" s="208" t="s">
        <v>2030</v>
      </c>
      <c r="AX105" s="208" t="s">
        <v>1859</v>
      </c>
      <c r="BB105" s="208" t="s">
        <v>2025</v>
      </c>
      <c r="BC105" s="208" t="s">
        <v>2026</v>
      </c>
      <c r="BD105" s="208" t="s">
        <v>2026</v>
      </c>
      <c r="BE105" s="208" t="s">
        <v>2027</v>
      </c>
      <c r="BF105" s="208" t="s">
        <v>1474</v>
      </c>
      <c r="BH105" s="208" t="b">
        <v>1</v>
      </c>
      <c r="BK105" s="208" t="b">
        <v>0</v>
      </c>
    </row>
    <row r="106" spans="2:63" hidden="1">
      <c r="B106" s="208">
        <v>15292</v>
      </c>
      <c r="C106" s="208" t="s">
        <v>1061</v>
      </c>
      <c r="D106" s="209">
        <v>76858</v>
      </c>
      <c r="E106" s="210">
        <v>739000</v>
      </c>
      <c r="F106" s="210">
        <v>472960</v>
      </c>
      <c r="H106" s="208" t="s">
        <v>17</v>
      </c>
      <c r="I106" s="208" t="s">
        <v>1610</v>
      </c>
      <c r="J106" s="208" t="s">
        <v>1468</v>
      </c>
      <c r="K106" s="208" t="s">
        <v>1469</v>
      </c>
      <c r="L106" s="208" t="s">
        <v>1470</v>
      </c>
      <c r="M106" s="208" t="s">
        <v>1668</v>
      </c>
      <c r="N106" s="208" t="s">
        <v>1471</v>
      </c>
      <c r="O106" s="208" t="s">
        <v>2116</v>
      </c>
      <c r="P106" s="208" t="s">
        <v>2101</v>
      </c>
      <c r="Q106" s="208" t="s">
        <v>2108</v>
      </c>
      <c r="R106" s="209" t="s">
        <v>1475</v>
      </c>
      <c r="S106" s="208" t="s">
        <v>2109</v>
      </c>
      <c r="T106" s="208" t="s">
        <v>1816</v>
      </c>
      <c r="U106" s="208" t="s">
        <v>2150</v>
      </c>
      <c r="V106" s="208" t="s">
        <v>2151</v>
      </c>
      <c r="W106" s="209" t="s">
        <v>2152</v>
      </c>
      <c r="X106" s="211">
        <f t="shared" si="1"/>
        <v>45036.481944444444</v>
      </c>
      <c r="Y106" s="208" t="s">
        <v>1481</v>
      </c>
      <c r="Z106" s="208" t="s">
        <v>1482</v>
      </c>
      <c r="AA106" s="208" t="s">
        <v>1483</v>
      </c>
      <c r="AB106" s="208" t="s">
        <v>1814</v>
      </c>
      <c r="AC106" s="208" t="s">
        <v>1815</v>
      </c>
      <c r="AD106" s="208">
        <v>380</v>
      </c>
      <c r="AF106" s="208">
        <v>540</v>
      </c>
      <c r="AG106" s="208" t="s">
        <v>1486</v>
      </c>
      <c r="AH106" s="208" t="s">
        <v>1487</v>
      </c>
      <c r="AI106" s="208" t="s">
        <v>1488</v>
      </c>
      <c r="AJ106" s="208" t="s">
        <v>1489</v>
      </c>
      <c r="AL106" s="208" t="s">
        <v>1490</v>
      </c>
      <c r="AM106" s="208" t="s">
        <v>1816</v>
      </c>
      <c r="AN106" s="208" t="s">
        <v>1492</v>
      </c>
      <c r="AO106" s="208" t="s">
        <v>1817</v>
      </c>
      <c r="AP106" s="208" t="s">
        <v>1494</v>
      </c>
      <c r="AQ106" s="208" t="s">
        <v>1902</v>
      </c>
      <c r="AR106" s="208" t="s">
        <v>1489</v>
      </c>
      <c r="AS106" s="208" t="s">
        <v>1564</v>
      </c>
      <c r="AT106" s="208" t="s">
        <v>2109</v>
      </c>
      <c r="AU106" s="208" t="s">
        <v>2150</v>
      </c>
      <c r="AV106" s="208" t="s">
        <v>2111</v>
      </c>
      <c r="AW106" s="208" t="s">
        <v>2150</v>
      </c>
      <c r="AX106" s="208" t="s">
        <v>2115</v>
      </c>
      <c r="AY106" s="208" t="s">
        <v>1902</v>
      </c>
      <c r="AZ106" s="208" t="s">
        <v>1489</v>
      </c>
      <c r="BA106" s="208" t="s">
        <v>1564</v>
      </c>
      <c r="BB106" s="208" t="s">
        <v>2109</v>
      </c>
      <c r="BC106" s="208" t="s">
        <v>2150</v>
      </c>
      <c r="BD106" s="208" t="s">
        <v>2151</v>
      </c>
      <c r="BE106" s="208" t="s">
        <v>2152</v>
      </c>
      <c r="BF106" s="208" t="s">
        <v>2108</v>
      </c>
      <c r="BG106" s="208" t="b">
        <v>1</v>
      </c>
      <c r="BH106" s="208" t="b">
        <v>0</v>
      </c>
      <c r="BK106" s="208" t="b">
        <v>0</v>
      </c>
    </row>
    <row r="107" spans="2:63" hidden="1">
      <c r="B107" s="208">
        <v>15292</v>
      </c>
      <c r="C107" s="208" t="s">
        <v>1061</v>
      </c>
      <c r="D107" s="209">
        <v>76858</v>
      </c>
      <c r="E107" s="210">
        <v>672763</v>
      </c>
      <c r="F107" s="210">
        <v>504572</v>
      </c>
      <c r="H107" s="208" t="s">
        <v>17</v>
      </c>
      <c r="I107" s="208" t="s">
        <v>1504</v>
      </c>
      <c r="J107" s="208" t="s">
        <v>1468</v>
      </c>
      <c r="K107" s="208" t="s">
        <v>1469</v>
      </c>
      <c r="L107" s="208" t="s">
        <v>1470</v>
      </c>
      <c r="M107" s="208" t="s">
        <v>2099</v>
      </c>
      <c r="N107" s="208" t="s">
        <v>1471</v>
      </c>
      <c r="O107" s="208" t="s">
        <v>2220</v>
      </c>
      <c r="Q107" s="208" t="s">
        <v>2108</v>
      </c>
      <c r="R107" s="209" t="s">
        <v>1475</v>
      </c>
      <c r="S107" s="208" t="s">
        <v>2230</v>
      </c>
      <c r="T107" s="208" t="s">
        <v>2268</v>
      </c>
      <c r="U107" s="208" t="s">
        <v>1637</v>
      </c>
      <c r="V107" s="208" t="s">
        <v>2065</v>
      </c>
      <c r="W107" s="209" t="s">
        <v>2065</v>
      </c>
      <c r="X107" s="211">
        <f t="shared" si="1"/>
        <v>44770.875</v>
      </c>
      <c r="Y107" s="208" t="s">
        <v>2226</v>
      </c>
      <c r="Z107" s="208" t="s">
        <v>1482</v>
      </c>
      <c r="AA107" s="208" t="s">
        <v>1483</v>
      </c>
      <c r="AB107" s="208" t="s">
        <v>2274</v>
      </c>
      <c r="AC107" s="208" t="s">
        <v>1815</v>
      </c>
      <c r="AD107" s="208">
        <v>400</v>
      </c>
      <c r="AE107" s="208">
        <v>0</v>
      </c>
      <c r="AF107" s="208">
        <v>540</v>
      </c>
      <c r="AG107" s="208" t="s">
        <v>1486</v>
      </c>
      <c r="AH107" s="208" t="s">
        <v>1487</v>
      </c>
      <c r="AI107" s="208" t="s">
        <v>1488</v>
      </c>
      <c r="AJ107" s="208" t="s">
        <v>1489</v>
      </c>
      <c r="AL107" s="208" t="s">
        <v>1635</v>
      </c>
      <c r="AM107" s="208" t="s">
        <v>1637</v>
      </c>
      <c r="AN107" s="208" t="s">
        <v>1637</v>
      </c>
      <c r="AO107" s="208" t="s">
        <v>1637</v>
      </c>
      <c r="AP107" s="208" t="s">
        <v>1638</v>
      </c>
      <c r="AQ107" s="208" t="s">
        <v>1902</v>
      </c>
      <c r="AT107" s="208" t="s">
        <v>2230</v>
      </c>
      <c r="AU107" s="208" t="s">
        <v>1637</v>
      </c>
      <c r="AV107" s="208" t="s">
        <v>2065</v>
      </c>
      <c r="AW107" s="208" t="s">
        <v>2065</v>
      </c>
      <c r="AX107" s="208" t="s">
        <v>2108</v>
      </c>
      <c r="AY107" s="208" t="s">
        <v>1902</v>
      </c>
      <c r="BB107" s="208" t="s">
        <v>2230</v>
      </c>
      <c r="BC107" s="208" t="s">
        <v>2065</v>
      </c>
      <c r="BD107" s="208" t="s">
        <v>2065</v>
      </c>
      <c r="BE107" s="208" t="s">
        <v>2065</v>
      </c>
      <c r="BF107" s="208" t="s">
        <v>2108</v>
      </c>
      <c r="BH107" s="208" t="b">
        <v>0</v>
      </c>
      <c r="BK107" s="208" t="b">
        <v>0</v>
      </c>
    </row>
    <row r="108" spans="2:63" hidden="1">
      <c r="B108" s="208">
        <v>15292</v>
      </c>
      <c r="C108" s="208" t="s">
        <v>1061</v>
      </c>
      <c r="D108" s="209">
        <v>76858</v>
      </c>
      <c r="E108" s="210">
        <v>616652</v>
      </c>
      <c r="F108" s="210">
        <v>369991</v>
      </c>
      <c r="H108" s="208" t="s">
        <v>17</v>
      </c>
      <c r="I108" s="208" t="s">
        <v>2272</v>
      </c>
      <c r="J108" s="208" t="s">
        <v>1468</v>
      </c>
      <c r="K108" s="208" t="s">
        <v>1469</v>
      </c>
      <c r="L108" s="208" t="s">
        <v>1470</v>
      </c>
      <c r="M108" s="208" t="s">
        <v>1668</v>
      </c>
      <c r="N108" s="208" t="s">
        <v>1471</v>
      </c>
      <c r="O108" s="208" t="s">
        <v>2220</v>
      </c>
      <c r="Q108" s="208" t="s">
        <v>2229</v>
      </c>
      <c r="R108" s="209" t="s">
        <v>1475</v>
      </c>
      <c r="S108" s="208" t="s">
        <v>2222</v>
      </c>
      <c r="T108" s="208" t="s">
        <v>2236</v>
      </c>
      <c r="U108" s="208" t="s">
        <v>1519</v>
      </c>
      <c r="V108" s="208" t="s">
        <v>2237</v>
      </c>
      <c r="W108" s="209" t="s">
        <v>2273</v>
      </c>
      <c r="X108" s="211">
        <f t="shared" si="1"/>
        <v>44726.875</v>
      </c>
      <c r="Y108" s="208" t="s">
        <v>2226</v>
      </c>
      <c r="Z108" s="208" t="s">
        <v>1482</v>
      </c>
      <c r="AA108" s="208" t="s">
        <v>1483</v>
      </c>
      <c r="AB108" s="208" t="s">
        <v>2274</v>
      </c>
      <c r="AC108" s="208" t="s">
        <v>1815</v>
      </c>
      <c r="AD108" s="208">
        <v>439.36</v>
      </c>
      <c r="AE108" s="208">
        <v>0</v>
      </c>
      <c r="AF108" s="208">
        <v>540</v>
      </c>
      <c r="AG108" s="208" t="s">
        <v>1486</v>
      </c>
      <c r="AH108" s="208" t="s">
        <v>1487</v>
      </c>
      <c r="AI108" s="208" t="s">
        <v>1488</v>
      </c>
      <c r="AJ108" s="208" t="s">
        <v>1489</v>
      </c>
      <c r="AL108" s="208" t="s">
        <v>1517</v>
      </c>
      <c r="AM108" s="208" t="s">
        <v>1519</v>
      </c>
      <c r="AN108" s="208" t="s">
        <v>1519</v>
      </c>
      <c r="AO108" s="208" t="s">
        <v>1624</v>
      </c>
      <c r="AP108" s="208" t="s">
        <v>1521</v>
      </c>
      <c r="AQ108" s="208" t="s">
        <v>1902</v>
      </c>
      <c r="AS108" s="208" t="s">
        <v>1564</v>
      </c>
      <c r="AT108" s="208" t="s">
        <v>2222</v>
      </c>
      <c r="AU108" s="208" t="s">
        <v>1519</v>
      </c>
      <c r="AV108" s="208" t="s">
        <v>2237</v>
      </c>
      <c r="AW108" s="208" t="s">
        <v>2273</v>
      </c>
      <c r="AX108" s="208" t="s">
        <v>2229</v>
      </c>
      <c r="AY108" s="208" t="s">
        <v>1902</v>
      </c>
      <c r="BB108" s="208" t="s">
        <v>2222</v>
      </c>
      <c r="BC108" s="208" t="s">
        <v>2273</v>
      </c>
      <c r="BD108" s="208" t="s">
        <v>2237</v>
      </c>
      <c r="BE108" s="208" t="s">
        <v>2239</v>
      </c>
      <c r="BF108" s="208" t="s">
        <v>2240</v>
      </c>
      <c r="BH108" s="208" t="b">
        <v>0</v>
      </c>
      <c r="BK108" s="208" t="b">
        <v>0</v>
      </c>
    </row>
    <row r="109" spans="2:63" hidden="1">
      <c r="B109" s="208">
        <v>15292</v>
      </c>
      <c r="C109" s="208" t="s">
        <v>1061</v>
      </c>
      <c r="D109" s="209">
        <v>78780</v>
      </c>
      <c r="E109" s="210">
        <v>184000</v>
      </c>
      <c r="F109" s="210">
        <v>142000</v>
      </c>
      <c r="H109" s="208" t="s">
        <v>17</v>
      </c>
      <c r="I109" s="208" t="s">
        <v>1467</v>
      </c>
      <c r="J109" s="208" t="s">
        <v>1777</v>
      </c>
      <c r="K109" s="208" t="s">
        <v>1469</v>
      </c>
      <c r="L109" s="208" t="s">
        <v>1470</v>
      </c>
      <c r="M109" s="208" t="s">
        <v>21</v>
      </c>
      <c r="N109" s="208" t="s">
        <v>1471</v>
      </c>
      <c r="O109" s="208" t="s">
        <v>1547</v>
      </c>
      <c r="P109" s="208" t="s">
        <v>1473</v>
      </c>
      <c r="Q109" s="208" t="s">
        <v>1474</v>
      </c>
      <c r="R109" s="209" t="s">
        <v>1475</v>
      </c>
      <c r="S109" s="208" t="s">
        <v>1729</v>
      </c>
      <c r="T109" s="208" t="s">
        <v>1778</v>
      </c>
      <c r="U109" s="208" t="s">
        <v>1779</v>
      </c>
      <c r="V109" s="208" t="s">
        <v>1779</v>
      </c>
      <c r="W109" s="209" t="s">
        <v>1780</v>
      </c>
      <c r="X109" s="211">
        <f t="shared" si="1"/>
        <v>45846.583333333336</v>
      </c>
      <c r="Y109" s="208" t="s">
        <v>1481</v>
      </c>
      <c r="Z109" s="208" t="s">
        <v>1482</v>
      </c>
      <c r="AA109" s="208" t="s">
        <v>1483</v>
      </c>
      <c r="AB109" s="208" t="s">
        <v>1600</v>
      </c>
      <c r="AC109" s="208" t="s">
        <v>1748</v>
      </c>
      <c r="AD109" s="208">
        <v>102.92</v>
      </c>
      <c r="AE109" s="208">
        <v>74.760000000000005</v>
      </c>
      <c r="AG109" s="208" t="s">
        <v>1486</v>
      </c>
      <c r="AH109" s="208" t="s">
        <v>1487</v>
      </c>
      <c r="AI109" s="208" t="s">
        <v>1488</v>
      </c>
      <c r="AJ109" s="208" t="s">
        <v>1489</v>
      </c>
      <c r="AL109" s="208" t="s">
        <v>1490</v>
      </c>
      <c r="AM109" s="208" t="s">
        <v>1781</v>
      </c>
      <c r="AN109" s="208" t="s">
        <v>1545</v>
      </c>
      <c r="AO109" s="208" t="s">
        <v>1782</v>
      </c>
      <c r="AP109" s="208" t="s">
        <v>1494</v>
      </c>
      <c r="AT109" s="208" t="s">
        <v>1565</v>
      </c>
      <c r="AU109" s="208" t="s">
        <v>1779</v>
      </c>
      <c r="AV109" s="208" t="s">
        <v>1714</v>
      </c>
      <c r="AW109" s="208" t="s">
        <v>1783</v>
      </c>
      <c r="AX109" s="208" t="s">
        <v>1572</v>
      </c>
      <c r="BB109" s="208" t="s">
        <v>1729</v>
      </c>
      <c r="BC109" s="208" t="s">
        <v>1779</v>
      </c>
      <c r="BD109" s="208" t="s">
        <v>1779</v>
      </c>
      <c r="BE109" s="208" t="s">
        <v>1780</v>
      </c>
      <c r="BF109" s="208" t="s">
        <v>1474</v>
      </c>
      <c r="BH109" s="208" t="b">
        <v>1</v>
      </c>
      <c r="BK109" s="208" t="b">
        <v>0</v>
      </c>
    </row>
    <row r="110" spans="2:63" hidden="1">
      <c r="B110" s="208">
        <v>15292</v>
      </c>
      <c r="C110" s="208" t="s">
        <v>1061</v>
      </c>
      <c r="D110" s="209">
        <v>78780</v>
      </c>
      <c r="E110" s="210">
        <v>200000</v>
      </c>
      <c r="F110" s="210">
        <v>154000</v>
      </c>
      <c r="H110" s="208" t="s">
        <v>17</v>
      </c>
      <c r="I110" s="208" t="s">
        <v>1467</v>
      </c>
      <c r="J110" s="208" t="s">
        <v>1777</v>
      </c>
      <c r="K110" s="208" t="s">
        <v>1469</v>
      </c>
      <c r="L110" s="208" t="s">
        <v>1470</v>
      </c>
      <c r="M110" s="208" t="s">
        <v>21</v>
      </c>
      <c r="N110" s="208" t="s">
        <v>1471</v>
      </c>
      <c r="O110" s="208" t="s">
        <v>1904</v>
      </c>
      <c r="P110" s="208" t="s">
        <v>1626</v>
      </c>
      <c r="Q110" s="208" t="s">
        <v>1474</v>
      </c>
      <c r="R110" s="209" t="s">
        <v>1475</v>
      </c>
      <c r="S110" s="208" t="s">
        <v>1864</v>
      </c>
      <c r="T110" s="208" t="s">
        <v>1965</v>
      </c>
      <c r="U110" s="208" t="s">
        <v>1970</v>
      </c>
      <c r="V110" s="208" t="s">
        <v>2014</v>
      </c>
      <c r="W110" s="209" t="s">
        <v>2015</v>
      </c>
      <c r="X110" s="211">
        <f t="shared" si="1"/>
        <v>45219.738888888889</v>
      </c>
      <c r="Y110" s="208" t="s">
        <v>1481</v>
      </c>
      <c r="Z110" s="208" t="s">
        <v>1524</v>
      </c>
      <c r="AA110" s="208" t="s">
        <v>1483</v>
      </c>
      <c r="AB110" s="208" t="s">
        <v>1600</v>
      </c>
      <c r="AC110" s="208" t="s">
        <v>1748</v>
      </c>
      <c r="AD110" s="208">
        <v>102.92</v>
      </c>
      <c r="AE110" s="208">
        <v>74.760000000000005</v>
      </c>
      <c r="AG110" s="208" t="s">
        <v>1486</v>
      </c>
      <c r="AH110" s="208" t="s">
        <v>1487</v>
      </c>
      <c r="AI110" s="208" t="s">
        <v>1488</v>
      </c>
      <c r="AJ110" s="208" t="s">
        <v>1489</v>
      </c>
      <c r="AL110" s="208" t="s">
        <v>1490</v>
      </c>
      <c r="AM110" s="208" t="s">
        <v>1781</v>
      </c>
      <c r="AN110" s="208" t="s">
        <v>1545</v>
      </c>
      <c r="AO110" s="208" t="s">
        <v>1782</v>
      </c>
      <c r="AP110" s="208" t="s">
        <v>1494</v>
      </c>
      <c r="AT110" s="208" t="s">
        <v>1905</v>
      </c>
      <c r="AU110" s="208" t="s">
        <v>1970</v>
      </c>
      <c r="AV110" s="208" t="s">
        <v>2016</v>
      </c>
      <c r="AW110" s="208" t="s">
        <v>2017</v>
      </c>
      <c r="AX110" s="208" t="s">
        <v>1872</v>
      </c>
      <c r="BB110" s="208" t="s">
        <v>1864</v>
      </c>
      <c r="BC110" s="208" t="s">
        <v>1970</v>
      </c>
      <c r="BD110" s="208" t="s">
        <v>2014</v>
      </c>
      <c r="BE110" s="208" t="s">
        <v>2015</v>
      </c>
      <c r="BF110" s="208" t="s">
        <v>1474</v>
      </c>
      <c r="BG110" s="208" t="b">
        <v>1</v>
      </c>
      <c r="BH110" s="208" t="b">
        <v>1</v>
      </c>
      <c r="BK110" s="208" t="b">
        <v>0</v>
      </c>
    </row>
    <row r="111" spans="2:63" hidden="1">
      <c r="B111" s="208">
        <v>15292</v>
      </c>
      <c r="C111" s="208" t="s">
        <v>1061</v>
      </c>
      <c r="D111" s="209">
        <v>78780</v>
      </c>
      <c r="E111" s="210">
        <v>204229.41</v>
      </c>
      <c r="F111" s="210">
        <v>138876</v>
      </c>
      <c r="H111" s="208" t="s">
        <v>17</v>
      </c>
      <c r="I111" s="208" t="s">
        <v>1467</v>
      </c>
      <c r="J111" s="208" t="s">
        <v>1777</v>
      </c>
      <c r="K111" s="208" t="s">
        <v>1469</v>
      </c>
      <c r="L111" s="208" t="s">
        <v>1470</v>
      </c>
      <c r="M111" s="208" t="s">
        <v>1668</v>
      </c>
      <c r="N111" s="208" t="s">
        <v>1471</v>
      </c>
      <c r="O111" s="208" t="s">
        <v>2116</v>
      </c>
      <c r="P111" s="208" t="s">
        <v>2101</v>
      </c>
      <c r="Q111" s="208" t="s">
        <v>2108</v>
      </c>
      <c r="R111" s="209" t="s">
        <v>1475</v>
      </c>
      <c r="S111" s="208" t="s">
        <v>2109</v>
      </c>
      <c r="T111" s="208" t="s">
        <v>1781</v>
      </c>
      <c r="U111" s="208" t="s">
        <v>2126</v>
      </c>
      <c r="V111" s="208" t="s">
        <v>2111</v>
      </c>
      <c r="W111" s="209" t="s">
        <v>2127</v>
      </c>
      <c r="X111" s="211">
        <f t="shared" si="1"/>
        <v>45035.724305555559</v>
      </c>
      <c r="Y111" s="208" t="s">
        <v>1481</v>
      </c>
      <c r="Z111" s="208" t="s">
        <v>1482</v>
      </c>
      <c r="AA111" s="208" t="s">
        <v>1483</v>
      </c>
      <c r="AB111" s="208" t="s">
        <v>1600</v>
      </c>
      <c r="AC111" s="208" t="s">
        <v>1748</v>
      </c>
      <c r="AD111" s="208">
        <v>102.92</v>
      </c>
      <c r="AE111" s="208">
        <v>74.760000000000005</v>
      </c>
      <c r="AG111" s="208" t="s">
        <v>1486</v>
      </c>
      <c r="AH111" s="208" t="s">
        <v>1487</v>
      </c>
      <c r="AI111" s="208" t="s">
        <v>1488</v>
      </c>
      <c r="AJ111" s="208" t="s">
        <v>1489</v>
      </c>
      <c r="AL111" s="208" t="s">
        <v>1490</v>
      </c>
      <c r="AM111" s="208" t="s">
        <v>1781</v>
      </c>
      <c r="AN111" s="208" t="s">
        <v>1545</v>
      </c>
      <c r="AO111" s="208" t="s">
        <v>1782</v>
      </c>
      <c r="AP111" s="208" t="s">
        <v>1494</v>
      </c>
      <c r="AQ111" s="208" t="s">
        <v>1902</v>
      </c>
      <c r="AR111" s="208" t="s">
        <v>1489</v>
      </c>
      <c r="AS111" s="208" t="s">
        <v>1564</v>
      </c>
      <c r="AT111" s="208" t="s">
        <v>2113</v>
      </c>
      <c r="AU111" s="208" t="s">
        <v>2126</v>
      </c>
      <c r="AV111" s="208" t="s">
        <v>2114</v>
      </c>
      <c r="AW111" s="208" t="s">
        <v>2126</v>
      </c>
      <c r="AX111" s="208" t="s">
        <v>2115</v>
      </c>
      <c r="AY111" s="208" t="s">
        <v>1902</v>
      </c>
      <c r="AZ111" s="208" t="s">
        <v>1489</v>
      </c>
      <c r="BA111" s="208" t="s">
        <v>1564</v>
      </c>
      <c r="BB111" s="208" t="s">
        <v>2109</v>
      </c>
      <c r="BC111" s="208" t="s">
        <v>2126</v>
      </c>
      <c r="BD111" s="208" t="s">
        <v>2111</v>
      </c>
      <c r="BE111" s="208" t="s">
        <v>2127</v>
      </c>
      <c r="BF111" s="208" t="s">
        <v>2108</v>
      </c>
      <c r="BH111" s="208" t="b">
        <v>0</v>
      </c>
      <c r="BK111" s="208" t="b">
        <v>0</v>
      </c>
    </row>
    <row r="112" spans="2:63" hidden="1">
      <c r="B112" s="208">
        <v>15292</v>
      </c>
      <c r="C112" s="208" t="s">
        <v>1061</v>
      </c>
      <c r="D112" s="209">
        <v>78780</v>
      </c>
      <c r="E112" s="210">
        <v>262215</v>
      </c>
      <c r="F112" s="210">
        <v>209772</v>
      </c>
      <c r="H112" s="208" t="s">
        <v>17</v>
      </c>
      <c r="I112" s="208" t="s">
        <v>1467</v>
      </c>
      <c r="J112" s="208" t="s">
        <v>1468</v>
      </c>
      <c r="K112" s="208" t="s">
        <v>1469</v>
      </c>
      <c r="L112" s="208" t="s">
        <v>1470</v>
      </c>
      <c r="M112" s="208" t="s">
        <v>2099</v>
      </c>
      <c r="N112" s="208" t="s">
        <v>1471</v>
      </c>
      <c r="O112" s="208" t="s">
        <v>2220</v>
      </c>
      <c r="Q112" s="208" t="s">
        <v>2108</v>
      </c>
      <c r="R112" s="209" t="s">
        <v>1475</v>
      </c>
      <c r="S112" s="208" t="s">
        <v>2230</v>
      </c>
      <c r="T112" s="208" t="s">
        <v>2275</v>
      </c>
      <c r="U112" s="208" t="s">
        <v>1637</v>
      </c>
      <c r="V112" s="208" t="s">
        <v>1637</v>
      </c>
      <c r="W112" s="209" t="s">
        <v>1637</v>
      </c>
      <c r="X112" s="211">
        <f t="shared" si="1"/>
        <v>44769.875</v>
      </c>
      <c r="Y112" s="208" t="s">
        <v>2226</v>
      </c>
      <c r="Z112" s="208" t="s">
        <v>1482</v>
      </c>
      <c r="AA112" s="208" t="s">
        <v>1483</v>
      </c>
      <c r="AB112" s="208" t="s">
        <v>2276</v>
      </c>
      <c r="AC112" s="208" t="s">
        <v>2232</v>
      </c>
      <c r="AD112" s="208">
        <v>0</v>
      </c>
      <c r="AE112" s="208">
        <v>74.75</v>
      </c>
      <c r="AF112" s="208">
        <v>0</v>
      </c>
      <c r="AG112" s="208" t="s">
        <v>1486</v>
      </c>
      <c r="AH112" s="208" t="s">
        <v>1487</v>
      </c>
      <c r="AI112" s="208" t="s">
        <v>1488</v>
      </c>
      <c r="AJ112" s="208" t="s">
        <v>1489</v>
      </c>
      <c r="AL112" s="208" t="s">
        <v>1635</v>
      </c>
      <c r="AM112" s="208" t="s">
        <v>1637</v>
      </c>
      <c r="AN112" s="208" t="s">
        <v>1637</v>
      </c>
      <c r="AO112" s="208" t="s">
        <v>1637</v>
      </c>
      <c r="AP112" s="208" t="s">
        <v>1638</v>
      </c>
      <c r="AQ112" s="208" t="s">
        <v>1902</v>
      </c>
      <c r="AT112" s="208" t="s">
        <v>2230</v>
      </c>
      <c r="AU112" s="208" t="s">
        <v>1637</v>
      </c>
      <c r="AV112" s="208" t="s">
        <v>1637</v>
      </c>
      <c r="AW112" s="208" t="s">
        <v>1637</v>
      </c>
      <c r="AX112" s="208" t="s">
        <v>2108</v>
      </c>
      <c r="AY112" s="208" t="s">
        <v>1902</v>
      </c>
      <c r="BB112" s="208" t="s">
        <v>2230</v>
      </c>
      <c r="BC112" s="208" t="s">
        <v>1637</v>
      </c>
      <c r="BD112" s="208" t="s">
        <v>1637</v>
      </c>
      <c r="BE112" s="208" t="s">
        <v>1637</v>
      </c>
      <c r="BF112" s="208" t="s">
        <v>2108</v>
      </c>
      <c r="BH112" s="208" t="b">
        <v>0</v>
      </c>
      <c r="BK112" s="208" t="b">
        <v>0</v>
      </c>
    </row>
    <row r="113" spans="2:63" hidden="1">
      <c r="B113" s="208">
        <v>15292</v>
      </c>
      <c r="C113" s="208" t="s">
        <v>1061</v>
      </c>
      <c r="D113" s="209">
        <v>78780</v>
      </c>
      <c r="H113" s="208" t="s">
        <v>17</v>
      </c>
      <c r="I113" s="208" t="s">
        <v>1555</v>
      </c>
      <c r="J113" s="208" t="s">
        <v>2295</v>
      </c>
      <c r="K113" s="208" t="s">
        <v>1469</v>
      </c>
      <c r="L113" s="208" t="s">
        <v>2198</v>
      </c>
      <c r="M113" s="208" t="s">
        <v>1668</v>
      </c>
      <c r="N113" s="208" t="s">
        <v>1471</v>
      </c>
      <c r="O113" s="208" t="s">
        <v>2220</v>
      </c>
      <c r="R113" s="209" t="s">
        <v>1475</v>
      </c>
      <c r="S113" s="208" t="s">
        <v>2222</v>
      </c>
      <c r="T113" s="208" t="s">
        <v>2266</v>
      </c>
      <c r="U113" s="208" t="s">
        <v>1519</v>
      </c>
      <c r="V113" s="208" t="s">
        <v>1481</v>
      </c>
      <c r="W113" s="209" t="s">
        <v>1637</v>
      </c>
      <c r="X113" s="211">
        <f t="shared" si="1"/>
        <v>44769.875</v>
      </c>
      <c r="Y113" s="208" t="s">
        <v>2226</v>
      </c>
      <c r="Z113" s="208" t="s">
        <v>1482</v>
      </c>
      <c r="AA113" s="208" t="s">
        <v>1483</v>
      </c>
      <c r="AB113" s="208" t="s">
        <v>2296</v>
      </c>
      <c r="AC113" s="208" t="s">
        <v>1664</v>
      </c>
      <c r="AF113" s="208">
        <v>262</v>
      </c>
      <c r="AG113" s="208" t="s">
        <v>1486</v>
      </c>
      <c r="AH113" s="208" t="s">
        <v>1487</v>
      </c>
      <c r="AI113" s="208" t="s">
        <v>1488</v>
      </c>
      <c r="AJ113" s="208" t="s">
        <v>2255</v>
      </c>
      <c r="AL113" s="208" t="s">
        <v>1517</v>
      </c>
      <c r="AM113" s="208" t="s">
        <v>1519</v>
      </c>
      <c r="AN113" s="208" t="s">
        <v>1519</v>
      </c>
      <c r="AO113" s="208" t="s">
        <v>1520</v>
      </c>
      <c r="AP113" s="208" t="s">
        <v>1521</v>
      </c>
      <c r="AQ113" s="208" t="s">
        <v>1902</v>
      </c>
      <c r="AT113" s="208" t="s">
        <v>2222</v>
      </c>
      <c r="AU113" s="208" t="s">
        <v>1519</v>
      </c>
      <c r="AV113" s="208" t="s">
        <v>1481</v>
      </c>
      <c r="AW113" s="208" t="s">
        <v>1637</v>
      </c>
      <c r="AY113" s="208" t="s">
        <v>1902</v>
      </c>
      <c r="BB113" s="208" t="s">
        <v>2222</v>
      </c>
      <c r="BC113" s="208" t="s">
        <v>1637</v>
      </c>
      <c r="BD113" s="208" t="s">
        <v>1481</v>
      </c>
      <c r="BE113" s="208" t="s">
        <v>1637</v>
      </c>
      <c r="BH113" s="208" t="b">
        <v>0</v>
      </c>
      <c r="BK113" s="208" t="b">
        <v>0</v>
      </c>
    </row>
    <row r="114" spans="2:63" hidden="1">
      <c r="B114" s="208">
        <v>15292</v>
      </c>
      <c r="C114" s="208" t="s">
        <v>1061</v>
      </c>
      <c r="D114" s="209">
        <v>78781</v>
      </c>
      <c r="E114" s="210">
        <v>184000</v>
      </c>
      <c r="F114" s="210">
        <v>141000</v>
      </c>
      <c r="H114" s="208" t="s">
        <v>17</v>
      </c>
      <c r="I114" s="208" t="s">
        <v>1467</v>
      </c>
      <c r="J114" s="208" t="s">
        <v>1468</v>
      </c>
      <c r="K114" s="208" t="s">
        <v>1469</v>
      </c>
      <c r="L114" s="208" t="s">
        <v>1470</v>
      </c>
      <c r="M114" s="208" t="s">
        <v>21</v>
      </c>
      <c r="N114" s="208" t="s">
        <v>1471</v>
      </c>
      <c r="O114" s="208" t="s">
        <v>1547</v>
      </c>
      <c r="P114" s="208" t="s">
        <v>1473</v>
      </c>
      <c r="Q114" s="208" t="s">
        <v>1474</v>
      </c>
      <c r="R114" s="209" t="s">
        <v>1475</v>
      </c>
      <c r="S114" s="208" t="s">
        <v>1670</v>
      </c>
      <c r="T114" s="208" t="s">
        <v>1679</v>
      </c>
      <c r="U114" s="208" t="s">
        <v>1680</v>
      </c>
      <c r="V114" s="208" t="s">
        <v>1673</v>
      </c>
      <c r="W114" s="209" t="s">
        <v>1681</v>
      </c>
      <c r="X114" s="211">
        <f t="shared" si="1"/>
        <v>45848.457638888889</v>
      </c>
      <c r="Y114" s="208" t="s">
        <v>1481</v>
      </c>
      <c r="Z114" s="208" t="s">
        <v>1482</v>
      </c>
      <c r="AA114" s="208" t="s">
        <v>1483</v>
      </c>
      <c r="AB114" s="208" t="s">
        <v>1600</v>
      </c>
      <c r="AC114" s="208" t="s">
        <v>1682</v>
      </c>
      <c r="AD114" s="208">
        <v>102.92</v>
      </c>
      <c r="AE114" s="208">
        <v>74.760000000000005</v>
      </c>
      <c r="AG114" s="208" t="s">
        <v>1486</v>
      </c>
      <c r="AH114" s="208" t="s">
        <v>1487</v>
      </c>
      <c r="AI114" s="208" t="s">
        <v>1488</v>
      </c>
      <c r="AJ114" s="208" t="s">
        <v>1489</v>
      </c>
      <c r="AL114" s="208" t="s">
        <v>1490</v>
      </c>
      <c r="AM114" s="208" t="s">
        <v>1683</v>
      </c>
      <c r="AN114" s="208" t="s">
        <v>1492</v>
      </c>
      <c r="AO114" s="208" t="s">
        <v>1684</v>
      </c>
      <c r="AP114" s="208" t="s">
        <v>1494</v>
      </c>
      <c r="AT114" s="208" t="s">
        <v>1677</v>
      </c>
      <c r="AU114" s="208" t="s">
        <v>1680</v>
      </c>
      <c r="AV114" s="208" t="s">
        <v>1678</v>
      </c>
      <c r="AW114" s="208" t="s">
        <v>1680</v>
      </c>
      <c r="AX114" s="208" t="s">
        <v>1572</v>
      </c>
      <c r="BB114" s="208" t="s">
        <v>1670</v>
      </c>
      <c r="BC114" s="208" t="s">
        <v>1680</v>
      </c>
      <c r="BD114" s="208" t="s">
        <v>1673</v>
      </c>
      <c r="BE114" s="208" t="s">
        <v>1681</v>
      </c>
      <c r="BF114" s="208" t="s">
        <v>1474</v>
      </c>
      <c r="BH114" s="208" t="b">
        <v>0</v>
      </c>
      <c r="BK114" s="208" t="b">
        <v>0</v>
      </c>
    </row>
    <row r="115" spans="2:63" hidden="1">
      <c r="B115" s="208">
        <v>15292</v>
      </c>
      <c r="C115" s="208" t="s">
        <v>1061</v>
      </c>
      <c r="D115" s="209">
        <v>78781</v>
      </c>
      <c r="E115" s="210">
        <v>223000</v>
      </c>
      <c r="F115" s="210">
        <v>156000</v>
      </c>
      <c r="H115" s="208" t="s">
        <v>17</v>
      </c>
      <c r="I115" s="208" t="s">
        <v>1504</v>
      </c>
      <c r="J115" s="208" t="s">
        <v>1468</v>
      </c>
      <c r="K115" s="208" t="s">
        <v>1469</v>
      </c>
      <c r="L115" s="208" t="s">
        <v>1470</v>
      </c>
      <c r="M115" s="208" t="s">
        <v>21</v>
      </c>
      <c r="N115" s="208" t="s">
        <v>1471</v>
      </c>
      <c r="O115" s="208" t="s">
        <v>1547</v>
      </c>
      <c r="P115" s="208" t="s">
        <v>1473</v>
      </c>
      <c r="Q115" s="208" t="s">
        <v>1474</v>
      </c>
      <c r="R115" s="209" t="s">
        <v>1475</v>
      </c>
      <c r="S115" s="208" t="s">
        <v>1729</v>
      </c>
      <c r="T115" s="208" t="s">
        <v>1771</v>
      </c>
      <c r="U115" s="208" t="s">
        <v>1772</v>
      </c>
      <c r="V115" s="208" t="s">
        <v>1732</v>
      </c>
      <c r="W115" s="209" t="s">
        <v>1773</v>
      </c>
      <c r="X115" s="211">
        <f t="shared" si="1"/>
        <v>45846.618055555555</v>
      </c>
      <c r="Y115" s="208" t="s">
        <v>1481</v>
      </c>
      <c r="Z115" s="208" t="s">
        <v>1482</v>
      </c>
      <c r="AA115" s="208" t="s">
        <v>1483</v>
      </c>
      <c r="AB115" s="208" t="s">
        <v>1774</v>
      </c>
      <c r="AC115" s="208" t="s">
        <v>1775</v>
      </c>
      <c r="AD115" s="208">
        <v>96.4</v>
      </c>
      <c r="AF115" s="208">
        <v>150</v>
      </c>
      <c r="AG115" s="208" t="s">
        <v>1486</v>
      </c>
      <c r="AH115" s="208" t="s">
        <v>1487</v>
      </c>
      <c r="AI115" s="208" t="s">
        <v>1488</v>
      </c>
      <c r="AJ115" s="208" t="s">
        <v>1489</v>
      </c>
      <c r="AL115" s="208" t="s">
        <v>1517</v>
      </c>
      <c r="AM115" s="208" t="s">
        <v>1776</v>
      </c>
      <c r="AN115" s="208" t="s">
        <v>1519</v>
      </c>
      <c r="AO115" s="208" t="s">
        <v>1624</v>
      </c>
      <c r="AP115" s="208" t="s">
        <v>1521</v>
      </c>
      <c r="AT115" s="208" t="s">
        <v>1565</v>
      </c>
      <c r="AU115" s="208" t="s">
        <v>1772</v>
      </c>
      <c r="AV115" s="208" t="s">
        <v>1714</v>
      </c>
      <c r="AW115" s="208" t="s">
        <v>1772</v>
      </c>
      <c r="AX115" s="208" t="s">
        <v>1572</v>
      </c>
      <c r="BB115" s="208" t="s">
        <v>1729</v>
      </c>
      <c r="BC115" s="208" t="s">
        <v>1772</v>
      </c>
      <c r="BD115" s="208" t="s">
        <v>1732</v>
      </c>
      <c r="BE115" s="208" t="s">
        <v>1773</v>
      </c>
      <c r="BF115" s="208" t="s">
        <v>1474</v>
      </c>
      <c r="BH115" s="208" t="b">
        <v>0</v>
      </c>
      <c r="BK115" s="208" t="b">
        <v>0</v>
      </c>
    </row>
    <row r="116" spans="2:63" hidden="1">
      <c r="B116" s="208">
        <v>15292</v>
      </c>
      <c r="C116" s="208" t="s">
        <v>1061</v>
      </c>
      <c r="D116" s="209">
        <v>78781</v>
      </c>
      <c r="E116" s="210">
        <v>200000</v>
      </c>
      <c r="F116" s="210">
        <v>154000</v>
      </c>
      <c r="H116" s="208" t="s">
        <v>17</v>
      </c>
      <c r="I116" s="208" t="s">
        <v>1467</v>
      </c>
      <c r="J116" s="208" t="s">
        <v>1468</v>
      </c>
      <c r="K116" s="208" t="s">
        <v>1469</v>
      </c>
      <c r="L116" s="208" t="s">
        <v>1470</v>
      </c>
      <c r="M116" s="208" t="s">
        <v>21</v>
      </c>
      <c r="N116" s="208" t="s">
        <v>1471</v>
      </c>
      <c r="O116" s="208" t="s">
        <v>1904</v>
      </c>
      <c r="P116" s="208" t="s">
        <v>1626</v>
      </c>
      <c r="Q116" s="208" t="s">
        <v>1474</v>
      </c>
      <c r="R116" s="209" t="s">
        <v>1475</v>
      </c>
      <c r="S116" s="208" t="s">
        <v>1864</v>
      </c>
      <c r="T116" s="208" t="s">
        <v>1965</v>
      </c>
      <c r="U116" s="208" t="s">
        <v>1970</v>
      </c>
      <c r="V116" s="208" t="s">
        <v>1971</v>
      </c>
      <c r="W116" s="209" t="s">
        <v>1972</v>
      </c>
      <c r="X116" s="211">
        <f t="shared" si="1"/>
        <v>45219.741666666669</v>
      </c>
      <c r="Y116" s="208" t="s">
        <v>1481</v>
      </c>
      <c r="Z116" s="208" t="s">
        <v>1524</v>
      </c>
      <c r="AA116" s="208" t="s">
        <v>1483</v>
      </c>
      <c r="AB116" s="208" t="s">
        <v>1600</v>
      </c>
      <c r="AC116" s="208" t="s">
        <v>1682</v>
      </c>
      <c r="AD116" s="208">
        <v>102.92</v>
      </c>
      <c r="AE116" s="208">
        <v>74.760000000000005</v>
      </c>
      <c r="AG116" s="208" t="s">
        <v>1486</v>
      </c>
      <c r="AH116" s="208" t="s">
        <v>1487</v>
      </c>
      <c r="AI116" s="208" t="s">
        <v>1488</v>
      </c>
      <c r="AJ116" s="208" t="s">
        <v>1489</v>
      </c>
      <c r="AL116" s="208" t="s">
        <v>1490</v>
      </c>
      <c r="AM116" s="208" t="s">
        <v>1683</v>
      </c>
      <c r="AN116" s="208" t="s">
        <v>1492</v>
      </c>
      <c r="AO116" s="208" t="s">
        <v>1684</v>
      </c>
      <c r="AP116" s="208" t="s">
        <v>1494</v>
      </c>
      <c r="AT116" s="208" t="s">
        <v>1905</v>
      </c>
      <c r="AU116" s="208" t="s">
        <v>1970</v>
      </c>
      <c r="AV116" s="208" t="s">
        <v>1973</v>
      </c>
      <c r="AW116" s="208" t="s">
        <v>1974</v>
      </c>
      <c r="AX116" s="208" t="s">
        <v>1872</v>
      </c>
      <c r="BB116" s="208" t="s">
        <v>1864</v>
      </c>
      <c r="BC116" s="208" t="s">
        <v>1970</v>
      </c>
      <c r="BD116" s="208" t="s">
        <v>1971</v>
      </c>
      <c r="BE116" s="208" t="s">
        <v>1972</v>
      </c>
      <c r="BF116" s="208" t="s">
        <v>1474</v>
      </c>
      <c r="BG116" s="208" t="b">
        <v>1</v>
      </c>
      <c r="BH116" s="208" t="b">
        <v>1</v>
      </c>
      <c r="BK116" s="208" t="b">
        <v>0</v>
      </c>
    </row>
    <row r="117" spans="2:63" hidden="1">
      <c r="B117" s="208">
        <v>15292</v>
      </c>
      <c r="C117" s="208" t="s">
        <v>1061</v>
      </c>
      <c r="D117" s="209">
        <v>78781</v>
      </c>
      <c r="E117" s="210">
        <v>204229.51</v>
      </c>
      <c r="F117" s="210">
        <v>138876.07</v>
      </c>
      <c r="H117" s="208" t="s">
        <v>17</v>
      </c>
      <c r="I117" s="208" t="s">
        <v>1467</v>
      </c>
      <c r="J117" s="208" t="s">
        <v>1468</v>
      </c>
      <c r="K117" s="208" t="s">
        <v>1469</v>
      </c>
      <c r="L117" s="208" t="s">
        <v>1470</v>
      </c>
      <c r="M117" s="208" t="s">
        <v>1668</v>
      </c>
      <c r="N117" s="208" t="s">
        <v>1471</v>
      </c>
      <c r="O117" s="208" t="s">
        <v>2116</v>
      </c>
      <c r="P117" s="208" t="s">
        <v>2101</v>
      </c>
      <c r="Q117" s="208" t="s">
        <v>2108</v>
      </c>
      <c r="R117" s="209" t="s">
        <v>1475</v>
      </c>
      <c r="S117" s="208" t="s">
        <v>2109</v>
      </c>
      <c r="T117" s="208" t="s">
        <v>1683</v>
      </c>
      <c r="U117" s="208" t="s">
        <v>2216</v>
      </c>
      <c r="V117" s="208" t="s">
        <v>2124</v>
      </c>
      <c r="W117" s="209" t="s">
        <v>2212</v>
      </c>
      <c r="X117" s="211">
        <f t="shared" si="1"/>
        <v>45036.426388888889</v>
      </c>
      <c r="Y117" s="208" t="s">
        <v>1481</v>
      </c>
      <c r="Z117" s="208" t="s">
        <v>1482</v>
      </c>
      <c r="AA117" s="208" t="s">
        <v>1483</v>
      </c>
      <c r="AB117" s="208" t="s">
        <v>1600</v>
      </c>
      <c r="AC117" s="208" t="s">
        <v>1682</v>
      </c>
      <c r="AD117" s="208">
        <v>102.92</v>
      </c>
      <c r="AE117" s="208">
        <v>74.760000000000005</v>
      </c>
      <c r="AG117" s="208" t="s">
        <v>1486</v>
      </c>
      <c r="AH117" s="208" t="s">
        <v>1487</v>
      </c>
      <c r="AI117" s="208" t="s">
        <v>1488</v>
      </c>
      <c r="AJ117" s="208" t="s">
        <v>1489</v>
      </c>
      <c r="AL117" s="208" t="s">
        <v>1490</v>
      </c>
      <c r="AM117" s="208" t="s">
        <v>1683</v>
      </c>
      <c r="AN117" s="208" t="s">
        <v>1492</v>
      </c>
      <c r="AO117" s="208" t="s">
        <v>1684</v>
      </c>
      <c r="AP117" s="208" t="s">
        <v>1494</v>
      </c>
      <c r="AQ117" s="208" t="s">
        <v>1902</v>
      </c>
      <c r="AR117" s="208" t="s">
        <v>1489</v>
      </c>
      <c r="AS117" s="208" t="s">
        <v>2122</v>
      </c>
      <c r="AT117" s="208" t="s">
        <v>2120</v>
      </c>
      <c r="AU117" s="208" t="s">
        <v>2216</v>
      </c>
      <c r="AV117" s="208" t="s">
        <v>2121</v>
      </c>
      <c r="AW117" s="208" t="s">
        <v>2216</v>
      </c>
      <c r="AX117" s="208" t="s">
        <v>2115</v>
      </c>
      <c r="AY117" s="208" t="s">
        <v>1902</v>
      </c>
      <c r="AZ117" s="208" t="s">
        <v>1489</v>
      </c>
      <c r="BA117" s="208" t="s">
        <v>2122</v>
      </c>
      <c r="BB117" s="208" t="s">
        <v>2109</v>
      </c>
      <c r="BC117" s="208" t="s">
        <v>2216</v>
      </c>
      <c r="BD117" s="208" t="s">
        <v>2124</v>
      </c>
      <c r="BE117" s="208" t="s">
        <v>2212</v>
      </c>
      <c r="BF117" s="208" t="s">
        <v>2108</v>
      </c>
      <c r="BH117" s="208" t="b">
        <v>0</v>
      </c>
      <c r="BK117" s="208" t="b">
        <v>0</v>
      </c>
    </row>
    <row r="118" spans="2:63" hidden="1">
      <c r="B118" s="208">
        <v>15292</v>
      </c>
      <c r="C118" s="208" t="s">
        <v>1061</v>
      </c>
      <c r="D118" s="209">
        <v>78781</v>
      </c>
      <c r="E118" s="210">
        <v>262215</v>
      </c>
      <c r="F118" s="210">
        <v>209772</v>
      </c>
      <c r="H118" s="208" t="s">
        <v>17</v>
      </c>
      <c r="I118" s="208" t="s">
        <v>1467</v>
      </c>
      <c r="J118" s="208" t="s">
        <v>1468</v>
      </c>
      <c r="K118" s="208" t="s">
        <v>1469</v>
      </c>
      <c r="L118" s="208" t="s">
        <v>1470</v>
      </c>
      <c r="M118" s="208" t="s">
        <v>2099</v>
      </c>
      <c r="N118" s="208" t="s">
        <v>1471</v>
      </c>
      <c r="O118" s="208" t="s">
        <v>2220</v>
      </c>
      <c r="Q118" s="208" t="s">
        <v>2108</v>
      </c>
      <c r="R118" s="209" t="s">
        <v>1475</v>
      </c>
      <c r="S118" s="208" t="s">
        <v>2230</v>
      </c>
      <c r="T118" s="208" t="s">
        <v>2287</v>
      </c>
      <c r="U118" s="208" t="s">
        <v>1637</v>
      </c>
      <c r="V118" s="208" t="s">
        <v>1637</v>
      </c>
      <c r="W118" s="209" t="s">
        <v>1637</v>
      </c>
      <c r="X118" s="211">
        <f t="shared" si="1"/>
        <v>44769.875</v>
      </c>
      <c r="Y118" s="208" t="s">
        <v>2226</v>
      </c>
      <c r="Z118" s="208" t="s">
        <v>1482</v>
      </c>
      <c r="AA118" s="208" t="s">
        <v>1483</v>
      </c>
      <c r="AB118" s="208" t="s">
        <v>2276</v>
      </c>
      <c r="AC118" s="208" t="s">
        <v>1601</v>
      </c>
      <c r="AD118" s="208">
        <v>0</v>
      </c>
      <c r="AE118" s="208">
        <v>74.75</v>
      </c>
      <c r="AF118" s="208">
        <v>0</v>
      </c>
      <c r="AG118" s="208" t="s">
        <v>1486</v>
      </c>
      <c r="AH118" s="208" t="s">
        <v>1487</v>
      </c>
      <c r="AI118" s="208" t="s">
        <v>1488</v>
      </c>
      <c r="AJ118" s="208" t="s">
        <v>1489</v>
      </c>
      <c r="AL118" s="208" t="s">
        <v>1635</v>
      </c>
      <c r="AM118" s="208" t="s">
        <v>1637</v>
      </c>
      <c r="AN118" s="208" t="s">
        <v>1637</v>
      </c>
      <c r="AO118" s="208" t="s">
        <v>1637</v>
      </c>
      <c r="AP118" s="208" t="s">
        <v>1638</v>
      </c>
      <c r="AQ118" s="208" t="s">
        <v>1902</v>
      </c>
      <c r="AT118" s="208" t="s">
        <v>2230</v>
      </c>
      <c r="AU118" s="208" t="s">
        <v>1637</v>
      </c>
      <c r="AV118" s="208" t="s">
        <v>1637</v>
      </c>
      <c r="AW118" s="208" t="s">
        <v>1637</v>
      </c>
      <c r="AX118" s="208" t="s">
        <v>2108</v>
      </c>
      <c r="AY118" s="208" t="s">
        <v>1902</v>
      </c>
      <c r="BB118" s="208" t="s">
        <v>2230</v>
      </c>
      <c r="BC118" s="208" t="s">
        <v>1637</v>
      </c>
      <c r="BD118" s="208" t="s">
        <v>1637</v>
      </c>
      <c r="BE118" s="208" t="s">
        <v>1637</v>
      </c>
      <c r="BF118" s="208" t="s">
        <v>2108</v>
      </c>
      <c r="BH118" s="208" t="b">
        <v>0</v>
      </c>
      <c r="BK118" s="208" t="b">
        <v>0</v>
      </c>
    </row>
    <row r="119" spans="2:63" hidden="1">
      <c r="B119" s="208">
        <v>15292</v>
      </c>
      <c r="C119" s="208" t="s">
        <v>1061</v>
      </c>
      <c r="D119" s="209">
        <v>78781</v>
      </c>
      <c r="E119" s="210">
        <v>213606</v>
      </c>
      <c r="F119" s="210">
        <v>149524</v>
      </c>
      <c r="H119" s="208" t="s">
        <v>17</v>
      </c>
      <c r="I119" s="208" t="s">
        <v>1504</v>
      </c>
      <c r="J119" s="208" t="s">
        <v>1468</v>
      </c>
      <c r="K119" s="208" t="s">
        <v>1469</v>
      </c>
      <c r="L119" s="208" t="s">
        <v>1470</v>
      </c>
      <c r="M119" s="208" t="s">
        <v>1668</v>
      </c>
      <c r="N119" s="208" t="s">
        <v>1471</v>
      </c>
      <c r="O119" s="208" t="s">
        <v>2220</v>
      </c>
      <c r="Q119" s="208" t="s">
        <v>2235</v>
      </c>
      <c r="R119" s="209" t="s">
        <v>1475</v>
      </c>
      <c r="S119" s="208" t="s">
        <v>2222</v>
      </c>
      <c r="T119" s="208" t="s">
        <v>2282</v>
      </c>
      <c r="U119" s="208" t="s">
        <v>1519</v>
      </c>
      <c r="V119" s="208" t="s">
        <v>2237</v>
      </c>
      <c r="W119" s="209" t="s">
        <v>2245</v>
      </c>
      <c r="X119" s="211">
        <f t="shared" si="1"/>
        <v>44731.875</v>
      </c>
      <c r="Y119" s="208" t="s">
        <v>2226</v>
      </c>
      <c r="Z119" s="208" t="s">
        <v>1482</v>
      </c>
      <c r="AA119" s="208" t="s">
        <v>1483</v>
      </c>
      <c r="AB119" s="208" t="s">
        <v>1774</v>
      </c>
      <c r="AC119" s="208" t="s">
        <v>1775</v>
      </c>
      <c r="AD119" s="208">
        <v>96.4</v>
      </c>
      <c r="AE119" s="208">
        <v>0</v>
      </c>
      <c r="AF119" s="208">
        <v>150</v>
      </c>
      <c r="AG119" s="208" t="s">
        <v>1486</v>
      </c>
      <c r="AH119" s="208" t="s">
        <v>1487</v>
      </c>
      <c r="AI119" s="208" t="s">
        <v>1488</v>
      </c>
      <c r="AJ119" s="208" t="s">
        <v>1489</v>
      </c>
      <c r="AL119" s="208" t="s">
        <v>1517</v>
      </c>
      <c r="AM119" s="208" t="s">
        <v>1519</v>
      </c>
      <c r="AN119" s="208" t="s">
        <v>1519</v>
      </c>
      <c r="AO119" s="208" t="s">
        <v>1624</v>
      </c>
      <c r="AP119" s="208" t="s">
        <v>1521</v>
      </c>
      <c r="AQ119" s="208" t="s">
        <v>1902</v>
      </c>
      <c r="AS119" s="208" t="s">
        <v>1564</v>
      </c>
      <c r="AT119" s="208" t="s">
        <v>2222</v>
      </c>
      <c r="AU119" s="208" t="s">
        <v>1519</v>
      </c>
      <c r="AV119" s="208" t="s">
        <v>2237</v>
      </c>
      <c r="AW119" s="208" t="s">
        <v>2245</v>
      </c>
      <c r="AX119" s="208" t="s">
        <v>2235</v>
      </c>
      <c r="AY119" s="208" t="s">
        <v>1902</v>
      </c>
      <c r="BB119" s="208" t="s">
        <v>2222</v>
      </c>
      <c r="BC119" s="208" t="s">
        <v>2245</v>
      </c>
      <c r="BD119" s="208" t="s">
        <v>2237</v>
      </c>
      <c r="BE119" s="208" t="s">
        <v>2239</v>
      </c>
      <c r="BF119" s="208" t="s">
        <v>2240</v>
      </c>
      <c r="BH119" s="208" t="b">
        <v>0</v>
      </c>
      <c r="BK119" s="208" t="b">
        <v>0</v>
      </c>
    </row>
    <row r="120" spans="2:63" hidden="1">
      <c r="B120" s="208">
        <v>15292</v>
      </c>
      <c r="C120" s="208" t="s">
        <v>1061</v>
      </c>
      <c r="D120" s="209">
        <v>78782</v>
      </c>
      <c r="E120" s="210">
        <v>308000</v>
      </c>
      <c r="F120" s="210">
        <v>237000</v>
      </c>
      <c r="H120" s="208" t="s">
        <v>17</v>
      </c>
      <c r="I120" s="208" t="s">
        <v>1467</v>
      </c>
      <c r="J120" s="208" t="s">
        <v>1468</v>
      </c>
      <c r="K120" s="208" t="s">
        <v>1469</v>
      </c>
      <c r="L120" s="208" t="s">
        <v>1470</v>
      </c>
      <c r="M120" s="208" t="s">
        <v>21</v>
      </c>
      <c r="N120" s="208" t="s">
        <v>1471</v>
      </c>
      <c r="O120" s="208" t="s">
        <v>1472</v>
      </c>
      <c r="P120" s="208" t="s">
        <v>1473</v>
      </c>
      <c r="Q120" s="208" t="s">
        <v>1474</v>
      </c>
      <c r="R120" s="209" t="s">
        <v>1475</v>
      </c>
      <c r="S120" s="208" t="s">
        <v>1476</v>
      </c>
      <c r="T120" s="208" t="s">
        <v>1513</v>
      </c>
      <c r="U120" s="208" t="s">
        <v>1514</v>
      </c>
      <c r="V120" s="208" t="s">
        <v>1479</v>
      </c>
      <c r="W120" s="209" t="s">
        <v>1515</v>
      </c>
      <c r="X120" s="211">
        <f t="shared" si="1"/>
        <v>46035.532638888886</v>
      </c>
      <c r="Y120" s="208" t="s">
        <v>1481</v>
      </c>
      <c r="Z120" s="208" t="s">
        <v>1482</v>
      </c>
      <c r="AA120" s="208" t="s">
        <v>1483</v>
      </c>
      <c r="AB120" s="208" t="s">
        <v>1516</v>
      </c>
      <c r="AC120" s="208" t="s">
        <v>1485</v>
      </c>
      <c r="AE120" s="208">
        <v>116.56</v>
      </c>
      <c r="AG120" s="208" t="s">
        <v>1486</v>
      </c>
      <c r="AH120" s="208" t="s">
        <v>1487</v>
      </c>
      <c r="AI120" s="208" t="s">
        <v>1488</v>
      </c>
      <c r="AJ120" s="208" t="s">
        <v>1489</v>
      </c>
      <c r="AL120" s="208" t="s">
        <v>1517</v>
      </c>
      <c r="AM120" s="208" t="s">
        <v>1518</v>
      </c>
      <c r="AN120" s="208" t="s">
        <v>1519</v>
      </c>
      <c r="AO120" s="208" t="s">
        <v>1520</v>
      </c>
      <c r="AP120" s="208" t="s">
        <v>1521</v>
      </c>
      <c r="AT120" s="208" t="s">
        <v>1495</v>
      </c>
      <c r="AU120" s="208" t="s">
        <v>1514</v>
      </c>
      <c r="AV120" s="208" t="s">
        <v>1496</v>
      </c>
      <c r="AW120" s="208" t="s">
        <v>1514</v>
      </c>
      <c r="AX120" s="208" t="s">
        <v>1497</v>
      </c>
      <c r="BB120" s="208" t="s">
        <v>1476</v>
      </c>
      <c r="BC120" s="208" t="s">
        <v>1514</v>
      </c>
      <c r="BD120" s="208" t="s">
        <v>1479</v>
      </c>
      <c r="BE120" s="208" t="s">
        <v>1515</v>
      </c>
      <c r="BF120" s="208" t="s">
        <v>1474</v>
      </c>
      <c r="BH120" s="208" t="b">
        <v>0</v>
      </c>
      <c r="BK120" s="208" t="b">
        <v>0</v>
      </c>
    </row>
    <row r="121" spans="2:63" hidden="1">
      <c r="B121" s="208">
        <v>15292</v>
      </c>
      <c r="C121" s="208" t="s">
        <v>1061</v>
      </c>
      <c r="D121" s="209">
        <v>78782</v>
      </c>
      <c r="E121" s="210">
        <v>303000</v>
      </c>
      <c r="F121" s="210">
        <v>221000</v>
      </c>
      <c r="H121" s="208" t="s">
        <v>17</v>
      </c>
      <c r="I121" s="208" t="s">
        <v>1467</v>
      </c>
      <c r="J121" s="208" t="s">
        <v>1468</v>
      </c>
      <c r="K121" s="208" t="s">
        <v>1469</v>
      </c>
      <c r="L121" s="208" t="s">
        <v>1470</v>
      </c>
      <c r="M121" s="208" t="s">
        <v>21</v>
      </c>
      <c r="N121" s="208" t="s">
        <v>1471</v>
      </c>
      <c r="O121" s="208" t="s">
        <v>1913</v>
      </c>
      <c r="Q121" s="208" t="s">
        <v>1474</v>
      </c>
      <c r="R121" s="209" t="s">
        <v>1475</v>
      </c>
      <c r="S121" s="208" t="s">
        <v>1914</v>
      </c>
      <c r="T121" s="208" t="s">
        <v>1915</v>
      </c>
      <c r="U121" s="208" t="s">
        <v>1916</v>
      </c>
      <c r="V121" s="208" t="s">
        <v>1917</v>
      </c>
      <c r="W121" s="209" t="s">
        <v>1918</v>
      </c>
      <c r="X121" s="211">
        <f t="shared" si="1"/>
        <v>45107.597222222219</v>
      </c>
      <c r="Y121" s="208" t="s">
        <v>1481</v>
      </c>
      <c r="Z121" s="208" t="s">
        <v>1524</v>
      </c>
      <c r="AA121" s="208" t="s">
        <v>1483</v>
      </c>
      <c r="AB121" s="208" t="s">
        <v>1516</v>
      </c>
      <c r="AC121" s="208" t="s">
        <v>1485</v>
      </c>
      <c r="AE121" s="208">
        <v>116.56</v>
      </c>
      <c r="AG121" s="208" t="s">
        <v>1486</v>
      </c>
      <c r="AH121" s="208" t="s">
        <v>1487</v>
      </c>
      <c r="AI121" s="208" t="s">
        <v>1488</v>
      </c>
      <c r="AJ121" s="208" t="s">
        <v>1489</v>
      </c>
      <c r="AL121" s="208" t="s">
        <v>1517</v>
      </c>
      <c r="AM121" s="208" t="s">
        <v>1518</v>
      </c>
      <c r="AN121" s="208" t="s">
        <v>1519</v>
      </c>
      <c r="AO121" s="208" t="s">
        <v>1520</v>
      </c>
      <c r="AP121" s="208" t="s">
        <v>1521</v>
      </c>
      <c r="AT121" s="208" t="s">
        <v>1919</v>
      </c>
      <c r="AU121" s="208" t="s">
        <v>1916</v>
      </c>
      <c r="AV121" s="208" t="s">
        <v>1920</v>
      </c>
      <c r="AW121" s="208" t="s">
        <v>1916</v>
      </c>
      <c r="AX121" s="208" t="s">
        <v>1872</v>
      </c>
      <c r="BB121" s="208" t="s">
        <v>1914</v>
      </c>
      <c r="BC121" s="208" t="s">
        <v>1916</v>
      </c>
      <c r="BD121" s="208" t="s">
        <v>1917</v>
      </c>
      <c r="BE121" s="208" t="s">
        <v>1918</v>
      </c>
      <c r="BF121" s="208" t="s">
        <v>1474</v>
      </c>
      <c r="BH121" s="208" t="b">
        <v>0</v>
      </c>
      <c r="BK121" s="208" t="b">
        <v>0</v>
      </c>
    </row>
    <row r="122" spans="2:63" hidden="1">
      <c r="B122" s="208">
        <v>15292</v>
      </c>
      <c r="C122" s="208" t="s">
        <v>1061</v>
      </c>
      <c r="D122" s="209">
        <v>78782</v>
      </c>
      <c r="E122" s="210">
        <v>375461.33</v>
      </c>
      <c r="F122" s="210">
        <v>281596</v>
      </c>
      <c r="H122" s="208" t="s">
        <v>17</v>
      </c>
      <c r="I122" s="208" t="s">
        <v>1467</v>
      </c>
      <c r="J122" s="208" t="s">
        <v>1468</v>
      </c>
      <c r="K122" s="208" t="s">
        <v>1469</v>
      </c>
      <c r="L122" s="208" t="s">
        <v>1470</v>
      </c>
      <c r="M122" s="208" t="s">
        <v>1668</v>
      </c>
      <c r="N122" s="208" t="s">
        <v>1471</v>
      </c>
      <c r="O122" s="208" t="s">
        <v>2220</v>
      </c>
      <c r="Q122" s="208" t="s">
        <v>2221</v>
      </c>
      <c r="R122" s="209" t="s">
        <v>1475</v>
      </c>
      <c r="S122" s="208" t="s">
        <v>2222</v>
      </c>
      <c r="T122" s="208" t="s">
        <v>2261</v>
      </c>
      <c r="U122" s="208" t="s">
        <v>1519</v>
      </c>
      <c r="V122" s="208" t="s">
        <v>2262</v>
      </c>
      <c r="W122" s="209" t="s">
        <v>2263</v>
      </c>
      <c r="X122" s="211">
        <f t="shared" si="1"/>
        <v>44714.875</v>
      </c>
      <c r="Y122" s="208" t="s">
        <v>2226</v>
      </c>
      <c r="Z122" s="208" t="s">
        <v>1482</v>
      </c>
      <c r="AA122" s="208" t="s">
        <v>1483</v>
      </c>
      <c r="AB122" s="208" t="s">
        <v>1516</v>
      </c>
      <c r="AC122" s="208" t="s">
        <v>1485</v>
      </c>
      <c r="AD122" s="208">
        <v>0</v>
      </c>
      <c r="AE122" s="208">
        <v>116.56</v>
      </c>
      <c r="AF122" s="208">
        <v>0</v>
      </c>
      <c r="AG122" s="208" t="s">
        <v>1486</v>
      </c>
      <c r="AH122" s="208" t="s">
        <v>1487</v>
      </c>
      <c r="AI122" s="208" t="s">
        <v>1488</v>
      </c>
      <c r="AJ122" s="208" t="s">
        <v>1489</v>
      </c>
      <c r="AL122" s="208" t="s">
        <v>1517</v>
      </c>
      <c r="AM122" s="208" t="s">
        <v>1519</v>
      </c>
      <c r="AN122" s="208" t="s">
        <v>1519</v>
      </c>
      <c r="AO122" s="208" t="s">
        <v>1520</v>
      </c>
      <c r="AP122" s="208" t="s">
        <v>1521</v>
      </c>
      <c r="AQ122" s="208" t="s">
        <v>1902</v>
      </c>
      <c r="AS122" s="208" t="s">
        <v>1564</v>
      </c>
      <c r="AT122" s="208" t="s">
        <v>2222</v>
      </c>
      <c r="AU122" s="208" t="s">
        <v>1519</v>
      </c>
      <c r="AV122" s="208" t="s">
        <v>2262</v>
      </c>
      <c r="AW122" s="208" t="s">
        <v>2263</v>
      </c>
      <c r="AX122" s="208" t="s">
        <v>2221</v>
      </c>
      <c r="AY122" s="208" t="s">
        <v>1902</v>
      </c>
      <c r="BB122" s="208" t="s">
        <v>2222</v>
      </c>
      <c r="BC122" s="208" t="s">
        <v>2263</v>
      </c>
      <c r="BD122" s="208" t="s">
        <v>2262</v>
      </c>
      <c r="BE122" s="208" t="s">
        <v>2263</v>
      </c>
      <c r="BH122" s="208" t="b">
        <v>0</v>
      </c>
      <c r="BK122" s="208" t="b">
        <v>0</v>
      </c>
    </row>
    <row r="123" spans="2:63" hidden="1">
      <c r="B123" s="208">
        <v>15292</v>
      </c>
      <c r="C123" s="208" t="s">
        <v>1061</v>
      </c>
      <c r="D123" s="209">
        <v>78783</v>
      </c>
      <c r="E123" s="210">
        <v>184000</v>
      </c>
      <c r="F123" s="210">
        <v>142000</v>
      </c>
      <c r="H123" s="208" t="s">
        <v>17</v>
      </c>
      <c r="I123" s="208" t="s">
        <v>1467</v>
      </c>
      <c r="J123" s="208" t="s">
        <v>1468</v>
      </c>
      <c r="K123" s="208" t="s">
        <v>1469</v>
      </c>
      <c r="L123" s="208" t="s">
        <v>1470</v>
      </c>
      <c r="M123" s="208" t="s">
        <v>21</v>
      </c>
      <c r="N123" s="208" t="s">
        <v>1471</v>
      </c>
      <c r="O123" s="208" t="s">
        <v>1547</v>
      </c>
      <c r="P123" s="208" t="s">
        <v>1473</v>
      </c>
      <c r="Q123" s="208" t="s">
        <v>1474</v>
      </c>
      <c r="R123" s="209" t="s">
        <v>1475</v>
      </c>
      <c r="S123" s="208" t="s">
        <v>1736</v>
      </c>
      <c r="T123" s="208" t="s">
        <v>1766</v>
      </c>
      <c r="U123" s="208" t="s">
        <v>1767</v>
      </c>
      <c r="V123" s="208" t="s">
        <v>1739</v>
      </c>
      <c r="W123" s="209" t="s">
        <v>1768</v>
      </c>
      <c r="X123" s="211">
        <f t="shared" si="1"/>
        <v>45846.597916666666</v>
      </c>
      <c r="Y123" s="208" t="s">
        <v>1481</v>
      </c>
      <c r="Z123" s="208" t="s">
        <v>1482</v>
      </c>
      <c r="AA123" s="208" t="s">
        <v>1483</v>
      </c>
      <c r="AB123" s="208" t="s">
        <v>1600</v>
      </c>
      <c r="AC123" s="208" t="s">
        <v>1682</v>
      </c>
      <c r="AD123" s="208">
        <v>102.92</v>
      </c>
      <c r="AE123" s="208">
        <v>74.760000000000005</v>
      </c>
      <c r="AG123" s="208" t="s">
        <v>1486</v>
      </c>
      <c r="AH123" s="208" t="s">
        <v>1487</v>
      </c>
      <c r="AI123" s="208" t="s">
        <v>1488</v>
      </c>
      <c r="AJ123" s="208" t="s">
        <v>1489</v>
      </c>
      <c r="AL123" s="208" t="s">
        <v>1490</v>
      </c>
      <c r="AM123" s="208" t="s">
        <v>1769</v>
      </c>
      <c r="AN123" s="208" t="s">
        <v>1492</v>
      </c>
      <c r="AO123" s="208" t="s">
        <v>1770</v>
      </c>
      <c r="AP123" s="208" t="s">
        <v>1494</v>
      </c>
      <c r="AT123" s="208" t="s">
        <v>1565</v>
      </c>
      <c r="AU123" s="208" t="s">
        <v>1767</v>
      </c>
      <c r="AV123" s="208" t="s">
        <v>1714</v>
      </c>
      <c r="AW123" s="208" t="s">
        <v>1767</v>
      </c>
      <c r="AX123" s="208" t="s">
        <v>1572</v>
      </c>
      <c r="BB123" s="208" t="s">
        <v>1736</v>
      </c>
      <c r="BC123" s="208" t="s">
        <v>1767</v>
      </c>
      <c r="BD123" s="208" t="s">
        <v>1739</v>
      </c>
      <c r="BE123" s="208" t="s">
        <v>1768</v>
      </c>
      <c r="BF123" s="208" t="s">
        <v>1474</v>
      </c>
      <c r="BH123" s="208" t="b">
        <v>0</v>
      </c>
      <c r="BK123" s="208" t="b">
        <v>0</v>
      </c>
    </row>
    <row r="124" spans="2:63" hidden="1">
      <c r="B124" s="208">
        <v>15292</v>
      </c>
      <c r="C124" s="208" t="s">
        <v>1061</v>
      </c>
      <c r="D124" s="209">
        <v>78783</v>
      </c>
      <c r="E124" s="210">
        <v>200000</v>
      </c>
      <c r="F124" s="210">
        <v>154000</v>
      </c>
      <c r="H124" s="208" t="s">
        <v>17</v>
      </c>
      <c r="I124" s="208" t="s">
        <v>1467</v>
      </c>
      <c r="J124" s="208" t="s">
        <v>1468</v>
      </c>
      <c r="K124" s="208" t="s">
        <v>1469</v>
      </c>
      <c r="L124" s="208" t="s">
        <v>1470</v>
      </c>
      <c r="M124" s="208" t="s">
        <v>21</v>
      </c>
      <c r="N124" s="208" t="s">
        <v>1471</v>
      </c>
      <c r="O124" s="208" t="s">
        <v>1904</v>
      </c>
      <c r="P124" s="208" t="s">
        <v>1626</v>
      </c>
      <c r="Q124" s="208" t="s">
        <v>1474</v>
      </c>
      <c r="R124" s="209" t="s">
        <v>1475</v>
      </c>
      <c r="S124" s="208" t="s">
        <v>1864</v>
      </c>
      <c r="T124" s="208" t="s">
        <v>1965</v>
      </c>
      <c r="U124" s="208" t="s">
        <v>1970</v>
      </c>
      <c r="V124" s="208" t="s">
        <v>1971</v>
      </c>
      <c r="W124" s="209" t="s">
        <v>1996</v>
      </c>
      <c r="X124" s="211">
        <f t="shared" si="1"/>
        <v>45219.743055555555</v>
      </c>
      <c r="Y124" s="208" t="s">
        <v>1481</v>
      </c>
      <c r="Z124" s="208" t="s">
        <v>1524</v>
      </c>
      <c r="AA124" s="208" t="s">
        <v>1483</v>
      </c>
      <c r="AB124" s="208" t="s">
        <v>1600</v>
      </c>
      <c r="AC124" s="208" t="s">
        <v>1682</v>
      </c>
      <c r="AD124" s="208">
        <v>102.92</v>
      </c>
      <c r="AE124" s="208">
        <v>74.760000000000005</v>
      </c>
      <c r="AG124" s="208" t="s">
        <v>1486</v>
      </c>
      <c r="AH124" s="208" t="s">
        <v>1487</v>
      </c>
      <c r="AI124" s="208" t="s">
        <v>1488</v>
      </c>
      <c r="AJ124" s="208" t="s">
        <v>1489</v>
      </c>
      <c r="AL124" s="208" t="s">
        <v>1490</v>
      </c>
      <c r="AM124" s="208" t="s">
        <v>1769</v>
      </c>
      <c r="AN124" s="208" t="s">
        <v>1492</v>
      </c>
      <c r="AO124" s="208" t="s">
        <v>1770</v>
      </c>
      <c r="AP124" s="208" t="s">
        <v>1494</v>
      </c>
      <c r="AT124" s="208" t="s">
        <v>1905</v>
      </c>
      <c r="AU124" s="208" t="s">
        <v>1970</v>
      </c>
      <c r="AV124" s="208" t="s">
        <v>1997</v>
      </c>
      <c r="AW124" s="208" t="s">
        <v>1998</v>
      </c>
      <c r="AX124" s="208" t="s">
        <v>1872</v>
      </c>
      <c r="BB124" s="208" t="s">
        <v>1864</v>
      </c>
      <c r="BC124" s="208" t="s">
        <v>1970</v>
      </c>
      <c r="BD124" s="208" t="s">
        <v>1971</v>
      </c>
      <c r="BE124" s="208" t="s">
        <v>1996</v>
      </c>
      <c r="BF124" s="208" t="s">
        <v>1474</v>
      </c>
      <c r="BG124" s="208" t="b">
        <v>1</v>
      </c>
      <c r="BH124" s="208" t="b">
        <v>1</v>
      </c>
      <c r="BK124" s="208" t="b">
        <v>0</v>
      </c>
    </row>
    <row r="125" spans="2:63" hidden="1">
      <c r="B125" s="208">
        <v>15292</v>
      </c>
      <c r="C125" s="208" t="s">
        <v>1061</v>
      </c>
      <c r="D125" s="209">
        <v>78783</v>
      </c>
      <c r="E125" s="210">
        <v>204229.51</v>
      </c>
      <c r="F125" s="210">
        <v>138876.07</v>
      </c>
      <c r="H125" s="208" t="s">
        <v>17</v>
      </c>
      <c r="I125" s="208" t="s">
        <v>1467</v>
      </c>
      <c r="J125" s="208" t="s">
        <v>1468</v>
      </c>
      <c r="K125" s="208" t="s">
        <v>1469</v>
      </c>
      <c r="L125" s="208" t="s">
        <v>1470</v>
      </c>
      <c r="M125" s="208" t="s">
        <v>1668</v>
      </c>
      <c r="N125" s="208" t="s">
        <v>1471</v>
      </c>
      <c r="O125" s="208" t="s">
        <v>2116</v>
      </c>
      <c r="P125" s="208" t="s">
        <v>2101</v>
      </c>
      <c r="Q125" s="208" t="s">
        <v>2108</v>
      </c>
      <c r="R125" s="209" t="s">
        <v>1475</v>
      </c>
      <c r="S125" s="208" t="s">
        <v>2109</v>
      </c>
      <c r="T125" s="208" t="s">
        <v>1769</v>
      </c>
      <c r="U125" s="208" t="s">
        <v>2216</v>
      </c>
      <c r="V125" s="208" t="s">
        <v>2124</v>
      </c>
      <c r="W125" s="209" t="s">
        <v>2212</v>
      </c>
      <c r="X125" s="211">
        <f t="shared" si="1"/>
        <v>45036.426388888889</v>
      </c>
      <c r="Y125" s="208" t="s">
        <v>1481</v>
      </c>
      <c r="Z125" s="208" t="s">
        <v>1482</v>
      </c>
      <c r="AA125" s="208" t="s">
        <v>1483</v>
      </c>
      <c r="AB125" s="208" t="s">
        <v>1600</v>
      </c>
      <c r="AC125" s="208" t="s">
        <v>1682</v>
      </c>
      <c r="AD125" s="208">
        <v>102.92</v>
      </c>
      <c r="AE125" s="208">
        <v>74.760000000000005</v>
      </c>
      <c r="AG125" s="208" t="s">
        <v>1486</v>
      </c>
      <c r="AH125" s="208" t="s">
        <v>1487</v>
      </c>
      <c r="AI125" s="208" t="s">
        <v>1488</v>
      </c>
      <c r="AJ125" s="208" t="s">
        <v>1489</v>
      </c>
      <c r="AL125" s="208" t="s">
        <v>1490</v>
      </c>
      <c r="AM125" s="208" t="s">
        <v>1769</v>
      </c>
      <c r="AN125" s="208" t="s">
        <v>1492</v>
      </c>
      <c r="AO125" s="208" t="s">
        <v>1770</v>
      </c>
      <c r="AP125" s="208" t="s">
        <v>1494</v>
      </c>
      <c r="AQ125" s="208" t="s">
        <v>1902</v>
      </c>
      <c r="AR125" s="208" t="s">
        <v>1489</v>
      </c>
      <c r="AS125" s="208" t="s">
        <v>2122</v>
      </c>
      <c r="AT125" s="208" t="s">
        <v>2120</v>
      </c>
      <c r="AU125" s="208" t="s">
        <v>2216</v>
      </c>
      <c r="AV125" s="208" t="s">
        <v>2121</v>
      </c>
      <c r="AW125" s="208" t="s">
        <v>2216</v>
      </c>
      <c r="AX125" s="208" t="s">
        <v>2115</v>
      </c>
      <c r="AY125" s="208" t="s">
        <v>1902</v>
      </c>
      <c r="AZ125" s="208" t="s">
        <v>1489</v>
      </c>
      <c r="BA125" s="208" t="s">
        <v>2122</v>
      </c>
      <c r="BB125" s="208" t="s">
        <v>2109</v>
      </c>
      <c r="BC125" s="208" t="s">
        <v>2216</v>
      </c>
      <c r="BD125" s="208" t="s">
        <v>2124</v>
      </c>
      <c r="BE125" s="208" t="s">
        <v>2212</v>
      </c>
      <c r="BF125" s="208" t="s">
        <v>2108</v>
      </c>
      <c r="BH125" s="208" t="b">
        <v>0</v>
      </c>
      <c r="BK125" s="208" t="b">
        <v>0</v>
      </c>
    </row>
    <row r="126" spans="2:63" hidden="1">
      <c r="B126" s="208">
        <v>15292</v>
      </c>
      <c r="C126" s="208" t="s">
        <v>1061</v>
      </c>
      <c r="D126" s="209">
        <v>78783</v>
      </c>
      <c r="E126" s="210">
        <v>262215</v>
      </c>
      <c r="F126" s="210">
        <v>209772</v>
      </c>
      <c r="H126" s="208" t="s">
        <v>17</v>
      </c>
      <c r="I126" s="208" t="s">
        <v>1467</v>
      </c>
      <c r="J126" s="208" t="s">
        <v>1468</v>
      </c>
      <c r="K126" s="208" t="s">
        <v>1469</v>
      </c>
      <c r="L126" s="208" t="s">
        <v>1470</v>
      </c>
      <c r="M126" s="208" t="s">
        <v>2099</v>
      </c>
      <c r="N126" s="208" t="s">
        <v>1471</v>
      </c>
      <c r="O126" s="208" t="s">
        <v>2220</v>
      </c>
      <c r="Q126" s="208" t="s">
        <v>2108</v>
      </c>
      <c r="R126" s="209" t="s">
        <v>1475</v>
      </c>
      <c r="S126" s="208" t="s">
        <v>2230</v>
      </c>
      <c r="T126" s="208" t="s">
        <v>2338</v>
      </c>
      <c r="U126" s="208" t="s">
        <v>1637</v>
      </c>
      <c r="V126" s="208" t="s">
        <v>1637</v>
      </c>
      <c r="W126" s="209" t="s">
        <v>1637</v>
      </c>
      <c r="X126" s="211">
        <f t="shared" si="1"/>
        <v>44769.875</v>
      </c>
      <c r="Y126" s="208" t="s">
        <v>2226</v>
      </c>
      <c r="Z126" s="208" t="s">
        <v>1482</v>
      </c>
      <c r="AA126" s="208" t="s">
        <v>1483</v>
      </c>
      <c r="AB126" s="208" t="s">
        <v>2276</v>
      </c>
      <c r="AC126" s="208" t="s">
        <v>2232</v>
      </c>
      <c r="AD126" s="208">
        <v>0</v>
      </c>
      <c r="AE126" s="208">
        <v>74.75</v>
      </c>
      <c r="AF126" s="208">
        <v>0</v>
      </c>
      <c r="AG126" s="208" t="s">
        <v>1486</v>
      </c>
      <c r="AH126" s="208" t="s">
        <v>1487</v>
      </c>
      <c r="AI126" s="208" t="s">
        <v>1488</v>
      </c>
      <c r="AJ126" s="208" t="s">
        <v>1489</v>
      </c>
      <c r="AL126" s="208" t="s">
        <v>1635</v>
      </c>
      <c r="AM126" s="208" t="s">
        <v>1637</v>
      </c>
      <c r="AN126" s="208" t="s">
        <v>1637</v>
      </c>
      <c r="AO126" s="208" t="s">
        <v>1637</v>
      </c>
      <c r="AP126" s="208" t="s">
        <v>1638</v>
      </c>
      <c r="AQ126" s="208" t="s">
        <v>1902</v>
      </c>
      <c r="AT126" s="208" t="s">
        <v>2230</v>
      </c>
      <c r="AU126" s="208" t="s">
        <v>1637</v>
      </c>
      <c r="AV126" s="208" t="s">
        <v>1637</v>
      </c>
      <c r="AW126" s="208" t="s">
        <v>1637</v>
      </c>
      <c r="AX126" s="208" t="s">
        <v>2108</v>
      </c>
      <c r="AY126" s="208" t="s">
        <v>1902</v>
      </c>
      <c r="BB126" s="208" t="s">
        <v>2230</v>
      </c>
      <c r="BC126" s="208" t="s">
        <v>1637</v>
      </c>
      <c r="BD126" s="208" t="s">
        <v>1637</v>
      </c>
      <c r="BE126" s="208" t="s">
        <v>1637</v>
      </c>
      <c r="BF126" s="208" t="s">
        <v>2108</v>
      </c>
      <c r="BH126" s="208" t="b">
        <v>0</v>
      </c>
      <c r="BK126" s="208" t="b">
        <v>0</v>
      </c>
    </row>
    <row r="127" spans="2:63" hidden="1">
      <c r="B127" s="208">
        <v>15292</v>
      </c>
      <c r="C127" s="208" t="s">
        <v>1061</v>
      </c>
      <c r="D127" s="209">
        <v>78783</v>
      </c>
      <c r="E127" s="210">
        <v>345091</v>
      </c>
      <c r="F127" s="210">
        <v>248466</v>
      </c>
      <c r="H127" s="208" t="s">
        <v>17</v>
      </c>
      <c r="I127" s="208" t="s">
        <v>1504</v>
      </c>
      <c r="J127" s="208" t="s">
        <v>1468</v>
      </c>
      <c r="K127" s="208" t="s">
        <v>1469</v>
      </c>
      <c r="L127" s="208" t="s">
        <v>1470</v>
      </c>
      <c r="M127" s="208" t="s">
        <v>1668</v>
      </c>
      <c r="N127" s="208" t="s">
        <v>1471</v>
      </c>
      <c r="O127" s="208" t="s">
        <v>2220</v>
      </c>
      <c r="Q127" s="208" t="s">
        <v>2235</v>
      </c>
      <c r="R127" s="209" t="s">
        <v>1475</v>
      </c>
      <c r="S127" s="208" t="s">
        <v>2222</v>
      </c>
      <c r="T127" s="208" t="s">
        <v>2261</v>
      </c>
      <c r="U127" s="208" t="s">
        <v>1519</v>
      </c>
      <c r="V127" s="208" t="s">
        <v>2237</v>
      </c>
      <c r="W127" s="209" t="s">
        <v>2245</v>
      </c>
      <c r="X127" s="211">
        <f t="shared" si="1"/>
        <v>44731.875</v>
      </c>
      <c r="Y127" s="208" t="s">
        <v>2226</v>
      </c>
      <c r="Z127" s="208" t="s">
        <v>1482</v>
      </c>
      <c r="AA127" s="208" t="s">
        <v>1483</v>
      </c>
      <c r="AB127" s="208" t="s">
        <v>1880</v>
      </c>
      <c r="AC127" s="208" t="s">
        <v>1881</v>
      </c>
      <c r="AD127" s="208">
        <v>156</v>
      </c>
      <c r="AE127" s="208">
        <v>0</v>
      </c>
      <c r="AF127" s="208">
        <v>176.7</v>
      </c>
      <c r="AG127" s="208" t="s">
        <v>1486</v>
      </c>
      <c r="AH127" s="208" t="s">
        <v>1487</v>
      </c>
      <c r="AI127" s="208" t="s">
        <v>1488</v>
      </c>
      <c r="AJ127" s="208" t="s">
        <v>1489</v>
      </c>
      <c r="AL127" s="208" t="s">
        <v>1517</v>
      </c>
      <c r="AM127" s="208" t="s">
        <v>1519</v>
      </c>
      <c r="AN127" s="208" t="s">
        <v>1519</v>
      </c>
      <c r="AO127" s="208" t="s">
        <v>1624</v>
      </c>
      <c r="AP127" s="208" t="s">
        <v>1521</v>
      </c>
      <c r="AQ127" s="208" t="s">
        <v>1902</v>
      </c>
      <c r="AS127" s="208" t="s">
        <v>1564</v>
      </c>
      <c r="AT127" s="208" t="s">
        <v>2222</v>
      </c>
      <c r="AU127" s="208" t="s">
        <v>1519</v>
      </c>
      <c r="AV127" s="208" t="s">
        <v>2237</v>
      </c>
      <c r="AW127" s="208" t="s">
        <v>2245</v>
      </c>
      <c r="AX127" s="208" t="s">
        <v>2235</v>
      </c>
      <c r="AY127" s="208" t="s">
        <v>1902</v>
      </c>
      <c r="BB127" s="208" t="s">
        <v>2222</v>
      </c>
      <c r="BC127" s="208" t="s">
        <v>2245</v>
      </c>
      <c r="BD127" s="208" t="s">
        <v>2237</v>
      </c>
      <c r="BE127" s="208" t="s">
        <v>2239</v>
      </c>
      <c r="BF127" s="208" t="s">
        <v>2240</v>
      </c>
      <c r="BH127" s="208" t="b">
        <v>0</v>
      </c>
      <c r="BK127" s="208" t="b">
        <v>0</v>
      </c>
    </row>
    <row r="128" spans="2:63" hidden="1">
      <c r="B128" s="208">
        <v>15292</v>
      </c>
      <c r="C128" s="208" t="s">
        <v>1061</v>
      </c>
      <c r="D128" s="209">
        <v>78784</v>
      </c>
      <c r="E128" s="210">
        <v>184000</v>
      </c>
      <c r="F128" s="210">
        <v>142000</v>
      </c>
      <c r="H128" s="208" t="s">
        <v>17</v>
      </c>
      <c r="I128" s="208" t="s">
        <v>1467</v>
      </c>
      <c r="J128" s="208" t="s">
        <v>1468</v>
      </c>
      <c r="K128" s="208" t="s">
        <v>1469</v>
      </c>
      <c r="L128" s="208" t="s">
        <v>1470</v>
      </c>
      <c r="M128" s="208" t="s">
        <v>21</v>
      </c>
      <c r="N128" s="208" t="s">
        <v>1471</v>
      </c>
      <c r="O128" s="208" t="s">
        <v>1547</v>
      </c>
      <c r="P128" s="208" t="s">
        <v>1473</v>
      </c>
      <c r="Q128" s="208" t="s">
        <v>1474</v>
      </c>
      <c r="R128" s="209" t="s">
        <v>1475</v>
      </c>
      <c r="S128" s="208" t="s">
        <v>1736</v>
      </c>
      <c r="T128" s="208" t="s">
        <v>1761</v>
      </c>
      <c r="U128" s="208" t="s">
        <v>1762</v>
      </c>
      <c r="V128" s="208" t="s">
        <v>1739</v>
      </c>
      <c r="W128" s="209" t="s">
        <v>1763</v>
      </c>
      <c r="X128" s="211">
        <f t="shared" si="1"/>
        <v>45846.6</v>
      </c>
      <c r="Y128" s="208" t="s">
        <v>1481</v>
      </c>
      <c r="Z128" s="208" t="s">
        <v>1482</v>
      </c>
      <c r="AA128" s="208" t="s">
        <v>1483</v>
      </c>
      <c r="AB128" s="208" t="s">
        <v>1747</v>
      </c>
      <c r="AC128" s="208" t="s">
        <v>1748</v>
      </c>
      <c r="AD128" s="208">
        <v>102.92</v>
      </c>
      <c r="AE128" s="208">
        <v>74.760000000000005</v>
      </c>
      <c r="AG128" s="208" t="s">
        <v>1486</v>
      </c>
      <c r="AH128" s="208" t="s">
        <v>1487</v>
      </c>
      <c r="AI128" s="208" t="s">
        <v>1488</v>
      </c>
      <c r="AJ128" s="208" t="s">
        <v>1489</v>
      </c>
      <c r="AL128" s="208" t="s">
        <v>1490</v>
      </c>
      <c r="AM128" s="208" t="s">
        <v>1764</v>
      </c>
      <c r="AN128" s="208" t="s">
        <v>1492</v>
      </c>
      <c r="AO128" s="208" t="s">
        <v>1765</v>
      </c>
      <c r="AP128" s="208" t="s">
        <v>1494</v>
      </c>
      <c r="AT128" s="208" t="s">
        <v>1565</v>
      </c>
      <c r="AU128" s="208" t="s">
        <v>1762</v>
      </c>
      <c r="AV128" s="208" t="s">
        <v>1714</v>
      </c>
      <c r="AW128" s="208" t="s">
        <v>1762</v>
      </c>
      <c r="AX128" s="208" t="s">
        <v>1572</v>
      </c>
      <c r="BB128" s="208" t="s">
        <v>1736</v>
      </c>
      <c r="BC128" s="208" t="s">
        <v>1762</v>
      </c>
      <c r="BD128" s="208" t="s">
        <v>1739</v>
      </c>
      <c r="BE128" s="208" t="s">
        <v>1763</v>
      </c>
      <c r="BF128" s="208" t="s">
        <v>1474</v>
      </c>
      <c r="BH128" s="208" t="b">
        <v>0</v>
      </c>
      <c r="BK128" s="208" t="b">
        <v>0</v>
      </c>
    </row>
    <row r="129" spans="2:63" hidden="1">
      <c r="B129" s="208">
        <v>15292</v>
      </c>
      <c r="C129" s="208" t="s">
        <v>1061</v>
      </c>
      <c r="D129" s="209">
        <v>78784</v>
      </c>
      <c r="E129" s="210">
        <v>200000</v>
      </c>
      <c r="F129" s="210">
        <v>154000</v>
      </c>
      <c r="H129" s="208" t="s">
        <v>17</v>
      </c>
      <c r="I129" s="208" t="s">
        <v>1467</v>
      </c>
      <c r="J129" s="208" t="s">
        <v>1468</v>
      </c>
      <c r="K129" s="208" t="s">
        <v>1469</v>
      </c>
      <c r="L129" s="208" t="s">
        <v>1470</v>
      </c>
      <c r="M129" s="208" t="s">
        <v>21</v>
      </c>
      <c r="N129" s="208" t="s">
        <v>1471</v>
      </c>
      <c r="O129" s="208" t="s">
        <v>1904</v>
      </c>
      <c r="P129" s="208" t="s">
        <v>1626</v>
      </c>
      <c r="Q129" s="208" t="s">
        <v>1474</v>
      </c>
      <c r="R129" s="209" t="s">
        <v>1475</v>
      </c>
      <c r="S129" s="208" t="s">
        <v>1864</v>
      </c>
      <c r="T129" s="208" t="s">
        <v>1965</v>
      </c>
      <c r="U129" s="208" t="s">
        <v>1970</v>
      </c>
      <c r="V129" s="208" t="s">
        <v>1971</v>
      </c>
      <c r="W129" s="209" t="s">
        <v>2050</v>
      </c>
      <c r="X129" s="211">
        <f t="shared" si="1"/>
        <v>45219.745833333334</v>
      </c>
      <c r="Y129" s="208" t="s">
        <v>1481</v>
      </c>
      <c r="Z129" s="208" t="s">
        <v>1524</v>
      </c>
      <c r="AA129" s="208" t="s">
        <v>1483</v>
      </c>
      <c r="AB129" s="208" t="s">
        <v>1747</v>
      </c>
      <c r="AC129" s="208" t="s">
        <v>1748</v>
      </c>
      <c r="AD129" s="208">
        <v>102.92</v>
      </c>
      <c r="AE129" s="208">
        <v>74.760000000000005</v>
      </c>
      <c r="AG129" s="208" t="s">
        <v>1486</v>
      </c>
      <c r="AH129" s="208" t="s">
        <v>1487</v>
      </c>
      <c r="AI129" s="208" t="s">
        <v>1488</v>
      </c>
      <c r="AJ129" s="208" t="s">
        <v>1489</v>
      </c>
      <c r="AL129" s="208" t="s">
        <v>1490</v>
      </c>
      <c r="AM129" s="208" t="s">
        <v>1764</v>
      </c>
      <c r="AN129" s="208" t="s">
        <v>1492</v>
      </c>
      <c r="AO129" s="208" t="s">
        <v>1765</v>
      </c>
      <c r="AP129" s="208" t="s">
        <v>1494</v>
      </c>
      <c r="AT129" s="208" t="s">
        <v>1905</v>
      </c>
      <c r="AU129" s="208" t="s">
        <v>1970</v>
      </c>
      <c r="AV129" s="208" t="s">
        <v>1997</v>
      </c>
      <c r="AW129" s="208" t="s">
        <v>2051</v>
      </c>
      <c r="AX129" s="208" t="s">
        <v>1872</v>
      </c>
      <c r="BB129" s="208" t="s">
        <v>1864</v>
      </c>
      <c r="BC129" s="208" t="s">
        <v>1970</v>
      </c>
      <c r="BD129" s="208" t="s">
        <v>1971</v>
      </c>
      <c r="BE129" s="208" t="s">
        <v>2050</v>
      </c>
      <c r="BF129" s="208" t="s">
        <v>1474</v>
      </c>
      <c r="BG129" s="208" t="b">
        <v>1</v>
      </c>
      <c r="BH129" s="208" t="b">
        <v>1</v>
      </c>
      <c r="BK129" s="208" t="b">
        <v>0</v>
      </c>
    </row>
    <row r="130" spans="2:63" hidden="1">
      <c r="B130" s="208">
        <v>15292</v>
      </c>
      <c r="C130" s="208" t="s">
        <v>1061</v>
      </c>
      <c r="D130" s="209">
        <v>78784</v>
      </c>
      <c r="E130" s="210">
        <v>204229.51</v>
      </c>
      <c r="F130" s="210">
        <v>138876.07</v>
      </c>
      <c r="H130" s="208" t="s">
        <v>17</v>
      </c>
      <c r="I130" s="208" t="s">
        <v>1467</v>
      </c>
      <c r="J130" s="208" t="s">
        <v>1468</v>
      </c>
      <c r="K130" s="208" t="s">
        <v>1469</v>
      </c>
      <c r="L130" s="208" t="s">
        <v>1470</v>
      </c>
      <c r="M130" s="208" t="s">
        <v>1668</v>
      </c>
      <c r="N130" s="208" t="s">
        <v>1471</v>
      </c>
      <c r="O130" s="208" t="s">
        <v>2116</v>
      </c>
      <c r="P130" s="208" t="s">
        <v>2101</v>
      </c>
      <c r="Q130" s="208" t="s">
        <v>2108</v>
      </c>
      <c r="R130" s="209" t="s">
        <v>1475</v>
      </c>
      <c r="S130" s="208" t="s">
        <v>2109</v>
      </c>
      <c r="T130" s="208" t="s">
        <v>1764</v>
      </c>
      <c r="U130" s="208" t="s">
        <v>2216</v>
      </c>
      <c r="V130" s="208" t="s">
        <v>2124</v>
      </c>
      <c r="W130" s="209" t="s">
        <v>2212</v>
      </c>
      <c r="X130" s="211">
        <f t="shared" ref="X130:X193" si="2">W130*1</f>
        <v>45036.426388888889</v>
      </c>
      <c r="Y130" s="208" t="s">
        <v>1481</v>
      </c>
      <c r="Z130" s="208" t="s">
        <v>1482</v>
      </c>
      <c r="AA130" s="208" t="s">
        <v>1483</v>
      </c>
      <c r="AB130" s="208" t="s">
        <v>1747</v>
      </c>
      <c r="AC130" s="208" t="s">
        <v>1748</v>
      </c>
      <c r="AD130" s="208">
        <v>102.92</v>
      </c>
      <c r="AE130" s="208">
        <v>74.760000000000005</v>
      </c>
      <c r="AG130" s="208" t="s">
        <v>1486</v>
      </c>
      <c r="AH130" s="208" t="s">
        <v>1487</v>
      </c>
      <c r="AI130" s="208" t="s">
        <v>1488</v>
      </c>
      <c r="AJ130" s="208" t="s">
        <v>1489</v>
      </c>
      <c r="AL130" s="208" t="s">
        <v>1490</v>
      </c>
      <c r="AM130" s="208" t="s">
        <v>1764</v>
      </c>
      <c r="AN130" s="208" t="s">
        <v>1492</v>
      </c>
      <c r="AO130" s="208" t="s">
        <v>1765</v>
      </c>
      <c r="AP130" s="208" t="s">
        <v>1494</v>
      </c>
      <c r="AQ130" s="208" t="s">
        <v>1902</v>
      </c>
      <c r="AR130" s="208" t="s">
        <v>1489</v>
      </c>
      <c r="AS130" s="208" t="s">
        <v>2122</v>
      </c>
      <c r="AT130" s="208" t="s">
        <v>2120</v>
      </c>
      <c r="AU130" s="208" t="s">
        <v>2216</v>
      </c>
      <c r="AV130" s="208" t="s">
        <v>2121</v>
      </c>
      <c r="AW130" s="208" t="s">
        <v>2211</v>
      </c>
      <c r="AX130" s="208" t="s">
        <v>2115</v>
      </c>
      <c r="AY130" s="208" t="s">
        <v>1902</v>
      </c>
      <c r="AZ130" s="208" t="s">
        <v>1489</v>
      </c>
      <c r="BA130" s="208" t="s">
        <v>2122</v>
      </c>
      <c r="BB130" s="208" t="s">
        <v>2109</v>
      </c>
      <c r="BC130" s="208" t="s">
        <v>2216</v>
      </c>
      <c r="BD130" s="208" t="s">
        <v>2124</v>
      </c>
      <c r="BE130" s="208" t="s">
        <v>2212</v>
      </c>
      <c r="BF130" s="208" t="s">
        <v>2108</v>
      </c>
      <c r="BH130" s="208" t="b">
        <v>0</v>
      </c>
      <c r="BK130" s="208" t="b">
        <v>0</v>
      </c>
    </row>
    <row r="131" spans="2:63" hidden="1">
      <c r="B131" s="208">
        <v>15292</v>
      </c>
      <c r="C131" s="208" t="s">
        <v>1061</v>
      </c>
      <c r="D131" s="209">
        <v>78784</v>
      </c>
      <c r="E131" s="210">
        <v>262215</v>
      </c>
      <c r="F131" s="210">
        <v>209772</v>
      </c>
      <c r="H131" s="208" t="s">
        <v>17</v>
      </c>
      <c r="I131" s="208" t="s">
        <v>1467</v>
      </c>
      <c r="J131" s="208" t="s">
        <v>1468</v>
      </c>
      <c r="K131" s="208" t="s">
        <v>1469</v>
      </c>
      <c r="L131" s="208" t="s">
        <v>1470</v>
      </c>
      <c r="M131" s="208" t="s">
        <v>2099</v>
      </c>
      <c r="N131" s="208" t="s">
        <v>1471</v>
      </c>
      <c r="O131" s="208" t="s">
        <v>2220</v>
      </c>
      <c r="Q131" s="208" t="s">
        <v>2108</v>
      </c>
      <c r="R131" s="209" t="s">
        <v>1475</v>
      </c>
      <c r="S131" s="208" t="s">
        <v>2230</v>
      </c>
      <c r="T131" s="208" t="s">
        <v>2292</v>
      </c>
      <c r="U131" s="208" t="s">
        <v>1637</v>
      </c>
      <c r="V131" s="208" t="s">
        <v>2065</v>
      </c>
      <c r="W131" s="209" t="s">
        <v>2065</v>
      </c>
      <c r="X131" s="211">
        <f t="shared" si="2"/>
        <v>44770.875</v>
      </c>
      <c r="Y131" s="208" t="s">
        <v>2226</v>
      </c>
      <c r="Z131" s="208" t="s">
        <v>1482</v>
      </c>
      <c r="AA131" s="208" t="s">
        <v>1483</v>
      </c>
      <c r="AB131" s="208" t="s">
        <v>2276</v>
      </c>
      <c r="AC131" s="208" t="s">
        <v>1601</v>
      </c>
      <c r="AD131" s="208">
        <v>0</v>
      </c>
      <c r="AE131" s="208">
        <v>74.75</v>
      </c>
      <c r="AF131" s="208">
        <v>0</v>
      </c>
      <c r="AG131" s="208" t="s">
        <v>1486</v>
      </c>
      <c r="AH131" s="208" t="s">
        <v>1487</v>
      </c>
      <c r="AI131" s="208" t="s">
        <v>1488</v>
      </c>
      <c r="AJ131" s="208" t="s">
        <v>1489</v>
      </c>
      <c r="AL131" s="208" t="s">
        <v>1635</v>
      </c>
      <c r="AM131" s="208" t="s">
        <v>1637</v>
      </c>
      <c r="AN131" s="208" t="s">
        <v>1637</v>
      </c>
      <c r="AO131" s="208" t="s">
        <v>1637</v>
      </c>
      <c r="AP131" s="208" t="s">
        <v>1638</v>
      </c>
      <c r="AQ131" s="208" t="s">
        <v>1902</v>
      </c>
      <c r="AT131" s="208" t="s">
        <v>2230</v>
      </c>
      <c r="AU131" s="208" t="s">
        <v>1637</v>
      </c>
      <c r="AV131" s="208" t="s">
        <v>2065</v>
      </c>
      <c r="AW131" s="208" t="s">
        <v>2065</v>
      </c>
      <c r="AX131" s="208" t="s">
        <v>2108</v>
      </c>
      <c r="AY131" s="208" t="s">
        <v>1902</v>
      </c>
      <c r="BB131" s="208" t="s">
        <v>2230</v>
      </c>
      <c r="BC131" s="208" t="s">
        <v>2065</v>
      </c>
      <c r="BD131" s="208" t="s">
        <v>2065</v>
      </c>
      <c r="BE131" s="208" t="s">
        <v>2065</v>
      </c>
      <c r="BF131" s="208" t="s">
        <v>2108</v>
      </c>
      <c r="BH131" s="208" t="b">
        <v>0</v>
      </c>
      <c r="BK131" s="208" t="b">
        <v>0</v>
      </c>
    </row>
    <row r="132" spans="2:63" hidden="1">
      <c r="B132" s="208">
        <v>15292</v>
      </c>
      <c r="C132" s="208" t="s">
        <v>1061</v>
      </c>
      <c r="D132" s="209">
        <v>78785</v>
      </c>
      <c r="E132" s="210">
        <v>184000</v>
      </c>
      <c r="F132" s="210">
        <v>142000</v>
      </c>
      <c r="H132" s="208" t="s">
        <v>17</v>
      </c>
      <c r="I132" s="208" t="s">
        <v>1467</v>
      </c>
      <c r="J132" s="208" t="s">
        <v>1468</v>
      </c>
      <c r="K132" s="208" t="s">
        <v>1469</v>
      </c>
      <c r="L132" s="208" t="s">
        <v>1470</v>
      </c>
      <c r="M132" s="208" t="s">
        <v>21</v>
      </c>
      <c r="N132" s="208" t="s">
        <v>1471</v>
      </c>
      <c r="O132" s="208" t="s">
        <v>1547</v>
      </c>
      <c r="P132" s="208" t="s">
        <v>1473</v>
      </c>
      <c r="Q132" s="208" t="s">
        <v>1474</v>
      </c>
      <c r="R132" s="209" t="s">
        <v>1475</v>
      </c>
      <c r="S132" s="208" t="s">
        <v>1736</v>
      </c>
      <c r="T132" s="208" t="s">
        <v>1756</v>
      </c>
      <c r="U132" s="208" t="s">
        <v>1757</v>
      </c>
      <c r="V132" s="208" t="s">
        <v>1739</v>
      </c>
      <c r="W132" s="209" t="s">
        <v>1758</v>
      </c>
      <c r="X132" s="211">
        <f t="shared" si="2"/>
        <v>45846.601388888892</v>
      </c>
      <c r="Y132" s="208" t="s">
        <v>1481</v>
      </c>
      <c r="Z132" s="208" t="s">
        <v>1482</v>
      </c>
      <c r="AA132" s="208" t="s">
        <v>1483</v>
      </c>
      <c r="AB132" s="208" t="s">
        <v>1747</v>
      </c>
      <c r="AC132" s="208" t="s">
        <v>1748</v>
      </c>
      <c r="AE132" s="208">
        <v>74.760000000000005</v>
      </c>
      <c r="AF132" s="208">
        <v>102.92</v>
      </c>
      <c r="AG132" s="208" t="s">
        <v>1486</v>
      </c>
      <c r="AH132" s="208" t="s">
        <v>1487</v>
      </c>
      <c r="AI132" s="208" t="s">
        <v>1488</v>
      </c>
      <c r="AJ132" s="208" t="s">
        <v>1489</v>
      </c>
      <c r="AL132" s="208" t="s">
        <v>1490</v>
      </c>
      <c r="AM132" s="208" t="s">
        <v>1759</v>
      </c>
      <c r="AN132" s="208" t="s">
        <v>1492</v>
      </c>
      <c r="AO132" s="208" t="s">
        <v>1760</v>
      </c>
      <c r="AP132" s="208" t="s">
        <v>1494</v>
      </c>
      <c r="AT132" s="208" t="s">
        <v>1565</v>
      </c>
      <c r="AU132" s="208" t="s">
        <v>1757</v>
      </c>
      <c r="AV132" s="208" t="s">
        <v>1714</v>
      </c>
      <c r="AW132" s="208" t="s">
        <v>1757</v>
      </c>
      <c r="AX132" s="208" t="s">
        <v>1572</v>
      </c>
      <c r="BB132" s="208" t="s">
        <v>1736</v>
      </c>
      <c r="BC132" s="208" t="s">
        <v>1757</v>
      </c>
      <c r="BD132" s="208" t="s">
        <v>1739</v>
      </c>
      <c r="BE132" s="208" t="s">
        <v>1758</v>
      </c>
      <c r="BF132" s="208" t="s">
        <v>1474</v>
      </c>
      <c r="BH132" s="208" t="b">
        <v>0</v>
      </c>
      <c r="BK132" s="208" t="b">
        <v>0</v>
      </c>
    </row>
    <row r="133" spans="2:63" hidden="1">
      <c r="B133" s="208">
        <v>15292</v>
      </c>
      <c r="C133" s="208" t="s">
        <v>1061</v>
      </c>
      <c r="D133" s="209">
        <v>78785</v>
      </c>
      <c r="E133" s="210">
        <v>200000</v>
      </c>
      <c r="F133" s="210">
        <v>154000</v>
      </c>
      <c r="H133" s="208" t="s">
        <v>17</v>
      </c>
      <c r="I133" s="208" t="s">
        <v>1467</v>
      </c>
      <c r="J133" s="208" t="s">
        <v>1468</v>
      </c>
      <c r="K133" s="208" t="s">
        <v>1469</v>
      </c>
      <c r="L133" s="208" t="s">
        <v>1470</v>
      </c>
      <c r="M133" s="208" t="s">
        <v>21</v>
      </c>
      <c r="N133" s="208" t="s">
        <v>1471</v>
      </c>
      <c r="O133" s="208" t="s">
        <v>1904</v>
      </c>
      <c r="P133" s="208" t="s">
        <v>1626</v>
      </c>
      <c r="Q133" s="208" t="s">
        <v>1474</v>
      </c>
      <c r="R133" s="209" t="s">
        <v>1475</v>
      </c>
      <c r="S133" s="208" t="s">
        <v>1864</v>
      </c>
      <c r="T133" s="208" t="s">
        <v>1965</v>
      </c>
      <c r="U133" s="208" t="s">
        <v>1970</v>
      </c>
      <c r="V133" s="208" t="s">
        <v>1971</v>
      </c>
      <c r="W133" s="209" t="s">
        <v>2022</v>
      </c>
      <c r="X133" s="211">
        <f t="shared" si="2"/>
        <v>45219.746527777781</v>
      </c>
      <c r="Y133" s="208" t="s">
        <v>1481</v>
      </c>
      <c r="Z133" s="208" t="s">
        <v>1524</v>
      </c>
      <c r="AA133" s="208" t="s">
        <v>1483</v>
      </c>
      <c r="AB133" s="208" t="s">
        <v>1747</v>
      </c>
      <c r="AC133" s="208" t="s">
        <v>1748</v>
      </c>
      <c r="AE133" s="208">
        <v>74.760000000000005</v>
      </c>
      <c r="AF133" s="208">
        <v>102.92</v>
      </c>
      <c r="AG133" s="208" t="s">
        <v>1486</v>
      </c>
      <c r="AH133" s="208" t="s">
        <v>1487</v>
      </c>
      <c r="AI133" s="208" t="s">
        <v>1488</v>
      </c>
      <c r="AJ133" s="208" t="s">
        <v>1489</v>
      </c>
      <c r="AL133" s="208" t="s">
        <v>1490</v>
      </c>
      <c r="AM133" s="208" t="s">
        <v>1759</v>
      </c>
      <c r="AN133" s="208" t="s">
        <v>1492</v>
      </c>
      <c r="AO133" s="208" t="s">
        <v>1760</v>
      </c>
      <c r="AP133" s="208" t="s">
        <v>1494</v>
      </c>
      <c r="AT133" s="208" t="s">
        <v>1905</v>
      </c>
      <c r="AU133" s="208" t="s">
        <v>1970</v>
      </c>
      <c r="AV133" s="208" t="s">
        <v>2023</v>
      </c>
      <c r="AW133" s="208" t="s">
        <v>2024</v>
      </c>
      <c r="AX133" s="208" t="s">
        <v>1872</v>
      </c>
      <c r="BB133" s="208" t="s">
        <v>1864</v>
      </c>
      <c r="BC133" s="208" t="s">
        <v>1970</v>
      </c>
      <c r="BD133" s="208" t="s">
        <v>1971</v>
      </c>
      <c r="BE133" s="208" t="s">
        <v>2022</v>
      </c>
      <c r="BF133" s="208" t="s">
        <v>1474</v>
      </c>
      <c r="BG133" s="208" t="b">
        <v>1</v>
      </c>
      <c r="BH133" s="208" t="b">
        <v>1</v>
      </c>
      <c r="BK133" s="208" t="b">
        <v>0</v>
      </c>
    </row>
    <row r="134" spans="2:63" hidden="1">
      <c r="B134" s="208">
        <v>15292</v>
      </c>
      <c r="C134" s="208" t="s">
        <v>1061</v>
      </c>
      <c r="D134" s="209">
        <v>78785</v>
      </c>
      <c r="E134" s="210">
        <v>204229.1</v>
      </c>
      <c r="F134" s="210">
        <v>138875.79</v>
      </c>
      <c r="H134" s="208" t="s">
        <v>17</v>
      </c>
      <c r="I134" s="208" t="s">
        <v>1467</v>
      </c>
      <c r="J134" s="208" t="s">
        <v>1468</v>
      </c>
      <c r="K134" s="208" t="s">
        <v>1469</v>
      </c>
      <c r="L134" s="208" t="s">
        <v>1470</v>
      </c>
      <c r="M134" s="208" t="s">
        <v>1668</v>
      </c>
      <c r="N134" s="208" t="s">
        <v>1471</v>
      </c>
      <c r="O134" s="208" t="s">
        <v>2116</v>
      </c>
      <c r="P134" s="208" t="s">
        <v>2101</v>
      </c>
      <c r="Q134" s="208" t="s">
        <v>2108</v>
      </c>
      <c r="R134" s="209" t="s">
        <v>1475</v>
      </c>
      <c r="S134" s="208" t="s">
        <v>2109</v>
      </c>
      <c r="T134" s="208" t="s">
        <v>1759</v>
      </c>
      <c r="U134" s="208" t="s">
        <v>2211</v>
      </c>
      <c r="V134" s="208" t="s">
        <v>2124</v>
      </c>
      <c r="W134" s="209" t="s">
        <v>2212</v>
      </c>
      <c r="X134" s="211">
        <f t="shared" si="2"/>
        <v>45036.426388888889</v>
      </c>
      <c r="Y134" s="208" t="s">
        <v>1481</v>
      </c>
      <c r="Z134" s="208" t="s">
        <v>1482</v>
      </c>
      <c r="AA134" s="208" t="s">
        <v>1483</v>
      </c>
      <c r="AB134" s="208" t="s">
        <v>1747</v>
      </c>
      <c r="AC134" s="208" t="s">
        <v>1748</v>
      </c>
      <c r="AE134" s="208">
        <v>74.760000000000005</v>
      </c>
      <c r="AF134" s="208">
        <v>102.92</v>
      </c>
      <c r="AG134" s="208" t="s">
        <v>1486</v>
      </c>
      <c r="AH134" s="208" t="s">
        <v>1487</v>
      </c>
      <c r="AI134" s="208" t="s">
        <v>1488</v>
      </c>
      <c r="AJ134" s="208" t="s">
        <v>1489</v>
      </c>
      <c r="AL134" s="208" t="s">
        <v>1490</v>
      </c>
      <c r="AM134" s="208" t="s">
        <v>1759</v>
      </c>
      <c r="AN134" s="208" t="s">
        <v>1492</v>
      </c>
      <c r="AO134" s="208" t="s">
        <v>1760</v>
      </c>
      <c r="AP134" s="208" t="s">
        <v>1494</v>
      </c>
      <c r="AQ134" s="208" t="s">
        <v>1902</v>
      </c>
      <c r="AR134" s="208" t="s">
        <v>1489</v>
      </c>
      <c r="AS134" s="208" t="s">
        <v>2122</v>
      </c>
      <c r="AT134" s="208" t="s">
        <v>2120</v>
      </c>
      <c r="AU134" s="208" t="s">
        <v>2211</v>
      </c>
      <c r="AV134" s="208" t="s">
        <v>2121</v>
      </c>
      <c r="AW134" s="208" t="s">
        <v>2211</v>
      </c>
      <c r="AX134" s="208" t="s">
        <v>2115</v>
      </c>
      <c r="AY134" s="208" t="s">
        <v>1902</v>
      </c>
      <c r="AZ134" s="208" t="s">
        <v>1489</v>
      </c>
      <c r="BA134" s="208" t="s">
        <v>2122</v>
      </c>
      <c r="BB134" s="208" t="s">
        <v>2109</v>
      </c>
      <c r="BC134" s="208" t="s">
        <v>2211</v>
      </c>
      <c r="BD134" s="208" t="s">
        <v>2124</v>
      </c>
      <c r="BE134" s="208" t="s">
        <v>2212</v>
      </c>
      <c r="BF134" s="208" t="s">
        <v>2108</v>
      </c>
      <c r="BH134" s="208" t="b">
        <v>0</v>
      </c>
      <c r="BK134" s="208" t="b">
        <v>0</v>
      </c>
    </row>
    <row r="135" spans="2:63" hidden="1">
      <c r="B135" s="208">
        <v>15292</v>
      </c>
      <c r="C135" s="208" t="s">
        <v>1061</v>
      </c>
      <c r="D135" s="209">
        <v>78785</v>
      </c>
      <c r="E135" s="210">
        <v>262215</v>
      </c>
      <c r="F135" s="210">
        <v>209772</v>
      </c>
      <c r="H135" s="208" t="s">
        <v>17</v>
      </c>
      <c r="I135" s="208" t="s">
        <v>1467</v>
      </c>
      <c r="J135" s="208" t="s">
        <v>1468</v>
      </c>
      <c r="K135" s="208" t="s">
        <v>1469</v>
      </c>
      <c r="L135" s="208" t="s">
        <v>1470</v>
      </c>
      <c r="M135" s="208" t="s">
        <v>2099</v>
      </c>
      <c r="N135" s="208" t="s">
        <v>1471</v>
      </c>
      <c r="O135" s="208" t="s">
        <v>2220</v>
      </c>
      <c r="Q135" s="208" t="s">
        <v>2108</v>
      </c>
      <c r="R135" s="209" t="s">
        <v>1475</v>
      </c>
      <c r="S135" s="208" t="s">
        <v>2230</v>
      </c>
      <c r="T135" s="208" t="s">
        <v>2289</v>
      </c>
      <c r="U135" s="208" t="s">
        <v>1637</v>
      </c>
      <c r="V135" s="208" t="s">
        <v>2065</v>
      </c>
      <c r="W135" s="209" t="s">
        <v>2065</v>
      </c>
      <c r="X135" s="211">
        <f t="shared" si="2"/>
        <v>44770.875</v>
      </c>
      <c r="Y135" s="208" t="s">
        <v>2226</v>
      </c>
      <c r="Z135" s="208" t="s">
        <v>1482</v>
      </c>
      <c r="AA135" s="208" t="s">
        <v>1483</v>
      </c>
      <c r="AB135" s="208" t="s">
        <v>2276</v>
      </c>
      <c r="AC135" s="208" t="s">
        <v>1601</v>
      </c>
      <c r="AD135" s="208">
        <v>0</v>
      </c>
      <c r="AE135" s="208">
        <v>74.75</v>
      </c>
      <c r="AF135" s="208">
        <v>0</v>
      </c>
      <c r="AG135" s="208" t="s">
        <v>1486</v>
      </c>
      <c r="AH135" s="208" t="s">
        <v>1487</v>
      </c>
      <c r="AI135" s="208" t="s">
        <v>1488</v>
      </c>
      <c r="AJ135" s="208" t="s">
        <v>1489</v>
      </c>
      <c r="AL135" s="208" t="s">
        <v>1635</v>
      </c>
      <c r="AM135" s="208" t="s">
        <v>1637</v>
      </c>
      <c r="AN135" s="208" t="s">
        <v>1637</v>
      </c>
      <c r="AO135" s="208" t="s">
        <v>1637</v>
      </c>
      <c r="AP135" s="208" t="s">
        <v>1638</v>
      </c>
      <c r="AQ135" s="208" t="s">
        <v>1902</v>
      </c>
      <c r="AT135" s="208" t="s">
        <v>2230</v>
      </c>
      <c r="AU135" s="208" t="s">
        <v>1637</v>
      </c>
      <c r="AV135" s="208" t="s">
        <v>2065</v>
      </c>
      <c r="AW135" s="208" t="s">
        <v>2065</v>
      </c>
      <c r="AX135" s="208" t="s">
        <v>2108</v>
      </c>
      <c r="AY135" s="208" t="s">
        <v>1902</v>
      </c>
      <c r="BB135" s="208" t="s">
        <v>2230</v>
      </c>
      <c r="BC135" s="208" t="s">
        <v>2065</v>
      </c>
      <c r="BD135" s="208" t="s">
        <v>2065</v>
      </c>
      <c r="BE135" s="208" t="s">
        <v>2065</v>
      </c>
      <c r="BF135" s="208" t="s">
        <v>2108</v>
      </c>
      <c r="BH135" s="208" t="b">
        <v>0</v>
      </c>
      <c r="BK135" s="208" t="b">
        <v>0</v>
      </c>
    </row>
    <row r="136" spans="2:63" hidden="1">
      <c r="B136" s="208">
        <v>15292</v>
      </c>
      <c r="C136" s="208" t="s">
        <v>1061</v>
      </c>
      <c r="D136" s="209">
        <v>78786</v>
      </c>
      <c r="E136" s="210">
        <v>184000</v>
      </c>
      <c r="F136" s="210">
        <v>142000</v>
      </c>
      <c r="H136" s="208" t="s">
        <v>17</v>
      </c>
      <c r="I136" s="208" t="s">
        <v>1467</v>
      </c>
      <c r="J136" s="208" t="s">
        <v>1468</v>
      </c>
      <c r="K136" s="208" t="s">
        <v>1469</v>
      </c>
      <c r="L136" s="208" t="s">
        <v>1470</v>
      </c>
      <c r="M136" s="208" t="s">
        <v>21</v>
      </c>
      <c r="N136" s="208" t="s">
        <v>1471</v>
      </c>
      <c r="O136" s="208" t="s">
        <v>1547</v>
      </c>
      <c r="P136" s="208" t="s">
        <v>1473</v>
      </c>
      <c r="Q136" s="208" t="s">
        <v>1474</v>
      </c>
      <c r="R136" s="209" t="s">
        <v>1475</v>
      </c>
      <c r="S136" s="208" t="s">
        <v>1736</v>
      </c>
      <c r="T136" s="208" t="s">
        <v>1751</v>
      </c>
      <c r="U136" s="208" t="s">
        <v>1752</v>
      </c>
      <c r="V136" s="208" t="s">
        <v>1739</v>
      </c>
      <c r="W136" s="209" t="s">
        <v>1753</v>
      </c>
      <c r="X136" s="211">
        <f t="shared" si="2"/>
        <v>45846.57708333333</v>
      </c>
      <c r="Y136" s="208" t="s">
        <v>1481</v>
      </c>
      <c r="Z136" s="208" t="s">
        <v>1482</v>
      </c>
      <c r="AA136" s="208" t="s">
        <v>1483</v>
      </c>
      <c r="AB136" s="208" t="s">
        <v>1747</v>
      </c>
      <c r="AC136" s="208" t="s">
        <v>1748</v>
      </c>
      <c r="AD136" s="208">
        <v>102.92</v>
      </c>
      <c r="AE136" s="208">
        <v>74.760000000000005</v>
      </c>
      <c r="AG136" s="208" t="s">
        <v>1486</v>
      </c>
      <c r="AH136" s="208" t="s">
        <v>1487</v>
      </c>
      <c r="AI136" s="208" t="s">
        <v>1488</v>
      </c>
      <c r="AJ136" s="208" t="s">
        <v>1489</v>
      </c>
      <c r="AL136" s="208" t="s">
        <v>1490</v>
      </c>
      <c r="AM136" s="208" t="s">
        <v>1754</v>
      </c>
      <c r="AN136" s="208" t="s">
        <v>1492</v>
      </c>
      <c r="AO136" s="208" t="s">
        <v>1755</v>
      </c>
      <c r="AP136" s="208" t="s">
        <v>1494</v>
      </c>
      <c r="AT136" s="208" t="s">
        <v>1565</v>
      </c>
      <c r="AU136" s="208" t="s">
        <v>1752</v>
      </c>
      <c r="AV136" s="208" t="s">
        <v>1743</v>
      </c>
      <c r="AW136" s="208" t="s">
        <v>1752</v>
      </c>
      <c r="AX136" s="208" t="s">
        <v>1572</v>
      </c>
      <c r="BB136" s="208" t="s">
        <v>1736</v>
      </c>
      <c r="BC136" s="208" t="s">
        <v>1752</v>
      </c>
      <c r="BD136" s="208" t="s">
        <v>1739</v>
      </c>
      <c r="BE136" s="208" t="s">
        <v>1753</v>
      </c>
      <c r="BF136" s="208" t="s">
        <v>1474</v>
      </c>
      <c r="BH136" s="208" t="b">
        <v>0</v>
      </c>
      <c r="BK136" s="208" t="b">
        <v>0</v>
      </c>
    </row>
    <row r="137" spans="2:63" hidden="1">
      <c r="B137" s="208">
        <v>15292</v>
      </c>
      <c r="C137" s="208" t="s">
        <v>1061</v>
      </c>
      <c r="D137" s="209">
        <v>78786</v>
      </c>
      <c r="E137" s="210">
        <v>200000</v>
      </c>
      <c r="F137" s="210">
        <v>154000</v>
      </c>
      <c r="H137" s="208" t="s">
        <v>17</v>
      </c>
      <c r="I137" s="208" t="s">
        <v>1467</v>
      </c>
      <c r="J137" s="208" t="s">
        <v>1468</v>
      </c>
      <c r="K137" s="208" t="s">
        <v>1469</v>
      </c>
      <c r="L137" s="208" t="s">
        <v>1470</v>
      </c>
      <c r="M137" s="208" t="s">
        <v>21</v>
      </c>
      <c r="N137" s="208" t="s">
        <v>1471</v>
      </c>
      <c r="O137" s="208" t="s">
        <v>1904</v>
      </c>
      <c r="P137" s="208" t="s">
        <v>1626</v>
      </c>
      <c r="Q137" s="208" t="s">
        <v>1474</v>
      </c>
      <c r="R137" s="209" t="s">
        <v>1475</v>
      </c>
      <c r="S137" s="208" t="s">
        <v>1864</v>
      </c>
      <c r="T137" s="208" t="s">
        <v>1965</v>
      </c>
      <c r="U137" s="208" t="s">
        <v>2036</v>
      </c>
      <c r="V137" s="208" t="s">
        <v>2037</v>
      </c>
      <c r="W137" s="209" t="s">
        <v>2044</v>
      </c>
      <c r="X137" s="211">
        <f t="shared" si="2"/>
        <v>45219.748611111114</v>
      </c>
      <c r="Y137" s="208" t="s">
        <v>1481</v>
      </c>
      <c r="Z137" s="208" t="s">
        <v>1524</v>
      </c>
      <c r="AA137" s="208" t="s">
        <v>1483</v>
      </c>
      <c r="AB137" s="208" t="s">
        <v>1747</v>
      </c>
      <c r="AC137" s="208" t="s">
        <v>1748</v>
      </c>
      <c r="AD137" s="208">
        <v>102.92</v>
      </c>
      <c r="AE137" s="208">
        <v>74.760000000000005</v>
      </c>
      <c r="AG137" s="208" t="s">
        <v>1486</v>
      </c>
      <c r="AH137" s="208" t="s">
        <v>1487</v>
      </c>
      <c r="AI137" s="208" t="s">
        <v>1488</v>
      </c>
      <c r="AJ137" s="208" t="s">
        <v>1489</v>
      </c>
      <c r="AL137" s="208" t="s">
        <v>1490</v>
      </c>
      <c r="AM137" s="208" t="s">
        <v>1754</v>
      </c>
      <c r="AN137" s="208" t="s">
        <v>1492</v>
      </c>
      <c r="AO137" s="208" t="s">
        <v>1755</v>
      </c>
      <c r="AP137" s="208" t="s">
        <v>1494</v>
      </c>
      <c r="AT137" s="208" t="s">
        <v>1905</v>
      </c>
      <c r="AU137" s="208" t="s">
        <v>2036</v>
      </c>
      <c r="AV137" s="208" t="s">
        <v>2039</v>
      </c>
      <c r="AW137" s="208" t="s">
        <v>2045</v>
      </c>
      <c r="AX137" s="208" t="s">
        <v>1872</v>
      </c>
      <c r="BB137" s="208" t="s">
        <v>1864</v>
      </c>
      <c r="BC137" s="208" t="s">
        <v>2036</v>
      </c>
      <c r="BD137" s="208" t="s">
        <v>2037</v>
      </c>
      <c r="BE137" s="208" t="s">
        <v>2044</v>
      </c>
      <c r="BF137" s="208" t="s">
        <v>1474</v>
      </c>
      <c r="BG137" s="208" t="b">
        <v>1</v>
      </c>
      <c r="BH137" s="208" t="b">
        <v>1</v>
      </c>
      <c r="BK137" s="208" t="b">
        <v>0</v>
      </c>
    </row>
    <row r="138" spans="2:63" hidden="1">
      <c r="B138" s="208">
        <v>15292</v>
      </c>
      <c r="C138" s="208" t="s">
        <v>1061</v>
      </c>
      <c r="D138" s="209">
        <v>78786</v>
      </c>
      <c r="E138" s="210">
        <v>204229.51</v>
      </c>
      <c r="F138" s="210">
        <v>138876.07</v>
      </c>
      <c r="H138" s="208" t="s">
        <v>17</v>
      </c>
      <c r="I138" s="208" t="s">
        <v>1467</v>
      </c>
      <c r="J138" s="208" t="s">
        <v>1468</v>
      </c>
      <c r="K138" s="208" t="s">
        <v>1469</v>
      </c>
      <c r="L138" s="208" t="s">
        <v>1470</v>
      </c>
      <c r="M138" s="208" t="s">
        <v>1668</v>
      </c>
      <c r="N138" s="208" t="s">
        <v>1471</v>
      </c>
      <c r="O138" s="208" t="s">
        <v>2116</v>
      </c>
      <c r="P138" s="208" t="s">
        <v>2101</v>
      </c>
      <c r="Q138" s="208" t="s">
        <v>2108</v>
      </c>
      <c r="R138" s="209" t="s">
        <v>1475</v>
      </c>
      <c r="S138" s="208" t="s">
        <v>2109</v>
      </c>
      <c r="T138" s="208" t="s">
        <v>1754</v>
      </c>
      <c r="U138" s="208" t="s">
        <v>2211</v>
      </c>
      <c r="V138" s="208" t="s">
        <v>2124</v>
      </c>
      <c r="W138" s="209" t="s">
        <v>2212</v>
      </c>
      <c r="X138" s="211">
        <f t="shared" si="2"/>
        <v>45036.426388888889</v>
      </c>
      <c r="Y138" s="208" t="s">
        <v>1481</v>
      </c>
      <c r="Z138" s="208" t="s">
        <v>1482</v>
      </c>
      <c r="AA138" s="208" t="s">
        <v>1483</v>
      </c>
      <c r="AB138" s="208" t="s">
        <v>1747</v>
      </c>
      <c r="AC138" s="208" t="s">
        <v>1748</v>
      </c>
      <c r="AD138" s="208">
        <v>102.92</v>
      </c>
      <c r="AE138" s="208">
        <v>74.760000000000005</v>
      </c>
      <c r="AG138" s="208" t="s">
        <v>1486</v>
      </c>
      <c r="AH138" s="208" t="s">
        <v>1487</v>
      </c>
      <c r="AI138" s="208" t="s">
        <v>1488</v>
      </c>
      <c r="AJ138" s="208" t="s">
        <v>1489</v>
      </c>
      <c r="AL138" s="208" t="s">
        <v>1490</v>
      </c>
      <c r="AM138" s="208" t="s">
        <v>1754</v>
      </c>
      <c r="AN138" s="208" t="s">
        <v>1492</v>
      </c>
      <c r="AO138" s="208" t="s">
        <v>1755</v>
      </c>
      <c r="AP138" s="208" t="s">
        <v>1494</v>
      </c>
      <c r="AQ138" s="208" t="s">
        <v>1902</v>
      </c>
      <c r="AR138" s="208" t="s">
        <v>1489</v>
      </c>
      <c r="AS138" s="208" t="s">
        <v>2122</v>
      </c>
      <c r="AT138" s="208" t="s">
        <v>2120</v>
      </c>
      <c r="AU138" s="208" t="s">
        <v>2211</v>
      </c>
      <c r="AV138" s="208" t="s">
        <v>2121</v>
      </c>
      <c r="AW138" s="208" t="s">
        <v>2211</v>
      </c>
      <c r="AX138" s="208" t="s">
        <v>2115</v>
      </c>
      <c r="AY138" s="208" t="s">
        <v>1902</v>
      </c>
      <c r="AZ138" s="208" t="s">
        <v>1489</v>
      </c>
      <c r="BA138" s="208" t="s">
        <v>2122</v>
      </c>
      <c r="BB138" s="208" t="s">
        <v>2109</v>
      </c>
      <c r="BC138" s="208" t="s">
        <v>2211</v>
      </c>
      <c r="BD138" s="208" t="s">
        <v>2124</v>
      </c>
      <c r="BE138" s="208" t="s">
        <v>2212</v>
      </c>
      <c r="BF138" s="208" t="s">
        <v>2108</v>
      </c>
      <c r="BH138" s="208" t="b">
        <v>0</v>
      </c>
      <c r="BK138" s="208" t="b">
        <v>0</v>
      </c>
    </row>
    <row r="139" spans="2:63" hidden="1">
      <c r="B139" s="208">
        <v>15292</v>
      </c>
      <c r="C139" s="208" t="s">
        <v>1061</v>
      </c>
      <c r="D139" s="209">
        <v>78786</v>
      </c>
      <c r="E139" s="210">
        <v>262215</v>
      </c>
      <c r="F139" s="210">
        <v>209772</v>
      </c>
      <c r="H139" s="208" t="s">
        <v>17</v>
      </c>
      <c r="I139" s="208" t="s">
        <v>1467</v>
      </c>
      <c r="J139" s="208" t="s">
        <v>1468</v>
      </c>
      <c r="K139" s="208" t="s">
        <v>1469</v>
      </c>
      <c r="L139" s="208" t="s">
        <v>1470</v>
      </c>
      <c r="M139" s="208" t="s">
        <v>2099</v>
      </c>
      <c r="N139" s="208" t="s">
        <v>1471</v>
      </c>
      <c r="O139" s="208" t="s">
        <v>2220</v>
      </c>
      <c r="Q139" s="208" t="s">
        <v>2108</v>
      </c>
      <c r="R139" s="209" t="s">
        <v>1475</v>
      </c>
      <c r="S139" s="208" t="s">
        <v>2230</v>
      </c>
      <c r="T139" s="208" t="s">
        <v>2297</v>
      </c>
      <c r="U139" s="208" t="s">
        <v>1637</v>
      </c>
      <c r="V139" s="208" t="s">
        <v>2065</v>
      </c>
      <c r="W139" s="209" t="s">
        <v>2065</v>
      </c>
      <c r="X139" s="211">
        <f t="shared" si="2"/>
        <v>44770.875</v>
      </c>
      <c r="Y139" s="208" t="s">
        <v>2226</v>
      </c>
      <c r="Z139" s="208" t="s">
        <v>1482</v>
      </c>
      <c r="AA139" s="208" t="s">
        <v>1483</v>
      </c>
      <c r="AB139" s="208" t="s">
        <v>2276</v>
      </c>
      <c r="AC139" s="208" t="s">
        <v>1601</v>
      </c>
      <c r="AD139" s="208">
        <v>0</v>
      </c>
      <c r="AE139" s="208">
        <v>74.75</v>
      </c>
      <c r="AF139" s="208">
        <v>0</v>
      </c>
      <c r="AG139" s="208" t="s">
        <v>1486</v>
      </c>
      <c r="AH139" s="208" t="s">
        <v>1487</v>
      </c>
      <c r="AI139" s="208" t="s">
        <v>1488</v>
      </c>
      <c r="AJ139" s="208" t="s">
        <v>1489</v>
      </c>
      <c r="AL139" s="208" t="s">
        <v>1635</v>
      </c>
      <c r="AM139" s="208" t="s">
        <v>1637</v>
      </c>
      <c r="AN139" s="208" t="s">
        <v>1637</v>
      </c>
      <c r="AO139" s="208" t="s">
        <v>1637</v>
      </c>
      <c r="AP139" s="208" t="s">
        <v>1638</v>
      </c>
      <c r="AQ139" s="208" t="s">
        <v>1902</v>
      </c>
      <c r="AS139" s="208" t="s">
        <v>1564</v>
      </c>
      <c r="AT139" s="208" t="s">
        <v>2230</v>
      </c>
      <c r="AU139" s="208" t="s">
        <v>1637</v>
      </c>
      <c r="AV139" s="208" t="s">
        <v>2065</v>
      </c>
      <c r="AW139" s="208" t="s">
        <v>2065</v>
      </c>
      <c r="AX139" s="208" t="s">
        <v>2108</v>
      </c>
      <c r="AY139" s="208" t="s">
        <v>1902</v>
      </c>
      <c r="BB139" s="208" t="s">
        <v>2230</v>
      </c>
      <c r="BC139" s="208" t="s">
        <v>2065</v>
      </c>
      <c r="BD139" s="208" t="s">
        <v>2065</v>
      </c>
      <c r="BE139" s="208" t="s">
        <v>2065</v>
      </c>
      <c r="BF139" s="208" t="s">
        <v>2108</v>
      </c>
      <c r="BH139" s="208" t="b">
        <v>0</v>
      </c>
      <c r="BK139" s="208" t="b">
        <v>0</v>
      </c>
    </row>
    <row r="140" spans="2:63" hidden="1">
      <c r="B140" s="208">
        <v>15292</v>
      </c>
      <c r="C140" s="208" t="s">
        <v>1061</v>
      </c>
      <c r="D140" s="209">
        <v>78786</v>
      </c>
      <c r="E140" s="210">
        <v>470279</v>
      </c>
      <c r="F140" s="210">
        <v>399737</v>
      </c>
      <c r="H140" s="208" t="s">
        <v>17</v>
      </c>
      <c r="I140" s="208" t="s">
        <v>2142</v>
      </c>
      <c r="J140" s="208" t="s">
        <v>1468</v>
      </c>
      <c r="K140" s="208" t="s">
        <v>1469</v>
      </c>
      <c r="L140" s="208" t="s">
        <v>1685</v>
      </c>
      <c r="M140" s="208" t="s">
        <v>2099</v>
      </c>
      <c r="N140" s="208" t="s">
        <v>1471</v>
      </c>
      <c r="O140" s="208" t="s">
        <v>2220</v>
      </c>
      <c r="Q140" s="208" t="s">
        <v>2235</v>
      </c>
      <c r="R140" s="209" t="s">
        <v>1475</v>
      </c>
      <c r="S140" s="208" t="s">
        <v>2222</v>
      </c>
      <c r="T140" s="208" t="s">
        <v>2335</v>
      </c>
      <c r="U140" s="208" t="s">
        <v>1519</v>
      </c>
      <c r="V140" s="208" t="s">
        <v>2224</v>
      </c>
      <c r="W140" s="209" t="s">
        <v>2267</v>
      </c>
      <c r="X140" s="211">
        <f t="shared" si="2"/>
        <v>44718.875</v>
      </c>
      <c r="Y140" s="208" t="s">
        <v>2226</v>
      </c>
      <c r="Z140" s="208" t="s">
        <v>1482</v>
      </c>
      <c r="AA140" s="208" t="s">
        <v>1483</v>
      </c>
      <c r="AB140" s="208" t="s">
        <v>2336</v>
      </c>
      <c r="AC140" s="208" t="s">
        <v>2337</v>
      </c>
      <c r="AF140" s="208">
        <v>3000</v>
      </c>
      <c r="AG140" s="208" t="s">
        <v>1486</v>
      </c>
      <c r="AH140" s="208" t="s">
        <v>1487</v>
      </c>
      <c r="AI140" s="208" t="s">
        <v>1488</v>
      </c>
      <c r="AJ140" s="208" t="s">
        <v>1489</v>
      </c>
      <c r="AL140" s="208" t="s">
        <v>1517</v>
      </c>
      <c r="AM140" s="208" t="s">
        <v>1519</v>
      </c>
      <c r="AN140" s="208" t="s">
        <v>1519</v>
      </c>
      <c r="AO140" s="208" t="s">
        <v>1624</v>
      </c>
      <c r="AP140" s="208" t="s">
        <v>1521</v>
      </c>
      <c r="AQ140" s="208" t="s">
        <v>1902</v>
      </c>
      <c r="AS140" s="208" t="s">
        <v>1564</v>
      </c>
      <c r="AT140" s="208" t="s">
        <v>2222</v>
      </c>
      <c r="AU140" s="208" t="s">
        <v>1519</v>
      </c>
      <c r="AV140" s="208" t="s">
        <v>2224</v>
      </c>
      <c r="AW140" s="208" t="s">
        <v>2267</v>
      </c>
      <c r="AX140" s="208" t="s">
        <v>2235</v>
      </c>
      <c r="AY140" s="208" t="s">
        <v>1902</v>
      </c>
      <c r="BB140" s="208" t="s">
        <v>2222</v>
      </c>
      <c r="BC140" s="208" t="s">
        <v>2267</v>
      </c>
      <c r="BD140" s="208" t="s">
        <v>2224</v>
      </c>
      <c r="BE140" s="208" t="s">
        <v>2239</v>
      </c>
      <c r="BF140" s="208" t="s">
        <v>2240</v>
      </c>
      <c r="BH140" s="208" t="b">
        <v>0</v>
      </c>
      <c r="BK140" s="208" t="b">
        <v>0</v>
      </c>
    </row>
    <row r="141" spans="2:63" hidden="1">
      <c r="B141" s="208">
        <v>15292</v>
      </c>
      <c r="C141" s="208" t="s">
        <v>1061</v>
      </c>
      <c r="D141" s="209">
        <v>78787</v>
      </c>
      <c r="E141" s="210">
        <v>184000</v>
      </c>
      <c r="F141" s="210">
        <v>142000</v>
      </c>
      <c r="H141" s="208" t="s">
        <v>17</v>
      </c>
      <c r="I141" s="208" t="s">
        <v>1467</v>
      </c>
      <c r="J141" s="208" t="s">
        <v>1468</v>
      </c>
      <c r="K141" s="208" t="s">
        <v>1469</v>
      </c>
      <c r="L141" s="208" t="s">
        <v>1470</v>
      </c>
      <c r="M141" s="208" t="s">
        <v>21</v>
      </c>
      <c r="N141" s="208" t="s">
        <v>1471</v>
      </c>
      <c r="O141" s="208" t="s">
        <v>1547</v>
      </c>
      <c r="P141" s="208" t="s">
        <v>1473</v>
      </c>
      <c r="Q141" s="208" t="s">
        <v>1474</v>
      </c>
      <c r="R141" s="209" t="s">
        <v>1475</v>
      </c>
      <c r="S141" s="208" t="s">
        <v>1736</v>
      </c>
      <c r="T141" s="208" t="s">
        <v>1744</v>
      </c>
      <c r="U141" s="208" t="s">
        <v>1745</v>
      </c>
      <c r="V141" s="208" t="s">
        <v>1739</v>
      </c>
      <c r="W141" s="209" t="s">
        <v>1746</v>
      </c>
      <c r="X141" s="211">
        <f t="shared" si="2"/>
        <v>45846.595833333333</v>
      </c>
      <c r="Y141" s="208" t="s">
        <v>1481</v>
      </c>
      <c r="Z141" s="208" t="s">
        <v>1482</v>
      </c>
      <c r="AA141" s="208" t="s">
        <v>1483</v>
      </c>
      <c r="AB141" s="208" t="s">
        <v>1747</v>
      </c>
      <c r="AC141" s="208" t="s">
        <v>1748</v>
      </c>
      <c r="AD141" s="208">
        <v>102.92</v>
      </c>
      <c r="AE141" s="208">
        <v>74.760000000000005</v>
      </c>
      <c r="AG141" s="208" t="s">
        <v>1486</v>
      </c>
      <c r="AH141" s="208" t="s">
        <v>1487</v>
      </c>
      <c r="AI141" s="208" t="s">
        <v>1488</v>
      </c>
      <c r="AJ141" s="208" t="s">
        <v>1489</v>
      </c>
      <c r="AL141" s="208" t="s">
        <v>1490</v>
      </c>
      <c r="AM141" s="208" t="s">
        <v>1749</v>
      </c>
      <c r="AN141" s="208" t="s">
        <v>1492</v>
      </c>
      <c r="AO141" s="208" t="s">
        <v>1750</v>
      </c>
      <c r="AP141" s="208" t="s">
        <v>1494</v>
      </c>
      <c r="AT141" s="208" t="s">
        <v>1565</v>
      </c>
      <c r="AU141" s="208" t="s">
        <v>1745</v>
      </c>
      <c r="AV141" s="208" t="s">
        <v>1714</v>
      </c>
      <c r="AW141" s="208" t="s">
        <v>1745</v>
      </c>
      <c r="AX141" s="208" t="s">
        <v>1572</v>
      </c>
      <c r="BB141" s="208" t="s">
        <v>1736</v>
      </c>
      <c r="BC141" s="208" t="s">
        <v>1745</v>
      </c>
      <c r="BD141" s="208" t="s">
        <v>1739</v>
      </c>
      <c r="BE141" s="208" t="s">
        <v>1746</v>
      </c>
      <c r="BF141" s="208" t="s">
        <v>1474</v>
      </c>
      <c r="BH141" s="208" t="b">
        <v>0</v>
      </c>
      <c r="BK141" s="208" t="b">
        <v>0</v>
      </c>
    </row>
    <row r="142" spans="2:63" hidden="1">
      <c r="B142" s="208">
        <v>15292</v>
      </c>
      <c r="C142" s="208" t="s">
        <v>1061</v>
      </c>
      <c r="D142" s="209">
        <v>78787</v>
      </c>
      <c r="E142" s="210">
        <v>200000</v>
      </c>
      <c r="F142" s="210">
        <v>154000</v>
      </c>
      <c r="H142" s="208" t="s">
        <v>17</v>
      </c>
      <c r="I142" s="208" t="s">
        <v>1467</v>
      </c>
      <c r="J142" s="208" t="s">
        <v>1468</v>
      </c>
      <c r="K142" s="208" t="s">
        <v>1469</v>
      </c>
      <c r="L142" s="208" t="s">
        <v>1470</v>
      </c>
      <c r="M142" s="208" t="s">
        <v>21</v>
      </c>
      <c r="N142" s="208" t="s">
        <v>1471</v>
      </c>
      <c r="O142" s="208" t="s">
        <v>1904</v>
      </c>
      <c r="P142" s="208" t="s">
        <v>1626</v>
      </c>
      <c r="Q142" s="208" t="s">
        <v>1474</v>
      </c>
      <c r="R142" s="209" t="s">
        <v>1475</v>
      </c>
      <c r="S142" s="208" t="s">
        <v>1864</v>
      </c>
      <c r="T142" s="208" t="s">
        <v>1965</v>
      </c>
      <c r="U142" s="208" t="s">
        <v>2036</v>
      </c>
      <c r="V142" s="208" t="s">
        <v>2037</v>
      </c>
      <c r="W142" s="209" t="s">
        <v>2038</v>
      </c>
      <c r="X142" s="211">
        <f t="shared" si="2"/>
        <v>45219.750694444447</v>
      </c>
      <c r="Y142" s="208" t="s">
        <v>1481</v>
      </c>
      <c r="Z142" s="208" t="s">
        <v>1524</v>
      </c>
      <c r="AA142" s="208" t="s">
        <v>1483</v>
      </c>
      <c r="AB142" s="208" t="s">
        <v>1747</v>
      </c>
      <c r="AC142" s="208" t="s">
        <v>1748</v>
      </c>
      <c r="AD142" s="208">
        <v>102.92</v>
      </c>
      <c r="AE142" s="208">
        <v>74.760000000000005</v>
      </c>
      <c r="AG142" s="208" t="s">
        <v>1486</v>
      </c>
      <c r="AH142" s="208" t="s">
        <v>1487</v>
      </c>
      <c r="AI142" s="208" t="s">
        <v>1488</v>
      </c>
      <c r="AJ142" s="208" t="s">
        <v>1489</v>
      </c>
      <c r="AL142" s="208" t="s">
        <v>1490</v>
      </c>
      <c r="AM142" s="208" t="s">
        <v>1749</v>
      </c>
      <c r="AN142" s="208" t="s">
        <v>1492</v>
      </c>
      <c r="AO142" s="208" t="s">
        <v>1750</v>
      </c>
      <c r="AP142" s="208" t="s">
        <v>1494</v>
      </c>
      <c r="AT142" s="208" t="s">
        <v>1905</v>
      </c>
      <c r="AU142" s="208" t="s">
        <v>2036</v>
      </c>
      <c r="AV142" s="208" t="s">
        <v>2039</v>
      </c>
      <c r="AW142" s="208" t="s">
        <v>2040</v>
      </c>
      <c r="AX142" s="208" t="s">
        <v>1872</v>
      </c>
      <c r="BB142" s="208" t="s">
        <v>1864</v>
      </c>
      <c r="BC142" s="208" t="s">
        <v>2036</v>
      </c>
      <c r="BD142" s="208" t="s">
        <v>2037</v>
      </c>
      <c r="BE142" s="208" t="s">
        <v>2038</v>
      </c>
      <c r="BF142" s="208" t="s">
        <v>1474</v>
      </c>
      <c r="BG142" s="208" t="b">
        <v>1</v>
      </c>
      <c r="BH142" s="208" t="b">
        <v>1</v>
      </c>
      <c r="BK142" s="208" t="b">
        <v>0</v>
      </c>
    </row>
    <row r="143" spans="2:63" hidden="1">
      <c r="B143" s="208">
        <v>15292</v>
      </c>
      <c r="C143" s="208" t="s">
        <v>1061</v>
      </c>
      <c r="D143" s="209">
        <v>78787</v>
      </c>
      <c r="E143" s="210">
        <v>204229.51</v>
      </c>
      <c r="F143" s="210">
        <v>138876.07</v>
      </c>
      <c r="H143" s="208" t="s">
        <v>17</v>
      </c>
      <c r="I143" s="208" t="s">
        <v>1467</v>
      </c>
      <c r="J143" s="208" t="s">
        <v>1468</v>
      </c>
      <c r="K143" s="208" t="s">
        <v>1469</v>
      </c>
      <c r="L143" s="208" t="s">
        <v>1470</v>
      </c>
      <c r="M143" s="208" t="s">
        <v>1668</v>
      </c>
      <c r="N143" s="208" t="s">
        <v>1471</v>
      </c>
      <c r="O143" s="208" t="s">
        <v>2116</v>
      </c>
      <c r="P143" s="208" t="s">
        <v>2101</v>
      </c>
      <c r="Q143" s="208" t="s">
        <v>2108</v>
      </c>
      <c r="R143" s="209" t="s">
        <v>1475</v>
      </c>
      <c r="S143" s="208" t="s">
        <v>2109</v>
      </c>
      <c r="T143" s="208" t="s">
        <v>1749</v>
      </c>
      <c r="U143" s="208" t="s">
        <v>2211</v>
      </c>
      <c r="V143" s="208" t="s">
        <v>2124</v>
      </c>
      <c r="W143" s="209" t="s">
        <v>2217</v>
      </c>
      <c r="X143" s="211">
        <f t="shared" si="2"/>
        <v>45036.427083333336</v>
      </c>
      <c r="Y143" s="208" t="s">
        <v>1481</v>
      </c>
      <c r="Z143" s="208" t="s">
        <v>1482</v>
      </c>
      <c r="AA143" s="208" t="s">
        <v>1483</v>
      </c>
      <c r="AB143" s="208" t="s">
        <v>1747</v>
      </c>
      <c r="AC143" s="208" t="s">
        <v>1748</v>
      </c>
      <c r="AD143" s="208">
        <v>102.92</v>
      </c>
      <c r="AE143" s="208">
        <v>74.760000000000005</v>
      </c>
      <c r="AG143" s="208" t="s">
        <v>1486</v>
      </c>
      <c r="AH143" s="208" t="s">
        <v>1487</v>
      </c>
      <c r="AI143" s="208" t="s">
        <v>1488</v>
      </c>
      <c r="AJ143" s="208" t="s">
        <v>1489</v>
      </c>
      <c r="AL143" s="208" t="s">
        <v>1490</v>
      </c>
      <c r="AM143" s="208" t="s">
        <v>1749</v>
      </c>
      <c r="AN143" s="208" t="s">
        <v>1492</v>
      </c>
      <c r="AO143" s="208" t="s">
        <v>1750</v>
      </c>
      <c r="AP143" s="208" t="s">
        <v>1494</v>
      </c>
      <c r="AQ143" s="208" t="s">
        <v>1902</v>
      </c>
      <c r="AR143" s="208" t="s">
        <v>1489</v>
      </c>
      <c r="AS143" s="208" t="s">
        <v>2122</v>
      </c>
      <c r="AT143" s="208" t="s">
        <v>2120</v>
      </c>
      <c r="AU143" s="208" t="s">
        <v>2211</v>
      </c>
      <c r="AV143" s="208" t="s">
        <v>2121</v>
      </c>
      <c r="AW143" s="208" t="s">
        <v>2211</v>
      </c>
      <c r="AX143" s="208" t="s">
        <v>2115</v>
      </c>
      <c r="AY143" s="208" t="s">
        <v>1902</v>
      </c>
      <c r="AZ143" s="208" t="s">
        <v>1489</v>
      </c>
      <c r="BA143" s="208" t="s">
        <v>2122</v>
      </c>
      <c r="BB143" s="208" t="s">
        <v>2109</v>
      </c>
      <c r="BC143" s="208" t="s">
        <v>2211</v>
      </c>
      <c r="BD143" s="208" t="s">
        <v>2124</v>
      </c>
      <c r="BE143" s="208" t="s">
        <v>2217</v>
      </c>
      <c r="BF143" s="208" t="s">
        <v>2108</v>
      </c>
      <c r="BH143" s="208" t="b">
        <v>0</v>
      </c>
      <c r="BK143" s="208" t="b">
        <v>0</v>
      </c>
    </row>
    <row r="144" spans="2:63" hidden="1">
      <c r="B144" s="208">
        <v>15292</v>
      </c>
      <c r="C144" s="208" t="s">
        <v>1061</v>
      </c>
      <c r="D144" s="209">
        <v>78787</v>
      </c>
      <c r="E144" s="210">
        <v>262215</v>
      </c>
      <c r="F144" s="210">
        <v>209772</v>
      </c>
      <c r="H144" s="208" t="s">
        <v>17</v>
      </c>
      <c r="I144" s="208" t="s">
        <v>1467</v>
      </c>
      <c r="J144" s="208" t="s">
        <v>1468</v>
      </c>
      <c r="K144" s="208" t="s">
        <v>1469</v>
      </c>
      <c r="L144" s="208" t="s">
        <v>1470</v>
      </c>
      <c r="M144" s="208" t="s">
        <v>2099</v>
      </c>
      <c r="N144" s="208" t="s">
        <v>1471</v>
      </c>
      <c r="O144" s="208" t="s">
        <v>2220</v>
      </c>
      <c r="Q144" s="208" t="s">
        <v>2108</v>
      </c>
      <c r="R144" s="209" t="s">
        <v>1475</v>
      </c>
      <c r="S144" s="208" t="s">
        <v>2230</v>
      </c>
      <c r="T144" s="208" t="s">
        <v>2305</v>
      </c>
      <c r="U144" s="208" t="s">
        <v>1637</v>
      </c>
      <c r="V144" s="208" t="s">
        <v>2065</v>
      </c>
      <c r="W144" s="209" t="s">
        <v>2065</v>
      </c>
      <c r="X144" s="211">
        <f t="shared" si="2"/>
        <v>44770.875</v>
      </c>
      <c r="Y144" s="208" t="s">
        <v>2226</v>
      </c>
      <c r="Z144" s="208" t="s">
        <v>1482</v>
      </c>
      <c r="AA144" s="208" t="s">
        <v>1483</v>
      </c>
      <c r="AB144" s="208" t="s">
        <v>2276</v>
      </c>
      <c r="AC144" s="208" t="s">
        <v>1601</v>
      </c>
      <c r="AD144" s="208">
        <v>0</v>
      </c>
      <c r="AE144" s="208">
        <v>74.75</v>
      </c>
      <c r="AF144" s="208">
        <v>0</v>
      </c>
      <c r="AG144" s="208" t="s">
        <v>1486</v>
      </c>
      <c r="AH144" s="208" t="s">
        <v>1487</v>
      </c>
      <c r="AI144" s="208" t="s">
        <v>1488</v>
      </c>
      <c r="AJ144" s="208" t="s">
        <v>1489</v>
      </c>
      <c r="AL144" s="208" t="s">
        <v>1635</v>
      </c>
      <c r="AM144" s="208" t="s">
        <v>1637</v>
      </c>
      <c r="AN144" s="208" t="s">
        <v>1637</v>
      </c>
      <c r="AO144" s="208" t="s">
        <v>1637</v>
      </c>
      <c r="AP144" s="208" t="s">
        <v>1638</v>
      </c>
      <c r="AQ144" s="208" t="s">
        <v>1902</v>
      </c>
      <c r="AT144" s="208" t="s">
        <v>2230</v>
      </c>
      <c r="AU144" s="208" t="s">
        <v>1637</v>
      </c>
      <c r="AV144" s="208" t="s">
        <v>2065</v>
      </c>
      <c r="AW144" s="208" t="s">
        <v>2065</v>
      </c>
      <c r="AX144" s="208" t="s">
        <v>2108</v>
      </c>
      <c r="AY144" s="208" t="s">
        <v>1902</v>
      </c>
      <c r="BB144" s="208" t="s">
        <v>2230</v>
      </c>
      <c r="BC144" s="208" t="s">
        <v>2065</v>
      </c>
      <c r="BD144" s="208" t="s">
        <v>2065</v>
      </c>
      <c r="BE144" s="208" t="s">
        <v>2065</v>
      </c>
      <c r="BF144" s="208" t="s">
        <v>2108</v>
      </c>
      <c r="BH144" s="208" t="b">
        <v>0</v>
      </c>
      <c r="BK144" s="208" t="b">
        <v>0</v>
      </c>
    </row>
    <row r="145" spans="2:63" hidden="1">
      <c r="B145" s="208">
        <v>15292</v>
      </c>
      <c r="C145" s="208" t="s">
        <v>1061</v>
      </c>
      <c r="D145" s="209">
        <v>83398</v>
      </c>
      <c r="E145" s="210">
        <v>643000</v>
      </c>
      <c r="F145" s="210">
        <v>457000</v>
      </c>
      <c r="H145" s="208" t="s">
        <v>17</v>
      </c>
      <c r="I145" s="208" t="s">
        <v>1610</v>
      </c>
      <c r="J145" s="208" t="s">
        <v>1468</v>
      </c>
      <c r="K145" s="208" t="s">
        <v>1469</v>
      </c>
      <c r="L145" s="208" t="s">
        <v>1470</v>
      </c>
      <c r="M145" s="208" t="s">
        <v>21</v>
      </c>
      <c r="N145" s="208" t="s">
        <v>1471</v>
      </c>
      <c r="O145" s="208" t="s">
        <v>1472</v>
      </c>
      <c r="P145" s="208" t="s">
        <v>1473</v>
      </c>
      <c r="Q145" s="208" t="s">
        <v>1474</v>
      </c>
      <c r="R145" s="209" t="s">
        <v>1475</v>
      </c>
      <c r="S145" s="208" t="s">
        <v>1611</v>
      </c>
      <c r="T145" s="208" t="s">
        <v>1612</v>
      </c>
      <c r="U145" s="208" t="s">
        <v>1613</v>
      </c>
      <c r="V145" s="208" t="s">
        <v>1614</v>
      </c>
      <c r="W145" s="209" t="s">
        <v>1614</v>
      </c>
      <c r="X145" s="211">
        <f t="shared" si="2"/>
        <v>45888.642361111109</v>
      </c>
      <c r="Y145" s="208" t="s">
        <v>1481</v>
      </c>
      <c r="Z145" s="208" t="s">
        <v>1615</v>
      </c>
      <c r="AA145" s="208" t="s">
        <v>1483</v>
      </c>
      <c r="AB145" s="208" t="s">
        <v>1616</v>
      </c>
      <c r="AC145" s="208" t="s">
        <v>1485</v>
      </c>
      <c r="AD145" s="208">
        <v>436</v>
      </c>
      <c r="AF145" s="208">
        <v>579.6</v>
      </c>
      <c r="AG145" s="208" t="s">
        <v>1486</v>
      </c>
      <c r="AH145" s="208" t="s">
        <v>1487</v>
      </c>
      <c r="AI145" s="208" t="s">
        <v>1488</v>
      </c>
      <c r="AJ145" s="208" t="s">
        <v>1489</v>
      </c>
      <c r="AL145" s="208" t="s">
        <v>1490</v>
      </c>
      <c r="AM145" s="208" t="s">
        <v>1617</v>
      </c>
      <c r="AN145" s="208" t="s">
        <v>1492</v>
      </c>
      <c r="AO145" s="208" t="s">
        <v>1618</v>
      </c>
      <c r="AP145" s="208" t="s">
        <v>1494</v>
      </c>
      <c r="AT145" s="208" t="s">
        <v>1619</v>
      </c>
      <c r="AU145" s="208" t="s">
        <v>1613</v>
      </c>
      <c r="AV145" s="208" t="s">
        <v>1620</v>
      </c>
      <c r="AW145" s="208" t="s">
        <v>1613</v>
      </c>
      <c r="AX145" s="208" t="s">
        <v>1572</v>
      </c>
      <c r="BB145" s="208" t="s">
        <v>1611</v>
      </c>
      <c r="BC145" s="208" t="s">
        <v>1613</v>
      </c>
      <c r="BD145" s="208" t="s">
        <v>1614</v>
      </c>
      <c r="BE145" s="208" t="s">
        <v>1614</v>
      </c>
      <c r="BF145" s="208" t="s">
        <v>1474</v>
      </c>
      <c r="BH145" s="208" t="b">
        <v>0</v>
      </c>
      <c r="BK145" s="208" t="b">
        <v>0</v>
      </c>
    </row>
    <row r="146" spans="2:63" hidden="1">
      <c r="B146" s="208">
        <v>15292</v>
      </c>
      <c r="C146" s="208" t="s">
        <v>1061</v>
      </c>
      <c r="D146" s="209">
        <v>83398</v>
      </c>
      <c r="E146" s="210">
        <v>168000</v>
      </c>
      <c r="F146" s="210">
        <v>118000</v>
      </c>
      <c r="H146" s="208" t="s">
        <v>17</v>
      </c>
      <c r="I146" s="208" t="s">
        <v>1504</v>
      </c>
      <c r="J146" s="208" t="s">
        <v>1468</v>
      </c>
      <c r="K146" s="208" t="s">
        <v>1469</v>
      </c>
      <c r="L146" s="208" t="s">
        <v>1470</v>
      </c>
      <c r="M146" s="208" t="s">
        <v>21</v>
      </c>
      <c r="N146" s="208" t="s">
        <v>1471</v>
      </c>
      <c r="O146" s="208" t="s">
        <v>1547</v>
      </c>
      <c r="P146" s="208" t="s">
        <v>1473</v>
      </c>
      <c r="Q146" s="208" t="s">
        <v>1474</v>
      </c>
      <c r="R146" s="209" t="s">
        <v>1475</v>
      </c>
      <c r="S146" s="208" t="s">
        <v>1670</v>
      </c>
      <c r="T146" s="208" t="s">
        <v>1818</v>
      </c>
      <c r="U146" s="208" t="s">
        <v>1819</v>
      </c>
      <c r="V146" s="208" t="s">
        <v>1673</v>
      </c>
      <c r="W146" s="209" t="s">
        <v>1820</v>
      </c>
      <c r="X146" s="211">
        <f t="shared" si="2"/>
        <v>45848.46597222222</v>
      </c>
      <c r="Y146" s="208" t="s">
        <v>1481</v>
      </c>
      <c r="Z146" s="208" t="s">
        <v>1632</v>
      </c>
      <c r="AA146" s="208" t="s">
        <v>1483</v>
      </c>
      <c r="AB146" s="208" t="s">
        <v>1621</v>
      </c>
      <c r="AC146" s="208" t="s">
        <v>1622</v>
      </c>
      <c r="AD146" s="208">
        <v>108.56</v>
      </c>
      <c r="AF146" s="208">
        <v>165</v>
      </c>
      <c r="AG146" s="208" t="s">
        <v>1486</v>
      </c>
      <c r="AH146" s="208" t="s">
        <v>1487</v>
      </c>
      <c r="AI146" s="208" t="s">
        <v>1488</v>
      </c>
      <c r="AJ146" s="208" t="s">
        <v>1489</v>
      </c>
      <c r="AL146" s="208" t="s">
        <v>1517</v>
      </c>
      <c r="AM146" s="208" t="s">
        <v>1623</v>
      </c>
      <c r="AN146" s="208" t="s">
        <v>1519</v>
      </c>
      <c r="AO146" s="208" t="s">
        <v>1624</v>
      </c>
      <c r="AP146" s="208" t="s">
        <v>1521</v>
      </c>
      <c r="AT146" s="208" t="s">
        <v>1565</v>
      </c>
      <c r="AU146" s="208" t="s">
        <v>1819</v>
      </c>
      <c r="AV146" s="208" t="s">
        <v>1821</v>
      </c>
      <c r="AW146" s="208" t="s">
        <v>1819</v>
      </c>
      <c r="AX146" s="208" t="s">
        <v>1572</v>
      </c>
      <c r="BB146" s="208" t="s">
        <v>1670</v>
      </c>
      <c r="BC146" s="208" t="s">
        <v>1819</v>
      </c>
      <c r="BD146" s="208" t="s">
        <v>1673</v>
      </c>
      <c r="BE146" s="208" t="s">
        <v>1820</v>
      </c>
      <c r="BF146" s="208" t="s">
        <v>1474</v>
      </c>
      <c r="BH146" s="208" t="b">
        <v>0</v>
      </c>
      <c r="BK146" s="208" t="b">
        <v>0</v>
      </c>
    </row>
    <row r="147" spans="2:63" hidden="1">
      <c r="B147" s="208">
        <v>15292</v>
      </c>
      <c r="C147" s="208" t="s">
        <v>1061</v>
      </c>
      <c r="D147" s="209">
        <v>83398</v>
      </c>
      <c r="E147" s="210">
        <v>710900</v>
      </c>
      <c r="F147" s="210">
        <v>710900</v>
      </c>
      <c r="H147" s="208" t="s">
        <v>17</v>
      </c>
      <c r="I147" s="208" t="s">
        <v>1610</v>
      </c>
      <c r="J147" s="208" t="s">
        <v>1468</v>
      </c>
      <c r="K147" s="208" t="s">
        <v>1469</v>
      </c>
      <c r="L147" s="208" t="s">
        <v>1470</v>
      </c>
      <c r="M147" s="208" t="s">
        <v>21</v>
      </c>
      <c r="N147" s="208" t="s">
        <v>1471</v>
      </c>
      <c r="O147" s="208" t="s">
        <v>1904</v>
      </c>
      <c r="P147" s="208" t="s">
        <v>1626</v>
      </c>
      <c r="Q147" s="208" t="s">
        <v>1474</v>
      </c>
      <c r="R147" s="209" t="s">
        <v>1475</v>
      </c>
      <c r="S147" s="208" t="s">
        <v>2006</v>
      </c>
      <c r="T147" s="208" t="s">
        <v>1965</v>
      </c>
      <c r="U147" s="208" t="s">
        <v>2007</v>
      </c>
      <c r="V147" s="208" t="s">
        <v>2008</v>
      </c>
      <c r="W147" s="209" t="s">
        <v>2009</v>
      </c>
      <c r="X147" s="211">
        <f t="shared" si="2"/>
        <v>45112.568055555559</v>
      </c>
      <c r="Y147" s="208" t="s">
        <v>1481</v>
      </c>
      <c r="Z147" s="208" t="s">
        <v>1524</v>
      </c>
      <c r="AA147" s="208" t="s">
        <v>1483</v>
      </c>
      <c r="AB147" s="208" t="s">
        <v>1616</v>
      </c>
      <c r="AC147" s="208" t="s">
        <v>1485</v>
      </c>
      <c r="AD147" s="208">
        <v>400</v>
      </c>
      <c r="AF147" s="208">
        <v>763.6</v>
      </c>
      <c r="AG147" s="208" t="s">
        <v>1486</v>
      </c>
      <c r="AH147" s="208" t="s">
        <v>1487</v>
      </c>
      <c r="AI147" s="208" t="s">
        <v>1488</v>
      </c>
      <c r="AJ147" s="208" t="s">
        <v>1489</v>
      </c>
      <c r="AL147" s="208" t="s">
        <v>1490</v>
      </c>
      <c r="AM147" s="208" t="s">
        <v>1617</v>
      </c>
      <c r="AN147" s="208" t="s">
        <v>1492</v>
      </c>
      <c r="AO147" s="208" t="s">
        <v>1618</v>
      </c>
      <c r="AP147" s="208" t="s">
        <v>1494</v>
      </c>
      <c r="AT147" s="208" t="s">
        <v>1925</v>
      </c>
      <c r="AU147" s="208" t="s">
        <v>2007</v>
      </c>
      <c r="AV147" s="208" t="s">
        <v>2010</v>
      </c>
      <c r="AW147" s="208" t="s">
        <v>2011</v>
      </c>
      <c r="AX147" s="208" t="s">
        <v>1859</v>
      </c>
      <c r="BB147" s="208" t="s">
        <v>2006</v>
      </c>
      <c r="BC147" s="208" t="s">
        <v>2007</v>
      </c>
      <c r="BD147" s="208" t="s">
        <v>2008</v>
      </c>
      <c r="BE147" s="208" t="s">
        <v>2009</v>
      </c>
      <c r="BF147" s="208" t="s">
        <v>1474</v>
      </c>
      <c r="BH147" s="208" t="b">
        <v>0</v>
      </c>
      <c r="BK147" s="208" t="b">
        <v>0</v>
      </c>
    </row>
    <row r="148" spans="2:63" hidden="1">
      <c r="B148" s="208">
        <v>15292</v>
      </c>
      <c r="C148" s="208" t="s">
        <v>1061</v>
      </c>
      <c r="D148" s="209">
        <v>83398</v>
      </c>
      <c r="E148" s="210">
        <v>729195.65</v>
      </c>
      <c r="F148" s="210">
        <v>729195.65</v>
      </c>
      <c r="H148" s="208" t="s">
        <v>17</v>
      </c>
      <c r="I148" s="208" t="s">
        <v>1610</v>
      </c>
      <c r="J148" s="208" t="s">
        <v>1468</v>
      </c>
      <c r="K148" s="208" t="s">
        <v>1469</v>
      </c>
      <c r="L148" s="208" t="s">
        <v>1470</v>
      </c>
      <c r="M148" s="208" t="s">
        <v>1668</v>
      </c>
      <c r="N148" s="208" t="s">
        <v>1471</v>
      </c>
      <c r="O148" s="208" t="s">
        <v>2116</v>
      </c>
      <c r="P148" s="208" t="s">
        <v>2101</v>
      </c>
      <c r="Q148" s="208" t="s">
        <v>2108</v>
      </c>
      <c r="R148" s="209" t="s">
        <v>1475</v>
      </c>
      <c r="S148" s="208" t="s">
        <v>2109</v>
      </c>
      <c r="T148" s="208" t="s">
        <v>1617</v>
      </c>
      <c r="U148" s="208" t="s">
        <v>2218</v>
      </c>
      <c r="V148" s="208" t="s">
        <v>2111</v>
      </c>
      <c r="W148" s="209" t="s">
        <v>2219</v>
      </c>
      <c r="X148" s="211">
        <f t="shared" si="2"/>
        <v>45036.429166666669</v>
      </c>
      <c r="Y148" s="208" t="s">
        <v>1481</v>
      </c>
      <c r="Z148" s="208" t="s">
        <v>1482</v>
      </c>
      <c r="AA148" s="208" t="s">
        <v>1483</v>
      </c>
      <c r="AB148" s="208" t="s">
        <v>1616</v>
      </c>
      <c r="AC148" s="208" t="s">
        <v>1485</v>
      </c>
      <c r="AD148" s="208">
        <v>436</v>
      </c>
      <c r="AF148" s="208">
        <v>579.6</v>
      </c>
      <c r="AG148" s="208" t="s">
        <v>1486</v>
      </c>
      <c r="AH148" s="208" t="s">
        <v>1487</v>
      </c>
      <c r="AI148" s="208" t="s">
        <v>1488</v>
      </c>
      <c r="AJ148" s="208" t="s">
        <v>1489</v>
      </c>
      <c r="AL148" s="208" t="s">
        <v>1490</v>
      </c>
      <c r="AM148" s="208" t="s">
        <v>1617</v>
      </c>
      <c r="AN148" s="208" t="s">
        <v>1492</v>
      </c>
      <c r="AO148" s="208" t="s">
        <v>1618</v>
      </c>
      <c r="AP148" s="208" t="s">
        <v>1494</v>
      </c>
      <c r="AQ148" s="208" t="s">
        <v>1902</v>
      </c>
      <c r="AR148" s="208" t="s">
        <v>1489</v>
      </c>
      <c r="AS148" s="208" t="s">
        <v>1564</v>
      </c>
      <c r="AT148" s="208" t="s">
        <v>2113</v>
      </c>
      <c r="AU148" s="208" t="s">
        <v>2218</v>
      </c>
      <c r="AV148" s="208" t="s">
        <v>2114</v>
      </c>
      <c r="AW148" s="208" t="s">
        <v>2218</v>
      </c>
      <c r="AX148" s="208" t="s">
        <v>2115</v>
      </c>
      <c r="AY148" s="208" t="s">
        <v>1902</v>
      </c>
      <c r="AZ148" s="208" t="s">
        <v>1489</v>
      </c>
      <c r="BA148" s="208" t="s">
        <v>1564</v>
      </c>
      <c r="BB148" s="208" t="s">
        <v>2109</v>
      </c>
      <c r="BC148" s="208" t="s">
        <v>2218</v>
      </c>
      <c r="BD148" s="208" t="s">
        <v>2111</v>
      </c>
      <c r="BE148" s="208" t="s">
        <v>2219</v>
      </c>
      <c r="BF148" s="208" t="s">
        <v>2108</v>
      </c>
      <c r="BH148" s="208" t="b">
        <v>0</v>
      </c>
      <c r="BK148" s="208" t="b">
        <v>0</v>
      </c>
    </row>
    <row r="149" spans="2:63" hidden="1">
      <c r="B149" s="208">
        <v>15292</v>
      </c>
      <c r="C149" s="208" t="s">
        <v>1061</v>
      </c>
      <c r="D149" s="209">
        <v>83398</v>
      </c>
      <c r="E149" s="210">
        <v>634594</v>
      </c>
      <c r="F149" s="210">
        <v>444216</v>
      </c>
      <c r="H149" s="208" t="s">
        <v>17</v>
      </c>
      <c r="I149" s="208" t="s">
        <v>1610</v>
      </c>
      <c r="J149" s="208" t="s">
        <v>1468</v>
      </c>
      <c r="K149" s="208" t="s">
        <v>1469</v>
      </c>
      <c r="L149" s="208" t="s">
        <v>1470</v>
      </c>
      <c r="M149" s="208" t="s">
        <v>1668</v>
      </c>
      <c r="N149" s="208" t="s">
        <v>1471</v>
      </c>
      <c r="O149" s="208" t="s">
        <v>2220</v>
      </c>
      <c r="Q149" s="208" t="s">
        <v>2229</v>
      </c>
      <c r="R149" s="209" t="s">
        <v>1475</v>
      </c>
      <c r="S149" s="208" t="s">
        <v>2230</v>
      </c>
      <c r="T149" s="208" t="s">
        <v>2283</v>
      </c>
      <c r="U149" s="208" t="s">
        <v>1637</v>
      </c>
      <c r="V149" s="208" t="s">
        <v>2065</v>
      </c>
      <c r="W149" s="209" t="s">
        <v>2065</v>
      </c>
      <c r="X149" s="211">
        <f t="shared" si="2"/>
        <v>44770.875</v>
      </c>
      <c r="Y149" s="208" t="s">
        <v>2226</v>
      </c>
      <c r="Z149" s="208" t="s">
        <v>1482</v>
      </c>
      <c r="AA149" s="208" t="s">
        <v>1483</v>
      </c>
      <c r="AB149" s="208" t="s">
        <v>2284</v>
      </c>
      <c r="AC149" s="208" t="s">
        <v>1485</v>
      </c>
      <c r="AD149" s="208">
        <v>200</v>
      </c>
      <c r="AE149" s="208">
        <v>0</v>
      </c>
      <c r="AF149" s="208">
        <v>579.6</v>
      </c>
      <c r="AG149" s="208" t="s">
        <v>1486</v>
      </c>
      <c r="AH149" s="208" t="s">
        <v>1487</v>
      </c>
      <c r="AI149" s="208" t="s">
        <v>1488</v>
      </c>
      <c r="AJ149" s="208" t="s">
        <v>1489</v>
      </c>
      <c r="AL149" s="208" t="s">
        <v>1635</v>
      </c>
      <c r="AM149" s="208" t="s">
        <v>1637</v>
      </c>
      <c r="AN149" s="208" t="s">
        <v>1637</v>
      </c>
      <c r="AO149" s="208" t="s">
        <v>1637</v>
      </c>
      <c r="AP149" s="208" t="s">
        <v>1638</v>
      </c>
      <c r="AQ149" s="208" t="s">
        <v>1902</v>
      </c>
      <c r="AS149" s="208" t="s">
        <v>1564</v>
      </c>
      <c r="AT149" s="208" t="s">
        <v>2230</v>
      </c>
      <c r="AU149" s="208" t="s">
        <v>1637</v>
      </c>
      <c r="AV149" s="208" t="s">
        <v>2065</v>
      </c>
      <c r="AW149" s="208" t="s">
        <v>2065</v>
      </c>
      <c r="AX149" s="208" t="s">
        <v>2229</v>
      </c>
      <c r="AY149" s="208" t="s">
        <v>1902</v>
      </c>
      <c r="BB149" s="208" t="s">
        <v>2230</v>
      </c>
      <c r="BC149" s="208" t="s">
        <v>2065</v>
      </c>
      <c r="BD149" s="208" t="s">
        <v>2065</v>
      </c>
      <c r="BE149" s="208" t="s">
        <v>2233</v>
      </c>
      <c r="BF149" s="208" t="s">
        <v>2234</v>
      </c>
      <c r="BH149" s="208" t="b">
        <v>0</v>
      </c>
      <c r="BK149" s="208" t="b">
        <v>0</v>
      </c>
    </row>
    <row r="150" spans="2:63" hidden="1">
      <c r="B150" s="208">
        <v>15292</v>
      </c>
      <c r="C150" s="208" t="s">
        <v>1061</v>
      </c>
      <c r="D150" s="209">
        <v>83398</v>
      </c>
      <c r="E150" s="210">
        <v>222004</v>
      </c>
      <c r="F150" s="210">
        <v>159843</v>
      </c>
      <c r="H150" s="208" t="s">
        <v>17</v>
      </c>
      <c r="I150" s="208" t="s">
        <v>1504</v>
      </c>
      <c r="J150" s="208" t="s">
        <v>1468</v>
      </c>
      <c r="K150" s="208" t="s">
        <v>1469</v>
      </c>
      <c r="L150" s="208" t="s">
        <v>1470</v>
      </c>
      <c r="M150" s="208" t="s">
        <v>1668</v>
      </c>
      <c r="N150" s="208" t="s">
        <v>1471</v>
      </c>
      <c r="O150" s="208" t="s">
        <v>2220</v>
      </c>
      <c r="Q150" s="208" t="s">
        <v>2235</v>
      </c>
      <c r="R150" s="209" t="s">
        <v>1475</v>
      </c>
      <c r="S150" s="208" t="s">
        <v>2222</v>
      </c>
      <c r="T150" s="208" t="s">
        <v>2282</v>
      </c>
      <c r="U150" s="208" t="s">
        <v>1519</v>
      </c>
      <c r="V150" s="208" t="s">
        <v>2237</v>
      </c>
      <c r="W150" s="209" t="s">
        <v>2238</v>
      </c>
      <c r="X150" s="211">
        <f t="shared" si="2"/>
        <v>44728.875</v>
      </c>
      <c r="Y150" s="208" t="s">
        <v>2226</v>
      </c>
      <c r="Z150" s="208" t="s">
        <v>1482</v>
      </c>
      <c r="AA150" s="208" t="s">
        <v>1483</v>
      </c>
      <c r="AB150" s="208" t="s">
        <v>1621</v>
      </c>
      <c r="AC150" s="208" t="s">
        <v>1622</v>
      </c>
      <c r="AD150" s="208">
        <v>80</v>
      </c>
      <c r="AE150" s="208">
        <v>0</v>
      </c>
      <c r="AF150" s="208">
        <v>165</v>
      </c>
      <c r="AG150" s="208" t="s">
        <v>1486</v>
      </c>
      <c r="AH150" s="208" t="s">
        <v>1487</v>
      </c>
      <c r="AI150" s="208" t="s">
        <v>1488</v>
      </c>
      <c r="AJ150" s="208" t="s">
        <v>1489</v>
      </c>
      <c r="AL150" s="208" t="s">
        <v>1517</v>
      </c>
      <c r="AM150" s="208" t="s">
        <v>1519</v>
      </c>
      <c r="AN150" s="208" t="s">
        <v>1519</v>
      </c>
      <c r="AO150" s="208" t="s">
        <v>1624</v>
      </c>
      <c r="AP150" s="208" t="s">
        <v>1521</v>
      </c>
      <c r="AQ150" s="208" t="s">
        <v>1902</v>
      </c>
      <c r="AS150" s="208" t="s">
        <v>1564</v>
      </c>
      <c r="AT150" s="208" t="s">
        <v>2222</v>
      </c>
      <c r="AU150" s="208" t="s">
        <v>1519</v>
      </c>
      <c r="AV150" s="208" t="s">
        <v>2237</v>
      </c>
      <c r="AW150" s="208" t="s">
        <v>2238</v>
      </c>
      <c r="AX150" s="208" t="s">
        <v>2235</v>
      </c>
      <c r="AY150" s="208" t="s">
        <v>1902</v>
      </c>
      <c r="BB150" s="208" t="s">
        <v>2222</v>
      </c>
      <c r="BC150" s="208" t="s">
        <v>2238</v>
      </c>
      <c r="BD150" s="208" t="s">
        <v>2237</v>
      </c>
      <c r="BE150" s="208" t="s">
        <v>2239</v>
      </c>
      <c r="BF150" s="208" t="s">
        <v>2240</v>
      </c>
      <c r="BH150" s="208" t="b">
        <v>0</v>
      </c>
      <c r="BK150" s="208" t="b">
        <v>0</v>
      </c>
    </row>
    <row r="151" spans="2:63" hidden="1">
      <c r="B151" s="208">
        <v>15292</v>
      </c>
      <c r="C151" s="208" t="s">
        <v>1061</v>
      </c>
      <c r="D151" s="209">
        <v>96153</v>
      </c>
      <c r="E151" s="210">
        <v>187000</v>
      </c>
      <c r="F151" s="210">
        <v>131000</v>
      </c>
      <c r="H151" s="208" t="s">
        <v>17</v>
      </c>
      <c r="I151" s="208" t="s">
        <v>1529</v>
      </c>
      <c r="J151" s="208" t="s">
        <v>1468</v>
      </c>
      <c r="K151" s="208" t="s">
        <v>1469</v>
      </c>
      <c r="L151" s="208" t="s">
        <v>1470</v>
      </c>
      <c r="M151" s="208" t="s">
        <v>21</v>
      </c>
      <c r="N151" s="208" t="s">
        <v>1471</v>
      </c>
      <c r="O151" s="208" t="s">
        <v>1547</v>
      </c>
      <c r="P151" s="208" t="s">
        <v>1473</v>
      </c>
      <c r="Q151" s="208" t="s">
        <v>1474</v>
      </c>
      <c r="R151" s="209" t="s">
        <v>1475</v>
      </c>
      <c r="S151" s="208" t="s">
        <v>1670</v>
      </c>
      <c r="T151" s="208" t="s">
        <v>1720</v>
      </c>
      <c r="U151" s="208" t="s">
        <v>1721</v>
      </c>
      <c r="V151" s="208" t="s">
        <v>1673</v>
      </c>
      <c r="W151" s="209" t="s">
        <v>1722</v>
      </c>
      <c r="X151" s="211">
        <f t="shared" si="2"/>
        <v>45848.447222222225</v>
      </c>
      <c r="Y151" s="208" t="s">
        <v>1481</v>
      </c>
      <c r="Z151" s="208" t="s">
        <v>1482</v>
      </c>
      <c r="AA151" s="208" t="s">
        <v>1483</v>
      </c>
      <c r="AB151" s="208" t="s">
        <v>1525</v>
      </c>
      <c r="AC151" s="208" t="s">
        <v>1526</v>
      </c>
      <c r="AD151" s="208">
        <v>84.88</v>
      </c>
      <c r="AF151" s="208">
        <v>94.86</v>
      </c>
      <c r="AG151" s="208" t="s">
        <v>1486</v>
      </c>
      <c r="AH151" s="208" t="s">
        <v>1487</v>
      </c>
      <c r="AI151" s="208" t="s">
        <v>1488</v>
      </c>
      <c r="AJ151" s="208" t="s">
        <v>1489</v>
      </c>
      <c r="AL151" s="208" t="s">
        <v>1490</v>
      </c>
      <c r="AM151" s="208" t="s">
        <v>1723</v>
      </c>
      <c r="AN151" s="208" t="s">
        <v>1492</v>
      </c>
      <c r="AO151" s="208" t="s">
        <v>1724</v>
      </c>
      <c r="AP151" s="208" t="s">
        <v>1494</v>
      </c>
      <c r="AT151" s="208" t="s">
        <v>1565</v>
      </c>
      <c r="AU151" s="208" t="s">
        <v>1721</v>
      </c>
      <c r="AV151" s="208" t="s">
        <v>1714</v>
      </c>
      <c r="AW151" s="208" t="s">
        <v>1721</v>
      </c>
      <c r="AX151" s="208" t="s">
        <v>1572</v>
      </c>
      <c r="BB151" s="208" t="s">
        <v>1670</v>
      </c>
      <c r="BC151" s="208" t="s">
        <v>1721</v>
      </c>
      <c r="BD151" s="208" t="s">
        <v>1673</v>
      </c>
      <c r="BE151" s="208" t="s">
        <v>1722</v>
      </c>
      <c r="BF151" s="208" t="s">
        <v>1474</v>
      </c>
      <c r="BH151" s="208" t="b">
        <v>0</v>
      </c>
      <c r="BK151" s="208" t="b">
        <v>0</v>
      </c>
    </row>
    <row r="152" spans="2:63" hidden="1">
      <c r="B152" s="208">
        <v>15292</v>
      </c>
      <c r="C152" s="208" t="s">
        <v>1061</v>
      </c>
      <c r="D152" s="209">
        <v>96153</v>
      </c>
      <c r="E152" s="210">
        <v>158000</v>
      </c>
      <c r="F152" s="210">
        <v>109000</v>
      </c>
      <c r="H152" s="208" t="s">
        <v>17</v>
      </c>
      <c r="I152" s="208" t="s">
        <v>1504</v>
      </c>
      <c r="J152" s="208" t="s">
        <v>1468</v>
      </c>
      <c r="K152" s="208" t="s">
        <v>1469</v>
      </c>
      <c r="L152" s="208" t="s">
        <v>1470</v>
      </c>
      <c r="M152" s="208" t="s">
        <v>21</v>
      </c>
      <c r="N152" s="208" t="s">
        <v>1471</v>
      </c>
      <c r="O152" s="208" t="s">
        <v>1904</v>
      </c>
      <c r="P152" s="208" t="s">
        <v>1626</v>
      </c>
      <c r="Q152" s="208" t="s">
        <v>1474</v>
      </c>
      <c r="R152" s="209" t="s">
        <v>1475</v>
      </c>
      <c r="S152" s="208" t="s">
        <v>1905</v>
      </c>
      <c r="T152" s="208" t="s">
        <v>1965</v>
      </c>
      <c r="U152" s="208" t="s">
        <v>2034</v>
      </c>
      <c r="V152" s="208" t="s">
        <v>2032</v>
      </c>
      <c r="W152" s="209" t="s">
        <v>1966</v>
      </c>
      <c r="X152" s="211">
        <f t="shared" si="2"/>
        <v>45117.692361111112</v>
      </c>
      <c r="Y152" s="208" t="s">
        <v>1481</v>
      </c>
      <c r="Z152" s="208" t="s">
        <v>1524</v>
      </c>
      <c r="AA152" s="208" t="s">
        <v>1483</v>
      </c>
      <c r="AB152" s="208" t="s">
        <v>1525</v>
      </c>
      <c r="AC152" s="208" t="s">
        <v>1526</v>
      </c>
      <c r="AD152" s="208">
        <v>84.88</v>
      </c>
      <c r="AF152" s="208">
        <v>94.86</v>
      </c>
      <c r="AG152" s="208" t="s">
        <v>1486</v>
      </c>
      <c r="AH152" s="208" t="s">
        <v>1487</v>
      </c>
      <c r="AI152" s="208" t="s">
        <v>1488</v>
      </c>
      <c r="AJ152" s="208" t="s">
        <v>1489</v>
      </c>
      <c r="AL152" s="208" t="s">
        <v>1490</v>
      </c>
      <c r="AM152" s="208" t="s">
        <v>1723</v>
      </c>
      <c r="AN152" s="208" t="s">
        <v>1492</v>
      </c>
      <c r="AO152" s="208" t="s">
        <v>1724</v>
      </c>
      <c r="AP152" s="208" t="s">
        <v>1494</v>
      </c>
      <c r="AT152" s="208" t="s">
        <v>1905</v>
      </c>
      <c r="AU152" s="208" t="s">
        <v>2034</v>
      </c>
      <c r="AV152" s="208" t="s">
        <v>2035</v>
      </c>
      <c r="AW152" s="208" t="s">
        <v>2034</v>
      </c>
      <c r="AX152" s="208" t="s">
        <v>1872</v>
      </c>
      <c r="BB152" s="208" t="s">
        <v>1905</v>
      </c>
      <c r="BC152" s="208" t="s">
        <v>2034</v>
      </c>
      <c r="BD152" s="208" t="s">
        <v>2032</v>
      </c>
      <c r="BE152" s="208" t="s">
        <v>1966</v>
      </c>
      <c r="BF152" s="208" t="s">
        <v>1474</v>
      </c>
      <c r="BG152" s="208" t="b">
        <v>1</v>
      </c>
      <c r="BH152" s="208" t="b">
        <v>0</v>
      </c>
      <c r="BK152" s="208" t="b">
        <v>0</v>
      </c>
    </row>
    <row r="153" spans="2:63" hidden="1">
      <c r="B153" s="208">
        <v>15292</v>
      </c>
      <c r="C153" s="208" t="s">
        <v>1061</v>
      </c>
      <c r="D153" s="209">
        <v>96153</v>
      </c>
      <c r="E153" s="210">
        <v>167345.18</v>
      </c>
      <c r="F153" s="210">
        <v>120488.53</v>
      </c>
      <c r="H153" s="208" t="s">
        <v>17</v>
      </c>
      <c r="I153" s="208" t="s">
        <v>1504</v>
      </c>
      <c r="J153" s="208" t="s">
        <v>1468</v>
      </c>
      <c r="K153" s="208" t="s">
        <v>1469</v>
      </c>
      <c r="L153" s="208" t="s">
        <v>1470</v>
      </c>
      <c r="M153" s="208" t="s">
        <v>1668</v>
      </c>
      <c r="N153" s="208" t="s">
        <v>1471</v>
      </c>
      <c r="O153" s="208" t="s">
        <v>2116</v>
      </c>
      <c r="P153" s="208" t="s">
        <v>2101</v>
      </c>
      <c r="Q153" s="208" t="s">
        <v>2108</v>
      </c>
      <c r="R153" s="209" t="s">
        <v>1475</v>
      </c>
      <c r="S153" s="208" t="s">
        <v>2109</v>
      </c>
      <c r="T153" s="208" t="s">
        <v>1723</v>
      </c>
      <c r="U153" s="208" t="s">
        <v>2137</v>
      </c>
      <c r="V153" s="208" t="s">
        <v>2111</v>
      </c>
      <c r="W153" s="209" t="s">
        <v>2138</v>
      </c>
      <c r="X153" s="211">
        <f t="shared" si="2"/>
        <v>45035.765277777777</v>
      </c>
      <c r="Y153" s="208" t="s">
        <v>1481</v>
      </c>
      <c r="Z153" s="208" t="s">
        <v>1482</v>
      </c>
      <c r="AA153" s="208" t="s">
        <v>1483</v>
      </c>
      <c r="AB153" s="208" t="s">
        <v>1525</v>
      </c>
      <c r="AC153" s="208" t="s">
        <v>1526</v>
      </c>
      <c r="AD153" s="208">
        <v>84.88</v>
      </c>
      <c r="AF153" s="208">
        <v>94.86</v>
      </c>
      <c r="AG153" s="208" t="s">
        <v>1486</v>
      </c>
      <c r="AH153" s="208" t="s">
        <v>1487</v>
      </c>
      <c r="AI153" s="208" t="s">
        <v>1488</v>
      </c>
      <c r="AJ153" s="208" t="s">
        <v>1489</v>
      </c>
      <c r="AL153" s="208" t="s">
        <v>1490</v>
      </c>
      <c r="AM153" s="208" t="s">
        <v>1723</v>
      </c>
      <c r="AN153" s="208" t="s">
        <v>1492</v>
      </c>
      <c r="AO153" s="208" t="s">
        <v>1724</v>
      </c>
      <c r="AP153" s="208" t="s">
        <v>1494</v>
      </c>
      <c r="AQ153" s="208" t="s">
        <v>1902</v>
      </c>
      <c r="AR153" s="208" t="s">
        <v>1489</v>
      </c>
      <c r="AS153" s="208" t="s">
        <v>1564</v>
      </c>
      <c r="AT153" s="208" t="s">
        <v>2113</v>
      </c>
      <c r="AU153" s="208" t="s">
        <v>2137</v>
      </c>
      <c r="AV153" s="208" t="s">
        <v>2114</v>
      </c>
      <c r="AW153" s="208" t="s">
        <v>2137</v>
      </c>
      <c r="AX153" s="208" t="s">
        <v>2115</v>
      </c>
      <c r="AY153" s="208" t="s">
        <v>1902</v>
      </c>
      <c r="AZ153" s="208" t="s">
        <v>1489</v>
      </c>
      <c r="BA153" s="208" t="s">
        <v>2122</v>
      </c>
      <c r="BB153" s="208" t="s">
        <v>2109</v>
      </c>
      <c r="BC153" s="208" t="s">
        <v>2137</v>
      </c>
      <c r="BD153" s="208" t="s">
        <v>2111</v>
      </c>
      <c r="BE153" s="208" t="s">
        <v>2138</v>
      </c>
      <c r="BF153" s="208" t="s">
        <v>2108</v>
      </c>
      <c r="BH153" s="208" t="b">
        <v>0</v>
      </c>
      <c r="BK153" s="208" t="b">
        <v>0</v>
      </c>
    </row>
    <row r="154" spans="2:63" hidden="1">
      <c r="B154" s="208">
        <v>15292</v>
      </c>
      <c r="C154" s="208" t="s">
        <v>1061</v>
      </c>
      <c r="D154" s="209">
        <v>96153</v>
      </c>
      <c r="E154" s="210">
        <v>159891</v>
      </c>
      <c r="F154" s="210">
        <v>95934</v>
      </c>
      <c r="H154" s="208" t="s">
        <v>17</v>
      </c>
      <c r="I154" s="208" t="s">
        <v>1504</v>
      </c>
      <c r="J154" s="208" t="s">
        <v>1468</v>
      </c>
      <c r="K154" s="208" t="s">
        <v>1469</v>
      </c>
      <c r="L154" s="208" t="s">
        <v>1470</v>
      </c>
      <c r="M154" s="208" t="s">
        <v>2099</v>
      </c>
      <c r="N154" s="208" t="s">
        <v>1471</v>
      </c>
      <c r="O154" s="208" t="s">
        <v>2220</v>
      </c>
      <c r="Q154" s="208" t="s">
        <v>2108</v>
      </c>
      <c r="R154" s="209" t="s">
        <v>1475</v>
      </c>
      <c r="S154" s="208" t="s">
        <v>2230</v>
      </c>
      <c r="T154" s="208" t="s">
        <v>2277</v>
      </c>
      <c r="U154" s="208" t="s">
        <v>1637</v>
      </c>
      <c r="V154" s="208" t="s">
        <v>2065</v>
      </c>
      <c r="W154" s="209" t="s">
        <v>2065</v>
      </c>
      <c r="X154" s="211">
        <f t="shared" si="2"/>
        <v>44770.875</v>
      </c>
      <c r="Y154" s="208" t="s">
        <v>2226</v>
      </c>
      <c r="Z154" s="208" t="s">
        <v>1482</v>
      </c>
      <c r="AA154" s="208" t="s">
        <v>1483</v>
      </c>
      <c r="AB154" s="208" t="s">
        <v>2278</v>
      </c>
      <c r="AC154" s="208" t="s">
        <v>2244</v>
      </c>
      <c r="AD154" s="208">
        <v>84.88</v>
      </c>
      <c r="AE154" s="208">
        <v>0</v>
      </c>
      <c r="AF154" s="208">
        <v>0</v>
      </c>
      <c r="AG154" s="208" t="s">
        <v>1486</v>
      </c>
      <c r="AH154" s="208" t="s">
        <v>1487</v>
      </c>
      <c r="AI154" s="208" t="s">
        <v>1488</v>
      </c>
      <c r="AJ154" s="208" t="s">
        <v>1489</v>
      </c>
      <c r="AL154" s="208" t="s">
        <v>1635</v>
      </c>
      <c r="AM154" s="208" t="s">
        <v>1637</v>
      </c>
      <c r="AN154" s="208" t="s">
        <v>1637</v>
      </c>
      <c r="AO154" s="208" t="s">
        <v>1637</v>
      </c>
      <c r="AP154" s="208" t="s">
        <v>1638</v>
      </c>
      <c r="AQ154" s="208" t="s">
        <v>1902</v>
      </c>
      <c r="AT154" s="208" t="s">
        <v>2230</v>
      </c>
      <c r="AU154" s="208" t="s">
        <v>1637</v>
      </c>
      <c r="AV154" s="208" t="s">
        <v>2065</v>
      </c>
      <c r="AW154" s="208" t="s">
        <v>2065</v>
      </c>
      <c r="AX154" s="208" t="s">
        <v>2108</v>
      </c>
      <c r="AY154" s="208" t="s">
        <v>1902</v>
      </c>
      <c r="BB154" s="208" t="s">
        <v>2230</v>
      </c>
      <c r="BC154" s="208" t="s">
        <v>2065</v>
      </c>
      <c r="BD154" s="208" t="s">
        <v>2065</v>
      </c>
      <c r="BE154" s="208" t="s">
        <v>2065</v>
      </c>
      <c r="BF154" s="208" t="s">
        <v>2108</v>
      </c>
      <c r="BH154" s="208" t="b">
        <v>0</v>
      </c>
      <c r="BK154" s="208" t="b">
        <v>0</v>
      </c>
    </row>
    <row r="155" spans="2:63" hidden="1">
      <c r="B155" s="208">
        <v>15292</v>
      </c>
      <c r="C155" s="208" t="s">
        <v>1061</v>
      </c>
      <c r="D155" s="209">
        <v>96153</v>
      </c>
      <c r="E155" s="210">
        <v>177674</v>
      </c>
      <c r="F155" s="210">
        <v>124372</v>
      </c>
      <c r="H155" s="208" t="s">
        <v>17</v>
      </c>
      <c r="I155" s="208" t="s">
        <v>1504</v>
      </c>
      <c r="J155" s="208" t="s">
        <v>1468</v>
      </c>
      <c r="K155" s="208" t="s">
        <v>1469</v>
      </c>
      <c r="L155" s="208" t="s">
        <v>1470</v>
      </c>
      <c r="M155" s="208" t="s">
        <v>1668</v>
      </c>
      <c r="N155" s="208" t="s">
        <v>1471</v>
      </c>
      <c r="O155" s="208" t="s">
        <v>2220</v>
      </c>
      <c r="Q155" s="208" t="s">
        <v>2235</v>
      </c>
      <c r="R155" s="209" t="s">
        <v>1475</v>
      </c>
      <c r="S155" s="208" t="s">
        <v>2222</v>
      </c>
      <c r="T155" s="208" t="s">
        <v>2282</v>
      </c>
      <c r="U155" s="208" t="s">
        <v>1519</v>
      </c>
      <c r="V155" s="208" t="s">
        <v>2237</v>
      </c>
      <c r="W155" s="209" t="s">
        <v>2245</v>
      </c>
      <c r="X155" s="211">
        <f t="shared" si="2"/>
        <v>44731.875</v>
      </c>
      <c r="Y155" s="208" t="s">
        <v>2226</v>
      </c>
      <c r="Z155" s="208" t="s">
        <v>1482</v>
      </c>
      <c r="AA155" s="208" t="s">
        <v>1483</v>
      </c>
      <c r="AB155" s="208" t="s">
        <v>2278</v>
      </c>
      <c r="AC155" s="208" t="s">
        <v>1526</v>
      </c>
      <c r="AD155" s="208">
        <v>84.88</v>
      </c>
      <c r="AE155" s="208">
        <v>0</v>
      </c>
      <c r="AF155" s="208">
        <v>94.86</v>
      </c>
      <c r="AG155" s="208" t="s">
        <v>1486</v>
      </c>
      <c r="AH155" s="208" t="s">
        <v>1487</v>
      </c>
      <c r="AI155" s="208" t="s">
        <v>1488</v>
      </c>
      <c r="AJ155" s="208" t="s">
        <v>1489</v>
      </c>
      <c r="AL155" s="208" t="s">
        <v>1517</v>
      </c>
      <c r="AM155" s="208" t="s">
        <v>1519</v>
      </c>
      <c r="AN155" s="208" t="s">
        <v>1519</v>
      </c>
      <c r="AO155" s="208" t="s">
        <v>1624</v>
      </c>
      <c r="AP155" s="208" t="s">
        <v>1521</v>
      </c>
      <c r="AQ155" s="208" t="s">
        <v>1902</v>
      </c>
      <c r="AS155" s="208" t="s">
        <v>2122</v>
      </c>
      <c r="AT155" s="208" t="s">
        <v>2222</v>
      </c>
      <c r="AU155" s="208" t="s">
        <v>1519</v>
      </c>
      <c r="AV155" s="208" t="s">
        <v>2237</v>
      </c>
      <c r="AW155" s="208" t="s">
        <v>2245</v>
      </c>
      <c r="AX155" s="208" t="s">
        <v>2235</v>
      </c>
      <c r="AY155" s="208" t="s">
        <v>1902</v>
      </c>
      <c r="BB155" s="208" t="s">
        <v>2222</v>
      </c>
      <c r="BC155" s="208" t="s">
        <v>2245</v>
      </c>
      <c r="BD155" s="208" t="s">
        <v>2237</v>
      </c>
      <c r="BE155" s="208" t="s">
        <v>2239</v>
      </c>
      <c r="BF155" s="208" t="s">
        <v>2240</v>
      </c>
      <c r="BH155" s="208" t="b">
        <v>0</v>
      </c>
      <c r="BK155" s="208" t="b">
        <v>0</v>
      </c>
    </row>
    <row r="156" spans="2:63" hidden="1">
      <c r="B156" s="208">
        <v>15292</v>
      </c>
      <c r="C156" s="208" t="s">
        <v>1061</v>
      </c>
      <c r="D156" s="209">
        <v>96154</v>
      </c>
      <c r="E156" s="210">
        <v>187000</v>
      </c>
      <c r="F156" s="210">
        <v>131000</v>
      </c>
      <c r="H156" s="208" t="s">
        <v>17</v>
      </c>
      <c r="I156" s="208" t="s">
        <v>1529</v>
      </c>
      <c r="J156" s="208" t="s">
        <v>1468</v>
      </c>
      <c r="K156" s="208" t="s">
        <v>1469</v>
      </c>
      <c r="L156" s="208" t="s">
        <v>1470</v>
      </c>
      <c r="M156" s="208" t="s">
        <v>21</v>
      </c>
      <c r="N156" s="208" t="s">
        <v>1471</v>
      </c>
      <c r="O156" s="208" t="s">
        <v>1547</v>
      </c>
      <c r="P156" s="208" t="s">
        <v>1473</v>
      </c>
      <c r="Q156" s="208" t="s">
        <v>1474</v>
      </c>
      <c r="R156" s="209" t="s">
        <v>1475</v>
      </c>
      <c r="S156" s="208" t="s">
        <v>1670</v>
      </c>
      <c r="T156" s="208" t="s">
        <v>1715</v>
      </c>
      <c r="U156" s="208" t="s">
        <v>1716</v>
      </c>
      <c r="V156" s="208" t="s">
        <v>1673</v>
      </c>
      <c r="W156" s="209" t="s">
        <v>1717</v>
      </c>
      <c r="X156" s="211">
        <f t="shared" si="2"/>
        <v>45848.45</v>
      </c>
      <c r="Y156" s="208" t="s">
        <v>1481</v>
      </c>
      <c r="Z156" s="208" t="s">
        <v>1482</v>
      </c>
      <c r="AA156" s="208" t="s">
        <v>1483</v>
      </c>
      <c r="AB156" s="208" t="s">
        <v>1525</v>
      </c>
      <c r="AC156" s="208" t="s">
        <v>1526</v>
      </c>
      <c r="AD156" s="208">
        <v>84.88</v>
      </c>
      <c r="AE156" s="208">
        <v>94.86</v>
      </c>
      <c r="AF156" s="208">
        <v>94.86</v>
      </c>
      <c r="AG156" s="208" t="s">
        <v>1486</v>
      </c>
      <c r="AH156" s="208" t="s">
        <v>1487</v>
      </c>
      <c r="AI156" s="208" t="s">
        <v>1488</v>
      </c>
      <c r="AJ156" s="208" t="s">
        <v>1489</v>
      </c>
      <c r="AL156" s="208" t="s">
        <v>1490</v>
      </c>
      <c r="AM156" s="208" t="s">
        <v>1718</v>
      </c>
      <c r="AN156" s="208" t="s">
        <v>1492</v>
      </c>
      <c r="AO156" s="208" t="s">
        <v>1719</v>
      </c>
      <c r="AP156" s="208" t="s">
        <v>1494</v>
      </c>
      <c r="AT156" s="208" t="s">
        <v>1565</v>
      </c>
      <c r="AU156" s="208" t="s">
        <v>1716</v>
      </c>
      <c r="AV156" s="208" t="s">
        <v>1714</v>
      </c>
      <c r="AW156" s="208" t="s">
        <v>1716</v>
      </c>
      <c r="AX156" s="208" t="s">
        <v>1572</v>
      </c>
      <c r="BB156" s="208" t="s">
        <v>1670</v>
      </c>
      <c r="BC156" s="208" t="s">
        <v>1716</v>
      </c>
      <c r="BD156" s="208" t="s">
        <v>1673</v>
      </c>
      <c r="BE156" s="208" t="s">
        <v>1717</v>
      </c>
      <c r="BF156" s="208" t="s">
        <v>1474</v>
      </c>
      <c r="BH156" s="208" t="b">
        <v>0</v>
      </c>
      <c r="BK156" s="208" t="b">
        <v>0</v>
      </c>
    </row>
    <row r="157" spans="2:63" hidden="1">
      <c r="B157" s="208">
        <v>15292</v>
      </c>
      <c r="C157" s="208" t="s">
        <v>1061</v>
      </c>
      <c r="D157" s="209">
        <v>96154</v>
      </c>
      <c r="E157" s="210">
        <v>158000</v>
      </c>
      <c r="F157" s="210">
        <v>109000</v>
      </c>
      <c r="H157" s="208" t="s">
        <v>17</v>
      </c>
      <c r="I157" s="208" t="s">
        <v>1504</v>
      </c>
      <c r="J157" s="208" t="s">
        <v>1468</v>
      </c>
      <c r="K157" s="208" t="s">
        <v>1469</v>
      </c>
      <c r="L157" s="208" t="s">
        <v>1470</v>
      </c>
      <c r="M157" s="208" t="s">
        <v>21</v>
      </c>
      <c r="N157" s="208" t="s">
        <v>1471</v>
      </c>
      <c r="O157" s="208" t="s">
        <v>1904</v>
      </c>
      <c r="P157" s="208" t="s">
        <v>1626</v>
      </c>
      <c r="Q157" s="208" t="s">
        <v>1474</v>
      </c>
      <c r="R157" s="209" t="s">
        <v>1475</v>
      </c>
      <c r="S157" s="208" t="s">
        <v>1905</v>
      </c>
      <c r="T157" s="208" t="s">
        <v>1965</v>
      </c>
      <c r="U157" s="208" t="s">
        <v>2031</v>
      </c>
      <c r="V157" s="208" t="s">
        <v>2032</v>
      </c>
      <c r="W157" s="209" t="s">
        <v>1967</v>
      </c>
      <c r="X157" s="211">
        <f t="shared" si="2"/>
        <v>45117.693055555559</v>
      </c>
      <c r="Y157" s="208" t="s">
        <v>1481</v>
      </c>
      <c r="Z157" s="208" t="s">
        <v>1524</v>
      </c>
      <c r="AA157" s="208" t="s">
        <v>1483</v>
      </c>
      <c r="AB157" s="208" t="s">
        <v>1525</v>
      </c>
      <c r="AC157" s="208" t="s">
        <v>1526</v>
      </c>
      <c r="AD157" s="208">
        <v>84.88</v>
      </c>
      <c r="AE157" s="208">
        <v>94.86</v>
      </c>
      <c r="AF157" s="208">
        <v>94.86</v>
      </c>
      <c r="AG157" s="208" t="s">
        <v>1486</v>
      </c>
      <c r="AH157" s="208" t="s">
        <v>1487</v>
      </c>
      <c r="AI157" s="208" t="s">
        <v>1488</v>
      </c>
      <c r="AJ157" s="208" t="s">
        <v>1489</v>
      </c>
      <c r="AL157" s="208" t="s">
        <v>1490</v>
      </c>
      <c r="AM157" s="208" t="s">
        <v>1718</v>
      </c>
      <c r="AN157" s="208" t="s">
        <v>1492</v>
      </c>
      <c r="AO157" s="208" t="s">
        <v>1719</v>
      </c>
      <c r="AP157" s="208" t="s">
        <v>1494</v>
      </c>
      <c r="AT157" s="208" t="s">
        <v>1905</v>
      </c>
      <c r="AU157" s="208" t="s">
        <v>2031</v>
      </c>
      <c r="AV157" s="208" t="s">
        <v>2033</v>
      </c>
      <c r="AW157" s="208" t="s">
        <v>2031</v>
      </c>
      <c r="AX157" s="208" t="s">
        <v>1872</v>
      </c>
      <c r="BB157" s="208" t="s">
        <v>1905</v>
      </c>
      <c r="BC157" s="208" t="s">
        <v>2031</v>
      </c>
      <c r="BD157" s="208" t="s">
        <v>2032</v>
      </c>
      <c r="BE157" s="208" t="s">
        <v>1967</v>
      </c>
      <c r="BF157" s="208" t="s">
        <v>1474</v>
      </c>
      <c r="BG157" s="208" t="b">
        <v>1</v>
      </c>
      <c r="BH157" s="208" t="b">
        <v>0</v>
      </c>
      <c r="BK157" s="208" t="b">
        <v>0</v>
      </c>
    </row>
    <row r="158" spans="2:63" hidden="1">
      <c r="B158" s="208">
        <v>15292</v>
      </c>
      <c r="C158" s="208" t="s">
        <v>1061</v>
      </c>
      <c r="D158" s="209">
        <v>96154</v>
      </c>
      <c r="E158" s="210">
        <v>167345.18</v>
      </c>
      <c r="F158" s="210">
        <v>120488.53</v>
      </c>
      <c r="H158" s="208" t="s">
        <v>17</v>
      </c>
      <c r="I158" s="208" t="s">
        <v>1504</v>
      </c>
      <c r="J158" s="208" t="s">
        <v>1468</v>
      </c>
      <c r="K158" s="208" t="s">
        <v>1469</v>
      </c>
      <c r="L158" s="208" t="s">
        <v>1470</v>
      </c>
      <c r="M158" s="208" t="s">
        <v>1668</v>
      </c>
      <c r="N158" s="208" t="s">
        <v>1471</v>
      </c>
      <c r="O158" s="208" t="s">
        <v>2116</v>
      </c>
      <c r="P158" s="208" t="s">
        <v>2101</v>
      </c>
      <c r="Q158" s="208" t="s">
        <v>2108</v>
      </c>
      <c r="R158" s="209" t="s">
        <v>1475</v>
      </c>
      <c r="S158" s="208" t="s">
        <v>2109</v>
      </c>
      <c r="T158" s="208" t="s">
        <v>1718</v>
      </c>
      <c r="U158" s="208" t="s">
        <v>2149</v>
      </c>
      <c r="V158" s="208" t="s">
        <v>2111</v>
      </c>
      <c r="W158" s="209" t="s">
        <v>2138</v>
      </c>
      <c r="X158" s="211">
        <f t="shared" si="2"/>
        <v>45035.765277777777</v>
      </c>
      <c r="Y158" s="208" t="s">
        <v>1481</v>
      </c>
      <c r="Z158" s="208" t="s">
        <v>1482</v>
      </c>
      <c r="AA158" s="208" t="s">
        <v>1483</v>
      </c>
      <c r="AB158" s="208" t="s">
        <v>1525</v>
      </c>
      <c r="AC158" s="208" t="s">
        <v>1526</v>
      </c>
      <c r="AD158" s="208">
        <v>84.88</v>
      </c>
      <c r="AE158" s="208">
        <v>94.86</v>
      </c>
      <c r="AF158" s="208">
        <v>94.86</v>
      </c>
      <c r="AG158" s="208" t="s">
        <v>1486</v>
      </c>
      <c r="AH158" s="208" t="s">
        <v>1487</v>
      </c>
      <c r="AI158" s="208" t="s">
        <v>1488</v>
      </c>
      <c r="AJ158" s="208" t="s">
        <v>1489</v>
      </c>
      <c r="AL158" s="208" t="s">
        <v>1490</v>
      </c>
      <c r="AM158" s="208" t="s">
        <v>1718</v>
      </c>
      <c r="AN158" s="208" t="s">
        <v>1492</v>
      </c>
      <c r="AO158" s="208" t="s">
        <v>1719</v>
      </c>
      <c r="AP158" s="208" t="s">
        <v>1494</v>
      </c>
      <c r="AQ158" s="208" t="s">
        <v>1902</v>
      </c>
      <c r="AR158" s="208" t="s">
        <v>1489</v>
      </c>
      <c r="AS158" s="208" t="s">
        <v>2122</v>
      </c>
      <c r="AT158" s="208" t="s">
        <v>2113</v>
      </c>
      <c r="AU158" s="208" t="s">
        <v>2149</v>
      </c>
      <c r="AV158" s="208" t="s">
        <v>2114</v>
      </c>
      <c r="AW158" s="208" t="s">
        <v>2149</v>
      </c>
      <c r="AX158" s="208" t="s">
        <v>2115</v>
      </c>
      <c r="AY158" s="208" t="s">
        <v>1902</v>
      </c>
      <c r="AZ158" s="208" t="s">
        <v>1489</v>
      </c>
      <c r="BA158" s="208" t="s">
        <v>2122</v>
      </c>
      <c r="BB158" s="208" t="s">
        <v>2109</v>
      </c>
      <c r="BC158" s="208" t="s">
        <v>2149</v>
      </c>
      <c r="BD158" s="208" t="s">
        <v>2111</v>
      </c>
      <c r="BE158" s="208" t="s">
        <v>2138</v>
      </c>
      <c r="BF158" s="208" t="s">
        <v>2108</v>
      </c>
      <c r="BH158" s="208" t="b">
        <v>0</v>
      </c>
      <c r="BK158" s="208" t="b">
        <v>0</v>
      </c>
    </row>
    <row r="159" spans="2:63" hidden="1">
      <c r="B159" s="208">
        <v>15292</v>
      </c>
      <c r="C159" s="208" t="s">
        <v>1061</v>
      </c>
      <c r="D159" s="209">
        <v>96154</v>
      </c>
      <c r="E159" s="210">
        <v>159891</v>
      </c>
      <c r="F159" s="210">
        <v>127913</v>
      </c>
      <c r="H159" s="208" t="s">
        <v>17</v>
      </c>
      <c r="I159" s="208" t="s">
        <v>1504</v>
      </c>
      <c r="J159" s="208" t="s">
        <v>1468</v>
      </c>
      <c r="K159" s="208" t="s">
        <v>1469</v>
      </c>
      <c r="L159" s="208" t="s">
        <v>1470</v>
      </c>
      <c r="M159" s="208" t="s">
        <v>2099</v>
      </c>
      <c r="N159" s="208" t="s">
        <v>1471</v>
      </c>
      <c r="O159" s="208" t="s">
        <v>2220</v>
      </c>
      <c r="Q159" s="208" t="s">
        <v>2108</v>
      </c>
      <c r="R159" s="209" t="s">
        <v>1475</v>
      </c>
      <c r="S159" s="208" t="s">
        <v>2230</v>
      </c>
      <c r="T159" s="208" t="s">
        <v>2268</v>
      </c>
      <c r="U159" s="208" t="s">
        <v>1637</v>
      </c>
      <c r="V159" s="208" t="s">
        <v>2065</v>
      </c>
      <c r="W159" s="209" t="s">
        <v>2065</v>
      </c>
      <c r="X159" s="211">
        <f t="shared" si="2"/>
        <v>44770.875</v>
      </c>
      <c r="Y159" s="208" t="s">
        <v>2226</v>
      </c>
      <c r="Z159" s="208" t="s">
        <v>1482</v>
      </c>
      <c r="AA159" s="208" t="s">
        <v>1483</v>
      </c>
      <c r="AB159" s="208" t="s">
        <v>2269</v>
      </c>
      <c r="AC159" s="208" t="s">
        <v>2244</v>
      </c>
      <c r="AD159" s="208">
        <v>84.88</v>
      </c>
      <c r="AE159" s="208">
        <v>0</v>
      </c>
      <c r="AF159" s="208">
        <v>0</v>
      </c>
      <c r="AG159" s="208" t="s">
        <v>1486</v>
      </c>
      <c r="AH159" s="208" t="s">
        <v>1487</v>
      </c>
      <c r="AI159" s="208" t="s">
        <v>1488</v>
      </c>
      <c r="AJ159" s="208" t="s">
        <v>1489</v>
      </c>
      <c r="AL159" s="208" t="s">
        <v>1635</v>
      </c>
      <c r="AM159" s="208" t="s">
        <v>1637</v>
      </c>
      <c r="AN159" s="208" t="s">
        <v>1637</v>
      </c>
      <c r="AO159" s="208" t="s">
        <v>1637</v>
      </c>
      <c r="AP159" s="208" t="s">
        <v>1638</v>
      </c>
      <c r="AQ159" s="208" t="s">
        <v>1902</v>
      </c>
      <c r="AT159" s="208" t="s">
        <v>2230</v>
      </c>
      <c r="AU159" s="208" t="s">
        <v>1637</v>
      </c>
      <c r="AV159" s="208" t="s">
        <v>2065</v>
      </c>
      <c r="AW159" s="208" t="s">
        <v>2065</v>
      </c>
      <c r="AX159" s="208" t="s">
        <v>2108</v>
      </c>
      <c r="AY159" s="208" t="s">
        <v>1902</v>
      </c>
      <c r="BB159" s="208" t="s">
        <v>2230</v>
      </c>
      <c r="BC159" s="208" t="s">
        <v>2065</v>
      </c>
      <c r="BD159" s="208" t="s">
        <v>2065</v>
      </c>
      <c r="BE159" s="208" t="s">
        <v>2065</v>
      </c>
      <c r="BF159" s="208" t="s">
        <v>2108</v>
      </c>
      <c r="BH159" s="208" t="b">
        <v>0</v>
      </c>
      <c r="BK159" s="208" t="b">
        <v>0</v>
      </c>
    </row>
    <row r="160" spans="2:63" hidden="1">
      <c r="B160" s="208">
        <v>15292</v>
      </c>
      <c r="C160" s="208" t="s">
        <v>1061</v>
      </c>
      <c r="D160" s="209">
        <v>96154</v>
      </c>
      <c r="E160" s="210">
        <v>177674</v>
      </c>
      <c r="F160" s="210">
        <v>124372</v>
      </c>
      <c r="H160" s="208" t="s">
        <v>17</v>
      </c>
      <c r="I160" s="208" t="s">
        <v>1504</v>
      </c>
      <c r="J160" s="208" t="s">
        <v>1468</v>
      </c>
      <c r="K160" s="208" t="s">
        <v>1469</v>
      </c>
      <c r="L160" s="208" t="s">
        <v>1470</v>
      </c>
      <c r="M160" s="208" t="s">
        <v>1668</v>
      </c>
      <c r="N160" s="208" t="s">
        <v>1471</v>
      </c>
      <c r="O160" s="208" t="s">
        <v>2220</v>
      </c>
      <c r="Q160" s="208" t="s">
        <v>2235</v>
      </c>
      <c r="R160" s="209" t="s">
        <v>1475</v>
      </c>
      <c r="S160" s="208" t="s">
        <v>2222</v>
      </c>
      <c r="T160" s="208" t="s">
        <v>2266</v>
      </c>
      <c r="U160" s="208" t="s">
        <v>1519</v>
      </c>
      <c r="V160" s="208" t="s">
        <v>2237</v>
      </c>
      <c r="W160" s="209" t="s">
        <v>2245</v>
      </c>
      <c r="X160" s="211">
        <f t="shared" si="2"/>
        <v>44731.875</v>
      </c>
      <c r="Y160" s="208" t="s">
        <v>2226</v>
      </c>
      <c r="Z160" s="208" t="s">
        <v>1482</v>
      </c>
      <c r="AA160" s="208" t="s">
        <v>1483</v>
      </c>
      <c r="AB160" s="208" t="s">
        <v>2269</v>
      </c>
      <c r="AC160" s="208" t="s">
        <v>1526</v>
      </c>
      <c r="AD160" s="208">
        <v>84.88</v>
      </c>
      <c r="AE160" s="208">
        <v>0</v>
      </c>
      <c r="AF160" s="208">
        <v>94.86</v>
      </c>
      <c r="AG160" s="208" t="s">
        <v>1486</v>
      </c>
      <c r="AH160" s="208" t="s">
        <v>1487</v>
      </c>
      <c r="AI160" s="208" t="s">
        <v>1488</v>
      </c>
      <c r="AJ160" s="208" t="s">
        <v>1489</v>
      </c>
      <c r="AL160" s="208" t="s">
        <v>1517</v>
      </c>
      <c r="AM160" s="208" t="s">
        <v>1519</v>
      </c>
      <c r="AN160" s="208" t="s">
        <v>1519</v>
      </c>
      <c r="AO160" s="208" t="s">
        <v>1624</v>
      </c>
      <c r="AP160" s="208" t="s">
        <v>1521</v>
      </c>
      <c r="AQ160" s="208" t="s">
        <v>1902</v>
      </c>
      <c r="AS160" s="208" t="s">
        <v>2122</v>
      </c>
      <c r="AT160" s="208" t="s">
        <v>2222</v>
      </c>
      <c r="AU160" s="208" t="s">
        <v>1519</v>
      </c>
      <c r="AV160" s="208" t="s">
        <v>2237</v>
      </c>
      <c r="AW160" s="208" t="s">
        <v>2245</v>
      </c>
      <c r="AX160" s="208" t="s">
        <v>2235</v>
      </c>
      <c r="AY160" s="208" t="s">
        <v>1902</v>
      </c>
      <c r="BB160" s="208" t="s">
        <v>2222</v>
      </c>
      <c r="BC160" s="208" t="s">
        <v>2245</v>
      </c>
      <c r="BD160" s="208" t="s">
        <v>2237</v>
      </c>
      <c r="BE160" s="208" t="s">
        <v>2239</v>
      </c>
      <c r="BF160" s="208" t="s">
        <v>2240</v>
      </c>
      <c r="BH160" s="208" t="b">
        <v>0</v>
      </c>
      <c r="BK160" s="208" t="b">
        <v>0</v>
      </c>
    </row>
    <row r="161" spans="2:63" hidden="1">
      <c r="B161" s="208">
        <v>15292</v>
      </c>
      <c r="C161" s="208" t="s">
        <v>1061</v>
      </c>
      <c r="D161" s="209">
        <v>96155</v>
      </c>
      <c r="E161" s="210">
        <v>187000</v>
      </c>
      <c r="F161" s="210">
        <v>131000</v>
      </c>
      <c r="H161" s="208" t="s">
        <v>17</v>
      </c>
      <c r="I161" s="208" t="s">
        <v>1708</v>
      </c>
      <c r="J161" s="208" t="s">
        <v>1468</v>
      </c>
      <c r="K161" s="208" t="s">
        <v>1469</v>
      </c>
      <c r="L161" s="208" t="s">
        <v>1470</v>
      </c>
      <c r="M161" s="208" t="s">
        <v>21</v>
      </c>
      <c r="N161" s="208" t="s">
        <v>1471</v>
      </c>
      <c r="O161" s="208" t="s">
        <v>1547</v>
      </c>
      <c r="P161" s="208" t="s">
        <v>1473</v>
      </c>
      <c r="Q161" s="208" t="s">
        <v>1474</v>
      </c>
      <c r="R161" s="209" t="s">
        <v>1475</v>
      </c>
      <c r="S161" s="208" t="s">
        <v>1670</v>
      </c>
      <c r="T161" s="208" t="s">
        <v>1709</v>
      </c>
      <c r="U161" s="208" t="s">
        <v>1710</v>
      </c>
      <c r="V161" s="208" t="s">
        <v>1673</v>
      </c>
      <c r="W161" s="209" t="s">
        <v>1711</v>
      </c>
      <c r="X161" s="211">
        <f t="shared" si="2"/>
        <v>45848.448611111111</v>
      </c>
      <c r="Y161" s="208" t="s">
        <v>1481</v>
      </c>
      <c r="Z161" s="208" t="s">
        <v>1482</v>
      </c>
      <c r="AA161" s="208" t="s">
        <v>1483</v>
      </c>
      <c r="AB161" s="208" t="s">
        <v>1525</v>
      </c>
      <c r="AC161" s="208" t="s">
        <v>1526</v>
      </c>
      <c r="AD161" s="208">
        <v>84.88</v>
      </c>
      <c r="AE161" s="208">
        <v>94.86</v>
      </c>
      <c r="AF161" s="208">
        <v>94.86</v>
      </c>
      <c r="AG161" s="208" t="s">
        <v>1486</v>
      </c>
      <c r="AH161" s="208" t="s">
        <v>1487</v>
      </c>
      <c r="AI161" s="208" t="s">
        <v>1488</v>
      </c>
      <c r="AJ161" s="208" t="s">
        <v>1489</v>
      </c>
      <c r="AL161" s="208" t="s">
        <v>1490</v>
      </c>
      <c r="AM161" s="208" t="s">
        <v>1712</v>
      </c>
      <c r="AN161" s="208" t="s">
        <v>1492</v>
      </c>
      <c r="AO161" s="208" t="s">
        <v>1713</v>
      </c>
      <c r="AP161" s="208" t="s">
        <v>1494</v>
      </c>
      <c r="AT161" s="208" t="s">
        <v>1565</v>
      </c>
      <c r="AU161" s="208" t="s">
        <v>1710</v>
      </c>
      <c r="AV161" s="208" t="s">
        <v>1714</v>
      </c>
      <c r="AW161" s="208" t="s">
        <v>1710</v>
      </c>
      <c r="AX161" s="208" t="s">
        <v>1572</v>
      </c>
      <c r="BB161" s="208" t="s">
        <v>1670</v>
      </c>
      <c r="BC161" s="208" t="s">
        <v>1710</v>
      </c>
      <c r="BD161" s="208" t="s">
        <v>1673</v>
      </c>
      <c r="BE161" s="208" t="s">
        <v>1711</v>
      </c>
      <c r="BF161" s="208" t="s">
        <v>1474</v>
      </c>
      <c r="BH161" s="208" t="b">
        <v>0</v>
      </c>
      <c r="BK161" s="208" t="b">
        <v>0</v>
      </c>
    </row>
    <row r="162" spans="2:63" hidden="1">
      <c r="B162" s="208">
        <v>15292</v>
      </c>
      <c r="C162" s="208" t="s">
        <v>1061</v>
      </c>
      <c r="D162" s="209">
        <v>96155</v>
      </c>
      <c r="E162" s="210">
        <v>158000</v>
      </c>
      <c r="F162" s="210">
        <v>109000</v>
      </c>
      <c r="H162" s="208" t="s">
        <v>17</v>
      </c>
      <c r="I162" s="208" t="s">
        <v>1504</v>
      </c>
      <c r="J162" s="208" t="s">
        <v>1468</v>
      </c>
      <c r="K162" s="208" t="s">
        <v>1469</v>
      </c>
      <c r="L162" s="208" t="s">
        <v>1470</v>
      </c>
      <c r="M162" s="208" t="s">
        <v>21</v>
      </c>
      <c r="N162" s="208" t="s">
        <v>1471</v>
      </c>
      <c r="O162" s="208" t="s">
        <v>1904</v>
      </c>
      <c r="P162" s="208" t="s">
        <v>1626</v>
      </c>
      <c r="Q162" s="208" t="s">
        <v>1474</v>
      </c>
      <c r="R162" s="209" t="s">
        <v>1475</v>
      </c>
      <c r="S162" s="208" t="s">
        <v>1905</v>
      </c>
      <c r="T162" s="208" t="s">
        <v>1965</v>
      </c>
      <c r="U162" s="208" t="s">
        <v>1966</v>
      </c>
      <c r="V162" s="208" t="s">
        <v>1967</v>
      </c>
      <c r="W162" s="209" t="s">
        <v>1968</v>
      </c>
      <c r="X162" s="211">
        <f t="shared" si="2"/>
        <v>45117.693749999999</v>
      </c>
      <c r="Y162" s="208" t="s">
        <v>1481</v>
      </c>
      <c r="Z162" s="208" t="s">
        <v>1524</v>
      </c>
      <c r="AA162" s="208" t="s">
        <v>1483</v>
      </c>
      <c r="AB162" s="208" t="s">
        <v>1525</v>
      </c>
      <c r="AC162" s="208" t="s">
        <v>1526</v>
      </c>
      <c r="AD162" s="208">
        <v>84.88</v>
      </c>
      <c r="AE162" s="208">
        <v>94.86</v>
      </c>
      <c r="AF162" s="208">
        <v>94.86</v>
      </c>
      <c r="AG162" s="208" t="s">
        <v>1486</v>
      </c>
      <c r="AH162" s="208" t="s">
        <v>1487</v>
      </c>
      <c r="AI162" s="208" t="s">
        <v>1488</v>
      </c>
      <c r="AJ162" s="208" t="s">
        <v>1489</v>
      </c>
      <c r="AL162" s="208" t="s">
        <v>1490</v>
      </c>
      <c r="AM162" s="208" t="s">
        <v>1712</v>
      </c>
      <c r="AN162" s="208" t="s">
        <v>1492</v>
      </c>
      <c r="AO162" s="208" t="s">
        <v>1713</v>
      </c>
      <c r="AP162" s="208" t="s">
        <v>1494</v>
      </c>
      <c r="AT162" s="208" t="s">
        <v>1905</v>
      </c>
      <c r="AU162" s="208" t="s">
        <v>1966</v>
      </c>
      <c r="AV162" s="208" t="s">
        <v>1969</v>
      </c>
      <c r="AW162" s="208" t="s">
        <v>1966</v>
      </c>
      <c r="AX162" s="208" t="s">
        <v>1872</v>
      </c>
      <c r="BB162" s="208" t="s">
        <v>1905</v>
      </c>
      <c r="BC162" s="208" t="s">
        <v>1966</v>
      </c>
      <c r="BD162" s="208" t="s">
        <v>1967</v>
      </c>
      <c r="BE162" s="208" t="s">
        <v>1968</v>
      </c>
      <c r="BF162" s="208" t="s">
        <v>1474</v>
      </c>
      <c r="BG162" s="208" t="b">
        <v>1</v>
      </c>
      <c r="BH162" s="208" t="b">
        <v>0</v>
      </c>
      <c r="BK162" s="208" t="b">
        <v>0</v>
      </c>
    </row>
    <row r="163" spans="2:63" hidden="1">
      <c r="B163" s="208">
        <v>15292</v>
      </c>
      <c r="C163" s="208" t="s">
        <v>1061</v>
      </c>
      <c r="D163" s="209">
        <v>96155</v>
      </c>
      <c r="E163" s="210">
        <v>167345.18</v>
      </c>
      <c r="F163" s="210">
        <v>120488.53</v>
      </c>
      <c r="H163" s="208" t="s">
        <v>17</v>
      </c>
      <c r="I163" s="208" t="s">
        <v>1504</v>
      </c>
      <c r="J163" s="208" t="s">
        <v>1468</v>
      </c>
      <c r="K163" s="208" t="s">
        <v>1469</v>
      </c>
      <c r="L163" s="208" t="s">
        <v>1470</v>
      </c>
      <c r="M163" s="208" t="s">
        <v>1668</v>
      </c>
      <c r="N163" s="208" t="s">
        <v>1471</v>
      </c>
      <c r="O163" s="208" t="s">
        <v>2116</v>
      </c>
      <c r="P163" s="208" t="s">
        <v>2101</v>
      </c>
      <c r="Q163" s="208" t="s">
        <v>2108</v>
      </c>
      <c r="R163" s="209" t="s">
        <v>1475</v>
      </c>
      <c r="S163" s="208" t="s">
        <v>2109</v>
      </c>
      <c r="T163" s="208" t="s">
        <v>1712</v>
      </c>
      <c r="U163" s="208" t="s">
        <v>2153</v>
      </c>
      <c r="V163" s="208" t="s">
        <v>2111</v>
      </c>
      <c r="W163" s="209" t="s">
        <v>2154</v>
      </c>
      <c r="X163" s="211">
        <f t="shared" si="2"/>
        <v>45035.76458333333</v>
      </c>
      <c r="Y163" s="208" t="s">
        <v>1481</v>
      </c>
      <c r="Z163" s="208" t="s">
        <v>1482</v>
      </c>
      <c r="AA163" s="208" t="s">
        <v>1483</v>
      </c>
      <c r="AB163" s="208" t="s">
        <v>1525</v>
      </c>
      <c r="AC163" s="208" t="s">
        <v>1526</v>
      </c>
      <c r="AD163" s="208">
        <v>84.88</v>
      </c>
      <c r="AE163" s="208">
        <v>94.86</v>
      </c>
      <c r="AF163" s="208">
        <v>94.86</v>
      </c>
      <c r="AG163" s="208" t="s">
        <v>1486</v>
      </c>
      <c r="AH163" s="208" t="s">
        <v>1487</v>
      </c>
      <c r="AI163" s="208" t="s">
        <v>1488</v>
      </c>
      <c r="AJ163" s="208" t="s">
        <v>1489</v>
      </c>
      <c r="AL163" s="208" t="s">
        <v>1490</v>
      </c>
      <c r="AM163" s="208" t="s">
        <v>1712</v>
      </c>
      <c r="AN163" s="208" t="s">
        <v>1492</v>
      </c>
      <c r="AO163" s="208" t="s">
        <v>1713</v>
      </c>
      <c r="AP163" s="208" t="s">
        <v>1494</v>
      </c>
      <c r="AQ163" s="208" t="s">
        <v>1902</v>
      </c>
      <c r="AR163" s="208" t="s">
        <v>1489</v>
      </c>
      <c r="AS163" s="208" t="s">
        <v>2122</v>
      </c>
      <c r="AT163" s="208" t="s">
        <v>2113</v>
      </c>
      <c r="AU163" s="208" t="s">
        <v>2153</v>
      </c>
      <c r="AV163" s="208" t="s">
        <v>2114</v>
      </c>
      <c r="AW163" s="208" t="s">
        <v>2153</v>
      </c>
      <c r="AX163" s="208" t="s">
        <v>2115</v>
      </c>
      <c r="AY163" s="208" t="s">
        <v>1902</v>
      </c>
      <c r="AZ163" s="208" t="s">
        <v>1489</v>
      </c>
      <c r="BA163" s="208" t="s">
        <v>2122</v>
      </c>
      <c r="BB163" s="208" t="s">
        <v>2109</v>
      </c>
      <c r="BC163" s="208" t="s">
        <v>2153</v>
      </c>
      <c r="BD163" s="208" t="s">
        <v>2111</v>
      </c>
      <c r="BE163" s="208" t="s">
        <v>2154</v>
      </c>
      <c r="BF163" s="208" t="s">
        <v>2108</v>
      </c>
      <c r="BH163" s="208" t="b">
        <v>0</v>
      </c>
      <c r="BK163" s="208" t="b">
        <v>0</v>
      </c>
    </row>
    <row r="164" spans="2:63" hidden="1">
      <c r="B164" s="208">
        <v>15292</v>
      </c>
      <c r="C164" s="208" t="s">
        <v>1061</v>
      </c>
      <c r="D164" s="209">
        <v>96155</v>
      </c>
      <c r="E164" s="210">
        <v>159891</v>
      </c>
      <c r="F164" s="210">
        <v>127913</v>
      </c>
      <c r="H164" s="208" t="s">
        <v>17</v>
      </c>
      <c r="I164" s="208" t="s">
        <v>1504</v>
      </c>
      <c r="J164" s="208" t="s">
        <v>1468</v>
      </c>
      <c r="K164" s="208" t="s">
        <v>1469</v>
      </c>
      <c r="L164" s="208" t="s">
        <v>1470</v>
      </c>
      <c r="M164" s="208" t="s">
        <v>2099</v>
      </c>
      <c r="N164" s="208" t="s">
        <v>1471</v>
      </c>
      <c r="O164" s="208" t="s">
        <v>2220</v>
      </c>
      <c r="Q164" s="208" t="s">
        <v>2108</v>
      </c>
      <c r="R164" s="209" t="s">
        <v>1475</v>
      </c>
      <c r="S164" s="208" t="s">
        <v>2230</v>
      </c>
      <c r="T164" s="208" t="s">
        <v>2301</v>
      </c>
      <c r="U164" s="208" t="s">
        <v>1637</v>
      </c>
      <c r="V164" s="208" t="s">
        <v>2065</v>
      </c>
      <c r="W164" s="209" t="s">
        <v>2065</v>
      </c>
      <c r="X164" s="211">
        <f t="shared" si="2"/>
        <v>44770.875</v>
      </c>
      <c r="Y164" s="208" t="s">
        <v>2226</v>
      </c>
      <c r="Z164" s="208" t="s">
        <v>1482</v>
      </c>
      <c r="AA164" s="208" t="s">
        <v>1483</v>
      </c>
      <c r="AB164" s="208" t="s">
        <v>2246</v>
      </c>
      <c r="AC164" s="208" t="s">
        <v>2244</v>
      </c>
      <c r="AD164" s="208">
        <v>84.88</v>
      </c>
      <c r="AE164" s="208">
        <v>0</v>
      </c>
      <c r="AF164" s="208">
        <v>0</v>
      </c>
      <c r="AG164" s="208" t="s">
        <v>1486</v>
      </c>
      <c r="AH164" s="208" t="s">
        <v>1487</v>
      </c>
      <c r="AI164" s="208" t="s">
        <v>1488</v>
      </c>
      <c r="AJ164" s="208" t="s">
        <v>1489</v>
      </c>
      <c r="AL164" s="208" t="s">
        <v>1635</v>
      </c>
      <c r="AM164" s="208" t="s">
        <v>1637</v>
      </c>
      <c r="AN164" s="208" t="s">
        <v>1637</v>
      </c>
      <c r="AO164" s="208" t="s">
        <v>1637</v>
      </c>
      <c r="AP164" s="208" t="s">
        <v>1638</v>
      </c>
      <c r="AQ164" s="208" t="s">
        <v>1902</v>
      </c>
      <c r="AT164" s="208" t="s">
        <v>2230</v>
      </c>
      <c r="AU164" s="208" t="s">
        <v>1637</v>
      </c>
      <c r="AV164" s="208" t="s">
        <v>2065</v>
      </c>
      <c r="AW164" s="208" t="s">
        <v>2065</v>
      </c>
      <c r="AX164" s="208" t="s">
        <v>2108</v>
      </c>
      <c r="AY164" s="208" t="s">
        <v>1902</v>
      </c>
      <c r="BB164" s="208" t="s">
        <v>2230</v>
      </c>
      <c r="BC164" s="208" t="s">
        <v>2065</v>
      </c>
      <c r="BD164" s="208" t="s">
        <v>2065</v>
      </c>
      <c r="BE164" s="208" t="s">
        <v>2065</v>
      </c>
      <c r="BF164" s="208" t="s">
        <v>2108</v>
      </c>
      <c r="BH164" s="208" t="b">
        <v>0</v>
      </c>
      <c r="BK164" s="208" t="b">
        <v>0</v>
      </c>
    </row>
    <row r="165" spans="2:63" hidden="1">
      <c r="B165" s="208">
        <v>15292</v>
      </c>
      <c r="C165" s="208" t="s">
        <v>1061</v>
      </c>
      <c r="D165" s="209">
        <v>96155</v>
      </c>
      <c r="E165" s="210">
        <v>177674</v>
      </c>
      <c r="F165" s="210">
        <v>124372</v>
      </c>
      <c r="H165" s="208" t="s">
        <v>17</v>
      </c>
      <c r="I165" s="208" t="s">
        <v>1504</v>
      </c>
      <c r="J165" s="208" t="s">
        <v>1468</v>
      </c>
      <c r="K165" s="208" t="s">
        <v>1469</v>
      </c>
      <c r="L165" s="208" t="s">
        <v>1470</v>
      </c>
      <c r="M165" s="208" t="s">
        <v>1668</v>
      </c>
      <c r="N165" s="208" t="s">
        <v>1471</v>
      </c>
      <c r="O165" s="208" t="s">
        <v>2220</v>
      </c>
      <c r="Q165" s="208" t="s">
        <v>2235</v>
      </c>
      <c r="R165" s="209" t="s">
        <v>1475</v>
      </c>
      <c r="S165" s="208" t="s">
        <v>2222</v>
      </c>
      <c r="T165" s="208" t="s">
        <v>2236</v>
      </c>
      <c r="U165" s="208" t="s">
        <v>1519</v>
      </c>
      <c r="V165" s="208" t="s">
        <v>2237</v>
      </c>
      <c r="W165" s="209" t="s">
        <v>2245</v>
      </c>
      <c r="X165" s="211">
        <f t="shared" si="2"/>
        <v>44731.875</v>
      </c>
      <c r="Y165" s="208" t="s">
        <v>2226</v>
      </c>
      <c r="Z165" s="208" t="s">
        <v>1482</v>
      </c>
      <c r="AA165" s="208" t="s">
        <v>1483</v>
      </c>
      <c r="AB165" s="208" t="s">
        <v>2246</v>
      </c>
      <c r="AC165" s="208" t="s">
        <v>1526</v>
      </c>
      <c r="AD165" s="208">
        <v>84.88</v>
      </c>
      <c r="AE165" s="208">
        <v>0</v>
      </c>
      <c r="AF165" s="208">
        <v>94.86</v>
      </c>
      <c r="AG165" s="208" t="s">
        <v>1486</v>
      </c>
      <c r="AH165" s="208" t="s">
        <v>1487</v>
      </c>
      <c r="AI165" s="208" t="s">
        <v>1488</v>
      </c>
      <c r="AJ165" s="208" t="s">
        <v>1489</v>
      </c>
      <c r="AL165" s="208" t="s">
        <v>1517</v>
      </c>
      <c r="AM165" s="208" t="s">
        <v>1519</v>
      </c>
      <c r="AN165" s="208" t="s">
        <v>1519</v>
      </c>
      <c r="AO165" s="208" t="s">
        <v>1624</v>
      </c>
      <c r="AP165" s="208" t="s">
        <v>1521</v>
      </c>
      <c r="AQ165" s="208" t="s">
        <v>1902</v>
      </c>
      <c r="AS165" s="208" t="s">
        <v>1564</v>
      </c>
      <c r="AT165" s="208" t="s">
        <v>2222</v>
      </c>
      <c r="AU165" s="208" t="s">
        <v>1519</v>
      </c>
      <c r="AV165" s="208" t="s">
        <v>2237</v>
      </c>
      <c r="AW165" s="208" t="s">
        <v>2245</v>
      </c>
      <c r="AX165" s="208" t="s">
        <v>2235</v>
      </c>
      <c r="AY165" s="208" t="s">
        <v>1902</v>
      </c>
      <c r="BB165" s="208" t="s">
        <v>2222</v>
      </c>
      <c r="BC165" s="208" t="s">
        <v>2245</v>
      </c>
      <c r="BD165" s="208" t="s">
        <v>2237</v>
      </c>
      <c r="BE165" s="208" t="s">
        <v>2239</v>
      </c>
      <c r="BF165" s="208" t="s">
        <v>2240</v>
      </c>
      <c r="BH165" s="208" t="b">
        <v>0</v>
      </c>
      <c r="BK165" s="208" t="b">
        <v>0</v>
      </c>
    </row>
    <row r="166" spans="2:63" hidden="1">
      <c r="B166" s="208">
        <v>15292</v>
      </c>
      <c r="C166" s="208" t="s">
        <v>1061</v>
      </c>
      <c r="D166" s="209">
        <v>96156</v>
      </c>
      <c r="E166" s="210">
        <v>101000</v>
      </c>
      <c r="F166" s="210">
        <v>65000</v>
      </c>
      <c r="H166" s="208" t="s">
        <v>17</v>
      </c>
      <c r="I166" s="208" t="s">
        <v>1467</v>
      </c>
      <c r="J166" s="208" t="s">
        <v>1468</v>
      </c>
      <c r="K166" s="208" t="s">
        <v>1469</v>
      </c>
      <c r="L166" s="208" t="s">
        <v>1470</v>
      </c>
      <c r="M166" s="208" t="s">
        <v>21</v>
      </c>
      <c r="N166" s="208" t="s">
        <v>1471</v>
      </c>
      <c r="O166" s="208" t="s">
        <v>1547</v>
      </c>
      <c r="P166" s="208" t="s">
        <v>1473</v>
      </c>
      <c r="Q166" s="208" t="s">
        <v>1474</v>
      </c>
      <c r="R166" s="209" t="s">
        <v>1475</v>
      </c>
      <c r="S166" s="208" t="s">
        <v>1693</v>
      </c>
      <c r="T166" s="208" t="s">
        <v>1694</v>
      </c>
      <c r="U166" s="208" t="s">
        <v>1695</v>
      </c>
      <c r="V166" s="208" t="s">
        <v>1696</v>
      </c>
      <c r="W166" s="209" t="s">
        <v>1697</v>
      </c>
      <c r="X166" s="211">
        <f t="shared" si="2"/>
        <v>45852.927777777775</v>
      </c>
      <c r="Y166" s="208" t="s">
        <v>1481</v>
      </c>
      <c r="Z166" s="208" t="s">
        <v>1482</v>
      </c>
      <c r="AA166" s="208" t="s">
        <v>1483</v>
      </c>
      <c r="AB166" s="208" t="s">
        <v>1698</v>
      </c>
      <c r="AC166" s="208" t="s">
        <v>1526</v>
      </c>
      <c r="AE166" s="208">
        <v>81.84</v>
      </c>
      <c r="AG166" s="208" t="s">
        <v>1486</v>
      </c>
      <c r="AH166" s="208" t="s">
        <v>1487</v>
      </c>
      <c r="AI166" s="208" t="s">
        <v>1488</v>
      </c>
      <c r="AJ166" s="208" t="s">
        <v>1489</v>
      </c>
      <c r="AL166" s="208" t="s">
        <v>1490</v>
      </c>
      <c r="AM166" s="208" t="s">
        <v>1699</v>
      </c>
      <c r="AN166" s="208" t="s">
        <v>1492</v>
      </c>
      <c r="AO166" s="208" t="s">
        <v>1700</v>
      </c>
      <c r="AP166" s="208" t="s">
        <v>1494</v>
      </c>
      <c r="AT166" s="208" t="s">
        <v>1693</v>
      </c>
      <c r="AU166" s="208" t="s">
        <v>1695</v>
      </c>
      <c r="AV166" s="208" t="s">
        <v>1701</v>
      </c>
      <c r="AW166" s="208" t="s">
        <v>1695</v>
      </c>
      <c r="AX166" s="208" t="s">
        <v>1572</v>
      </c>
      <c r="BB166" s="208" t="s">
        <v>1693</v>
      </c>
      <c r="BC166" s="208" t="s">
        <v>1695</v>
      </c>
      <c r="BD166" s="208" t="s">
        <v>1696</v>
      </c>
      <c r="BE166" s="208" t="s">
        <v>1697</v>
      </c>
      <c r="BF166" s="208" t="s">
        <v>1474</v>
      </c>
      <c r="BG166" s="208" t="b">
        <v>1</v>
      </c>
      <c r="BH166" s="208" t="b">
        <v>0</v>
      </c>
      <c r="BK166" s="208" t="b">
        <v>0</v>
      </c>
    </row>
    <row r="167" spans="2:63" hidden="1">
      <c r="B167" s="208">
        <v>15292</v>
      </c>
      <c r="C167" s="208" t="s">
        <v>1061</v>
      </c>
      <c r="D167" s="209">
        <v>96156</v>
      </c>
      <c r="E167" s="210">
        <v>97000</v>
      </c>
      <c r="F167" s="210">
        <v>62000</v>
      </c>
      <c r="H167" s="208" t="s">
        <v>17</v>
      </c>
      <c r="I167" s="208" t="s">
        <v>1467</v>
      </c>
      <c r="J167" s="208" t="s">
        <v>1468</v>
      </c>
      <c r="K167" s="208" t="s">
        <v>1469</v>
      </c>
      <c r="L167" s="208" t="s">
        <v>1470</v>
      </c>
      <c r="M167" s="208" t="s">
        <v>21</v>
      </c>
      <c r="N167" s="208" t="s">
        <v>1471</v>
      </c>
      <c r="O167" s="208" t="s">
        <v>1904</v>
      </c>
      <c r="P167" s="208" t="s">
        <v>1626</v>
      </c>
      <c r="Q167" s="208" t="s">
        <v>1474</v>
      </c>
      <c r="R167" s="209" t="s">
        <v>1475</v>
      </c>
      <c r="S167" s="208" t="s">
        <v>1905</v>
      </c>
      <c r="T167" s="208" t="s">
        <v>1965</v>
      </c>
      <c r="U167" s="208" t="s">
        <v>2041</v>
      </c>
      <c r="V167" s="208" t="s">
        <v>1989</v>
      </c>
      <c r="W167" s="209" t="s">
        <v>2042</v>
      </c>
      <c r="X167" s="211">
        <f t="shared" si="2"/>
        <v>45117.714583333334</v>
      </c>
      <c r="Y167" s="208" t="s">
        <v>1481</v>
      </c>
      <c r="Z167" s="208" t="s">
        <v>1524</v>
      </c>
      <c r="AA167" s="208" t="s">
        <v>1483</v>
      </c>
      <c r="AB167" s="208" t="s">
        <v>1698</v>
      </c>
      <c r="AC167" s="208" t="s">
        <v>1526</v>
      </c>
      <c r="AE167" s="208">
        <v>69.12</v>
      </c>
      <c r="AG167" s="208" t="s">
        <v>1486</v>
      </c>
      <c r="AH167" s="208" t="s">
        <v>1487</v>
      </c>
      <c r="AI167" s="208" t="s">
        <v>1488</v>
      </c>
      <c r="AJ167" s="208" t="s">
        <v>1489</v>
      </c>
      <c r="AL167" s="208" t="s">
        <v>1490</v>
      </c>
      <c r="AM167" s="208" t="s">
        <v>1699</v>
      </c>
      <c r="AN167" s="208" t="s">
        <v>1492</v>
      </c>
      <c r="AO167" s="208" t="s">
        <v>1700</v>
      </c>
      <c r="AP167" s="208" t="s">
        <v>1494</v>
      </c>
      <c r="AT167" s="208" t="s">
        <v>1905</v>
      </c>
      <c r="AU167" s="208" t="s">
        <v>2041</v>
      </c>
      <c r="AV167" s="208" t="s">
        <v>2043</v>
      </c>
      <c r="AW167" s="208" t="s">
        <v>2041</v>
      </c>
      <c r="AX167" s="208" t="s">
        <v>1872</v>
      </c>
      <c r="BB167" s="208" t="s">
        <v>1905</v>
      </c>
      <c r="BC167" s="208" t="s">
        <v>2041</v>
      </c>
      <c r="BD167" s="208" t="s">
        <v>1989</v>
      </c>
      <c r="BE167" s="208" t="s">
        <v>2042</v>
      </c>
      <c r="BF167" s="208" t="s">
        <v>1474</v>
      </c>
      <c r="BG167" s="208" t="b">
        <v>1</v>
      </c>
      <c r="BH167" s="208" t="b">
        <v>0</v>
      </c>
      <c r="BK167" s="208" t="b">
        <v>0</v>
      </c>
    </row>
    <row r="168" spans="2:63" hidden="1">
      <c r="B168" s="208">
        <v>15292</v>
      </c>
      <c r="C168" s="208" t="s">
        <v>1061</v>
      </c>
      <c r="D168" s="209">
        <v>96156</v>
      </c>
      <c r="E168" s="210">
        <v>155185.57</v>
      </c>
      <c r="F168" s="210">
        <v>99318.76</v>
      </c>
      <c r="H168" s="208" t="s">
        <v>17</v>
      </c>
      <c r="I168" s="208" t="s">
        <v>1467</v>
      </c>
      <c r="J168" s="208" t="s">
        <v>1468</v>
      </c>
      <c r="K168" s="208" t="s">
        <v>1469</v>
      </c>
      <c r="L168" s="208" t="s">
        <v>1470</v>
      </c>
      <c r="M168" s="208" t="s">
        <v>1668</v>
      </c>
      <c r="N168" s="208" t="s">
        <v>1471</v>
      </c>
      <c r="O168" s="208" t="s">
        <v>2116</v>
      </c>
      <c r="P168" s="208" t="s">
        <v>2101</v>
      </c>
      <c r="Q168" s="208" t="s">
        <v>2108</v>
      </c>
      <c r="R168" s="209" t="s">
        <v>1475</v>
      </c>
      <c r="S168" s="208" t="s">
        <v>2109</v>
      </c>
      <c r="T168" s="208" t="s">
        <v>1699</v>
      </c>
      <c r="U168" s="208" t="s">
        <v>2155</v>
      </c>
      <c r="V168" s="208" t="s">
        <v>2118</v>
      </c>
      <c r="W168" s="209" t="s">
        <v>2156</v>
      </c>
      <c r="X168" s="211">
        <f t="shared" si="2"/>
        <v>45036.432638888888</v>
      </c>
      <c r="Y168" s="208" t="s">
        <v>1481</v>
      </c>
      <c r="Z168" s="208" t="s">
        <v>1482</v>
      </c>
      <c r="AA168" s="208" t="s">
        <v>1483</v>
      </c>
      <c r="AB168" s="208" t="s">
        <v>1698</v>
      </c>
      <c r="AC168" s="208" t="s">
        <v>1526</v>
      </c>
      <c r="AE168" s="208">
        <v>69.12</v>
      </c>
      <c r="AG168" s="208" t="s">
        <v>1486</v>
      </c>
      <c r="AH168" s="208" t="s">
        <v>1487</v>
      </c>
      <c r="AI168" s="208" t="s">
        <v>1488</v>
      </c>
      <c r="AJ168" s="208" t="s">
        <v>1489</v>
      </c>
      <c r="AL168" s="208" t="s">
        <v>1490</v>
      </c>
      <c r="AM168" s="208" t="s">
        <v>1699</v>
      </c>
      <c r="AN168" s="208" t="s">
        <v>1492</v>
      </c>
      <c r="AO168" s="208" t="s">
        <v>1700</v>
      </c>
      <c r="AP168" s="208" t="s">
        <v>1494</v>
      </c>
      <c r="AQ168" s="208" t="s">
        <v>1902</v>
      </c>
      <c r="AR168" s="208" t="s">
        <v>1489</v>
      </c>
      <c r="AS168" s="208" t="s">
        <v>2122</v>
      </c>
      <c r="AT168" s="208" t="s">
        <v>2128</v>
      </c>
      <c r="AU168" s="208" t="s">
        <v>2155</v>
      </c>
      <c r="AV168" s="208" t="s">
        <v>2157</v>
      </c>
      <c r="AW168" s="208" t="s">
        <v>2155</v>
      </c>
      <c r="AX168" s="208" t="s">
        <v>2115</v>
      </c>
      <c r="AY168" s="208" t="s">
        <v>1902</v>
      </c>
      <c r="AZ168" s="208" t="s">
        <v>1489</v>
      </c>
      <c r="BA168" s="208" t="s">
        <v>2122</v>
      </c>
      <c r="BB168" s="208" t="s">
        <v>2109</v>
      </c>
      <c r="BC168" s="208" t="s">
        <v>2155</v>
      </c>
      <c r="BD168" s="208" t="s">
        <v>2118</v>
      </c>
      <c r="BE168" s="208" t="s">
        <v>2156</v>
      </c>
      <c r="BF168" s="208" t="s">
        <v>2108</v>
      </c>
      <c r="BH168" s="208" t="b">
        <v>0</v>
      </c>
      <c r="BK168" s="208" t="b">
        <v>0</v>
      </c>
    </row>
    <row r="169" spans="2:63" hidden="1">
      <c r="B169" s="208">
        <v>15292</v>
      </c>
      <c r="C169" s="208" t="s">
        <v>1061</v>
      </c>
      <c r="D169" s="209">
        <v>96156</v>
      </c>
      <c r="E169" s="210">
        <v>206525</v>
      </c>
      <c r="F169" s="210">
        <v>123915</v>
      </c>
      <c r="H169" s="208" t="s">
        <v>17</v>
      </c>
      <c r="I169" s="208" t="s">
        <v>1467</v>
      </c>
      <c r="J169" s="208" t="s">
        <v>1468</v>
      </c>
      <c r="K169" s="208" t="s">
        <v>1469</v>
      </c>
      <c r="L169" s="208" t="s">
        <v>1470</v>
      </c>
      <c r="M169" s="208" t="s">
        <v>2099</v>
      </c>
      <c r="N169" s="208" t="s">
        <v>1471</v>
      </c>
      <c r="O169" s="208" t="s">
        <v>2220</v>
      </c>
      <c r="Q169" s="208" t="s">
        <v>2108</v>
      </c>
      <c r="R169" s="209" t="s">
        <v>1475</v>
      </c>
      <c r="S169" s="208" t="s">
        <v>2230</v>
      </c>
      <c r="T169" s="208" t="s">
        <v>2310</v>
      </c>
      <c r="U169" s="208" t="s">
        <v>1637</v>
      </c>
      <c r="V169" s="208" t="s">
        <v>2065</v>
      </c>
      <c r="W169" s="209" t="s">
        <v>2065</v>
      </c>
      <c r="X169" s="211">
        <f t="shared" si="2"/>
        <v>44770.875</v>
      </c>
      <c r="Y169" s="208" t="s">
        <v>2226</v>
      </c>
      <c r="Z169" s="208" t="s">
        <v>1482</v>
      </c>
      <c r="AA169" s="208" t="s">
        <v>1483</v>
      </c>
      <c r="AB169" s="208" t="s">
        <v>2311</v>
      </c>
      <c r="AC169" s="208" t="s">
        <v>1526</v>
      </c>
      <c r="AD169" s="208">
        <v>0</v>
      </c>
      <c r="AE169" s="208">
        <v>81.84</v>
      </c>
      <c r="AF169" s="208">
        <v>0</v>
      </c>
      <c r="AG169" s="208" t="s">
        <v>1486</v>
      </c>
      <c r="AH169" s="208" t="s">
        <v>1487</v>
      </c>
      <c r="AI169" s="208" t="s">
        <v>1488</v>
      </c>
      <c r="AJ169" s="208" t="s">
        <v>1489</v>
      </c>
      <c r="AL169" s="208" t="s">
        <v>1635</v>
      </c>
      <c r="AM169" s="208" t="s">
        <v>1637</v>
      </c>
      <c r="AN169" s="208" t="s">
        <v>1637</v>
      </c>
      <c r="AO169" s="208" t="s">
        <v>1637</v>
      </c>
      <c r="AP169" s="208" t="s">
        <v>1638</v>
      </c>
      <c r="AQ169" s="208" t="s">
        <v>1902</v>
      </c>
      <c r="AT169" s="208" t="s">
        <v>2230</v>
      </c>
      <c r="AU169" s="208" t="s">
        <v>1637</v>
      </c>
      <c r="AV169" s="208" t="s">
        <v>2065</v>
      </c>
      <c r="AW169" s="208" t="s">
        <v>2065</v>
      </c>
      <c r="AX169" s="208" t="s">
        <v>2108</v>
      </c>
      <c r="AY169" s="208" t="s">
        <v>1902</v>
      </c>
      <c r="BB169" s="208" t="s">
        <v>2230</v>
      </c>
      <c r="BC169" s="208" t="s">
        <v>2065</v>
      </c>
      <c r="BD169" s="208" t="s">
        <v>2065</v>
      </c>
      <c r="BE169" s="208" t="s">
        <v>2065</v>
      </c>
      <c r="BF169" s="208" t="s">
        <v>2108</v>
      </c>
      <c r="BH169" s="208" t="b">
        <v>0</v>
      </c>
      <c r="BK169" s="208" t="b">
        <v>0</v>
      </c>
    </row>
    <row r="170" spans="2:63" hidden="1">
      <c r="B170" s="208">
        <v>15292</v>
      </c>
      <c r="C170" s="208" t="s">
        <v>1061</v>
      </c>
      <c r="D170" s="209">
        <v>96156</v>
      </c>
      <c r="E170" s="210">
        <v>135995.29999999999</v>
      </c>
      <c r="F170" s="210">
        <v>101996.48</v>
      </c>
      <c r="H170" s="208" t="s">
        <v>17</v>
      </c>
      <c r="I170" s="208" t="s">
        <v>1467</v>
      </c>
      <c r="J170" s="208" t="s">
        <v>1468</v>
      </c>
      <c r="K170" s="208" t="s">
        <v>1469</v>
      </c>
      <c r="L170" s="208" t="s">
        <v>1470</v>
      </c>
      <c r="M170" s="208" t="s">
        <v>1668</v>
      </c>
      <c r="N170" s="208" t="s">
        <v>1471</v>
      </c>
      <c r="O170" s="208" t="s">
        <v>2220</v>
      </c>
      <c r="Q170" s="208" t="s">
        <v>2221</v>
      </c>
      <c r="R170" s="209" t="s">
        <v>1475</v>
      </c>
      <c r="S170" s="208" t="s">
        <v>2222</v>
      </c>
      <c r="T170" s="208" t="s">
        <v>2236</v>
      </c>
      <c r="U170" s="208" t="s">
        <v>1519</v>
      </c>
      <c r="V170" s="208" t="s">
        <v>2224</v>
      </c>
      <c r="W170" s="209" t="s">
        <v>2225</v>
      </c>
      <c r="X170" s="211">
        <f t="shared" si="2"/>
        <v>44725.875</v>
      </c>
      <c r="Y170" s="208" t="s">
        <v>2226</v>
      </c>
      <c r="Z170" s="208" t="s">
        <v>1482</v>
      </c>
      <c r="AA170" s="208" t="s">
        <v>1483</v>
      </c>
      <c r="AB170" s="208" t="s">
        <v>2270</v>
      </c>
      <c r="AC170" s="208" t="s">
        <v>1526</v>
      </c>
      <c r="AD170" s="208">
        <v>0</v>
      </c>
      <c r="AE170" s="208">
        <v>69.12</v>
      </c>
      <c r="AF170" s="208">
        <v>0</v>
      </c>
      <c r="AG170" s="208" t="s">
        <v>1486</v>
      </c>
      <c r="AH170" s="208" t="s">
        <v>1487</v>
      </c>
      <c r="AI170" s="208" t="s">
        <v>1488</v>
      </c>
      <c r="AJ170" s="208" t="s">
        <v>1489</v>
      </c>
      <c r="AL170" s="208" t="s">
        <v>1517</v>
      </c>
      <c r="AM170" s="208" t="s">
        <v>1519</v>
      </c>
      <c r="AN170" s="208" t="s">
        <v>1519</v>
      </c>
      <c r="AO170" s="208" t="s">
        <v>1624</v>
      </c>
      <c r="AP170" s="208" t="s">
        <v>1521</v>
      </c>
      <c r="AQ170" s="208" t="s">
        <v>1902</v>
      </c>
      <c r="AS170" s="208" t="s">
        <v>1564</v>
      </c>
      <c r="AT170" s="208" t="s">
        <v>2222</v>
      </c>
      <c r="AU170" s="208" t="s">
        <v>1519</v>
      </c>
      <c r="AV170" s="208" t="s">
        <v>2224</v>
      </c>
      <c r="AW170" s="208" t="s">
        <v>2225</v>
      </c>
      <c r="AX170" s="208" t="s">
        <v>2221</v>
      </c>
      <c r="AY170" s="208" t="s">
        <v>1902</v>
      </c>
      <c r="BB170" s="208" t="s">
        <v>2222</v>
      </c>
      <c r="BC170" s="208" t="s">
        <v>2225</v>
      </c>
      <c r="BD170" s="208" t="s">
        <v>2224</v>
      </c>
      <c r="BE170" s="208" t="s">
        <v>2228</v>
      </c>
      <c r="BH170" s="208" t="b">
        <v>0</v>
      </c>
      <c r="BK170" s="208" t="b">
        <v>0</v>
      </c>
    </row>
    <row r="171" spans="2:63" hidden="1">
      <c r="B171" s="208">
        <v>15292</v>
      </c>
      <c r="C171" s="208" t="s">
        <v>1061</v>
      </c>
      <c r="D171" s="209">
        <v>96157</v>
      </c>
      <c r="E171" s="210">
        <v>101000</v>
      </c>
      <c r="F171" s="210">
        <v>65000</v>
      </c>
      <c r="H171" s="208" t="s">
        <v>17</v>
      </c>
      <c r="I171" s="208" t="s">
        <v>1467</v>
      </c>
      <c r="J171" s="208" t="s">
        <v>1468</v>
      </c>
      <c r="K171" s="208" t="s">
        <v>1469</v>
      </c>
      <c r="L171" s="208" t="s">
        <v>1470</v>
      </c>
      <c r="M171" s="208" t="s">
        <v>21</v>
      </c>
      <c r="N171" s="208" t="s">
        <v>1471</v>
      </c>
      <c r="O171" s="208" t="s">
        <v>1547</v>
      </c>
      <c r="P171" s="208" t="s">
        <v>1473</v>
      </c>
      <c r="Q171" s="208" t="s">
        <v>1474</v>
      </c>
      <c r="R171" s="209" t="s">
        <v>1475</v>
      </c>
      <c r="S171" s="208" t="s">
        <v>1670</v>
      </c>
      <c r="T171" s="208" t="s">
        <v>1702</v>
      </c>
      <c r="U171" s="208" t="s">
        <v>1703</v>
      </c>
      <c r="V171" s="208" t="s">
        <v>1701</v>
      </c>
      <c r="W171" s="209" t="s">
        <v>1704</v>
      </c>
      <c r="X171" s="211">
        <f t="shared" si="2"/>
        <v>45848.741666666669</v>
      </c>
      <c r="Y171" s="208" t="s">
        <v>1481</v>
      </c>
      <c r="Z171" s="208" t="s">
        <v>1482</v>
      </c>
      <c r="AA171" s="208" t="s">
        <v>1483</v>
      </c>
      <c r="AB171" s="208" t="s">
        <v>1705</v>
      </c>
      <c r="AC171" s="208" t="s">
        <v>1526</v>
      </c>
      <c r="AD171" s="208">
        <v>81.84</v>
      </c>
      <c r="AE171" s="208">
        <v>81.84</v>
      </c>
      <c r="AG171" s="208" t="s">
        <v>1486</v>
      </c>
      <c r="AH171" s="208" t="s">
        <v>1487</v>
      </c>
      <c r="AI171" s="208" t="s">
        <v>1488</v>
      </c>
      <c r="AJ171" s="208" t="s">
        <v>1489</v>
      </c>
      <c r="AL171" s="208" t="s">
        <v>1490</v>
      </c>
      <c r="AM171" s="208" t="s">
        <v>1706</v>
      </c>
      <c r="AN171" s="208" t="s">
        <v>1492</v>
      </c>
      <c r="AO171" s="208" t="s">
        <v>1707</v>
      </c>
      <c r="AP171" s="208" t="s">
        <v>1494</v>
      </c>
      <c r="AT171" s="208" t="s">
        <v>1693</v>
      </c>
      <c r="AU171" s="208" t="s">
        <v>1703</v>
      </c>
      <c r="AV171" s="208" t="s">
        <v>1673</v>
      </c>
      <c r="AW171" s="208" t="s">
        <v>1703</v>
      </c>
      <c r="AX171" s="208" t="s">
        <v>1572</v>
      </c>
      <c r="BB171" s="208" t="s">
        <v>1670</v>
      </c>
      <c r="BC171" s="208" t="s">
        <v>1703</v>
      </c>
      <c r="BD171" s="208" t="s">
        <v>1701</v>
      </c>
      <c r="BE171" s="208" t="s">
        <v>1704</v>
      </c>
      <c r="BF171" s="208" t="s">
        <v>1474</v>
      </c>
      <c r="BG171" s="208" t="b">
        <v>1</v>
      </c>
      <c r="BH171" s="208" t="b">
        <v>0</v>
      </c>
      <c r="BK171" s="208" t="b">
        <v>0</v>
      </c>
    </row>
    <row r="172" spans="2:63" hidden="1">
      <c r="B172" s="208">
        <v>15292</v>
      </c>
      <c r="C172" s="208" t="s">
        <v>1061</v>
      </c>
      <c r="D172" s="209">
        <v>96157</v>
      </c>
      <c r="E172" s="210">
        <v>97000</v>
      </c>
      <c r="F172" s="210">
        <v>62000</v>
      </c>
      <c r="H172" s="208" t="s">
        <v>17</v>
      </c>
      <c r="I172" s="208" t="s">
        <v>1467</v>
      </c>
      <c r="J172" s="208" t="s">
        <v>1468</v>
      </c>
      <c r="K172" s="208" t="s">
        <v>1469</v>
      </c>
      <c r="L172" s="208" t="s">
        <v>1470</v>
      </c>
      <c r="M172" s="208" t="s">
        <v>21</v>
      </c>
      <c r="N172" s="208" t="s">
        <v>1471</v>
      </c>
      <c r="O172" s="208" t="s">
        <v>1904</v>
      </c>
      <c r="P172" s="208" t="s">
        <v>1626</v>
      </c>
      <c r="Q172" s="208" t="s">
        <v>1474</v>
      </c>
      <c r="R172" s="209" t="s">
        <v>1475</v>
      </c>
      <c r="S172" s="208" t="s">
        <v>1905</v>
      </c>
      <c r="T172" s="208" t="s">
        <v>1965</v>
      </c>
      <c r="U172" s="208" t="s">
        <v>1988</v>
      </c>
      <c r="V172" s="208" t="s">
        <v>1989</v>
      </c>
      <c r="W172" s="209" t="s">
        <v>1990</v>
      </c>
      <c r="X172" s="211">
        <f t="shared" si="2"/>
        <v>45117.713888888888</v>
      </c>
      <c r="Y172" s="208" t="s">
        <v>1481</v>
      </c>
      <c r="Z172" s="208" t="s">
        <v>1524</v>
      </c>
      <c r="AA172" s="208" t="s">
        <v>1483</v>
      </c>
      <c r="AB172" s="208" t="s">
        <v>1705</v>
      </c>
      <c r="AC172" s="208" t="s">
        <v>1526</v>
      </c>
      <c r="AD172" s="208">
        <v>81.84</v>
      </c>
      <c r="AE172" s="208">
        <v>69.12</v>
      </c>
      <c r="AG172" s="208" t="s">
        <v>1486</v>
      </c>
      <c r="AH172" s="208" t="s">
        <v>1487</v>
      </c>
      <c r="AI172" s="208" t="s">
        <v>1488</v>
      </c>
      <c r="AJ172" s="208" t="s">
        <v>1489</v>
      </c>
      <c r="AL172" s="208" t="s">
        <v>1490</v>
      </c>
      <c r="AM172" s="208" t="s">
        <v>1706</v>
      </c>
      <c r="AN172" s="208" t="s">
        <v>1492</v>
      </c>
      <c r="AO172" s="208" t="s">
        <v>1707</v>
      </c>
      <c r="AP172" s="208" t="s">
        <v>1494</v>
      </c>
      <c r="AT172" s="208" t="s">
        <v>1905</v>
      </c>
      <c r="AU172" s="208" t="s">
        <v>1988</v>
      </c>
      <c r="AV172" s="208" t="s">
        <v>1991</v>
      </c>
      <c r="AW172" s="208" t="s">
        <v>1988</v>
      </c>
      <c r="AX172" s="208" t="s">
        <v>1872</v>
      </c>
      <c r="BB172" s="208" t="s">
        <v>1905</v>
      </c>
      <c r="BC172" s="208" t="s">
        <v>1988</v>
      </c>
      <c r="BD172" s="208" t="s">
        <v>1989</v>
      </c>
      <c r="BE172" s="208" t="s">
        <v>1990</v>
      </c>
      <c r="BF172" s="208" t="s">
        <v>1474</v>
      </c>
      <c r="BG172" s="208" t="b">
        <v>1</v>
      </c>
      <c r="BH172" s="208" t="b">
        <v>0</v>
      </c>
      <c r="BK172" s="208" t="b">
        <v>0</v>
      </c>
    </row>
    <row r="173" spans="2:63" hidden="1">
      <c r="B173" s="208">
        <v>15292</v>
      </c>
      <c r="C173" s="208" t="s">
        <v>1061</v>
      </c>
      <c r="D173" s="209">
        <v>96157</v>
      </c>
      <c r="E173" s="210">
        <v>155185.57</v>
      </c>
      <c r="F173" s="210">
        <v>99318.76</v>
      </c>
      <c r="H173" s="208" t="s">
        <v>17</v>
      </c>
      <c r="I173" s="208" t="s">
        <v>1467</v>
      </c>
      <c r="J173" s="208" t="s">
        <v>1468</v>
      </c>
      <c r="K173" s="208" t="s">
        <v>1469</v>
      </c>
      <c r="L173" s="208" t="s">
        <v>1470</v>
      </c>
      <c r="M173" s="208" t="s">
        <v>1668</v>
      </c>
      <c r="N173" s="208" t="s">
        <v>1471</v>
      </c>
      <c r="O173" s="208" t="s">
        <v>2116</v>
      </c>
      <c r="P173" s="208" t="s">
        <v>2101</v>
      </c>
      <c r="Q173" s="208" t="s">
        <v>2108</v>
      </c>
      <c r="R173" s="209" t="s">
        <v>1475</v>
      </c>
      <c r="S173" s="208" t="s">
        <v>2109</v>
      </c>
      <c r="T173" s="208" t="s">
        <v>1706</v>
      </c>
      <c r="U173" s="208" t="s">
        <v>2172</v>
      </c>
      <c r="V173" s="208" t="s">
        <v>2111</v>
      </c>
      <c r="W173" s="209" t="s">
        <v>2173</v>
      </c>
      <c r="X173" s="211">
        <f t="shared" si="2"/>
        <v>45036.433333333334</v>
      </c>
      <c r="Y173" s="208" t="s">
        <v>1481</v>
      </c>
      <c r="Z173" s="208" t="s">
        <v>1482</v>
      </c>
      <c r="AA173" s="208" t="s">
        <v>1483</v>
      </c>
      <c r="AB173" s="208" t="s">
        <v>1705</v>
      </c>
      <c r="AC173" s="208" t="s">
        <v>1526</v>
      </c>
      <c r="AD173" s="208">
        <v>81.84</v>
      </c>
      <c r="AE173" s="208">
        <v>69.12</v>
      </c>
      <c r="AG173" s="208" t="s">
        <v>1486</v>
      </c>
      <c r="AH173" s="208" t="s">
        <v>1487</v>
      </c>
      <c r="AI173" s="208" t="s">
        <v>1488</v>
      </c>
      <c r="AJ173" s="208" t="s">
        <v>1489</v>
      </c>
      <c r="AL173" s="208" t="s">
        <v>1490</v>
      </c>
      <c r="AM173" s="208" t="s">
        <v>1706</v>
      </c>
      <c r="AN173" s="208" t="s">
        <v>1492</v>
      </c>
      <c r="AO173" s="208" t="s">
        <v>1707</v>
      </c>
      <c r="AP173" s="208" t="s">
        <v>1494</v>
      </c>
      <c r="AQ173" s="208" t="s">
        <v>1902</v>
      </c>
      <c r="AR173" s="208" t="s">
        <v>1489</v>
      </c>
      <c r="AS173" s="208" t="s">
        <v>1564</v>
      </c>
      <c r="AT173" s="208" t="s">
        <v>2113</v>
      </c>
      <c r="AU173" s="208" t="s">
        <v>2172</v>
      </c>
      <c r="AV173" s="208" t="s">
        <v>2114</v>
      </c>
      <c r="AW173" s="208" t="s">
        <v>2172</v>
      </c>
      <c r="AX173" s="208" t="s">
        <v>2115</v>
      </c>
      <c r="AY173" s="208" t="s">
        <v>1902</v>
      </c>
      <c r="AZ173" s="208" t="s">
        <v>1489</v>
      </c>
      <c r="BA173" s="208" t="s">
        <v>2122</v>
      </c>
      <c r="BB173" s="208" t="s">
        <v>2109</v>
      </c>
      <c r="BC173" s="208" t="s">
        <v>2172</v>
      </c>
      <c r="BD173" s="208" t="s">
        <v>2111</v>
      </c>
      <c r="BE173" s="208" t="s">
        <v>2173</v>
      </c>
      <c r="BF173" s="208" t="s">
        <v>2108</v>
      </c>
      <c r="BH173" s="208" t="b">
        <v>0</v>
      </c>
      <c r="BK173" s="208" t="b">
        <v>0</v>
      </c>
    </row>
    <row r="174" spans="2:63" hidden="1">
      <c r="B174" s="208">
        <v>15292</v>
      </c>
      <c r="C174" s="208" t="s">
        <v>1061</v>
      </c>
      <c r="D174" s="209">
        <v>96157</v>
      </c>
      <c r="E174" s="210">
        <v>206525</v>
      </c>
      <c r="F174" s="210">
        <v>123915</v>
      </c>
      <c r="H174" s="208" t="s">
        <v>17</v>
      </c>
      <c r="I174" s="208" t="s">
        <v>1467</v>
      </c>
      <c r="J174" s="208" t="s">
        <v>1468</v>
      </c>
      <c r="K174" s="208" t="s">
        <v>1469</v>
      </c>
      <c r="L174" s="208" t="s">
        <v>1470</v>
      </c>
      <c r="M174" s="208" t="s">
        <v>2099</v>
      </c>
      <c r="N174" s="208" t="s">
        <v>1471</v>
      </c>
      <c r="O174" s="208" t="s">
        <v>2220</v>
      </c>
      <c r="Q174" s="208" t="s">
        <v>2108</v>
      </c>
      <c r="R174" s="209" t="s">
        <v>1475</v>
      </c>
      <c r="S174" s="208" t="s">
        <v>2230</v>
      </c>
      <c r="T174" s="208" t="s">
        <v>2332</v>
      </c>
      <c r="U174" s="208" t="s">
        <v>1637</v>
      </c>
      <c r="V174" s="208" t="s">
        <v>2065</v>
      </c>
      <c r="W174" s="209" t="s">
        <v>2065</v>
      </c>
      <c r="X174" s="211">
        <f t="shared" si="2"/>
        <v>44770.875</v>
      </c>
      <c r="Y174" s="208" t="s">
        <v>2226</v>
      </c>
      <c r="Z174" s="208" t="s">
        <v>1482</v>
      </c>
      <c r="AA174" s="208" t="s">
        <v>1483</v>
      </c>
      <c r="AB174" s="208" t="s">
        <v>2333</v>
      </c>
      <c r="AC174" s="208" t="s">
        <v>2244</v>
      </c>
      <c r="AD174" s="208">
        <v>0</v>
      </c>
      <c r="AE174" s="208">
        <v>81.84</v>
      </c>
      <c r="AF174" s="208">
        <v>0</v>
      </c>
      <c r="AG174" s="208" t="s">
        <v>1486</v>
      </c>
      <c r="AH174" s="208" t="s">
        <v>1487</v>
      </c>
      <c r="AI174" s="208" t="s">
        <v>1488</v>
      </c>
      <c r="AJ174" s="208" t="s">
        <v>1489</v>
      </c>
      <c r="AL174" s="208" t="s">
        <v>1635</v>
      </c>
      <c r="AM174" s="208" t="s">
        <v>1637</v>
      </c>
      <c r="AN174" s="208" t="s">
        <v>1637</v>
      </c>
      <c r="AO174" s="208" t="s">
        <v>1637</v>
      </c>
      <c r="AP174" s="208" t="s">
        <v>1638</v>
      </c>
      <c r="AQ174" s="208" t="s">
        <v>1902</v>
      </c>
      <c r="AT174" s="208" t="s">
        <v>2230</v>
      </c>
      <c r="AU174" s="208" t="s">
        <v>1637</v>
      </c>
      <c r="AV174" s="208" t="s">
        <v>2065</v>
      </c>
      <c r="AW174" s="208" t="s">
        <v>2065</v>
      </c>
      <c r="AX174" s="208" t="s">
        <v>2108</v>
      </c>
      <c r="AY174" s="208" t="s">
        <v>1902</v>
      </c>
      <c r="BB174" s="208" t="s">
        <v>2230</v>
      </c>
      <c r="BC174" s="208" t="s">
        <v>2065</v>
      </c>
      <c r="BD174" s="208" t="s">
        <v>2065</v>
      </c>
      <c r="BE174" s="208" t="s">
        <v>2065</v>
      </c>
      <c r="BF174" s="208" t="s">
        <v>2108</v>
      </c>
      <c r="BH174" s="208" t="b">
        <v>0</v>
      </c>
      <c r="BK174" s="208" t="b">
        <v>0</v>
      </c>
    </row>
    <row r="175" spans="2:63" hidden="1">
      <c r="B175" s="208">
        <v>15292</v>
      </c>
      <c r="C175" s="208" t="s">
        <v>1061</v>
      </c>
      <c r="D175" s="209">
        <v>96157</v>
      </c>
      <c r="E175" s="210">
        <v>135995.29999999999</v>
      </c>
      <c r="F175" s="210">
        <v>101996.48</v>
      </c>
      <c r="H175" s="208" t="s">
        <v>17</v>
      </c>
      <c r="I175" s="208" t="s">
        <v>1467</v>
      </c>
      <c r="J175" s="208" t="s">
        <v>1468</v>
      </c>
      <c r="K175" s="208" t="s">
        <v>1469</v>
      </c>
      <c r="L175" s="208" t="s">
        <v>1470</v>
      </c>
      <c r="M175" s="208" t="s">
        <v>1668</v>
      </c>
      <c r="N175" s="208" t="s">
        <v>1471</v>
      </c>
      <c r="O175" s="208" t="s">
        <v>2220</v>
      </c>
      <c r="Q175" s="208" t="s">
        <v>2221</v>
      </c>
      <c r="R175" s="209" t="s">
        <v>1475</v>
      </c>
      <c r="S175" s="208" t="s">
        <v>2222</v>
      </c>
      <c r="T175" s="208" t="s">
        <v>2223</v>
      </c>
      <c r="U175" s="208" t="s">
        <v>1519</v>
      </c>
      <c r="V175" s="208" t="s">
        <v>2224</v>
      </c>
      <c r="W175" s="209" t="s">
        <v>2225</v>
      </c>
      <c r="X175" s="211">
        <f t="shared" si="2"/>
        <v>44725.875</v>
      </c>
      <c r="Y175" s="208" t="s">
        <v>2226</v>
      </c>
      <c r="Z175" s="208" t="s">
        <v>1482</v>
      </c>
      <c r="AA175" s="208" t="s">
        <v>1483</v>
      </c>
      <c r="AB175" s="208" t="s">
        <v>2227</v>
      </c>
      <c r="AC175" s="208" t="s">
        <v>1526</v>
      </c>
      <c r="AD175" s="208">
        <v>0</v>
      </c>
      <c r="AE175" s="208">
        <v>69.12</v>
      </c>
      <c r="AF175" s="208">
        <v>0</v>
      </c>
      <c r="AG175" s="208" t="s">
        <v>1486</v>
      </c>
      <c r="AH175" s="208" t="s">
        <v>1487</v>
      </c>
      <c r="AI175" s="208" t="s">
        <v>1488</v>
      </c>
      <c r="AJ175" s="208" t="s">
        <v>1489</v>
      </c>
      <c r="AL175" s="208" t="s">
        <v>1517</v>
      </c>
      <c r="AM175" s="208" t="s">
        <v>1519</v>
      </c>
      <c r="AN175" s="208" t="s">
        <v>1519</v>
      </c>
      <c r="AO175" s="208" t="s">
        <v>1624</v>
      </c>
      <c r="AP175" s="208" t="s">
        <v>1521</v>
      </c>
      <c r="AQ175" s="208" t="s">
        <v>1902</v>
      </c>
      <c r="AS175" s="208" t="s">
        <v>2122</v>
      </c>
      <c r="AT175" s="208" t="s">
        <v>2222</v>
      </c>
      <c r="AU175" s="208" t="s">
        <v>1519</v>
      </c>
      <c r="AV175" s="208" t="s">
        <v>2224</v>
      </c>
      <c r="AW175" s="208" t="s">
        <v>2225</v>
      </c>
      <c r="AX175" s="208" t="s">
        <v>2221</v>
      </c>
      <c r="AY175" s="208" t="s">
        <v>1902</v>
      </c>
      <c r="BB175" s="208" t="s">
        <v>2222</v>
      </c>
      <c r="BC175" s="208" t="s">
        <v>2225</v>
      </c>
      <c r="BD175" s="208" t="s">
        <v>2224</v>
      </c>
      <c r="BE175" s="208" t="s">
        <v>2228</v>
      </c>
      <c r="BH175" s="208" t="b">
        <v>0</v>
      </c>
      <c r="BK175" s="208" t="b">
        <v>0</v>
      </c>
    </row>
    <row r="176" spans="2:63" hidden="1">
      <c r="B176" s="208">
        <v>15292</v>
      </c>
      <c r="C176" s="208" t="s">
        <v>1061</v>
      </c>
      <c r="D176" s="209">
        <v>96158</v>
      </c>
      <c r="E176" s="210">
        <v>144000</v>
      </c>
      <c r="F176" s="210">
        <v>101000</v>
      </c>
      <c r="H176" s="208" t="s">
        <v>17</v>
      </c>
      <c r="I176" s="208" t="s">
        <v>1522</v>
      </c>
      <c r="J176" s="208" t="s">
        <v>1468</v>
      </c>
      <c r="K176" s="208" t="s">
        <v>1469</v>
      </c>
      <c r="L176" s="208" t="s">
        <v>1470</v>
      </c>
      <c r="M176" s="208" t="s">
        <v>21</v>
      </c>
      <c r="N176" s="208" t="s">
        <v>1471</v>
      </c>
      <c r="O176" s="208" t="s">
        <v>1547</v>
      </c>
      <c r="P176" s="208" t="s">
        <v>1473</v>
      </c>
      <c r="Q176" s="208" t="s">
        <v>1474</v>
      </c>
      <c r="R176" s="209" t="s">
        <v>1475</v>
      </c>
      <c r="S176" s="208" t="s">
        <v>1670</v>
      </c>
      <c r="T176" s="208" t="s">
        <v>1725</v>
      </c>
      <c r="U176" s="208" t="s">
        <v>1726</v>
      </c>
      <c r="V176" s="208" t="s">
        <v>1673</v>
      </c>
      <c r="W176" s="209" t="s">
        <v>1727</v>
      </c>
      <c r="X176" s="211">
        <f t="shared" si="2"/>
        <v>45848.469444444447</v>
      </c>
      <c r="Y176" s="208" t="s">
        <v>1481</v>
      </c>
      <c r="Z176" s="208" t="s">
        <v>1482</v>
      </c>
      <c r="AA176" s="208" t="s">
        <v>1483</v>
      </c>
      <c r="AB176" s="208" t="s">
        <v>1525</v>
      </c>
      <c r="AC176" s="208" t="s">
        <v>1526</v>
      </c>
      <c r="AD176" s="208">
        <v>82.27</v>
      </c>
      <c r="AE176" s="208">
        <v>82.27</v>
      </c>
      <c r="AG176" s="208" t="s">
        <v>1486</v>
      </c>
      <c r="AH176" s="208" t="s">
        <v>1487</v>
      </c>
      <c r="AI176" s="208" t="s">
        <v>1488</v>
      </c>
      <c r="AJ176" s="208" t="s">
        <v>1489</v>
      </c>
      <c r="AL176" s="208" t="s">
        <v>1490</v>
      </c>
      <c r="AM176" s="208" t="s">
        <v>1527</v>
      </c>
      <c r="AN176" s="208" t="s">
        <v>1492</v>
      </c>
      <c r="AO176" s="208" t="s">
        <v>1528</v>
      </c>
      <c r="AP176" s="208" t="s">
        <v>1494</v>
      </c>
      <c r="AT176" s="208" t="s">
        <v>1565</v>
      </c>
      <c r="AU176" s="208" t="s">
        <v>1726</v>
      </c>
      <c r="AV176" s="208" t="s">
        <v>1728</v>
      </c>
      <c r="AW176" s="208" t="s">
        <v>1726</v>
      </c>
      <c r="AX176" s="208" t="s">
        <v>1572</v>
      </c>
      <c r="BB176" s="208" t="s">
        <v>1670</v>
      </c>
      <c r="BC176" s="208" t="s">
        <v>1726</v>
      </c>
      <c r="BD176" s="208" t="s">
        <v>1673</v>
      </c>
      <c r="BE176" s="208" t="s">
        <v>1727</v>
      </c>
      <c r="BF176" s="208" t="s">
        <v>1474</v>
      </c>
      <c r="BH176" s="208" t="b">
        <v>0</v>
      </c>
      <c r="BK176" s="208" t="b">
        <v>0</v>
      </c>
    </row>
    <row r="177" spans="2:63" hidden="1">
      <c r="B177" s="208">
        <v>15292</v>
      </c>
      <c r="C177" s="208" t="s">
        <v>1061</v>
      </c>
      <c r="D177" s="209">
        <v>96158</v>
      </c>
      <c r="E177" s="210">
        <v>127800</v>
      </c>
      <c r="F177" s="210">
        <v>127800</v>
      </c>
      <c r="H177" s="208" t="s">
        <v>17</v>
      </c>
      <c r="I177" s="208" t="s">
        <v>1955</v>
      </c>
      <c r="J177" s="208" t="s">
        <v>1468</v>
      </c>
      <c r="K177" s="208" t="s">
        <v>1469</v>
      </c>
      <c r="L177" s="208" t="s">
        <v>1470</v>
      </c>
      <c r="M177" s="208" t="s">
        <v>21</v>
      </c>
      <c r="N177" s="208" t="s">
        <v>1471</v>
      </c>
      <c r="O177" s="208" t="s">
        <v>1904</v>
      </c>
      <c r="P177" s="208" t="s">
        <v>1626</v>
      </c>
      <c r="Q177" s="208" t="s">
        <v>1474</v>
      </c>
      <c r="R177" s="209" t="s">
        <v>1475</v>
      </c>
      <c r="S177" s="208" t="s">
        <v>1956</v>
      </c>
      <c r="T177" s="208" t="s">
        <v>1965</v>
      </c>
      <c r="U177" s="208" t="s">
        <v>2003</v>
      </c>
      <c r="V177" s="208" t="s">
        <v>2004</v>
      </c>
      <c r="W177" s="209" t="s">
        <v>1960</v>
      </c>
      <c r="X177" s="211">
        <f t="shared" si="2"/>
        <v>45110.645833333336</v>
      </c>
      <c r="Y177" s="208" t="s">
        <v>1481</v>
      </c>
      <c r="Z177" s="208" t="s">
        <v>1524</v>
      </c>
      <c r="AA177" s="208" t="s">
        <v>1483</v>
      </c>
      <c r="AB177" s="208" t="s">
        <v>1525</v>
      </c>
      <c r="AC177" s="208" t="s">
        <v>1526</v>
      </c>
      <c r="AD177" s="208">
        <v>82.27</v>
      </c>
      <c r="AE177" s="208">
        <v>82.27</v>
      </c>
      <c r="AG177" s="208" t="s">
        <v>1486</v>
      </c>
      <c r="AH177" s="208" t="s">
        <v>1487</v>
      </c>
      <c r="AI177" s="208" t="s">
        <v>1488</v>
      </c>
      <c r="AJ177" s="208" t="s">
        <v>1489</v>
      </c>
      <c r="AL177" s="208" t="s">
        <v>1490</v>
      </c>
      <c r="AM177" s="208" t="s">
        <v>1527</v>
      </c>
      <c r="AN177" s="208" t="s">
        <v>1492</v>
      </c>
      <c r="AO177" s="208" t="s">
        <v>1528</v>
      </c>
      <c r="AP177" s="208" t="s">
        <v>1494</v>
      </c>
      <c r="AT177" s="208" t="s">
        <v>1956</v>
      </c>
      <c r="AU177" s="208" t="s">
        <v>2003</v>
      </c>
      <c r="AV177" s="208" t="s">
        <v>2005</v>
      </c>
      <c r="AW177" s="208" t="s">
        <v>2003</v>
      </c>
      <c r="AX177" s="208" t="s">
        <v>1859</v>
      </c>
      <c r="BB177" s="208" t="s">
        <v>1956</v>
      </c>
      <c r="BC177" s="208" t="s">
        <v>2003</v>
      </c>
      <c r="BD177" s="208" t="s">
        <v>2004</v>
      </c>
      <c r="BE177" s="208" t="s">
        <v>1960</v>
      </c>
      <c r="BF177" s="208" t="s">
        <v>1474</v>
      </c>
      <c r="BG177" s="208" t="b">
        <v>1</v>
      </c>
      <c r="BH177" s="208" t="b">
        <v>0</v>
      </c>
      <c r="BK177" s="208" t="b">
        <v>0</v>
      </c>
    </row>
    <row r="178" spans="2:63" hidden="1">
      <c r="B178" s="208">
        <v>15292</v>
      </c>
      <c r="C178" s="208" t="s">
        <v>1061</v>
      </c>
      <c r="D178" s="209">
        <v>96158</v>
      </c>
      <c r="E178" s="210">
        <v>64410.59</v>
      </c>
      <c r="F178" s="210">
        <v>64410.59</v>
      </c>
      <c r="H178" s="208" t="s">
        <v>17</v>
      </c>
      <c r="I178" s="208" t="s">
        <v>2134</v>
      </c>
      <c r="J178" s="208" t="s">
        <v>1468</v>
      </c>
      <c r="K178" s="208" t="s">
        <v>1469</v>
      </c>
      <c r="L178" s="208" t="s">
        <v>1470</v>
      </c>
      <c r="M178" s="208" t="s">
        <v>1668</v>
      </c>
      <c r="N178" s="208" t="s">
        <v>1471</v>
      </c>
      <c r="O178" s="208" t="s">
        <v>2116</v>
      </c>
      <c r="P178" s="208" t="s">
        <v>2101</v>
      </c>
      <c r="Q178" s="208" t="s">
        <v>2108</v>
      </c>
      <c r="R178" s="209" t="s">
        <v>1475</v>
      </c>
      <c r="S178" s="208" t="s">
        <v>2109</v>
      </c>
      <c r="T178" s="208" t="s">
        <v>1527</v>
      </c>
      <c r="U178" s="208" t="s">
        <v>2139</v>
      </c>
      <c r="V178" s="208" t="s">
        <v>2139</v>
      </c>
      <c r="W178" s="209" t="s">
        <v>2140</v>
      </c>
      <c r="X178" s="211">
        <f t="shared" si="2"/>
        <v>45036.436805555553</v>
      </c>
      <c r="Y178" s="208" t="s">
        <v>1481</v>
      </c>
      <c r="Z178" s="208" t="s">
        <v>1482</v>
      </c>
      <c r="AA178" s="208" t="s">
        <v>1483</v>
      </c>
      <c r="AB178" s="208" t="s">
        <v>1525</v>
      </c>
      <c r="AC178" s="208" t="s">
        <v>1526</v>
      </c>
      <c r="AD178" s="208">
        <v>82.27</v>
      </c>
      <c r="AE178" s="208">
        <v>66</v>
      </c>
      <c r="AG178" s="208" t="s">
        <v>1486</v>
      </c>
      <c r="AH178" s="208" t="s">
        <v>1487</v>
      </c>
      <c r="AI178" s="208" t="s">
        <v>1488</v>
      </c>
      <c r="AJ178" s="208" t="s">
        <v>1489</v>
      </c>
      <c r="AL178" s="208" t="s">
        <v>1490</v>
      </c>
      <c r="AM178" s="208" t="s">
        <v>1527</v>
      </c>
      <c r="AN178" s="208" t="s">
        <v>1492</v>
      </c>
      <c r="AO178" s="208" t="s">
        <v>1528</v>
      </c>
      <c r="AP178" s="208" t="s">
        <v>1494</v>
      </c>
      <c r="AQ178" s="208" t="s">
        <v>1902</v>
      </c>
      <c r="AR178" s="208" t="s">
        <v>1489</v>
      </c>
      <c r="AS178" s="208" t="s">
        <v>2122</v>
      </c>
      <c r="AT178" s="208" t="s">
        <v>2113</v>
      </c>
      <c r="AU178" s="208" t="s">
        <v>2139</v>
      </c>
      <c r="AV178" s="208" t="s">
        <v>2114</v>
      </c>
      <c r="AW178" s="208" t="s">
        <v>2141</v>
      </c>
      <c r="AX178" s="208" t="s">
        <v>2115</v>
      </c>
      <c r="AY178" s="208" t="s">
        <v>1902</v>
      </c>
      <c r="AZ178" s="208" t="s">
        <v>1489</v>
      </c>
      <c r="BA178" s="208" t="s">
        <v>2122</v>
      </c>
      <c r="BB178" s="208" t="s">
        <v>2109</v>
      </c>
      <c r="BC178" s="208" t="s">
        <v>2139</v>
      </c>
      <c r="BD178" s="208" t="s">
        <v>2139</v>
      </c>
      <c r="BE178" s="208" t="s">
        <v>2140</v>
      </c>
      <c r="BF178" s="208" t="s">
        <v>2108</v>
      </c>
      <c r="BH178" s="208" t="b">
        <v>1</v>
      </c>
      <c r="BK178" s="208" t="b">
        <v>0</v>
      </c>
    </row>
    <row r="179" spans="2:63" hidden="1">
      <c r="B179" s="208">
        <v>15292</v>
      </c>
      <c r="C179" s="208" t="s">
        <v>1061</v>
      </c>
      <c r="D179" s="209">
        <v>96158</v>
      </c>
      <c r="E179" s="210">
        <v>116972</v>
      </c>
      <c r="F179" s="210">
        <v>99426</v>
      </c>
      <c r="H179" s="208" t="s">
        <v>17</v>
      </c>
      <c r="I179" s="208" t="s">
        <v>1784</v>
      </c>
      <c r="J179" s="208" t="s">
        <v>1468</v>
      </c>
      <c r="K179" s="208" t="s">
        <v>1469</v>
      </c>
      <c r="L179" s="208" t="s">
        <v>1470</v>
      </c>
      <c r="M179" s="208" t="s">
        <v>2099</v>
      </c>
      <c r="N179" s="208" t="s">
        <v>1471</v>
      </c>
      <c r="O179" s="208" t="s">
        <v>2220</v>
      </c>
      <c r="Q179" s="208" t="s">
        <v>2241</v>
      </c>
      <c r="R179" s="209" t="s">
        <v>1475</v>
      </c>
      <c r="S179" s="208" t="s">
        <v>2230</v>
      </c>
      <c r="T179" s="208" t="s">
        <v>2247</v>
      </c>
      <c r="U179" s="208" t="s">
        <v>1637</v>
      </c>
      <c r="V179" s="208" t="s">
        <v>2233</v>
      </c>
      <c r="W179" s="209" t="s">
        <v>2233</v>
      </c>
      <c r="X179" s="211">
        <f t="shared" si="2"/>
        <v>44773.875</v>
      </c>
      <c r="Y179" s="208" t="s">
        <v>2226</v>
      </c>
      <c r="Z179" s="208" t="s">
        <v>1482</v>
      </c>
      <c r="AA179" s="208" t="s">
        <v>1483</v>
      </c>
      <c r="AB179" s="208" t="s">
        <v>2248</v>
      </c>
      <c r="AC179" s="208" t="s">
        <v>2244</v>
      </c>
      <c r="AD179" s="208">
        <v>0</v>
      </c>
      <c r="AE179" s="208">
        <v>66</v>
      </c>
      <c r="AF179" s="208">
        <v>0</v>
      </c>
      <c r="AG179" s="208" t="s">
        <v>1486</v>
      </c>
      <c r="AH179" s="208" t="s">
        <v>1487</v>
      </c>
      <c r="AI179" s="208" t="s">
        <v>1488</v>
      </c>
      <c r="AJ179" s="208" t="s">
        <v>1489</v>
      </c>
      <c r="AL179" s="208" t="s">
        <v>1635</v>
      </c>
      <c r="AM179" s="208" t="s">
        <v>1637</v>
      </c>
      <c r="AN179" s="208" t="s">
        <v>1637</v>
      </c>
      <c r="AO179" s="208" t="s">
        <v>1637</v>
      </c>
      <c r="AP179" s="208" t="s">
        <v>1638</v>
      </c>
      <c r="AQ179" s="208" t="s">
        <v>1902</v>
      </c>
      <c r="AS179" s="208" t="s">
        <v>1564</v>
      </c>
      <c r="AT179" s="208" t="s">
        <v>2230</v>
      </c>
      <c r="AU179" s="208" t="s">
        <v>1637</v>
      </c>
      <c r="AV179" s="208" t="s">
        <v>2233</v>
      </c>
      <c r="AW179" s="208" t="s">
        <v>2233</v>
      </c>
      <c r="AX179" s="208" t="s">
        <v>2241</v>
      </c>
      <c r="AY179" s="208" t="s">
        <v>1902</v>
      </c>
      <c r="BB179" s="208" t="s">
        <v>2230</v>
      </c>
      <c r="BC179" s="208" t="s">
        <v>2233</v>
      </c>
      <c r="BD179" s="208" t="s">
        <v>2233</v>
      </c>
      <c r="BE179" s="208" t="s">
        <v>2233</v>
      </c>
      <c r="BF179" s="208" t="s">
        <v>1474</v>
      </c>
      <c r="BH179" s="208" t="b">
        <v>0</v>
      </c>
      <c r="BK179" s="208" t="b">
        <v>0</v>
      </c>
    </row>
    <row r="180" spans="2:63" hidden="1">
      <c r="B180" s="208">
        <v>15292</v>
      </c>
      <c r="C180" s="208" t="s">
        <v>1061</v>
      </c>
      <c r="D180" s="209">
        <v>96158</v>
      </c>
      <c r="E180" s="210">
        <v>225610</v>
      </c>
      <c r="F180" s="210">
        <v>157927</v>
      </c>
      <c r="H180" s="208" t="s">
        <v>17</v>
      </c>
      <c r="I180" s="208" t="s">
        <v>1784</v>
      </c>
      <c r="J180" s="208" t="s">
        <v>1468</v>
      </c>
      <c r="K180" s="208" t="s">
        <v>1469</v>
      </c>
      <c r="L180" s="208" t="s">
        <v>1470</v>
      </c>
      <c r="M180" s="208" t="s">
        <v>1668</v>
      </c>
      <c r="N180" s="208" t="s">
        <v>1471</v>
      </c>
      <c r="O180" s="208" t="s">
        <v>2220</v>
      </c>
      <c r="Q180" s="208" t="s">
        <v>2235</v>
      </c>
      <c r="R180" s="209" t="s">
        <v>1475</v>
      </c>
      <c r="S180" s="208" t="s">
        <v>2222</v>
      </c>
      <c r="T180" s="208" t="s">
        <v>2282</v>
      </c>
      <c r="U180" s="208" t="s">
        <v>1519</v>
      </c>
      <c r="V180" s="208" t="s">
        <v>2237</v>
      </c>
      <c r="W180" s="209" t="s">
        <v>2245</v>
      </c>
      <c r="X180" s="211">
        <f t="shared" si="2"/>
        <v>44731.875</v>
      </c>
      <c r="Y180" s="208" t="s">
        <v>2226</v>
      </c>
      <c r="Z180" s="208" t="s">
        <v>1482</v>
      </c>
      <c r="AA180" s="208" t="s">
        <v>1483</v>
      </c>
      <c r="AB180" s="208" t="s">
        <v>2306</v>
      </c>
      <c r="AC180" s="208" t="s">
        <v>1526</v>
      </c>
      <c r="AD180" s="208">
        <v>0</v>
      </c>
      <c r="AE180" s="208">
        <v>66</v>
      </c>
      <c r="AF180" s="208">
        <v>0</v>
      </c>
      <c r="AG180" s="208" t="s">
        <v>1486</v>
      </c>
      <c r="AH180" s="208" t="s">
        <v>1487</v>
      </c>
      <c r="AI180" s="208" t="s">
        <v>1488</v>
      </c>
      <c r="AJ180" s="208" t="s">
        <v>1489</v>
      </c>
      <c r="AL180" s="208" t="s">
        <v>1517</v>
      </c>
      <c r="AM180" s="208" t="s">
        <v>1519</v>
      </c>
      <c r="AN180" s="208" t="s">
        <v>1519</v>
      </c>
      <c r="AO180" s="208" t="s">
        <v>1624</v>
      </c>
      <c r="AP180" s="208" t="s">
        <v>1521</v>
      </c>
      <c r="AQ180" s="208" t="s">
        <v>1902</v>
      </c>
      <c r="AS180" s="208" t="s">
        <v>1564</v>
      </c>
      <c r="AT180" s="208" t="s">
        <v>2222</v>
      </c>
      <c r="AU180" s="208" t="s">
        <v>1519</v>
      </c>
      <c r="AV180" s="208" t="s">
        <v>2237</v>
      </c>
      <c r="AW180" s="208" t="s">
        <v>2245</v>
      </c>
      <c r="AX180" s="208" t="s">
        <v>2235</v>
      </c>
      <c r="AY180" s="208" t="s">
        <v>1902</v>
      </c>
      <c r="BB180" s="208" t="s">
        <v>2222</v>
      </c>
      <c r="BC180" s="208" t="s">
        <v>2245</v>
      </c>
      <c r="BD180" s="208" t="s">
        <v>2237</v>
      </c>
      <c r="BE180" s="208" t="s">
        <v>2239</v>
      </c>
      <c r="BF180" s="208" t="s">
        <v>2240</v>
      </c>
      <c r="BH180" s="208" t="b">
        <v>0</v>
      </c>
      <c r="BK180" s="208" t="b">
        <v>0</v>
      </c>
    </row>
    <row r="181" spans="2:63" hidden="1">
      <c r="B181" s="208">
        <v>15292</v>
      </c>
      <c r="C181" s="208" t="s">
        <v>1061</v>
      </c>
      <c r="D181" s="209">
        <v>96159</v>
      </c>
      <c r="E181" s="210">
        <v>127800</v>
      </c>
      <c r="F181" s="210">
        <v>127800</v>
      </c>
      <c r="H181" s="208" t="s">
        <v>17</v>
      </c>
      <c r="I181" s="208" t="s">
        <v>1955</v>
      </c>
      <c r="J181" s="208" t="s">
        <v>1468</v>
      </c>
      <c r="K181" s="208" t="s">
        <v>1469</v>
      </c>
      <c r="L181" s="208" t="s">
        <v>1470</v>
      </c>
      <c r="M181" s="208" t="s">
        <v>21</v>
      </c>
      <c r="N181" s="208" t="s">
        <v>1471</v>
      </c>
      <c r="O181" s="208" t="s">
        <v>1904</v>
      </c>
      <c r="P181" s="208" t="s">
        <v>1626</v>
      </c>
      <c r="Q181" s="208" t="s">
        <v>1474</v>
      </c>
      <c r="R181" s="209" t="s">
        <v>1475</v>
      </c>
      <c r="S181" s="208" t="s">
        <v>1956</v>
      </c>
      <c r="T181" s="208" t="s">
        <v>1957</v>
      </c>
      <c r="U181" s="208" t="s">
        <v>1958</v>
      </c>
      <c r="V181" s="208" t="s">
        <v>1959</v>
      </c>
      <c r="W181" s="209" t="s">
        <v>1960</v>
      </c>
      <c r="X181" s="211">
        <f t="shared" si="2"/>
        <v>45110.645833333336</v>
      </c>
      <c r="Y181" s="208" t="s">
        <v>1481</v>
      </c>
      <c r="Z181" s="208" t="s">
        <v>1524</v>
      </c>
      <c r="AA181" s="208" t="s">
        <v>1483</v>
      </c>
      <c r="AB181" s="208" t="s">
        <v>1961</v>
      </c>
      <c r="AC181" s="208" t="s">
        <v>1526</v>
      </c>
      <c r="AD181" s="208">
        <v>66</v>
      </c>
      <c r="AE181" s="208">
        <v>82.27</v>
      </c>
      <c r="AG181" s="208" t="s">
        <v>1486</v>
      </c>
      <c r="AH181" s="208" t="s">
        <v>1487</v>
      </c>
      <c r="AI181" s="208" t="s">
        <v>1488</v>
      </c>
      <c r="AJ181" s="208" t="s">
        <v>1489</v>
      </c>
      <c r="AL181" s="208" t="s">
        <v>1490</v>
      </c>
      <c r="AM181" s="208" t="s">
        <v>1962</v>
      </c>
      <c r="AN181" s="208" t="s">
        <v>1492</v>
      </c>
      <c r="AO181" s="208" t="s">
        <v>1963</v>
      </c>
      <c r="AP181" s="208" t="s">
        <v>1494</v>
      </c>
      <c r="AT181" s="208" t="s">
        <v>1956</v>
      </c>
      <c r="AU181" s="208" t="s">
        <v>1958</v>
      </c>
      <c r="AV181" s="208" t="s">
        <v>1964</v>
      </c>
      <c r="AW181" s="208" t="s">
        <v>1958</v>
      </c>
      <c r="AX181" s="208" t="s">
        <v>1859</v>
      </c>
      <c r="BB181" s="208" t="s">
        <v>1956</v>
      </c>
      <c r="BC181" s="208" t="s">
        <v>1958</v>
      </c>
      <c r="BD181" s="208" t="s">
        <v>1959</v>
      </c>
      <c r="BE181" s="208" t="s">
        <v>1960</v>
      </c>
      <c r="BF181" s="208" t="s">
        <v>1474</v>
      </c>
      <c r="BG181" s="208" t="b">
        <v>1</v>
      </c>
      <c r="BH181" s="208" t="b">
        <v>0</v>
      </c>
      <c r="BK181" s="208" t="b">
        <v>0</v>
      </c>
    </row>
    <row r="182" spans="2:63" hidden="1">
      <c r="B182" s="208">
        <v>15292</v>
      </c>
      <c r="C182" s="208" t="s">
        <v>1061</v>
      </c>
      <c r="D182" s="209">
        <v>96159</v>
      </c>
      <c r="E182" s="210">
        <v>64410.59</v>
      </c>
      <c r="F182" s="210">
        <v>64410.59</v>
      </c>
      <c r="H182" s="208" t="s">
        <v>17</v>
      </c>
      <c r="I182" s="208" t="s">
        <v>2134</v>
      </c>
      <c r="J182" s="208" t="s">
        <v>1468</v>
      </c>
      <c r="K182" s="208" t="s">
        <v>1469</v>
      </c>
      <c r="L182" s="208" t="s">
        <v>1470</v>
      </c>
      <c r="M182" s="208" t="s">
        <v>1668</v>
      </c>
      <c r="N182" s="208" t="s">
        <v>1471</v>
      </c>
      <c r="O182" s="208" t="s">
        <v>2116</v>
      </c>
      <c r="P182" s="208" t="s">
        <v>2101</v>
      </c>
      <c r="Q182" s="208" t="s">
        <v>2108</v>
      </c>
      <c r="R182" s="209" t="s">
        <v>1475</v>
      </c>
      <c r="S182" s="208" t="s">
        <v>2109</v>
      </c>
      <c r="T182" s="208" t="s">
        <v>1962</v>
      </c>
      <c r="U182" s="208" t="s">
        <v>2135</v>
      </c>
      <c r="V182" s="208" t="s">
        <v>2111</v>
      </c>
      <c r="W182" s="209" t="s">
        <v>2136</v>
      </c>
      <c r="X182" s="211">
        <f t="shared" si="2"/>
        <v>45036.435416666667</v>
      </c>
      <c r="Y182" s="208" t="s">
        <v>1481</v>
      </c>
      <c r="Z182" s="208" t="s">
        <v>1482</v>
      </c>
      <c r="AA182" s="208" t="s">
        <v>1483</v>
      </c>
      <c r="AB182" s="208" t="s">
        <v>1961</v>
      </c>
      <c r="AC182" s="208" t="s">
        <v>1526</v>
      </c>
      <c r="AD182" s="208">
        <v>66</v>
      </c>
      <c r="AE182" s="208">
        <v>66</v>
      </c>
      <c r="AG182" s="208" t="s">
        <v>1486</v>
      </c>
      <c r="AH182" s="208" t="s">
        <v>1487</v>
      </c>
      <c r="AI182" s="208" t="s">
        <v>1488</v>
      </c>
      <c r="AJ182" s="208" t="s">
        <v>1489</v>
      </c>
      <c r="AL182" s="208" t="s">
        <v>1490</v>
      </c>
      <c r="AM182" s="208" t="s">
        <v>1962</v>
      </c>
      <c r="AN182" s="208" t="s">
        <v>1492</v>
      </c>
      <c r="AO182" s="208" t="s">
        <v>1963</v>
      </c>
      <c r="AP182" s="208" t="s">
        <v>1494</v>
      </c>
      <c r="AQ182" s="208" t="s">
        <v>1902</v>
      </c>
      <c r="AR182" s="208" t="s">
        <v>1489</v>
      </c>
      <c r="AS182" s="208" t="s">
        <v>1564</v>
      </c>
      <c r="AT182" s="208" t="s">
        <v>2113</v>
      </c>
      <c r="AU182" s="208" t="s">
        <v>2135</v>
      </c>
      <c r="AV182" s="208" t="s">
        <v>2114</v>
      </c>
      <c r="AW182" s="208" t="s">
        <v>2135</v>
      </c>
      <c r="AX182" s="208" t="s">
        <v>2115</v>
      </c>
      <c r="AY182" s="208" t="s">
        <v>1902</v>
      </c>
      <c r="AZ182" s="208" t="s">
        <v>1489</v>
      </c>
      <c r="BA182" s="208" t="s">
        <v>2122</v>
      </c>
      <c r="BB182" s="208" t="s">
        <v>2109</v>
      </c>
      <c r="BC182" s="208" t="s">
        <v>2135</v>
      </c>
      <c r="BD182" s="208" t="s">
        <v>2111</v>
      </c>
      <c r="BE182" s="208" t="s">
        <v>2136</v>
      </c>
      <c r="BF182" s="208" t="s">
        <v>2108</v>
      </c>
      <c r="BH182" s="208" t="b">
        <v>0</v>
      </c>
      <c r="BK182" s="208" t="b">
        <v>0</v>
      </c>
    </row>
    <row r="183" spans="2:63" hidden="1">
      <c r="B183" s="208">
        <v>15292</v>
      </c>
      <c r="C183" s="208" t="s">
        <v>1061</v>
      </c>
      <c r="D183" s="209">
        <v>96159</v>
      </c>
      <c r="E183" s="210">
        <v>116972</v>
      </c>
      <c r="F183" s="210">
        <v>99426</v>
      </c>
      <c r="H183" s="208" t="s">
        <v>17</v>
      </c>
      <c r="I183" s="208" t="s">
        <v>1784</v>
      </c>
      <c r="J183" s="208" t="s">
        <v>1468</v>
      </c>
      <c r="K183" s="208" t="s">
        <v>1469</v>
      </c>
      <c r="L183" s="208" t="s">
        <v>1470</v>
      </c>
      <c r="M183" s="208" t="s">
        <v>2099</v>
      </c>
      <c r="N183" s="208" t="s">
        <v>1471</v>
      </c>
      <c r="O183" s="208" t="s">
        <v>2220</v>
      </c>
      <c r="Q183" s="208" t="s">
        <v>2241</v>
      </c>
      <c r="R183" s="209" t="s">
        <v>1475</v>
      </c>
      <c r="S183" s="208" t="s">
        <v>2230</v>
      </c>
      <c r="T183" s="208" t="s">
        <v>2242</v>
      </c>
      <c r="U183" s="208" t="s">
        <v>1637</v>
      </c>
      <c r="V183" s="208" t="s">
        <v>2233</v>
      </c>
      <c r="W183" s="209" t="s">
        <v>2233</v>
      </c>
      <c r="X183" s="211">
        <f t="shared" si="2"/>
        <v>44773.875</v>
      </c>
      <c r="Y183" s="208" t="s">
        <v>2226</v>
      </c>
      <c r="Z183" s="208" t="s">
        <v>1482</v>
      </c>
      <c r="AA183" s="208" t="s">
        <v>1483</v>
      </c>
      <c r="AB183" s="208" t="s">
        <v>2243</v>
      </c>
      <c r="AC183" s="208" t="s">
        <v>2244</v>
      </c>
      <c r="AD183" s="208">
        <v>66</v>
      </c>
      <c r="AE183" s="208">
        <v>0</v>
      </c>
      <c r="AF183" s="208">
        <v>0</v>
      </c>
      <c r="AG183" s="208" t="s">
        <v>1486</v>
      </c>
      <c r="AH183" s="208" t="s">
        <v>1487</v>
      </c>
      <c r="AI183" s="208" t="s">
        <v>1488</v>
      </c>
      <c r="AJ183" s="208" t="s">
        <v>1489</v>
      </c>
      <c r="AL183" s="208" t="s">
        <v>1635</v>
      </c>
      <c r="AM183" s="208" t="s">
        <v>1637</v>
      </c>
      <c r="AN183" s="208" t="s">
        <v>1637</v>
      </c>
      <c r="AO183" s="208" t="s">
        <v>1637</v>
      </c>
      <c r="AP183" s="208" t="s">
        <v>1638</v>
      </c>
      <c r="AQ183" s="208" t="s">
        <v>1902</v>
      </c>
      <c r="AS183" s="208" t="s">
        <v>1564</v>
      </c>
      <c r="AT183" s="208" t="s">
        <v>2230</v>
      </c>
      <c r="AU183" s="208" t="s">
        <v>1637</v>
      </c>
      <c r="AV183" s="208" t="s">
        <v>2233</v>
      </c>
      <c r="AW183" s="208" t="s">
        <v>2233</v>
      </c>
      <c r="AX183" s="208" t="s">
        <v>2241</v>
      </c>
      <c r="AY183" s="208" t="s">
        <v>1902</v>
      </c>
      <c r="BB183" s="208" t="s">
        <v>2230</v>
      </c>
      <c r="BC183" s="208" t="s">
        <v>2233</v>
      </c>
      <c r="BD183" s="208" t="s">
        <v>2233</v>
      </c>
      <c r="BE183" s="208" t="s">
        <v>2233</v>
      </c>
      <c r="BF183" s="208" t="s">
        <v>1474</v>
      </c>
      <c r="BH183" s="208" t="b">
        <v>0</v>
      </c>
      <c r="BK183" s="208" t="b">
        <v>0</v>
      </c>
    </row>
    <row r="184" spans="2:63" hidden="1">
      <c r="B184" s="208">
        <v>15292</v>
      </c>
      <c r="C184" s="208" t="s">
        <v>1061</v>
      </c>
      <c r="D184" s="209">
        <v>96159</v>
      </c>
      <c r="E184" s="210">
        <v>88086</v>
      </c>
      <c r="F184" s="210">
        <v>58137</v>
      </c>
      <c r="H184" s="208" t="s">
        <v>17</v>
      </c>
      <c r="I184" s="208" t="s">
        <v>1784</v>
      </c>
      <c r="J184" s="208" t="s">
        <v>1468</v>
      </c>
      <c r="K184" s="208" t="s">
        <v>1469</v>
      </c>
      <c r="L184" s="208" t="s">
        <v>1470</v>
      </c>
      <c r="M184" s="208" t="s">
        <v>1668</v>
      </c>
      <c r="N184" s="208" t="s">
        <v>1471</v>
      </c>
      <c r="O184" s="208" t="s">
        <v>2220</v>
      </c>
      <c r="Q184" s="208" t="s">
        <v>2229</v>
      </c>
      <c r="R184" s="209" t="s">
        <v>1475</v>
      </c>
      <c r="S184" s="208" t="s">
        <v>2222</v>
      </c>
      <c r="T184" s="208" t="s">
        <v>2282</v>
      </c>
      <c r="U184" s="208" t="s">
        <v>1519</v>
      </c>
      <c r="V184" s="208" t="s">
        <v>2237</v>
      </c>
      <c r="W184" s="209" t="s">
        <v>2273</v>
      </c>
      <c r="X184" s="211">
        <f t="shared" si="2"/>
        <v>44726.875</v>
      </c>
      <c r="Y184" s="208" t="s">
        <v>2226</v>
      </c>
      <c r="Z184" s="208" t="s">
        <v>1482</v>
      </c>
      <c r="AA184" s="208" t="s">
        <v>1483</v>
      </c>
      <c r="AB184" s="208" t="s">
        <v>2334</v>
      </c>
      <c r="AC184" s="208" t="s">
        <v>1526</v>
      </c>
      <c r="AD184" s="208">
        <v>0</v>
      </c>
      <c r="AE184" s="208">
        <v>66</v>
      </c>
      <c r="AF184" s="208">
        <v>0</v>
      </c>
      <c r="AG184" s="208" t="s">
        <v>1486</v>
      </c>
      <c r="AH184" s="208" t="s">
        <v>1487</v>
      </c>
      <c r="AI184" s="208" t="s">
        <v>1488</v>
      </c>
      <c r="AJ184" s="208" t="s">
        <v>1489</v>
      </c>
      <c r="AL184" s="208" t="s">
        <v>1517</v>
      </c>
      <c r="AM184" s="208" t="s">
        <v>1519</v>
      </c>
      <c r="AN184" s="208" t="s">
        <v>1519</v>
      </c>
      <c r="AO184" s="208" t="s">
        <v>1624</v>
      </c>
      <c r="AP184" s="208" t="s">
        <v>1521</v>
      </c>
      <c r="AQ184" s="208" t="s">
        <v>1902</v>
      </c>
      <c r="AS184" s="208" t="s">
        <v>1564</v>
      </c>
      <c r="AT184" s="208" t="s">
        <v>2222</v>
      </c>
      <c r="AU184" s="208" t="s">
        <v>1519</v>
      </c>
      <c r="AV184" s="208" t="s">
        <v>2237</v>
      </c>
      <c r="AW184" s="208" t="s">
        <v>2273</v>
      </c>
      <c r="AX184" s="208" t="s">
        <v>2229</v>
      </c>
      <c r="AY184" s="208" t="s">
        <v>1902</v>
      </c>
      <c r="BB184" s="208" t="s">
        <v>2222</v>
      </c>
      <c r="BC184" s="208" t="s">
        <v>2273</v>
      </c>
      <c r="BD184" s="208" t="s">
        <v>2237</v>
      </c>
      <c r="BE184" s="208" t="s">
        <v>2239</v>
      </c>
      <c r="BF184" s="208" t="s">
        <v>2240</v>
      </c>
      <c r="BH184" s="208" t="b">
        <v>0</v>
      </c>
      <c r="BK184" s="208" t="b">
        <v>0</v>
      </c>
    </row>
    <row r="185" spans="2:63" hidden="1">
      <c r="B185" s="208">
        <v>15292</v>
      </c>
      <c r="C185" s="208" t="s">
        <v>1061</v>
      </c>
      <c r="D185" s="209">
        <v>102753</v>
      </c>
      <c r="E185" s="210">
        <v>168000</v>
      </c>
      <c r="F185" s="210">
        <v>118000</v>
      </c>
      <c r="H185" s="208" t="s">
        <v>17</v>
      </c>
      <c r="I185" s="208" t="s">
        <v>1555</v>
      </c>
      <c r="J185" s="208" t="s">
        <v>1468</v>
      </c>
      <c r="K185" s="208" t="s">
        <v>1469</v>
      </c>
      <c r="L185" s="208" t="s">
        <v>1470</v>
      </c>
      <c r="M185" s="208" t="s">
        <v>21</v>
      </c>
      <c r="N185" s="208" t="s">
        <v>1471</v>
      </c>
      <c r="O185" s="208" t="s">
        <v>1472</v>
      </c>
      <c r="P185" s="208" t="s">
        <v>1473</v>
      </c>
      <c r="Q185" s="208" t="s">
        <v>1474</v>
      </c>
      <c r="R185" s="209" t="s">
        <v>1475</v>
      </c>
      <c r="S185" s="208" t="s">
        <v>1578</v>
      </c>
      <c r="T185" s="208" t="s">
        <v>1592</v>
      </c>
      <c r="U185" s="208" t="s">
        <v>1593</v>
      </c>
      <c r="V185" s="208" t="s">
        <v>1581</v>
      </c>
      <c r="W185" s="209" t="s">
        <v>1594</v>
      </c>
      <c r="X185" s="211">
        <f t="shared" si="2"/>
        <v>45938.428472222222</v>
      </c>
      <c r="Y185" s="208" t="s">
        <v>1481</v>
      </c>
      <c r="Z185" s="208" t="s">
        <v>1482</v>
      </c>
      <c r="AA185" s="208" t="s">
        <v>1483</v>
      </c>
      <c r="AB185" s="208" t="s">
        <v>1583</v>
      </c>
      <c r="AC185" s="208" t="s">
        <v>1584</v>
      </c>
      <c r="AF185" s="208">
        <v>300</v>
      </c>
      <c r="AG185" s="208" t="s">
        <v>1486</v>
      </c>
      <c r="AH185" s="208" t="s">
        <v>1487</v>
      </c>
      <c r="AI185" s="208" t="s">
        <v>1488</v>
      </c>
      <c r="AJ185" s="208" t="s">
        <v>1489</v>
      </c>
      <c r="AL185" s="208" t="s">
        <v>1585</v>
      </c>
      <c r="AM185" s="208" t="s">
        <v>1595</v>
      </c>
      <c r="AN185" s="208" t="s">
        <v>1587</v>
      </c>
      <c r="AO185" s="208" t="s">
        <v>1596</v>
      </c>
      <c r="AP185" s="208" t="s">
        <v>1589</v>
      </c>
      <c r="AT185" s="208" t="s">
        <v>1590</v>
      </c>
      <c r="AU185" s="208" t="s">
        <v>1593</v>
      </c>
      <c r="AV185" s="208" t="s">
        <v>1591</v>
      </c>
      <c r="AW185" s="208" t="s">
        <v>1593</v>
      </c>
      <c r="AX185" s="208" t="s">
        <v>1572</v>
      </c>
      <c r="BB185" s="208" t="s">
        <v>1578</v>
      </c>
      <c r="BC185" s="208" t="s">
        <v>1593</v>
      </c>
      <c r="BD185" s="208" t="s">
        <v>1581</v>
      </c>
      <c r="BE185" s="208" t="s">
        <v>1594</v>
      </c>
      <c r="BF185" s="208" t="s">
        <v>1474</v>
      </c>
      <c r="BG185" s="208" t="b">
        <v>1</v>
      </c>
      <c r="BH185" s="208" t="b">
        <v>0</v>
      </c>
      <c r="BK185" s="208" t="b">
        <v>0</v>
      </c>
    </row>
    <row r="186" spans="2:63" hidden="1">
      <c r="B186" s="208">
        <v>15292</v>
      </c>
      <c r="C186" s="208" t="s">
        <v>1061</v>
      </c>
      <c r="D186" s="209">
        <v>102753</v>
      </c>
      <c r="E186" s="210">
        <v>191000</v>
      </c>
      <c r="F186" s="210">
        <v>136000</v>
      </c>
      <c r="H186" s="208" t="s">
        <v>17</v>
      </c>
      <c r="I186" s="208" t="s">
        <v>1555</v>
      </c>
      <c r="J186" s="208" t="s">
        <v>1468</v>
      </c>
      <c r="K186" s="208" t="s">
        <v>1469</v>
      </c>
      <c r="L186" s="208" t="s">
        <v>1470</v>
      </c>
      <c r="M186" s="208" t="s">
        <v>21</v>
      </c>
      <c r="N186" s="208" t="s">
        <v>1471</v>
      </c>
      <c r="O186" s="208" t="s">
        <v>1904</v>
      </c>
      <c r="P186" s="208" t="s">
        <v>1626</v>
      </c>
      <c r="Q186" s="208" t="s">
        <v>1474</v>
      </c>
      <c r="R186" s="209" t="s">
        <v>1475</v>
      </c>
      <c r="S186" s="208" t="s">
        <v>1905</v>
      </c>
      <c r="T186" s="208" t="s">
        <v>2052</v>
      </c>
      <c r="U186" s="208" t="s">
        <v>2079</v>
      </c>
      <c r="V186" s="208" t="s">
        <v>2080</v>
      </c>
      <c r="W186" s="209" t="s">
        <v>2081</v>
      </c>
      <c r="X186" s="211">
        <f t="shared" si="2"/>
        <v>45117.484722222223</v>
      </c>
      <c r="Y186" s="208" t="s">
        <v>1481</v>
      </c>
      <c r="Z186" s="208" t="s">
        <v>1524</v>
      </c>
      <c r="AA186" s="208" t="s">
        <v>1483</v>
      </c>
      <c r="AB186" s="208" t="s">
        <v>1583</v>
      </c>
      <c r="AC186" s="208" t="s">
        <v>1584</v>
      </c>
      <c r="AF186" s="208">
        <v>300</v>
      </c>
      <c r="AG186" s="208" t="s">
        <v>1486</v>
      </c>
      <c r="AH186" s="208" t="s">
        <v>1487</v>
      </c>
      <c r="AI186" s="208" t="s">
        <v>1488</v>
      </c>
      <c r="AJ186" s="208" t="s">
        <v>1489</v>
      </c>
      <c r="AL186" s="208" t="s">
        <v>1585</v>
      </c>
      <c r="AM186" s="208" t="s">
        <v>1595</v>
      </c>
      <c r="AN186" s="208" t="s">
        <v>1587</v>
      </c>
      <c r="AO186" s="208" t="s">
        <v>1596</v>
      </c>
      <c r="AP186" s="208" t="s">
        <v>1589</v>
      </c>
      <c r="AT186" s="208" t="s">
        <v>1905</v>
      </c>
      <c r="AU186" s="208" t="s">
        <v>2079</v>
      </c>
      <c r="AV186" s="208" t="s">
        <v>2082</v>
      </c>
      <c r="AW186" s="208" t="s">
        <v>2079</v>
      </c>
      <c r="AX186" s="208" t="s">
        <v>1872</v>
      </c>
      <c r="BB186" s="208" t="s">
        <v>1905</v>
      </c>
      <c r="BC186" s="208" t="s">
        <v>2079</v>
      </c>
      <c r="BD186" s="208" t="s">
        <v>2080</v>
      </c>
      <c r="BE186" s="208" t="s">
        <v>2081</v>
      </c>
      <c r="BF186" s="208" t="s">
        <v>1474</v>
      </c>
      <c r="BG186" s="208" t="b">
        <v>1</v>
      </c>
      <c r="BH186" s="208" t="b">
        <v>0</v>
      </c>
      <c r="BK186" s="208" t="b">
        <v>0</v>
      </c>
    </row>
    <row r="187" spans="2:63" hidden="1">
      <c r="B187" s="208">
        <v>15292</v>
      </c>
      <c r="C187" s="208" t="s">
        <v>1061</v>
      </c>
      <c r="D187" s="209">
        <v>102753</v>
      </c>
      <c r="E187" s="210">
        <v>180203.92</v>
      </c>
      <c r="F187" s="210">
        <v>138757.01</v>
      </c>
      <c r="H187" s="208" t="s">
        <v>17</v>
      </c>
      <c r="I187" s="208" t="s">
        <v>1555</v>
      </c>
      <c r="J187" s="208" t="s">
        <v>1468</v>
      </c>
      <c r="K187" s="208" t="s">
        <v>1469</v>
      </c>
      <c r="L187" s="208" t="s">
        <v>1470</v>
      </c>
      <c r="M187" s="208" t="s">
        <v>1668</v>
      </c>
      <c r="N187" s="208" t="s">
        <v>1471</v>
      </c>
      <c r="O187" s="208" t="s">
        <v>2116</v>
      </c>
      <c r="P187" s="208" t="s">
        <v>2101</v>
      </c>
      <c r="Q187" s="208" t="s">
        <v>2108</v>
      </c>
      <c r="R187" s="209" t="s">
        <v>1475</v>
      </c>
      <c r="S187" s="208" t="s">
        <v>2109</v>
      </c>
      <c r="T187" s="208" t="s">
        <v>1595</v>
      </c>
      <c r="U187" s="208" t="s">
        <v>2164</v>
      </c>
      <c r="V187" s="208" t="s">
        <v>2118</v>
      </c>
      <c r="W187" s="209" t="s">
        <v>2165</v>
      </c>
      <c r="X187" s="211">
        <f t="shared" si="2"/>
        <v>45035.726388888892</v>
      </c>
      <c r="Y187" s="208" t="s">
        <v>1481</v>
      </c>
      <c r="Z187" s="208" t="s">
        <v>1482</v>
      </c>
      <c r="AA187" s="208" t="s">
        <v>1483</v>
      </c>
      <c r="AB187" s="208" t="s">
        <v>1583</v>
      </c>
      <c r="AC187" s="208" t="s">
        <v>1584</v>
      </c>
      <c r="AF187" s="208">
        <v>300</v>
      </c>
      <c r="AG187" s="208" t="s">
        <v>1486</v>
      </c>
      <c r="AH187" s="208" t="s">
        <v>1487</v>
      </c>
      <c r="AI187" s="208" t="s">
        <v>1488</v>
      </c>
      <c r="AJ187" s="208" t="s">
        <v>1489</v>
      </c>
      <c r="AL187" s="208" t="s">
        <v>1585</v>
      </c>
      <c r="AM187" s="208" t="s">
        <v>1595</v>
      </c>
      <c r="AN187" s="208" t="s">
        <v>1587</v>
      </c>
      <c r="AO187" s="208" t="s">
        <v>1596</v>
      </c>
      <c r="AP187" s="208" t="s">
        <v>1589</v>
      </c>
      <c r="AQ187" s="208" t="s">
        <v>1902</v>
      </c>
      <c r="AR187" s="208" t="s">
        <v>1489</v>
      </c>
      <c r="AS187" s="208" t="s">
        <v>2122</v>
      </c>
      <c r="AT187" s="208" t="s">
        <v>2120</v>
      </c>
      <c r="AU187" s="208" t="s">
        <v>2164</v>
      </c>
      <c r="AV187" s="208" t="s">
        <v>2121</v>
      </c>
      <c r="AW187" s="208" t="s">
        <v>2164</v>
      </c>
      <c r="AX187" s="208" t="s">
        <v>2115</v>
      </c>
      <c r="AY187" s="208" t="s">
        <v>1902</v>
      </c>
      <c r="AZ187" s="208" t="s">
        <v>1489</v>
      </c>
      <c r="BA187" s="208" t="s">
        <v>2122</v>
      </c>
      <c r="BB187" s="208" t="s">
        <v>2109</v>
      </c>
      <c r="BC187" s="208" t="s">
        <v>2164</v>
      </c>
      <c r="BD187" s="208" t="s">
        <v>2118</v>
      </c>
      <c r="BE187" s="208" t="s">
        <v>2165</v>
      </c>
      <c r="BF187" s="208" t="s">
        <v>2108</v>
      </c>
      <c r="BH187" s="208" t="b">
        <v>0</v>
      </c>
      <c r="BK187" s="208" t="b">
        <v>0</v>
      </c>
    </row>
    <row r="188" spans="2:63" hidden="1">
      <c r="B188" s="208">
        <v>15292</v>
      </c>
      <c r="C188" s="208" t="s">
        <v>1061</v>
      </c>
      <c r="D188" s="209">
        <v>102753</v>
      </c>
      <c r="E188" s="210">
        <v>194398</v>
      </c>
      <c r="F188" s="210">
        <v>155518</v>
      </c>
      <c r="H188" s="208" t="s">
        <v>17</v>
      </c>
      <c r="I188" s="208" t="s">
        <v>1555</v>
      </c>
      <c r="J188" s="208" t="s">
        <v>1468</v>
      </c>
      <c r="K188" s="208" t="s">
        <v>1469</v>
      </c>
      <c r="L188" s="208" t="s">
        <v>1470</v>
      </c>
      <c r="M188" s="208" t="s">
        <v>2099</v>
      </c>
      <c r="N188" s="208" t="s">
        <v>1471</v>
      </c>
      <c r="O188" s="208" t="s">
        <v>2220</v>
      </c>
      <c r="Q188" s="208" t="s">
        <v>2108</v>
      </c>
      <c r="R188" s="209" t="s">
        <v>1475</v>
      </c>
      <c r="S188" s="208" t="s">
        <v>2230</v>
      </c>
      <c r="T188" s="208" t="s">
        <v>2258</v>
      </c>
      <c r="U188" s="208" t="s">
        <v>1637</v>
      </c>
      <c r="V188" s="208" t="s">
        <v>2233</v>
      </c>
      <c r="W188" s="209" t="s">
        <v>2233</v>
      </c>
      <c r="X188" s="211">
        <f t="shared" si="2"/>
        <v>44773.875</v>
      </c>
      <c r="Y188" s="208" t="s">
        <v>2226</v>
      </c>
      <c r="Z188" s="208" t="s">
        <v>1482</v>
      </c>
      <c r="AA188" s="208" t="s">
        <v>1483</v>
      </c>
      <c r="AB188" s="208" t="s">
        <v>1583</v>
      </c>
      <c r="AC188" s="208" t="s">
        <v>1815</v>
      </c>
      <c r="AD188" s="208">
        <v>0</v>
      </c>
      <c r="AE188" s="208">
        <v>0</v>
      </c>
      <c r="AF188" s="208">
        <v>300</v>
      </c>
      <c r="AG188" s="208" t="s">
        <v>1486</v>
      </c>
      <c r="AH188" s="208" t="s">
        <v>1487</v>
      </c>
      <c r="AI188" s="208" t="s">
        <v>1488</v>
      </c>
      <c r="AJ188" s="208" t="s">
        <v>1489</v>
      </c>
      <c r="AL188" s="208" t="s">
        <v>1635</v>
      </c>
      <c r="AM188" s="208" t="s">
        <v>1637</v>
      </c>
      <c r="AN188" s="208" t="s">
        <v>1637</v>
      </c>
      <c r="AO188" s="208" t="s">
        <v>1637</v>
      </c>
      <c r="AP188" s="208" t="s">
        <v>1638</v>
      </c>
      <c r="AQ188" s="208" t="s">
        <v>1902</v>
      </c>
      <c r="AT188" s="208" t="s">
        <v>2230</v>
      </c>
      <c r="AU188" s="208" t="s">
        <v>1637</v>
      </c>
      <c r="AV188" s="208" t="s">
        <v>2233</v>
      </c>
      <c r="AW188" s="208" t="s">
        <v>2233</v>
      </c>
      <c r="AX188" s="208" t="s">
        <v>2108</v>
      </c>
      <c r="AY188" s="208" t="s">
        <v>1902</v>
      </c>
      <c r="BB188" s="208" t="s">
        <v>2230</v>
      </c>
      <c r="BC188" s="208" t="s">
        <v>2233</v>
      </c>
      <c r="BD188" s="208" t="s">
        <v>2233</v>
      </c>
      <c r="BE188" s="208" t="s">
        <v>2233</v>
      </c>
      <c r="BF188" s="208" t="s">
        <v>2108</v>
      </c>
      <c r="BH188" s="208" t="b">
        <v>0</v>
      </c>
      <c r="BK188" s="208" t="b">
        <v>0</v>
      </c>
    </row>
    <row r="189" spans="2:63" hidden="1">
      <c r="B189" s="208">
        <v>15292</v>
      </c>
      <c r="C189" s="208" t="s">
        <v>1061</v>
      </c>
      <c r="D189" s="209">
        <v>102753</v>
      </c>
      <c r="E189" s="210">
        <v>188162</v>
      </c>
      <c r="F189" s="210">
        <v>135801</v>
      </c>
      <c r="H189" s="208" t="s">
        <v>17</v>
      </c>
      <c r="I189" s="208" t="s">
        <v>1555</v>
      </c>
      <c r="J189" s="208" t="s">
        <v>1468</v>
      </c>
      <c r="K189" s="208" t="s">
        <v>1469</v>
      </c>
      <c r="L189" s="208" t="s">
        <v>1470</v>
      </c>
      <c r="M189" s="208" t="s">
        <v>1668</v>
      </c>
      <c r="N189" s="208" t="s">
        <v>1471</v>
      </c>
      <c r="O189" s="208" t="s">
        <v>2220</v>
      </c>
      <c r="Q189" s="208" t="s">
        <v>2235</v>
      </c>
      <c r="R189" s="209" t="s">
        <v>1475</v>
      </c>
      <c r="S189" s="208" t="s">
        <v>2222</v>
      </c>
      <c r="T189" s="208" t="s">
        <v>2259</v>
      </c>
      <c r="U189" s="208" t="s">
        <v>1519</v>
      </c>
      <c r="V189" s="208" t="s">
        <v>2237</v>
      </c>
      <c r="W189" s="209" t="s">
        <v>2245</v>
      </c>
      <c r="X189" s="211">
        <f t="shared" si="2"/>
        <v>44731.875</v>
      </c>
      <c r="Y189" s="208" t="s">
        <v>2226</v>
      </c>
      <c r="Z189" s="208" t="s">
        <v>1482</v>
      </c>
      <c r="AA189" s="208" t="s">
        <v>1483</v>
      </c>
      <c r="AB189" s="208" t="s">
        <v>1583</v>
      </c>
      <c r="AC189" s="208" t="s">
        <v>1584</v>
      </c>
      <c r="AD189" s="208">
        <v>0</v>
      </c>
      <c r="AE189" s="208">
        <v>0</v>
      </c>
      <c r="AF189" s="208">
        <v>300</v>
      </c>
      <c r="AG189" s="208" t="s">
        <v>1486</v>
      </c>
      <c r="AH189" s="208" t="s">
        <v>1487</v>
      </c>
      <c r="AI189" s="208" t="s">
        <v>1488</v>
      </c>
      <c r="AJ189" s="208" t="s">
        <v>1489</v>
      </c>
      <c r="AL189" s="208" t="s">
        <v>1517</v>
      </c>
      <c r="AM189" s="208" t="s">
        <v>1519</v>
      </c>
      <c r="AN189" s="208" t="s">
        <v>1519</v>
      </c>
      <c r="AO189" s="208" t="s">
        <v>1624</v>
      </c>
      <c r="AP189" s="208" t="s">
        <v>1521</v>
      </c>
      <c r="AQ189" s="208" t="s">
        <v>1902</v>
      </c>
      <c r="AS189" s="208" t="s">
        <v>1564</v>
      </c>
      <c r="AT189" s="208" t="s">
        <v>2222</v>
      </c>
      <c r="AU189" s="208" t="s">
        <v>1519</v>
      </c>
      <c r="AV189" s="208" t="s">
        <v>2237</v>
      </c>
      <c r="AW189" s="208" t="s">
        <v>2245</v>
      </c>
      <c r="AX189" s="208" t="s">
        <v>2235</v>
      </c>
      <c r="AY189" s="208" t="s">
        <v>1902</v>
      </c>
      <c r="BB189" s="208" t="s">
        <v>2222</v>
      </c>
      <c r="BC189" s="208" t="s">
        <v>2245</v>
      </c>
      <c r="BD189" s="208" t="s">
        <v>2237</v>
      </c>
      <c r="BE189" s="208" t="s">
        <v>2239</v>
      </c>
      <c r="BF189" s="208" t="s">
        <v>2240</v>
      </c>
      <c r="BH189" s="208" t="b">
        <v>0</v>
      </c>
      <c r="BK189" s="208" t="b">
        <v>0</v>
      </c>
    </row>
    <row r="190" spans="2:63" hidden="1">
      <c r="B190" s="208">
        <v>15292</v>
      </c>
      <c r="C190" s="208" t="s">
        <v>1061</v>
      </c>
      <c r="D190" s="209">
        <v>102754</v>
      </c>
      <c r="E190" s="210">
        <v>168000</v>
      </c>
      <c r="F190" s="210">
        <v>118000</v>
      </c>
      <c r="H190" s="208" t="s">
        <v>17</v>
      </c>
      <c r="I190" s="208" t="s">
        <v>1555</v>
      </c>
      <c r="J190" s="208" t="s">
        <v>1468</v>
      </c>
      <c r="K190" s="208" t="s">
        <v>1469</v>
      </c>
      <c r="L190" s="208" t="s">
        <v>1470</v>
      </c>
      <c r="M190" s="208" t="s">
        <v>21</v>
      </c>
      <c r="N190" s="208" t="s">
        <v>1471</v>
      </c>
      <c r="O190" s="208" t="s">
        <v>1472</v>
      </c>
      <c r="P190" s="208" t="s">
        <v>1473</v>
      </c>
      <c r="Q190" s="208" t="s">
        <v>1474</v>
      </c>
      <c r="R190" s="209" t="s">
        <v>1475</v>
      </c>
      <c r="S190" s="208" t="s">
        <v>1578</v>
      </c>
      <c r="T190" s="208" t="s">
        <v>1579</v>
      </c>
      <c r="U190" s="208" t="s">
        <v>1580</v>
      </c>
      <c r="V190" s="208" t="s">
        <v>1581</v>
      </c>
      <c r="W190" s="209" t="s">
        <v>1582</v>
      </c>
      <c r="X190" s="211">
        <f t="shared" si="2"/>
        <v>45938.427777777775</v>
      </c>
      <c r="Y190" s="208" t="s">
        <v>1481</v>
      </c>
      <c r="Z190" s="208" t="s">
        <v>1482</v>
      </c>
      <c r="AA190" s="208" t="s">
        <v>1483</v>
      </c>
      <c r="AB190" s="208" t="s">
        <v>1583</v>
      </c>
      <c r="AC190" s="208" t="s">
        <v>1584</v>
      </c>
      <c r="AF190" s="208">
        <v>300</v>
      </c>
      <c r="AG190" s="208" t="s">
        <v>1486</v>
      </c>
      <c r="AH190" s="208" t="s">
        <v>1487</v>
      </c>
      <c r="AI190" s="208" t="s">
        <v>1488</v>
      </c>
      <c r="AJ190" s="208" t="s">
        <v>1489</v>
      </c>
      <c r="AL190" s="208" t="s">
        <v>1585</v>
      </c>
      <c r="AM190" s="208" t="s">
        <v>1586</v>
      </c>
      <c r="AN190" s="208" t="s">
        <v>1587</v>
      </c>
      <c r="AO190" s="208" t="s">
        <v>1588</v>
      </c>
      <c r="AP190" s="208" t="s">
        <v>1589</v>
      </c>
      <c r="AT190" s="208" t="s">
        <v>1590</v>
      </c>
      <c r="AU190" s="208" t="s">
        <v>1580</v>
      </c>
      <c r="AV190" s="208" t="s">
        <v>1591</v>
      </c>
      <c r="AW190" s="208" t="s">
        <v>1580</v>
      </c>
      <c r="AX190" s="208" t="s">
        <v>1572</v>
      </c>
      <c r="BB190" s="208" t="s">
        <v>1578</v>
      </c>
      <c r="BC190" s="208" t="s">
        <v>1580</v>
      </c>
      <c r="BD190" s="208" t="s">
        <v>1581</v>
      </c>
      <c r="BE190" s="208" t="s">
        <v>1582</v>
      </c>
      <c r="BF190" s="208" t="s">
        <v>1474</v>
      </c>
      <c r="BG190" s="208" t="b">
        <v>1</v>
      </c>
      <c r="BH190" s="208" t="b">
        <v>0</v>
      </c>
      <c r="BK190" s="208" t="b">
        <v>0</v>
      </c>
    </row>
    <row r="191" spans="2:63" hidden="1">
      <c r="B191" s="208">
        <v>15292</v>
      </c>
      <c r="C191" s="208" t="s">
        <v>1061</v>
      </c>
      <c r="D191" s="209">
        <v>102754</v>
      </c>
      <c r="E191" s="210">
        <v>191000</v>
      </c>
      <c r="F191" s="210">
        <v>136000</v>
      </c>
      <c r="H191" s="208" t="s">
        <v>17</v>
      </c>
      <c r="I191" s="208" t="s">
        <v>1555</v>
      </c>
      <c r="J191" s="208" t="s">
        <v>1468</v>
      </c>
      <c r="K191" s="208" t="s">
        <v>1469</v>
      </c>
      <c r="L191" s="208" t="s">
        <v>1470</v>
      </c>
      <c r="M191" s="208" t="s">
        <v>21</v>
      </c>
      <c r="N191" s="208" t="s">
        <v>1471</v>
      </c>
      <c r="O191" s="208" t="s">
        <v>1904</v>
      </c>
      <c r="P191" s="208" t="s">
        <v>1626</v>
      </c>
      <c r="Q191" s="208" t="s">
        <v>1474</v>
      </c>
      <c r="R191" s="209" t="s">
        <v>1475</v>
      </c>
      <c r="S191" s="208" t="s">
        <v>1905</v>
      </c>
      <c r="T191" s="208" t="s">
        <v>2052</v>
      </c>
      <c r="U191" s="208" t="s">
        <v>2087</v>
      </c>
      <c r="V191" s="208" t="s">
        <v>2088</v>
      </c>
      <c r="W191" s="209" t="s">
        <v>2088</v>
      </c>
      <c r="X191" s="211">
        <f t="shared" si="2"/>
        <v>45117.486111111109</v>
      </c>
      <c r="Y191" s="208" t="s">
        <v>1481</v>
      </c>
      <c r="Z191" s="208" t="s">
        <v>1524</v>
      </c>
      <c r="AA191" s="208" t="s">
        <v>1483</v>
      </c>
      <c r="AB191" s="208" t="s">
        <v>1583</v>
      </c>
      <c r="AC191" s="208" t="s">
        <v>1584</v>
      </c>
      <c r="AF191" s="208">
        <v>300</v>
      </c>
      <c r="AG191" s="208" t="s">
        <v>1486</v>
      </c>
      <c r="AH191" s="208" t="s">
        <v>1487</v>
      </c>
      <c r="AI191" s="208" t="s">
        <v>1488</v>
      </c>
      <c r="AJ191" s="208" t="s">
        <v>1489</v>
      </c>
      <c r="AL191" s="208" t="s">
        <v>1585</v>
      </c>
      <c r="AM191" s="208" t="s">
        <v>1586</v>
      </c>
      <c r="AN191" s="208" t="s">
        <v>1587</v>
      </c>
      <c r="AO191" s="208" t="s">
        <v>1588</v>
      </c>
      <c r="AP191" s="208" t="s">
        <v>1589</v>
      </c>
      <c r="AT191" s="208" t="s">
        <v>1905</v>
      </c>
      <c r="AU191" s="208" t="s">
        <v>2087</v>
      </c>
      <c r="AV191" s="208" t="s">
        <v>2082</v>
      </c>
      <c r="AW191" s="208" t="s">
        <v>2087</v>
      </c>
      <c r="AX191" s="208" t="s">
        <v>1872</v>
      </c>
      <c r="BB191" s="208" t="s">
        <v>1905</v>
      </c>
      <c r="BC191" s="208" t="s">
        <v>2087</v>
      </c>
      <c r="BD191" s="208" t="s">
        <v>2088</v>
      </c>
      <c r="BE191" s="208" t="s">
        <v>2088</v>
      </c>
      <c r="BF191" s="208" t="s">
        <v>1474</v>
      </c>
      <c r="BG191" s="208" t="b">
        <v>1</v>
      </c>
      <c r="BH191" s="208" t="b">
        <v>0</v>
      </c>
      <c r="BK191" s="208" t="b">
        <v>0</v>
      </c>
    </row>
    <row r="192" spans="2:63" hidden="1">
      <c r="B192" s="208">
        <v>15292</v>
      </c>
      <c r="C192" s="208" t="s">
        <v>1061</v>
      </c>
      <c r="D192" s="209">
        <v>102754</v>
      </c>
      <c r="E192" s="210">
        <v>180203.92</v>
      </c>
      <c r="F192" s="210">
        <v>138757.01</v>
      </c>
      <c r="H192" s="208" t="s">
        <v>17</v>
      </c>
      <c r="I192" s="208" t="s">
        <v>1555</v>
      </c>
      <c r="J192" s="208" t="s">
        <v>1468</v>
      </c>
      <c r="K192" s="208" t="s">
        <v>1469</v>
      </c>
      <c r="L192" s="208" t="s">
        <v>1470</v>
      </c>
      <c r="M192" s="208" t="s">
        <v>1668</v>
      </c>
      <c r="N192" s="208" t="s">
        <v>1471</v>
      </c>
      <c r="O192" s="208" t="s">
        <v>2116</v>
      </c>
      <c r="P192" s="208" t="s">
        <v>2101</v>
      </c>
      <c r="Q192" s="208" t="s">
        <v>2108</v>
      </c>
      <c r="R192" s="209" t="s">
        <v>1475</v>
      </c>
      <c r="S192" s="208" t="s">
        <v>2109</v>
      </c>
      <c r="T192" s="208" t="s">
        <v>1586</v>
      </c>
      <c r="U192" s="208" t="s">
        <v>2170</v>
      </c>
      <c r="V192" s="208" t="s">
        <v>2171</v>
      </c>
      <c r="W192" s="209" t="s">
        <v>2165</v>
      </c>
      <c r="X192" s="211">
        <f t="shared" si="2"/>
        <v>45035.726388888892</v>
      </c>
      <c r="Y192" s="208" t="s">
        <v>1481</v>
      </c>
      <c r="Z192" s="208" t="s">
        <v>1482</v>
      </c>
      <c r="AA192" s="208" t="s">
        <v>1483</v>
      </c>
      <c r="AB192" s="208" t="s">
        <v>1583</v>
      </c>
      <c r="AC192" s="208" t="s">
        <v>1584</v>
      </c>
      <c r="AF192" s="208">
        <v>300</v>
      </c>
      <c r="AG192" s="208" t="s">
        <v>1486</v>
      </c>
      <c r="AH192" s="208" t="s">
        <v>1487</v>
      </c>
      <c r="AI192" s="208" t="s">
        <v>1488</v>
      </c>
      <c r="AJ192" s="208" t="s">
        <v>1489</v>
      </c>
      <c r="AL192" s="208" t="s">
        <v>1585</v>
      </c>
      <c r="AM192" s="208" t="s">
        <v>1586</v>
      </c>
      <c r="AN192" s="208" t="s">
        <v>1587</v>
      </c>
      <c r="AO192" s="208" t="s">
        <v>1588</v>
      </c>
      <c r="AP192" s="208" t="s">
        <v>1589</v>
      </c>
      <c r="AQ192" s="208" t="s">
        <v>1902</v>
      </c>
      <c r="AR192" s="208" t="s">
        <v>1489</v>
      </c>
      <c r="AS192" s="208" t="s">
        <v>1564</v>
      </c>
      <c r="AT192" s="208" t="s">
        <v>2120</v>
      </c>
      <c r="AU192" s="208" t="s">
        <v>2170</v>
      </c>
      <c r="AV192" s="208" t="s">
        <v>2121</v>
      </c>
      <c r="AW192" s="208" t="s">
        <v>2170</v>
      </c>
      <c r="AX192" s="208" t="s">
        <v>2115</v>
      </c>
      <c r="AY192" s="208" t="s">
        <v>1902</v>
      </c>
      <c r="AZ192" s="208" t="s">
        <v>1489</v>
      </c>
      <c r="BA192" s="208" t="s">
        <v>2122</v>
      </c>
      <c r="BB192" s="208" t="s">
        <v>2109</v>
      </c>
      <c r="BC192" s="208" t="s">
        <v>2170</v>
      </c>
      <c r="BD192" s="208" t="s">
        <v>2171</v>
      </c>
      <c r="BE192" s="208" t="s">
        <v>2165</v>
      </c>
      <c r="BF192" s="208" t="s">
        <v>2108</v>
      </c>
      <c r="BH192" s="208" t="b">
        <v>0</v>
      </c>
      <c r="BK192" s="208" t="b">
        <v>0</v>
      </c>
    </row>
    <row r="193" spans="2:63" hidden="1">
      <c r="B193" s="208">
        <v>15292</v>
      </c>
      <c r="C193" s="208" t="s">
        <v>1061</v>
      </c>
      <c r="D193" s="209">
        <v>102754</v>
      </c>
      <c r="E193" s="210">
        <v>194398</v>
      </c>
      <c r="F193" s="210">
        <v>155518</v>
      </c>
      <c r="H193" s="208" t="s">
        <v>17</v>
      </c>
      <c r="I193" s="208" t="s">
        <v>1555</v>
      </c>
      <c r="J193" s="208" t="s">
        <v>1468</v>
      </c>
      <c r="K193" s="208" t="s">
        <v>1469</v>
      </c>
      <c r="L193" s="208" t="s">
        <v>1470</v>
      </c>
      <c r="M193" s="208" t="s">
        <v>2099</v>
      </c>
      <c r="N193" s="208" t="s">
        <v>1471</v>
      </c>
      <c r="O193" s="208" t="s">
        <v>2220</v>
      </c>
      <c r="Q193" s="208" t="s">
        <v>2108</v>
      </c>
      <c r="R193" s="209" t="s">
        <v>1475</v>
      </c>
      <c r="S193" s="208" t="s">
        <v>2230</v>
      </c>
      <c r="T193" s="208" t="s">
        <v>2343</v>
      </c>
      <c r="U193" s="208" t="s">
        <v>1637</v>
      </c>
      <c r="V193" s="208" t="s">
        <v>2233</v>
      </c>
      <c r="W193" s="209" t="s">
        <v>2233</v>
      </c>
      <c r="X193" s="211">
        <f t="shared" si="2"/>
        <v>44773.875</v>
      </c>
      <c r="Y193" s="208" t="s">
        <v>2226</v>
      </c>
      <c r="Z193" s="208" t="s">
        <v>1482</v>
      </c>
      <c r="AA193" s="208" t="s">
        <v>1483</v>
      </c>
      <c r="AB193" s="208" t="s">
        <v>1583</v>
      </c>
      <c r="AC193" s="208" t="s">
        <v>1815</v>
      </c>
      <c r="AD193" s="208">
        <v>0</v>
      </c>
      <c r="AE193" s="208">
        <v>0</v>
      </c>
      <c r="AF193" s="208">
        <v>300</v>
      </c>
      <c r="AG193" s="208" t="s">
        <v>1486</v>
      </c>
      <c r="AH193" s="208" t="s">
        <v>1487</v>
      </c>
      <c r="AI193" s="208" t="s">
        <v>1488</v>
      </c>
      <c r="AJ193" s="208" t="s">
        <v>1489</v>
      </c>
      <c r="AL193" s="208" t="s">
        <v>1635</v>
      </c>
      <c r="AM193" s="208" t="s">
        <v>1637</v>
      </c>
      <c r="AN193" s="208" t="s">
        <v>1637</v>
      </c>
      <c r="AO193" s="208" t="s">
        <v>1637</v>
      </c>
      <c r="AP193" s="208" t="s">
        <v>1638</v>
      </c>
      <c r="AQ193" s="208" t="s">
        <v>1902</v>
      </c>
      <c r="AT193" s="208" t="s">
        <v>2230</v>
      </c>
      <c r="AU193" s="208" t="s">
        <v>1637</v>
      </c>
      <c r="AV193" s="208" t="s">
        <v>2233</v>
      </c>
      <c r="AW193" s="208" t="s">
        <v>2233</v>
      </c>
      <c r="AX193" s="208" t="s">
        <v>2108</v>
      </c>
      <c r="AY193" s="208" t="s">
        <v>1902</v>
      </c>
      <c r="BB193" s="208" t="s">
        <v>2230</v>
      </c>
      <c r="BC193" s="208" t="s">
        <v>2233</v>
      </c>
      <c r="BD193" s="208" t="s">
        <v>2233</v>
      </c>
      <c r="BE193" s="208" t="s">
        <v>2233</v>
      </c>
      <c r="BF193" s="208" t="s">
        <v>2108</v>
      </c>
      <c r="BH193" s="208" t="b">
        <v>0</v>
      </c>
      <c r="BK193" s="208" t="b">
        <v>0</v>
      </c>
    </row>
    <row r="194" spans="2:63" hidden="1">
      <c r="B194" s="208">
        <v>15292</v>
      </c>
      <c r="C194" s="208" t="s">
        <v>1061</v>
      </c>
      <c r="D194" s="209">
        <v>102754</v>
      </c>
      <c r="E194" s="210">
        <v>188612</v>
      </c>
      <c r="F194" s="210">
        <v>135801</v>
      </c>
      <c r="H194" s="208" t="s">
        <v>17</v>
      </c>
      <c r="I194" s="208" t="s">
        <v>1555</v>
      </c>
      <c r="J194" s="208" t="s">
        <v>1468</v>
      </c>
      <c r="K194" s="208" t="s">
        <v>1469</v>
      </c>
      <c r="L194" s="208" t="s">
        <v>1470</v>
      </c>
      <c r="M194" s="208" t="s">
        <v>1668</v>
      </c>
      <c r="N194" s="208" t="s">
        <v>1471</v>
      </c>
      <c r="O194" s="208" t="s">
        <v>2220</v>
      </c>
      <c r="Q194" s="208" t="s">
        <v>2235</v>
      </c>
      <c r="R194" s="209" t="s">
        <v>1475</v>
      </c>
      <c r="S194" s="208" t="s">
        <v>2222</v>
      </c>
      <c r="T194" s="208" t="s">
        <v>2264</v>
      </c>
      <c r="U194" s="208" t="s">
        <v>1519</v>
      </c>
      <c r="V194" s="208" t="s">
        <v>2237</v>
      </c>
      <c r="W194" s="209" t="s">
        <v>2245</v>
      </c>
      <c r="X194" s="211">
        <f t="shared" ref="X194:X208" si="3">W194*1</f>
        <v>44731.875</v>
      </c>
      <c r="Y194" s="208" t="s">
        <v>2226</v>
      </c>
      <c r="Z194" s="208" t="s">
        <v>1482</v>
      </c>
      <c r="AA194" s="208" t="s">
        <v>1483</v>
      </c>
      <c r="AB194" s="208" t="s">
        <v>2265</v>
      </c>
      <c r="AC194" s="208" t="s">
        <v>1584</v>
      </c>
      <c r="AD194" s="208">
        <v>0</v>
      </c>
      <c r="AE194" s="208">
        <v>0</v>
      </c>
      <c r="AF194" s="208">
        <v>300</v>
      </c>
      <c r="AG194" s="208" t="s">
        <v>1486</v>
      </c>
      <c r="AH194" s="208" t="s">
        <v>1487</v>
      </c>
      <c r="AI194" s="208" t="s">
        <v>1488</v>
      </c>
      <c r="AJ194" s="208" t="s">
        <v>1489</v>
      </c>
      <c r="AL194" s="208" t="s">
        <v>1517</v>
      </c>
      <c r="AM194" s="208" t="s">
        <v>1519</v>
      </c>
      <c r="AN194" s="208" t="s">
        <v>1519</v>
      </c>
      <c r="AO194" s="208" t="s">
        <v>1624</v>
      </c>
      <c r="AP194" s="208" t="s">
        <v>1521</v>
      </c>
      <c r="AQ194" s="208" t="s">
        <v>1902</v>
      </c>
      <c r="AS194" s="208" t="s">
        <v>1564</v>
      </c>
      <c r="AT194" s="208" t="s">
        <v>2222</v>
      </c>
      <c r="AU194" s="208" t="s">
        <v>1519</v>
      </c>
      <c r="AV194" s="208" t="s">
        <v>2237</v>
      </c>
      <c r="AW194" s="208" t="s">
        <v>2245</v>
      </c>
      <c r="AX194" s="208" t="s">
        <v>2235</v>
      </c>
      <c r="AY194" s="208" t="s">
        <v>1902</v>
      </c>
      <c r="BB194" s="208" t="s">
        <v>2222</v>
      </c>
      <c r="BC194" s="208" t="s">
        <v>2245</v>
      </c>
      <c r="BD194" s="208" t="s">
        <v>2237</v>
      </c>
      <c r="BE194" s="208" t="s">
        <v>2239</v>
      </c>
      <c r="BF194" s="208" t="s">
        <v>2240</v>
      </c>
      <c r="BH194" s="208" t="b">
        <v>0</v>
      </c>
      <c r="BK194" s="208" t="b">
        <v>0</v>
      </c>
    </row>
    <row r="195" spans="2:63" hidden="1">
      <c r="B195" s="208">
        <v>15292</v>
      </c>
      <c r="C195" s="208" t="s">
        <v>1061</v>
      </c>
      <c r="D195" s="209">
        <v>116945</v>
      </c>
      <c r="E195" s="210">
        <v>15000</v>
      </c>
      <c r="F195" s="210">
        <v>0</v>
      </c>
      <c r="H195" s="208" t="s">
        <v>17</v>
      </c>
      <c r="I195" s="208" t="s">
        <v>1555</v>
      </c>
      <c r="J195" s="208" t="s">
        <v>1556</v>
      </c>
      <c r="K195" s="208" t="s">
        <v>1469</v>
      </c>
      <c r="L195" s="208" t="s">
        <v>1470</v>
      </c>
      <c r="M195" s="208" t="s">
        <v>21</v>
      </c>
      <c r="N195" s="208" t="s">
        <v>1471</v>
      </c>
      <c r="O195" s="208" t="s">
        <v>1472</v>
      </c>
      <c r="P195" s="208" t="s">
        <v>1473</v>
      </c>
      <c r="Q195" s="208" t="s">
        <v>1474</v>
      </c>
      <c r="R195" s="209" t="s">
        <v>1475</v>
      </c>
      <c r="S195" s="208" t="s">
        <v>1557</v>
      </c>
      <c r="T195" s="208" t="s">
        <v>1573</v>
      </c>
      <c r="U195" s="208" t="s">
        <v>1574</v>
      </c>
      <c r="V195" s="208" t="s">
        <v>1560</v>
      </c>
      <c r="W195" s="209" t="s">
        <v>1575</v>
      </c>
      <c r="X195" s="211">
        <f t="shared" si="3"/>
        <v>45951.411805555559</v>
      </c>
      <c r="Y195" s="208" t="s">
        <v>1481</v>
      </c>
      <c r="Z195" s="208" t="s">
        <v>1482</v>
      </c>
      <c r="AA195" s="208" t="s">
        <v>1483</v>
      </c>
      <c r="AB195" s="208" t="s">
        <v>1562</v>
      </c>
      <c r="AC195" s="208" t="s">
        <v>1563</v>
      </c>
      <c r="AF195" s="208">
        <v>250</v>
      </c>
      <c r="AG195" s="208" t="s">
        <v>1486</v>
      </c>
      <c r="AH195" s="208" t="s">
        <v>1487</v>
      </c>
      <c r="AI195" s="208" t="s">
        <v>1488</v>
      </c>
      <c r="AJ195" s="208" t="s">
        <v>1489</v>
      </c>
      <c r="AK195" s="208" t="s">
        <v>1564</v>
      </c>
      <c r="AL195" s="208" t="s">
        <v>1565</v>
      </c>
      <c r="AM195" s="208" t="s">
        <v>1566</v>
      </c>
      <c r="AN195" s="208" t="s">
        <v>1567</v>
      </c>
      <c r="AO195" s="208" t="s">
        <v>1576</v>
      </c>
      <c r="AP195" s="208" t="s">
        <v>1569</v>
      </c>
      <c r="AT195" s="208" t="s">
        <v>1570</v>
      </c>
      <c r="AU195" s="208" t="s">
        <v>1574</v>
      </c>
      <c r="AV195" s="208" t="s">
        <v>1571</v>
      </c>
      <c r="AW195" s="208" t="s">
        <v>1577</v>
      </c>
      <c r="AX195" s="208" t="s">
        <v>1572</v>
      </c>
      <c r="BB195" s="208" t="s">
        <v>1557</v>
      </c>
      <c r="BC195" s="208" t="s">
        <v>1574</v>
      </c>
      <c r="BD195" s="208" t="s">
        <v>1560</v>
      </c>
      <c r="BE195" s="208" t="s">
        <v>1575</v>
      </c>
      <c r="BF195" s="208" t="s">
        <v>1474</v>
      </c>
      <c r="BH195" s="208" t="b">
        <v>0</v>
      </c>
      <c r="BK195" s="208" t="b">
        <v>0</v>
      </c>
    </row>
    <row r="196" spans="2:63" hidden="1">
      <c r="B196" s="208">
        <v>15292</v>
      </c>
      <c r="C196" s="208" t="s">
        <v>1061</v>
      </c>
      <c r="D196" s="209">
        <v>116945</v>
      </c>
      <c r="H196" s="208" t="s">
        <v>17</v>
      </c>
      <c r="I196" s="208" t="s">
        <v>1555</v>
      </c>
      <c r="J196" s="208" t="s">
        <v>1556</v>
      </c>
      <c r="K196" s="208" t="s">
        <v>1469</v>
      </c>
      <c r="L196" s="208" t="s">
        <v>1685</v>
      </c>
      <c r="M196" s="208" t="s">
        <v>1668</v>
      </c>
      <c r="N196" s="208" t="s">
        <v>1686</v>
      </c>
      <c r="O196" s="208" t="s">
        <v>1547</v>
      </c>
      <c r="P196" s="208" t="s">
        <v>1473</v>
      </c>
      <c r="Q196" s="208" t="s">
        <v>1494</v>
      </c>
      <c r="R196" s="209" t="s">
        <v>1475</v>
      </c>
      <c r="S196" s="208" t="s">
        <v>1687</v>
      </c>
      <c r="T196" s="208" t="s">
        <v>1688</v>
      </c>
      <c r="U196" s="208" t="s">
        <v>1688</v>
      </c>
      <c r="V196" s="208" t="s">
        <v>1689</v>
      </c>
      <c r="W196" s="209" t="s">
        <v>1690</v>
      </c>
      <c r="X196" s="211">
        <f t="shared" si="3"/>
        <v>45826.308333333334</v>
      </c>
      <c r="Y196" s="208" t="s">
        <v>1481</v>
      </c>
      <c r="Z196" s="208" t="s">
        <v>1482</v>
      </c>
      <c r="AA196" s="208" t="s">
        <v>1483</v>
      </c>
      <c r="AB196" s="208" t="s">
        <v>1691</v>
      </c>
      <c r="AC196" s="208" t="s">
        <v>1563</v>
      </c>
      <c r="AF196" s="208">
        <v>250</v>
      </c>
      <c r="AG196" s="208" t="s">
        <v>1486</v>
      </c>
      <c r="AH196" s="208" t="s">
        <v>1487</v>
      </c>
      <c r="AI196" s="208" t="s">
        <v>1488</v>
      </c>
      <c r="AJ196" s="208" t="s">
        <v>1489</v>
      </c>
      <c r="AK196" s="208" t="s">
        <v>1564</v>
      </c>
      <c r="AL196" s="208" t="s">
        <v>1687</v>
      </c>
      <c r="AM196" s="208" t="s">
        <v>1688</v>
      </c>
      <c r="AN196" s="208" t="s">
        <v>1689</v>
      </c>
      <c r="AO196" s="208" t="s">
        <v>1690</v>
      </c>
      <c r="AP196" s="208" t="s">
        <v>1494</v>
      </c>
      <c r="AT196" s="208" t="s">
        <v>1481</v>
      </c>
      <c r="AU196" s="208" t="s">
        <v>1481</v>
      </c>
      <c r="AV196" s="208" t="s">
        <v>1481</v>
      </c>
      <c r="AW196" s="208" t="s">
        <v>1481</v>
      </c>
      <c r="BB196" s="208" t="s">
        <v>1481</v>
      </c>
      <c r="BC196" s="208" t="s">
        <v>1481</v>
      </c>
      <c r="BD196" s="208" t="s">
        <v>1481</v>
      </c>
      <c r="BE196" s="208" t="s">
        <v>1481</v>
      </c>
      <c r="BG196" s="208" t="b">
        <v>0</v>
      </c>
      <c r="BH196" s="208" t="b">
        <v>0</v>
      </c>
      <c r="BK196" s="208" t="b">
        <v>1</v>
      </c>
    </row>
    <row r="197" spans="2:63" hidden="1">
      <c r="B197" s="208">
        <v>15292</v>
      </c>
      <c r="C197" s="208" t="s">
        <v>1061</v>
      </c>
      <c r="D197" s="209">
        <v>116945</v>
      </c>
      <c r="E197" s="210">
        <v>15000</v>
      </c>
      <c r="F197" s="210">
        <v>0</v>
      </c>
      <c r="H197" s="208" t="s">
        <v>17</v>
      </c>
      <c r="I197" s="208" t="s">
        <v>1555</v>
      </c>
      <c r="J197" s="208" t="s">
        <v>1556</v>
      </c>
      <c r="K197" s="208" t="s">
        <v>1469</v>
      </c>
      <c r="L197" s="208" t="s">
        <v>1685</v>
      </c>
      <c r="M197" s="208" t="s">
        <v>21</v>
      </c>
      <c r="N197" s="208" t="s">
        <v>1471</v>
      </c>
      <c r="O197" s="208" t="s">
        <v>1904</v>
      </c>
      <c r="P197" s="208" t="s">
        <v>1626</v>
      </c>
      <c r="Q197" s="208" t="s">
        <v>1474</v>
      </c>
      <c r="R197" s="209" t="s">
        <v>1475</v>
      </c>
      <c r="S197" s="208" t="s">
        <v>2057</v>
      </c>
      <c r="T197" s="208" t="s">
        <v>2052</v>
      </c>
      <c r="U197" s="208" t="s">
        <v>2058</v>
      </c>
      <c r="V197" s="208" t="s">
        <v>2059</v>
      </c>
      <c r="W197" s="209" t="s">
        <v>2060</v>
      </c>
      <c r="X197" s="211">
        <f t="shared" si="3"/>
        <v>45125.470833333333</v>
      </c>
      <c r="Y197" s="208" t="s">
        <v>1481</v>
      </c>
      <c r="Z197" s="208" t="s">
        <v>1524</v>
      </c>
      <c r="AA197" s="208" t="s">
        <v>1483</v>
      </c>
      <c r="AB197" s="208" t="s">
        <v>2061</v>
      </c>
      <c r="AC197" s="208" t="s">
        <v>1563</v>
      </c>
      <c r="AF197" s="208">
        <v>250</v>
      </c>
      <c r="AG197" s="208" t="s">
        <v>1486</v>
      </c>
      <c r="AH197" s="208" t="s">
        <v>1487</v>
      </c>
      <c r="AI197" s="208" t="s">
        <v>1488</v>
      </c>
      <c r="AJ197" s="208" t="s">
        <v>1489</v>
      </c>
      <c r="AL197" s="208" t="s">
        <v>1585</v>
      </c>
      <c r="AM197" s="208" t="s">
        <v>2062</v>
      </c>
      <c r="AN197" s="208" t="s">
        <v>1652</v>
      </c>
      <c r="AO197" s="208" t="s">
        <v>2063</v>
      </c>
      <c r="AP197" s="208" t="s">
        <v>1589</v>
      </c>
      <c r="AT197" s="208" t="s">
        <v>2006</v>
      </c>
      <c r="AU197" s="208" t="s">
        <v>2058</v>
      </c>
      <c r="AV197" s="208" t="s">
        <v>2064</v>
      </c>
      <c r="AW197" s="208" t="s">
        <v>2058</v>
      </c>
      <c r="AX197" s="208" t="s">
        <v>1872</v>
      </c>
      <c r="BB197" s="208" t="s">
        <v>2057</v>
      </c>
      <c r="BC197" s="208" t="s">
        <v>2058</v>
      </c>
      <c r="BD197" s="208" t="s">
        <v>2059</v>
      </c>
      <c r="BE197" s="208" t="s">
        <v>2060</v>
      </c>
      <c r="BF197" s="208" t="s">
        <v>1474</v>
      </c>
      <c r="BH197" s="208" t="b">
        <v>0</v>
      </c>
      <c r="BK197" s="208" t="b">
        <v>0</v>
      </c>
    </row>
    <row r="198" spans="2:63" hidden="1">
      <c r="B198" s="208">
        <v>15292</v>
      </c>
      <c r="C198" s="208" t="s">
        <v>1061</v>
      </c>
      <c r="D198" s="209">
        <v>116945</v>
      </c>
      <c r="H198" s="208" t="s">
        <v>17</v>
      </c>
      <c r="I198" s="208" t="s">
        <v>1555</v>
      </c>
      <c r="J198" s="208" t="s">
        <v>1556</v>
      </c>
      <c r="K198" s="208" t="s">
        <v>1469</v>
      </c>
      <c r="L198" s="208" t="s">
        <v>1685</v>
      </c>
      <c r="M198" s="208" t="s">
        <v>2099</v>
      </c>
      <c r="N198" s="208" t="s">
        <v>1471</v>
      </c>
      <c r="O198" s="208" t="s">
        <v>2116</v>
      </c>
      <c r="P198" s="208" t="s">
        <v>2101</v>
      </c>
      <c r="Q198" s="208" t="s">
        <v>2108</v>
      </c>
      <c r="R198" s="209" t="s">
        <v>1475</v>
      </c>
      <c r="S198" s="208" t="s">
        <v>2128</v>
      </c>
      <c r="T198" s="208" t="s">
        <v>2062</v>
      </c>
      <c r="U198" s="208" t="s">
        <v>2129</v>
      </c>
      <c r="V198" s="208" t="s">
        <v>2130</v>
      </c>
      <c r="W198" s="209" t="s">
        <v>2131</v>
      </c>
      <c r="X198" s="211">
        <f t="shared" si="3"/>
        <v>45035.755555555559</v>
      </c>
      <c r="Y198" s="208" t="s">
        <v>1481</v>
      </c>
      <c r="Z198" s="208" t="s">
        <v>1482</v>
      </c>
      <c r="AA198" s="208" t="s">
        <v>1483</v>
      </c>
      <c r="AB198" s="208" t="s">
        <v>2061</v>
      </c>
      <c r="AC198" s="208" t="s">
        <v>1563</v>
      </c>
      <c r="AF198" s="208">
        <v>250</v>
      </c>
      <c r="AG198" s="208" t="s">
        <v>1486</v>
      </c>
      <c r="AH198" s="208" t="s">
        <v>1487</v>
      </c>
      <c r="AI198" s="208" t="s">
        <v>1488</v>
      </c>
      <c r="AJ198" s="208" t="s">
        <v>1489</v>
      </c>
      <c r="AL198" s="208" t="s">
        <v>1585</v>
      </c>
      <c r="AM198" s="208" t="s">
        <v>2062</v>
      </c>
      <c r="AN198" s="208" t="s">
        <v>1652</v>
      </c>
      <c r="AO198" s="208" t="s">
        <v>2063</v>
      </c>
      <c r="AP198" s="208" t="s">
        <v>1589</v>
      </c>
      <c r="AQ198" s="208" t="s">
        <v>1902</v>
      </c>
      <c r="AR198" s="208" t="s">
        <v>1489</v>
      </c>
      <c r="AS198" s="208" t="s">
        <v>1564</v>
      </c>
      <c r="AT198" s="208" t="s">
        <v>2120</v>
      </c>
      <c r="AU198" s="208" t="s">
        <v>2129</v>
      </c>
      <c r="AV198" s="208" t="s">
        <v>2132</v>
      </c>
      <c r="AW198" s="208" t="s">
        <v>2133</v>
      </c>
      <c r="AX198" s="208" t="s">
        <v>2115</v>
      </c>
      <c r="AY198" s="208" t="s">
        <v>1669</v>
      </c>
      <c r="AZ198" s="208" t="s">
        <v>1489</v>
      </c>
      <c r="BA198" s="208" t="s">
        <v>1564</v>
      </c>
      <c r="BB198" s="208" t="s">
        <v>2128</v>
      </c>
      <c r="BC198" s="208" t="s">
        <v>2129</v>
      </c>
      <c r="BD198" s="208" t="s">
        <v>2130</v>
      </c>
      <c r="BE198" s="208" t="s">
        <v>2131</v>
      </c>
      <c r="BF198" s="208" t="s">
        <v>2108</v>
      </c>
      <c r="BH198" s="208" t="b">
        <v>0</v>
      </c>
      <c r="BK198" s="208" t="b">
        <v>0</v>
      </c>
    </row>
    <row r="199" spans="2:63" hidden="1">
      <c r="B199" s="208">
        <v>15292</v>
      </c>
      <c r="C199" s="208" t="s">
        <v>1061</v>
      </c>
      <c r="D199" s="209">
        <v>116945</v>
      </c>
      <c r="E199" s="210">
        <v>25647</v>
      </c>
      <c r="F199" s="210">
        <v>21800</v>
      </c>
      <c r="H199" s="208" t="s">
        <v>17</v>
      </c>
      <c r="I199" s="208" t="s">
        <v>1555</v>
      </c>
      <c r="J199" s="208" t="s">
        <v>1556</v>
      </c>
      <c r="K199" s="208" t="s">
        <v>1469</v>
      </c>
      <c r="L199" s="208" t="s">
        <v>1685</v>
      </c>
      <c r="M199" s="208" t="s">
        <v>2099</v>
      </c>
      <c r="N199" s="208" t="s">
        <v>1471</v>
      </c>
      <c r="O199" s="208" t="s">
        <v>2220</v>
      </c>
      <c r="Q199" s="208" t="s">
        <v>2241</v>
      </c>
      <c r="R199" s="209" t="s">
        <v>1475</v>
      </c>
      <c r="S199" s="208" t="s">
        <v>2230</v>
      </c>
      <c r="T199" s="208" t="s">
        <v>2271</v>
      </c>
      <c r="U199" s="208" t="s">
        <v>1637</v>
      </c>
      <c r="V199" s="208" t="s">
        <v>2233</v>
      </c>
      <c r="W199" s="209" t="s">
        <v>2233</v>
      </c>
      <c r="X199" s="211">
        <f t="shared" si="3"/>
        <v>44773.875</v>
      </c>
      <c r="Y199" s="208" t="s">
        <v>2226</v>
      </c>
      <c r="Z199" s="208" t="s">
        <v>1482</v>
      </c>
      <c r="AA199" s="208" t="s">
        <v>1483</v>
      </c>
      <c r="AB199" s="208" t="s">
        <v>1562</v>
      </c>
      <c r="AC199" s="208" t="s">
        <v>1563</v>
      </c>
      <c r="AF199" s="208">
        <v>250</v>
      </c>
      <c r="AG199" s="208" t="s">
        <v>1486</v>
      </c>
      <c r="AH199" s="208" t="s">
        <v>1487</v>
      </c>
      <c r="AI199" s="208" t="s">
        <v>1488</v>
      </c>
      <c r="AJ199" s="208" t="s">
        <v>1489</v>
      </c>
      <c r="AL199" s="208" t="s">
        <v>1635</v>
      </c>
      <c r="AM199" s="208" t="s">
        <v>1637</v>
      </c>
      <c r="AN199" s="208" t="s">
        <v>1637</v>
      </c>
      <c r="AO199" s="208" t="s">
        <v>2065</v>
      </c>
      <c r="AP199" s="208" t="s">
        <v>1638</v>
      </c>
      <c r="AQ199" s="208" t="s">
        <v>1902</v>
      </c>
      <c r="AS199" s="208" t="s">
        <v>1564</v>
      </c>
      <c r="AT199" s="208" t="s">
        <v>2230</v>
      </c>
      <c r="AU199" s="208" t="s">
        <v>1637</v>
      </c>
      <c r="AV199" s="208" t="s">
        <v>2233</v>
      </c>
      <c r="AW199" s="208" t="s">
        <v>2233</v>
      </c>
      <c r="AX199" s="208" t="s">
        <v>2241</v>
      </c>
      <c r="AY199" s="208" t="s">
        <v>1902</v>
      </c>
      <c r="BB199" s="208" t="s">
        <v>2230</v>
      </c>
      <c r="BC199" s="208" t="s">
        <v>2233</v>
      </c>
      <c r="BD199" s="208" t="s">
        <v>2233</v>
      </c>
      <c r="BE199" s="208" t="s">
        <v>2233</v>
      </c>
      <c r="BF199" s="208" t="s">
        <v>1474</v>
      </c>
      <c r="BH199" s="208" t="b">
        <v>0</v>
      </c>
      <c r="BK199" s="208" t="b">
        <v>0</v>
      </c>
    </row>
    <row r="200" spans="2:63" hidden="1">
      <c r="B200" s="208">
        <v>15292</v>
      </c>
      <c r="C200" s="208" t="s">
        <v>1061</v>
      </c>
      <c r="D200" s="209">
        <v>116945</v>
      </c>
      <c r="E200" s="210">
        <v>27429</v>
      </c>
      <c r="F200" s="210">
        <v>23314</v>
      </c>
      <c r="H200" s="208" t="s">
        <v>17</v>
      </c>
      <c r="I200" s="208" t="s">
        <v>1555</v>
      </c>
      <c r="J200" s="208" t="s">
        <v>1556</v>
      </c>
      <c r="K200" s="208" t="s">
        <v>1469</v>
      </c>
      <c r="L200" s="208" t="s">
        <v>1685</v>
      </c>
      <c r="M200" s="208" t="s">
        <v>2099</v>
      </c>
      <c r="N200" s="208" t="s">
        <v>1471</v>
      </c>
      <c r="O200" s="208" t="s">
        <v>2220</v>
      </c>
      <c r="Q200" s="208" t="s">
        <v>2235</v>
      </c>
      <c r="R200" s="209" t="s">
        <v>1475</v>
      </c>
      <c r="S200" s="208" t="s">
        <v>2222</v>
      </c>
      <c r="T200" s="208" t="s">
        <v>2260</v>
      </c>
      <c r="U200" s="208" t="s">
        <v>1519</v>
      </c>
      <c r="V200" s="208" t="s">
        <v>2224</v>
      </c>
      <c r="W200" s="209" t="s">
        <v>2267</v>
      </c>
      <c r="X200" s="211">
        <f t="shared" si="3"/>
        <v>44718.875</v>
      </c>
      <c r="Y200" s="208" t="s">
        <v>2226</v>
      </c>
      <c r="Z200" s="208" t="s">
        <v>1482</v>
      </c>
      <c r="AA200" s="208" t="s">
        <v>1483</v>
      </c>
      <c r="AB200" s="208" t="s">
        <v>1562</v>
      </c>
      <c r="AF200" s="208">
        <v>250</v>
      </c>
      <c r="AG200" s="208" t="s">
        <v>1486</v>
      </c>
      <c r="AH200" s="208" t="s">
        <v>1487</v>
      </c>
      <c r="AI200" s="208" t="s">
        <v>1488</v>
      </c>
      <c r="AJ200" s="208" t="s">
        <v>1489</v>
      </c>
      <c r="AL200" s="208" t="s">
        <v>1517</v>
      </c>
      <c r="AM200" s="208" t="s">
        <v>1519</v>
      </c>
      <c r="AN200" s="208" t="s">
        <v>1519</v>
      </c>
      <c r="AO200" s="208" t="s">
        <v>1624</v>
      </c>
      <c r="AP200" s="208" t="s">
        <v>1521</v>
      </c>
      <c r="AQ200" s="208" t="s">
        <v>1902</v>
      </c>
      <c r="AS200" s="208" t="s">
        <v>2122</v>
      </c>
      <c r="AT200" s="208" t="s">
        <v>2222</v>
      </c>
      <c r="AU200" s="208" t="s">
        <v>1519</v>
      </c>
      <c r="AV200" s="208" t="s">
        <v>2224</v>
      </c>
      <c r="AW200" s="208" t="s">
        <v>2267</v>
      </c>
      <c r="AX200" s="208" t="s">
        <v>2235</v>
      </c>
      <c r="AY200" s="208" t="s">
        <v>1902</v>
      </c>
      <c r="BB200" s="208" t="s">
        <v>2222</v>
      </c>
      <c r="BC200" s="208" t="s">
        <v>2267</v>
      </c>
      <c r="BD200" s="208" t="s">
        <v>2224</v>
      </c>
      <c r="BE200" s="208" t="s">
        <v>2239</v>
      </c>
      <c r="BF200" s="208" t="s">
        <v>2240</v>
      </c>
      <c r="BH200" s="208" t="b">
        <v>0</v>
      </c>
      <c r="BK200" s="208" t="b">
        <v>0</v>
      </c>
    </row>
    <row r="201" spans="2:63" hidden="1">
      <c r="B201" s="208">
        <v>15292</v>
      </c>
      <c r="C201" s="208" t="s">
        <v>1061</v>
      </c>
      <c r="D201" s="209">
        <v>116946</v>
      </c>
      <c r="E201" s="210">
        <v>15000</v>
      </c>
      <c r="F201" s="210">
        <v>0</v>
      </c>
      <c r="H201" s="208" t="s">
        <v>17</v>
      </c>
      <c r="I201" s="208" t="s">
        <v>1555</v>
      </c>
      <c r="J201" s="208" t="s">
        <v>1556</v>
      </c>
      <c r="K201" s="208" t="s">
        <v>1469</v>
      </c>
      <c r="L201" s="208" t="s">
        <v>1470</v>
      </c>
      <c r="M201" s="208" t="s">
        <v>21</v>
      </c>
      <c r="N201" s="208" t="s">
        <v>1471</v>
      </c>
      <c r="O201" s="208" t="s">
        <v>1472</v>
      </c>
      <c r="P201" s="208" t="s">
        <v>1473</v>
      </c>
      <c r="Q201" s="208" t="s">
        <v>1474</v>
      </c>
      <c r="R201" s="209" t="s">
        <v>1475</v>
      </c>
      <c r="S201" s="208" t="s">
        <v>1557</v>
      </c>
      <c r="T201" s="208" t="s">
        <v>1558</v>
      </c>
      <c r="U201" s="208" t="s">
        <v>1559</v>
      </c>
      <c r="V201" s="208" t="s">
        <v>1560</v>
      </c>
      <c r="W201" s="209" t="s">
        <v>1561</v>
      </c>
      <c r="X201" s="211">
        <f t="shared" si="3"/>
        <v>45951.412499999999</v>
      </c>
      <c r="Y201" s="208" t="s">
        <v>1481</v>
      </c>
      <c r="Z201" s="208" t="s">
        <v>1482</v>
      </c>
      <c r="AA201" s="208" t="s">
        <v>1483</v>
      </c>
      <c r="AB201" s="208" t="s">
        <v>1562</v>
      </c>
      <c r="AC201" s="208" t="s">
        <v>1563</v>
      </c>
      <c r="AF201" s="208">
        <v>250</v>
      </c>
      <c r="AG201" s="208" t="s">
        <v>1486</v>
      </c>
      <c r="AH201" s="208" t="s">
        <v>1487</v>
      </c>
      <c r="AI201" s="208" t="s">
        <v>1488</v>
      </c>
      <c r="AJ201" s="208" t="s">
        <v>1489</v>
      </c>
      <c r="AK201" s="208" t="s">
        <v>1564</v>
      </c>
      <c r="AL201" s="208" t="s">
        <v>1565</v>
      </c>
      <c r="AM201" s="208" t="s">
        <v>1566</v>
      </c>
      <c r="AN201" s="208" t="s">
        <v>1567</v>
      </c>
      <c r="AO201" s="208" t="s">
        <v>1568</v>
      </c>
      <c r="AP201" s="208" t="s">
        <v>1569</v>
      </c>
      <c r="AT201" s="208" t="s">
        <v>1570</v>
      </c>
      <c r="AU201" s="208" t="s">
        <v>1559</v>
      </c>
      <c r="AV201" s="208" t="s">
        <v>1571</v>
      </c>
      <c r="AW201" s="208" t="s">
        <v>1559</v>
      </c>
      <c r="AX201" s="208" t="s">
        <v>1572</v>
      </c>
      <c r="BB201" s="208" t="s">
        <v>1557</v>
      </c>
      <c r="BC201" s="208" t="s">
        <v>1559</v>
      </c>
      <c r="BD201" s="208" t="s">
        <v>1560</v>
      </c>
      <c r="BE201" s="208" t="s">
        <v>1561</v>
      </c>
      <c r="BF201" s="208" t="s">
        <v>1474</v>
      </c>
      <c r="BH201" s="208" t="b">
        <v>0</v>
      </c>
      <c r="BK201" s="208" t="b">
        <v>0</v>
      </c>
    </row>
    <row r="202" spans="2:63" hidden="1">
      <c r="B202" s="208">
        <v>15292</v>
      </c>
      <c r="C202" s="208" t="s">
        <v>1061</v>
      </c>
      <c r="D202" s="209">
        <v>116946</v>
      </c>
      <c r="H202" s="208" t="s">
        <v>17</v>
      </c>
      <c r="I202" s="208" t="s">
        <v>1555</v>
      </c>
      <c r="J202" s="208" t="s">
        <v>1556</v>
      </c>
      <c r="K202" s="208" t="s">
        <v>1469</v>
      </c>
      <c r="L202" s="208" t="s">
        <v>1685</v>
      </c>
      <c r="M202" s="208" t="s">
        <v>1668</v>
      </c>
      <c r="N202" s="208" t="s">
        <v>1686</v>
      </c>
      <c r="O202" s="208" t="s">
        <v>1547</v>
      </c>
      <c r="P202" s="208" t="s">
        <v>1473</v>
      </c>
      <c r="Q202" s="208" t="s">
        <v>1494</v>
      </c>
      <c r="R202" s="209" t="s">
        <v>1475</v>
      </c>
      <c r="S202" s="208" t="s">
        <v>1687</v>
      </c>
      <c r="T202" s="208" t="s">
        <v>1688</v>
      </c>
      <c r="U202" s="208" t="s">
        <v>1688</v>
      </c>
      <c r="V202" s="208" t="s">
        <v>1689</v>
      </c>
      <c r="W202" s="209" t="s">
        <v>1692</v>
      </c>
      <c r="X202" s="211">
        <f t="shared" si="3"/>
        <v>45826.30972222222</v>
      </c>
      <c r="Y202" s="208" t="s">
        <v>1481</v>
      </c>
      <c r="Z202" s="208" t="s">
        <v>1482</v>
      </c>
      <c r="AA202" s="208" t="s">
        <v>1483</v>
      </c>
      <c r="AB202" s="208" t="s">
        <v>1691</v>
      </c>
      <c r="AC202" s="208" t="s">
        <v>1563</v>
      </c>
      <c r="AF202" s="208">
        <v>250</v>
      </c>
      <c r="AG202" s="208" t="s">
        <v>1486</v>
      </c>
      <c r="AH202" s="208" t="s">
        <v>1487</v>
      </c>
      <c r="AI202" s="208" t="s">
        <v>1488</v>
      </c>
      <c r="AJ202" s="208" t="s">
        <v>1489</v>
      </c>
      <c r="AK202" s="208" t="s">
        <v>1564</v>
      </c>
      <c r="AL202" s="208" t="s">
        <v>1687</v>
      </c>
      <c r="AM202" s="208" t="s">
        <v>1688</v>
      </c>
      <c r="AN202" s="208" t="s">
        <v>1689</v>
      </c>
      <c r="AO202" s="208" t="s">
        <v>1692</v>
      </c>
      <c r="AP202" s="208" t="s">
        <v>1494</v>
      </c>
      <c r="AT202" s="208" t="s">
        <v>1481</v>
      </c>
      <c r="AU202" s="208" t="s">
        <v>1481</v>
      </c>
      <c r="AV202" s="208" t="s">
        <v>1481</v>
      </c>
      <c r="AW202" s="208" t="s">
        <v>1481</v>
      </c>
      <c r="BB202" s="208" t="s">
        <v>1481</v>
      </c>
      <c r="BC202" s="208" t="s">
        <v>1481</v>
      </c>
      <c r="BD202" s="208" t="s">
        <v>1481</v>
      </c>
      <c r="BE202" s="208" t="s">
        <v>1481</v>
      </c>
      <c r="BG202" s="208" t="b">
        <v>0</v>
      </c>
      <c r="BH202" s="208" t="b">
        <v>0</v>
      </c>
      <c r="BK202" s="208" t="b">
        <v>1</v>
      </c>
    </row>
    <row r="203" spans="2:63" hidden="1">
      <c r="B203" s="208">
        <v>15292</v>
      </c>
      <c r="C203" s="208" t="s">
        <v>1061</v>
      </c>
      <c r="D203" s="209">
        <v>116946</v>
      </c>
      <c r="E203" s="210">
        <v>15000</v>
      </c>
      <c r="F203" s="210">
        <v>0</v>
      </c>
      <c r="H203" s="208" t="s">
        <v>17</v>
      </c>
      <c r="I203" s="208" t="s">
        <v>1555</v>
      </c>
      <c r="J203" s="208" t="s">
        <v>1556</v>
      </c>
      <c r="K203" s="208" t="s">
        <v>1469</v>
      </c>
      <c r="L203" s="208" t="s">
        <v>1685</v>
      </c>
      <c r="M203" s="208" t="s">
        <v>21</v>
      </c>
      <c r="N203" s="208" t="s">
        <v>1471</v>
      </c>
      <c r="O203" s="208" t="s">
        <v>1904</v>
      </c>
      <c r="P203" s="208" t="s">
        <v>1626</v>
      </c>
      <c r="Q203" s="208" t="s">
        <v>1474</v>
      </c>
      <c r="R203" s="209" t="s">
        <v>1475</v>
      </c>
      <c r="S203" s="208" t="s">
        <v>2057</v>
      </c>
      <c r="T203" s="208" t="s">
        <v>2052</v>
      </c>
      <c r="U203" s="208" t="s">
        <v>2066</v>
      </c>
      <c r="V203" s="208" t="s">
        <v>2059</v>
      </c>
      <c r="W203" s="209" t="s">
        <v>2067</v>
      </c>
      <c r="X203" s="211">
        <f t="shared" si="3"/>
        <v>45125.469444444447</v>
      </c>
      <c r="Y203" s="208" t="s">
        <v>1481</v>
      </c>
      <c r="Z203" s="208" t="s">
        <v>1524</v>
      </c>
      <c r="AA203" s="208" t="s">
        <v>1483</v>
      </c>
      <c r="AB203" s="208" t="s">
        <v>1664</v>
      </c>
      <c r="AC203" s="208" t="s">
        <v>1563</v>
      </c>
      <c r="AF203" s="208">
        <v>250</v>
      </c>
      <c r="AG203" s="208" t="s">
        <v>1486</v>
      </c>
      <c r="AH203" s="208" t="s">
        <v>1487</v>
      </c>
      <c r="AI203" s="208" t="s">
        <v>1488</v>
      </c>
      <c r="AJ203" s="208" t="s">
        <v>1489</v>
      </c>
      <c r="AL203" s="208" t="s">
        <v>1585</v>
      </c>
      <c r="AM203" s="208" t="s">
        <v>1802</v>
      </c>
      <c r="AN203" s="208" t="s">
        <v>1652</v>
      </c>
      <c r="AO203" s="208" t="s">
        <v>2068</v>
      </c>
      <c r="AP203" s="208" t="s">
        <v>1589</v>
      </c>
      <c r="AT203" s="208" t="s">
        <v>2069</v>
      </c>
      <c r="AU203" s="208" t="s">
        <v>2066</v>
      </c>
      <c r="AV203" s="208" t="s">
        <v>2064</v>
      </c>
      <c r="AW203" s="208" t="s">
        <v>2066</v>
      </c>
      <c r="AX203" s="208" t="s">
        <v>1872</v>
      </c>
      <c r="BB203" s="208" t="s">
        <v>2057</v>
      </c>
      <c r="BC203" s="208" t="s">
        <v>2066</v>
      </c>
      <c r="BD203" s="208" t="s">
        <v>2059</v>
      </c>
      <c r="BE203" s="208" t="s">
        <v>2067</v>
      </c>
      <c r="BF203" s="208" t="s">
        <v>1474</v>
      </c>
      <c r="BH203" s="208" t="b">
        <v>0</v>
      </c>
      <c r="BK203" s="208" t="b">
        <v>0</v>
      </c>
    </row>
    <row r="204" spans="2:63" hidden="1">
      <c r="B204" s="208">
        <v>15292</v>
      </c>
      <c r="C204" s="208" t="s">
        <v>1061</v>
      </c>
      <c r="D204" s="209">
        <v>116946</v>
      </c>
      <c r="H204" s="208" t="s">
        <v>17</v>
      </c>
      <c r="I204" s="208" t="s">
        <v>2142</v>
      </c>
      <c r="J204" s="208" t="s">
        <v>1556</v>
      </c>
      <c r="K204" s="208" t="s">
        <v>1469</v>
      </c>
      <c r="L204" s="208" t="s">
        <v>1685</v>
      </c>
      <c r="M204" s="208" t="s">
        <v>2099</v>
      </c>
      <c r="N204" s="208" t="s">
        <v>1471</v>
      </c>
      <c r="O204" s="208" t="s">
        <v>2116</v>
      </c>
      <c r="P204" s="208" t="s">
        <v>2101</v>
      </c>
      <c r="Q204" s="208" t="s">
        <v>2108</v>
      </c>
      <c r="R204" s="209" t="s">
        <v>1475</v>
      </c>
      <c r="S204" s="208" t="s">
        <v>2109</v>
      </c>
      <c r="T204" s="208" t="s">
        <v>1802</v>
      </c>
      <c r="U204" s="208" t="s">
        <v>2133</v>
      </c>
      <c r="V204" s="208" t="s">
        <v>2143</v>
      </c>
      <c r="W204" s="209" t="s">
        <v>2144</v>
      </c>
      <c r="X204" s="211">
        <f t="shared" si="3"/>
        <v>45036.484027777777</v>
      </c>
      <c r="Y204" s="208" t="s">
        <v>1481</v>
      </c>
      <c r="Z204" s="208" t="s">
        <v>1482</v>
      </c>
      <c r="AA204" s="208" t="s">
        <v>1483</v>
      </c>
      <c r="AB204" s="208" t="s">
        <v>1664</v>
      </c>
      <c r="AC204" s="208" t="s">
        <v>1563</v>
      </c>
      <c r="AF204" s="208">
        <v>250</v>
      </c>
      <c r="AG204" s="208" t="s">
        <v>1486</v>
      </c>
      <c r="AH204" s="208" t="s">
        <v>1487</v>
      </c>
      <c r="AI204" s="208" t="s">
        <v>1488</v>
      </c>
      <c r="AJ204" s="208" t="s">
        <v>1489</v>
      </c>
      <c r="AL204" s="208" t="s">
        <v>1585</v>
      </c>
      <c r="AM204" s="208" t="s">
        <v>1802</v>
      </c>
      <c r="AN204" s="208" t="s">
        <v>1652</v>
      </c>
      <c r="AO204" s="208" t="s">
        <v>2068</v>
      </c>
      <c r="AP204" s="208" t="s">
        <v>1589</v>
      </c>
      <c r="AQ204" s="208" t="s">
        <v>1669</v>
      </c>
      <c r="AR204" s="208" t="s">
        <v>1489</v>
      </c>
      <c r="AS204" s="208" t="s">
        <v>1564</v>
      </c>
      <c r="AT204" s="208" t="s">
        <v>2120</v>
      </c>
      <c r="AU204" s="208" t="s">
        <v>2133</v>
      </c>
      <c r="AV204" s="208" t="s">
        <v>2132</v>
      </c>
      <c r="AW204" s="208" t="s">
        <v>2133</v>
      </c>
      <c r="AX204" s="208" t="s">
        <v>2115</v>
      </c>
      <c r="AY204" s="208" t="s">
        <v>1669</v>
      </c>
      <c r="AZ204" s="208" t="s">
        <v>1489</v>
      </c>
      <c r="BA204" s="208" t="s">
        <v>1564</v>
      </c>
      <c r="BB204" s="208" t="s">
        <v>2109</v>
      </c>
      <c r="BC204" s="208" t="s">
        <v>2133</v>
      </c>
      <c r="BD204" s="208" t="s">
        <v>2143</v>
      </c>
      <c r="BE204" s="208" t="s">
        <v>2144</v>
      </c>
      <c r="BF204" s="208" t="s">
        <v>2108</v>
      </c>
      <c r="BH204" s="208" t="b">
        <v>0</v>
      </c>
      <c r="BK204" s="208" t="b">
        <v>0</v>
      </c>
    </row>
    <row r="205" spans="2:63" hidden="1">
      <c r="B205" s="208">
        <v>15292</v>
      </c>
      <c r="C205" s="208" t="s">
        <v>1061</v>
      </c>
      <c r="D205" s="209">
        <v>116946</v>
      </c>
      <c r="E205" s="210">
        <v>25647</v>
      </c>
      <c r="F205" s="210">
        <v>21800</v>
      </c>
      <c r="H205" s="208" t="s">
        <v>17</v>
      </c>
      <c r="I205" s="208" t="s">
        <v>1555</v>
      </c>
      <c r="J205" s="208" t="s">
        <v>1556</v>
      </c>
      <c r="K205" s="208" t="s">
        <v>1469</v>
      </c>
      <c r="L205" s="208" t="s">
        <v>1685</v>
      </c>
      <c r="M205" s="208" t="s">
        <v>2099</v>
      </c>
      <c r="N205" s="208" t="s">
        <v>1471</v>
      </c>
      <c r="O205" s="208" t="s">
        <v>2220</v>
      </c>
      <c r="Q205" s="208" t="s">
        <v>2241</v>
      </c>
      <c r="R205" s="209" t="s">
        <v>1475</v>
      </c>
      <c r="S205" s="208" t="s">
        <v>2230</v>
      </c>
      <c r="T205" s="208" t="s">
        <v>2330</v>
      </c>
      <c r="U205" s="208" t="s">
        <v>1637</v>
      </c>
      <c r="V205" s="208" t="s">
        <v>2233</v>
      </c>
      <c r="W205" s="209" t="s">
        <v>2233</v>
      </c>
      <c r="X205" s="211">
        <f t="shared" si="3"/>
        <v>44773.875</v>
      </c>
      <c r="Y205" s="208" t="s">
        <v>2226</v>
      </c>
      <c r="Z205" s="208" t="s">
        <v>1482</v>
      </c>
      <c r="AA205" s="208" t="s">
        <v>1483</v>
      </c>
      <c r="AB205" s="208" t="s">
        <v>1664</v>
      </c>
      <c r="AC205" s="208" t="s">
        <v>1563</v>
      </c>
      <c r="AF205" s="208">
        <v>250</v>
      </c>
      <c r="AG205" s="208" t="s">
        <v>1486</v>
      </c>
      <c r="AH205" s="208" t="s">
        <v>1487</v>
      </c>
      <c r="AI205" s="208" t="s">
        <v>1488</v>
      </c>
      <c r="AJ205" s="208" t="s">
        <v>1489</v>
      </c>
      <c r="AL205" s="208" t="s">
        <v>1635</v>
      </c>
      <c r="AM205" s="208" t="s">
        <v>1637</v>
      </c>
      <c r="AN205" s="208" t="s">
        <v>1637</v>
      </c>
      <c r="AO205" s="208" t="s">
        <v>2065</v>
      </c>
      <c r="AP205" s="208" t="s">
        <v>1638</v>
      </c>
      <c r="AQ205" s="208" t="s">
        <v>1902</v>
      </c>
      <c r="AS205" s="208" t="s">
        <v>1564</v>
      </c>
      <c r="AT205" s="208" t="s">
        <v>2230</v>
      </c>
      <c r="AU205" s="208" t="s">
        <v>1637</v>
      </c>
      <c r="AV205" s="208" t="s">
        <v>2233</v>
      </c>
      <c r="AW205" s="208" t="s">
        <v>2233</v>
      </c>
      <c r="AX205" s="208" t="s">
        <v>2241</v>
      </c>
      <c r="AY205" s="208" t="s">
        <v>1902</v>
      </c>
      <c r="BB205" s="208" t="s">
        <v>2230</v>
      </c>
      <c r="BC205" s="208" t="s">
        <v>2233</v>
      </c>
      <c r="BD205" s="208" t="s">
        <v>2233</v>
      </c>
      <c r="BE205" s="208" t="s">
        <v>2233</v>
      </c>
      <c r="BF205" s="208" t="s">
        <v>2108</v>
      </c>
      <c r="BH205" s="208" t="b">
        <v>0</v>
      </c>
      <c r="BK205" s="208" t="b">
        <v>0</v>
      </c>
    </row>
    <row r="206" spans="2:63" hidden="1">
      <c r="B206" s="208">
        <v>15292</v>
      </c>
      <c r="C206" s="208" t="s">
        <v>1061</v>
      </c>
      <c r="D206" s="209">
        <v>116946</v>
      </c>
      <c r="E206" s="210">
        <v>27429</v>
      </c>
      <c r="F206" s="210">
        <v>23314</v>
      </c>
      <c r="H206" s="208" t="s">
        <v>17</v>
      </c>
      <c r="I206" s="208" t="s">
        <v>1555</v>
      </c>
      <c r="J206" s="208" t="s">
        <v>1556</v>
      </c>
      <c r="K206" s="208" t="s">
        <v>1469</v>
      </c>
      <c r="L206" s="208" t="s">
        <v>1685</v>
      </c>
      <c r="M206" s="208" t="s">
        <v>2099</v>
      </c>
      <c r="N206" s="208" t="s">
        <v>1471</v>
      </c>
      <c r="O206" s="208" t="s">
        <v>2220</v>
      </c>
      <c r="Q206" s="208" t="s">
        <v>2235</v>
      </c>
      <c r="R206" s="209" t="s">
        <v>1475</v>
      </c>
      <c r="S206" s="208" t="s">
        <v>2222</v>
      </c>
      <c r="T206" s="208" t="s">
        <v>2266</v>
      </c>
      <c r="U206" s="208" t="s">
        <v>1519</v>
      </c>
      <c r="V206" s="208" t="s">
        <v>2224</v>
      </c>
      <c r="W206" s="209" t="s">
        <v>2267</v>
      </c>
      <c r="X206" s="211">
        <f t="shared" si="3"/>
        <v>44718.875</v>
      </c>
      <c r="Y206" s="208" t="s">
        <v>2226</v>
      </c>
      <c r="Z206" s="208" t="s">
        <v>1482</v>
      </c>
      <c r="AA206" s="208" t="s">
        <v>1483</v>
      </c>
      <c r="AB206" s="208" t="s">
        <v>1562</v>
      </c>
      <c r="AF206" s="208">
        <v>250</v>
      </c>
      <c r="AG206" s="208" t="s">
        <v>1486</v>
      </c>
      <c r="AH206" s="208" t="s">
        <v>1487</v>
      </c>
      <c r="AI206" s="208" t="s">
        <v>1488</v>
      </c>
      <c r="AJ206" s="208" t="s">
        <v>1489</v>
      </c>
      <c r="AL206" s="208" t="s">
        <v>1517</v>
      </c>
      <c r="AM206" s="208" t="s">
        <v>1519</v>
      </c>
      <c r="AN206" s="208" t="s">
        <v>1519</v>
      </c>
      <c r="AO206" s="208" t="s">
        <v>1624</v>
      </c>
      <c r="AP206" s="208" t="s">
        <v>1521</v>
      </c>
      <c r="AQ206" s="208" t="s">
        <v>1902</v>
      </c>
      <c r="AS206" s="208" t="s">
        <v>1564</v>
      </c>
      <c r="AT206" s="208" t="s">
        <v>2222</v>
      </c>
      <c r="AU206" s="208" t="s">
        <v>1519</v>
      </c>
      <c r="AV206" s="208" t="s">
        <v>2224</v>
      </c>
      <c r="AW206" s="208" t="s">
        <v>2267</v>
      </c>
      <c r="AX206" s="208" t="s">
        <v>2235</v>
      </c>
      <c r="AY206" s="208" t="s">
        <v>1902</v>
      </c>
      <c r="BB206" s="208" t="s">
        <v>2222</v>
      </c>
      <c r="BC206" s="208" t="s">
        <v>2267</v>
      </c>
      <c r="BD206" s="208" t="s">
        <v>2224</v>
      </c>
      <c r="BE206" s="208" t="s">
        <v>2239</v>
      </c>
      <c r="BF206" s="208" t="s">
        <v>2240</v>
      </c>
      <c r="BH206" s="208" t="b">
        <v>0</v>
      </c>
      <c r="BK206" s="208" t="b">
        <v>0</v>
      </c>
    </row>
    <row r="207" spans="2:63" hidden="1">
      <c r="B207" s="208">
        <v>15292</v>
      </c>
      <c r="C207" s="208" t="s">
        <v>1061</v>
      </c>
      <c r="D207" s="209">
        <v>155351</v>
      </c>
      <c r="E207" s="210">
        <v>429462.42</v>
      </c>
      <c r="F207" s="210">
        <v>429462.42</v>
      </c>
      <c r="H207" s="208" t="s">
        <v>17</v>
      </c>
      <c r="I207" s="208" t="s">
        <v>2134</v>
      </c>
      <c r="J207" s="208" t="s">
        <v>1468</v>
      </c>
      <c r="K207" s="208" t="s">
        <v>1469</v>
      </c>
      <c r="L207" s="208" t="s">
        <v>1470</v>
      </c>
      <c r="M207" s="208" t="s">
        <v>1668</v>
      </c>
      <c r="N207" s="208" t="s">
        <v>1471</v>
      </c>
      <c r="O207" s="208" t="s">
        <v>2116</v>
      </c>
      <c r="P207" s="208" t="s">
        <v>2101</v>
      </c>
      <c r="Q207" s="208" t="s">
        <v>2108</v>
      </c>
      <c r="R207" s="209" t="s">
        <v>1475</v>
      </c>
      <c r="S207" s="208" t="s">
        <v>2109</v>
      </c>
      <c r="T207" s="208" t="s">
        <v>2181</v>
      </c>
      <c r="U207" s="208" t="s">
        <v>2157</v>
      </c>
      <c r="V207" s="208" t="s">
        <v>2111</v>
      </c>
      <c r="W207" s="209" t="s">
        <v>2182</v>
      </c>
      <c r="X207" s="211">
        <f t="shared" si="3"/>
        <v>45036.407638888886</v>
      </c>
      <c r="Y207" s="208" t="s">
        <v>1481</v>
      </c>
      <c r="Z207" s="208" t="s">
        <v>1482</v>
      </c>
      <c r="AA207" s="208" t="s">
        <v>1483</v>
      </c>
      <c r="AB207" s="208" t="s">
        <v>2183</v>
      </c>
      <c r="AC207" s="208" t="s">
        <v>1634</v>
      </c>
      <c r="AD207" s="208">
        <v>279.8</v>
      </c>
      <c r="AE207" s="208">
        <v>106.83</v>
      </c>
      <c r="AF207" s="208">
        <v>13023.61</v>
      </c>
      <c r="AG207" s="208" t="s">
        <v>1486</v>
      </c>
      <c r="AH207" s="208" t="s">
        <v>1487</v>
      </c>
      <c r="AI207" s="208" t="s">
        <v>1488</v>
      </c>
      <c r="AJ207" s="208" t="s">
        <v>1489</v>
      </c>
      <c r="AL207" s="208" t="s">
        <v>1490</v>
      </c>
      <c r="AM207" s="208" t="s">
        <v>2181</v>
      </c>
      <c r="AN207" s="208" t="s">
        <v>1492</v>
      </c>
      <c r="AO207" s="208" t="s">
        <v>2184</v>
      </c>
      <c r="AP207" s="208" t="s">
        <v>1494</v>
      </c>
      <c r="AQ207" s="208" t="s">
        <v>1902</v>
      </c>
      <c r="AR207" s="208" t="s">
        <v>1489</v>
      </c>
      <c r="AS207" s="208" t="s">
        <v>1564</v>
      </c>
      <c r="AT207" s="208" t="s">
        <v>2113</v>
      </c>
      <c r="AU207" s="208" t="s">
        <v>2157</v>
      </c>
      <c r="AV207" s="208" t="s">
        <v>2114</v>
      </c>
      <c r="AW207" s="208" t="s">
        <v>2157</v>
      </c>
      <c r="AX207" s="208" t="s">
        <v>2115</v>
      </c>
      <c r="AY207" s="208" t="s">
        <v>1902</v>
      </c>
      <c r="AZ207" s="208" t="s">
        <v>1489</v>
      </c>
      <c r="BA207" s="208" t="s">
        <v>1564</v>
      </c>
      <c r="BB207" s="208" t="s">
        <v>2109</v>
      </c>
      <c r="BC207" s="208" t="s">
        <v>2157</v>
      </c>
      <c r="BD207" s="208" t="s">
        <v>2111</v>
      </c>
      <c r="BE207" s="208" t="s">
        <v>2182</v>
      </c>
      <c r="BF207" s="208" t="s">
        <v>2108</v>
      </c>
      <c r="BH207" s="208" t="b">
        <v>0</v>
      </c>
      <c r="BK207" s="208" t="b">
        <v>0</v>
      </c>
    </row>
    <row r="208" spans="2:63" hidden="1">
      <c r="B208" s="208">
        <v>15292</v>
      </c>
      <c r="C208" s="208" t="s">
        <v>1061</v>
      </c>
      <c r="D208" s="209">
        <v>155351</v>
      </c>
      <c r="E208" s="210">
        <v>847542</v>
      </c>
      <c r="F208" s="210">
        <v>635656</v>
      </c>
      <c r="H208" s="208" t="s">
        <v>17</v>
      </c>
      <c r="I208" s="208" t="s">
        <v>2134</v>
      </c>
      <c r="J208" s="208" t="s">
        <v>1468</v>
      </c>
      <c r="K208" s="208" t="s">
        <v>1469</v>
      </c>
      <c r="L208" s="208" t="s">
        <v>1470</v>
      </c>
      <c r="M208" s="208" t="s">
        <v>2099</v>
      </c>
      <c r="N208" s="208" t="s">
        <v>1471</v>
      </c>
      <c r="O208" s="208" t="s">
        <v>2220</v>
      </c>
      <c r="Q208" s="208" t="s">
        <v>2108</v>
      </c>
      <c r="R208" s="209" t="s">
        <v>1475</v>
      </c>
      <c r="S208" s="208" t="s">
        <v>2230</v>
      </c>
      <c r="T208" s="208" t="s">
        <v>2339</v>
      </c>
      <c r="U208" s="208" t="s">
        <v>1637</v>
      </c>
      <c r="V208" s="208" t="s">
        <v>2233</v>
      </c>
      <c r="W208" s="209" t="s">
        <v>2233</v>
      </c>
      <c r="X208" s="211">
        <f t="shared" si="3"/>
        <v>44773.875</v>
      </c>
      <c r="Y208" s="208" t="s">
        <v>2226</v>
      </c>
      <c r="Z208" s="208" t="s">
        <v>1482</v>
      </c>
      <c r="AA208" s="208" t="s">
        <v>1483</v>
      </c>
      <c r="AB208" s="208" t="s">
        <v>2340</v>
      </c>
      <c r="AC208" s="208" t="s">
        <v>1634</v>
      </c>
      <c r="AD208" s="208">
        <v>0</v>
      </c>
      <c r="AE208" s="208">
        <v>106.83</v>
      </c>
      <c r="AF208" s="208">
        <v>0</v>
      </c>
      <c r="AG208" s="208" t="s">
        <v>1486</v>
      </c>
      <c r="AH208" s="208" t="s">
        <v>1487</v>
      </c>
      <c r="AI208" s="208" t="s">
        <v>1488</v>
      </c>
      <c r="AJ208" s="208" t="s">
        <v>1489</v>
      </c>
      <c r="AL208" s="208" t="s">
        <v>1635</v>
      </c>
      <c r="AM208" s="208" t="s">
        <v>1637</v>
      </c>
      <c r="AN208" s="208" t="s">
        <v>1637</v>
      </c>
      <c r="AO208" s="208" t="s">
        <v>1637</v>
      </c>
      <c r="AP208" s="208" t="s">
        <v>1638</v>
      </c>
      <c r="AQ208" s="208" t="s">
        <v>1902</v>
      </c>
      <c r="AT208" s="208" t="s">
        <v>2230</v>
      </c>
      <c r="AU208" s="208" t="s">
        <v>1637</v>
      </c>
      <c r="AV208" s="208" t="s">
        <v>2233</v>
      </c>
      <c r="AW208" s="208" t="s">
        <v>2233</v>
      </c>
      <c r="AX208" s="208" t="s">
        <v>2108</v>
      </c>
      <c r="AY208" s="208" t="s">
        <v>1902</v>
      </c>
      <c r="BB208" s="208" t="s">
        <v>2230</v>
      </c>
      <c r="BC208" s="208" t="s">
        <v>2233</v>
      </c>
      <c r="BD208" s="208" t="s">
        <v>2233</v>
      </c>
      <c r="BE208" s="208" t="s">
        <v>2233</v>
      </c>
      <c r="BF208" s="208" t="s">
        <v>2108</v>
      </c>
      <c r="BH208" s="208" t="b">
        <v>0</v>
      </c>
      <c r="BK208" s="208" t="b">
        <v>0</v>
      </c>
    </row>
  </sheetData>
  <autoFilter ref="A1:BL208" xr:uid="{2CDEE77E-8524-4A87-B307-B5B12FAE9E2B}">
    <filterColumn colId="3">
      <filters>
        <filter val="32744"/>
      </filters>
    </filterColumn>
    <sortState xmlns:xlrd2="http://schemas.microsoft.com/office/spreadsheetml/2017/richdata2" ref="A2:BL208">
      <sortCondition ref="D1:D208"/>
    </sortState>
  </autoFilter>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3B298-AE2E-410C-A54B-46967F9BC3C0}">
  <dimension ref="B2:Q48"/>
  <sheetViews>
    <sheetView showGridLines="0" workbookViewId="0"/>
  </sheetViews>
  <sheetFormatPr defaultColWidth="9.140625" defaultRowHeight="15"/>
  <cols>
    <col min="1" max="1" width="7.42578125" style="129" customWidth="1"/>
    <col min="2" max="2" width="17.140625" style="129" customWidth="1"/>
    <col min="3" max="3" width="26.7109375" style="129" bestFit="1" customWidth="1"/>
    <col min="4" max="4" width="15" style="129" bestFit="1" customWidth="1"/>
    <col min="5" max="5" width="13.140625" style="129" customWidth="1"/>
    <col min="6" max="6" width="14.28515625" style="129" customWidth="1"/>
    <col min="7" max="8" width="9.140625" style="129"/>
    <col min="9" max="9" width="12" style="129" customWidth="1"/>
    <col min="10" max="10" width="13.140625" style="129" bestFit="1" customWidth="1"/>
    <col min="11" max="11" width="1.85546875" style="129" customWidth="1"/>
    <col min="12" max="13" width="13" style="129" customWidth="1"/>
    <col min="14" max="14" width="1.85546875" style="129" customWidth="1"/>
    <col min="15" max="15" width="13" style="129" customWidth="1"/>
    <col min="16" max="17" width="12.28515625" style="129" customWidth="1"/>
    <col min="18" max="16384" width="9.140625" style="129"/>
  </cols>
  <sheetData>
    <row r="2" spans="2:17">
      <c r="B2" s="129" t="s">
        <v>876</v>
      </c>
      <c r="C2" s="178">
        <v>45978</v>
      </c>
      <c r="E2" s="129" t="s">
        <v>1388</v>
      </c>
      <c r="L2" s="191" t="s">
        <v>1384</v>
      </c>
      <c r="M2" s="191" t="s">
        <v>1385</v>
      </c>
      <c r="O2" s="191" t="s">
        <v>1386</v>
      </c>
    </row>
    <row r="3" spans="2:17">
      <c r="E3" s="129" t="s">
        <v>1391</v>
      </c>
      <c r="L3" s="191" t="s">
        <v>1376</v>
      </c>
      <c r="M3" s="191" t="s">
        <v>1377</v>
      </c>
      <c r="O3" s="191" t="s">
        <v>1381</v>
      </c>
    </row>
    <row r="4" spans="2:17">
      <c r="L4" s="175">
        <f>'Resumo Imóveis 2 - VENDAS'!I46/10^6</f>
        <v>17.871567333333331</v>
      </c>
      <c r="M4" s="175">
        <f>'Resumo Imóveis 2 - VENDAS'!G46/10^6</f>
        <v>21.429554</v>
      </c>
      <c r="O4" s="175">
        <f>L4*2</f>
        <v>35.743134666666663</v>
      </c>
    </row>
    <row r="5" spans="2:17">
      <c r="C5" s="201" t="s">
        <v>1392</v>
      </c>
      <c r="I5" s="170"/>
      <c r="P5" s="200">
        <v>0.6</v>
      </c>
      <c r="Q5" s="200">
        <f>1-P5</f>
        <v>0.4</v>
      </c>
    </row>
    <row r="6" spans="2:17">
      <c r="C6" s="171" t="s">
        <v>70</v>
      </c>
      <c r="D6" s="172" t="s">
        <v>849</v>
      </c>
      <c r="E6" s="172" t="s">
        <v>871</v>
      </c>
      <c r="F6" s="172" t="s">
        <v>1389</v>
      </c>
      <c r="I6" s="188" t="s">
        <v>877</v>
      </c>
      <c r="J6" s="188" t="s">
        <v>1378</v>
      </c>
      <c r="L6" s="188" t="s">
        <v>1383</v>
      </c>
      <c r="M6" s="188" t="s">
        <v>1382</v>
      </c>
      <c r="O6" s="199" t="s">
        <v>1387</v>
      </c>
      <c r="P6" s="199" t="s">
        <v>1379</v>
      </c>
      <c r="Q6" s="199" t="s">
        <v>1380</v>
      </c>
    </row>
    <row r="7" spans="2:17">
      <c r="B7" s="170" t="s">
        <v>848</v>
      </c>
      <c r="C7" s="129" t="s">
        <v>850</v>
      </c>
      <c r="D7" s="173">
        <f>Desembolsos!$B$27</f>
        <v>2846895.55</v>
      </c>
      <c r="E7" s="173">
        <f>Desembolsos!E27</f>
        <v>11573900.011242628</v>
      </c>
      <c r="F7" s="173" t="s">
        <v>1390</v>
      </c>
      <c r="I7" s="192">
        <v>45978</v>
      </c>
      <c r="J7" s="193">
        <v>20.358823410326913</v>
      </c>
      <c r="L7" s="189" t="s">
        <v>25</v>
      </c>
      <c r="M7" s="189">
        <f>$M$4-J7</f>
        <v>1.0707305896730865</v>
      </c>
      <c r="O7" s="189">
        <f>$O$4-J7</f>
        <v>15.38431125633975</v>
      </c>
      <c r="P7" s="189">
        <f>IFERROR($P$5*O7,"-")</f>
        <v>9.2305867538038502</v>
      </c>
      <c r="Q7" s="189">
        <f>IFERROR($Q$5*O7,"-")</f>
        <v>6.1537245025359004</v>
      </c>
    </row>
    <row r="8" spans="2:17">
      <c r="B8" s="170" t="s">
        <v>848</v>
      </c>
      <c r="C8" s="129" t="s">
        <v>1405</v>
      </c>
      <c r="D8" s="173">
        <f>'Despesas - NPL'!H2</f>
        <v>3511359.7200000007</v>
      </c>
      <c r="E8" s="173">
        <f>'Despesas - NPL'!K2</f>
        <v>23729062.820419244</v>
      </c>
      <c r="F8" s="173" t="s">
        <v>1390</v>
      </c>
      <c r="I8" s="194">
        <v>45992</v>
      </c>
      <c r="J8" s="195">
        <v>20.492451390142929</v>
      </c>
      <c r="L8" s="190" t="s">
        <v>25</v>
      </c>
      <c r="M8" s="190">
        <f t="shared" ref="M8:M11" si="0">$M$4-J8</f>
        <v>0.93710260985707095</v>
      </c>
      <c r="O8" s="190">
        <f t="shared" ref="O8:O26" si="1">$O$4-J8</f>
        <v>15.250683276523734</v>
      </c>
      <c r="P8" s="190">
        <f t="shared" ref="P8:P26" si="2">IFERROR($P$5*O8,"-")</f>
        <v>9.1504099659142408</v>
      </c>
      <c r="Q8" s="190">
        <f t="shared" ref="Q8:Q26" si="3">IFERROR($Q$5*O8,"-")</f>
        <v>6.1002733106094942</v>
      </c>
    </row>
    <row r="9" spans="2:17">
      <c r="B9" s="170" t="s">
        <v>847</v>
      </c>
      <c r="C9" s="129" t="s">
        <v>1374</v>
      </c>
      <c r="D9" s="173">
        <f>'Despesas - NPL'!H1</f>
        <v>1550332.5789721282</v>
      </c>
      <c r="E9" s="173">
        <f>'Despesas - NPL'!L1</f>
        <v>1773514.322617925</v>
      </c>
      <c r="F9" s="173" t="s">
        <v>1406</v>
      </c>
      <c r="I9" s="196">
        <f>EDATE(I8,1)</f>
        <v>46023</v>
      </c>
      <c r="J9" s="175">
        <v>20.797692880729382</v>
      </c>
      <c r="L9" s="173" t="s">
        <v>25</v>
      </c>
      <c r="M9" s="173">
        <f t="shared" si="0"/>
        <v>0.63186111927061717</v>
      </c>
      <c r="O9" s="173">
        <f t="shared" si="1"/>
        <v>14.94544178593728</v>
      </c>
      <c r="P9" s="173">
        <f t="shared" si="2"/>
        <v>8.9672650715623679</v>
      </c>
      <c r="Q9" s="173">
        <f t="shared" si="3"/>
        <v>5.9781767143749125</v>
      </c>
    </row>
    <row r="10" spans="2:17">
      <c r="B10" s="170" t="s">
        <v>847</v>
      </c>
      <c r="C10" s="149" t="s">
        <v>1375</v>
      </c>
      <c r="D10" s="174">
        <f>'Despesas - SPE'!G2</f>
        <v>2227253.3726610034</v>
      </c>
      <c r="E10" s="174">
        <f>'Despesas - SPE'!K2</f>
        <v>2260325.0995809231</v>
      </c>
      <c r="F10" s="174" t="s">
        <v>1406</v>
      </c>
      <c r="I10" s="196">
        <f t="shared" ref="I10:I25" si="4">EDATE(I9,1)</f>
        <v>46054</v>
      </c>
      <c r="J10" s="175">
        <v>21.113750091908049</v>
      </c>
      <c r="L10" s="173" t="s">
        <v>25</v>
      </c>
      <c r="M10" s="173">
        <f t="shared" si="0"/>
        <v>0.3158039080919508</v>
      </c>
      <c r="O10" s="173">
        <f t="shared" si="1"/>
        <v>14.629384574758614</v>
      </c>
      <c r="P10" s="173">
        <f t="shared" si="2"/>
        <v>8.777630744855168</v>
      </c>
      <c r="Q10" s="173">
        <f t="shared" si="3"/>
        <v>5.8517538299034459</v>
      </c>
    </row>
    <row r="11" spans="2:17">
      <c r="C11" s="170" t="s">
        <v>878</v>
      </c>
      <c r="D11" s="175">
        <f>SUM(D7:D10)</f>
        <v>10135841.221633133</v>
      </c>
      <c r="E11" s="204">
        <f>SUM(E7:E10)</f>
        <v>39336802.25386072</v>
      </c>
      <c r="F11" s="175"/>
      <c r="I11" s="196">
        <f t="shared" si="4"/>
        <v>46082</v>
      </c>
      <c r="J11" s="175">
        <v>21.404371942163497</v>
      </c>
      <c r="L11" s="173" t="s">
        <v>25</v>
      </c>
      <c r="M11" s="173">
        <f t="shared" si="0"/>
        <v>2.5182057836502736E-2</v>
      </c>
      <c r="O11" s="173">
        <f t="shared" si="1"/>
        <v>14.338762724503166</v>
      </c>
      <c r="P11" s="173">
        <f t="shared" si="2"/>
        <v>8.6032576347018992</v>
      </c>
      <c r="Q11" s="173">
        <f t="shared" si="3"/>
        <v>5.7355050898012667</v>
      </c>
    </row>
    <row r="12" spans="2:17">
      <c r="D12" s="176"/>
      <c r="E12" s="176"/>
      <c r="I12" s="196">
        <f t="shared" si="4"/>
        <v>46113</v>
      </c>
      <c r="J12" s="175">
        <v>21.721086322475383</v>
      </c>
      <c r="L12" s="173" t="s">
        <v>25</v>
      </c>
      <c r="M12" s="173" t="s">
        <v>25</v>
      </c>
      <c r="O12" s="173">
        <f t="shared" si="1"/>
        <v>14.02204834419128</v>
      </c>
      <c r="P12" s="173">
        <f t="shared" si="2"/>
        <v>8.4132290065147668</v>
      </c>
      <c r="Q12" s="173">
        <f t="shared" si="3"/>
        <v>5.6088193376765121</v>
      </c>
    </row>
    <row r="13" spans="2:17">
      <c r="I13" s="196">
        <f t="shared" si="4"/>
        <v>46143</v>
      </c>
      <c r="J13" s="175">
        <v>22.034308607297476</v>
      </c>
      <c r="L13" s="173" t="s">
        <v>25</v>
      </c>
      <c r="M13" s="173" t="s">
        <v>25</v>
      </c>
      <c r="O13" s="173">
        <f t="shared" si="1"/>
        <v>13.708826059369187</v>
      </c>
      <c r="P13" s="173">
        <f t="shared" si="2"/>
        <v>8.2252956356215119</v>
      </c>
      <c r="Q13" s="173">
        <f t="shared" si="3"/>
        <v>5.4835304237476752</v>
      </c>
    </row>
    <row r="14" spans="2:17">
      <c r="E14" s="129">
        <f>E11/10^6</f>
        <v>39.336802253860718</v>
      </c>
      <c r="I14" s="196">
        <f t="shared" si="4"/>
        <v>46174</v>
      </c>
      <c r="J14" s="175">
        <v>22.357667438764331</v>
      </c>
      <c r="L14" s="173" t="s">
        <v>25</v>
      </c>
      <c r="M14" s="173" t="s">
        <v>25</v>
      </c>
      <c r="O14" s="173">
        <f t="shared" si="1"/>
        <v>13.385467227902332</v>
      </c>
      <c r="P14" s="173">
        <f t="shared" si="2"/>
        <v>8.0312803367413981</v>
      </c>
      <c r="Q14" s="173">
        <f t="shared" si="3"/>
        <v>5.3541868911609329</v>
      </c>
    </row>
    <row r="15" spans="2:17">
      <c r="E15" s="179">
        <v>45985</v>
      </c>
      <c r="F15" s="129">
        <v>40.273008501065917</v>
      </c>
      <c r="I15" s="196">
        <f t="shared" si="4"/>
        <v>46204</v>
      </c>
      <c r="J15" s="175">
        <v>22.66588212925555</v>
      </c>
      <c r="L15" s="173" t="s">
        <v>25</v>
      </c>
      <c r="M15" s="173" t="s">
        <v>25</v>
      </c>
      <c r="O15" s="173">
        <f t="shared" si="1"/>
        <v>13.077252537411113</v>
      </c>
      <c r="P15" s="173">
        <f t="shared" si="2"/>
        <v>7.8463515224466676</v>
      </c>
      <c r="Q15" s="173">
        <f t="shared" si="3"/>
        <v>5.230901014964445</v>
      </c>
    </row>
    <row r="16" spans="2:17">
      <c r="E16" s="179">
        <v>46015</v>
      </c>
      <c r="F16" s="129">
        <v>41.208983841974025</v>
      </c>
      <c r="I16" s="196">
        <f t="shared" si="4"/>
        <v>46235</v>
      </c>
      <c r="J16" s="175">
        <v>22.990847031593376</v>
      </c>
      <c r="L16" s="173" t="s">
        <v>25</v>
      </c>
      <c r="M16" s="173" t="s">
        <v>25</v>
      </c>
      <c r="O16" s="173">
        <f t="shared" si="1"/>
        <v>12.752287635073287</v>
      </c>
      <c r="P16" s="173">
        <f t="shared" si="2"/>
        <v>7.6513725810439723</v>
      </c>
      <c r="Q16" s="173">
        <f t="shared" si="3"/>
        <v>5.1009150540293149</v>
      </c>
    </row>
    <row r="17" spans="5:17">
      <c r="E17" s="179">
        <v>46357</v>
      </c>
      <c r="F17" s="129">
        <v>54.168807571084265</v>
      </c>
      <c r="I17" s="196">
        <f t="shared" si="4"/>
        <v>46266</v>
      </c>
      <c r="J17" s="175">
        <v>23.322302907335335</v>
      </c>
      <c r="L17" s="173" t="s">
        <v>25</v>
      </c>
      <c r="M17" s="173" t="s">
        <v>25</v>
      </c>
      <c r="O17" s="173">
        <f t="shared" si="1"/>
        <v>12.420831759331328</v>
      </c>
      <c r="P17" s="173">
        <f t="shared" si="2"/>
        <v>7.4524990555987962</v>
      </c>
      <c r="Q17" s="173">
        <f t="shared" si="3"/>
        <v>4.968332703732532</v>
      </c>
    </row>
    <row r="18" spans="5:17">
      <c r="E18" s="179">
        <v>46722</v>
      </c>
      <c r="F18" s="129">
        <v>72.859582202250962</v>
      </c>
      <c r="I18" s="196">
        <f t="shared" si="4"/>
        <v>46296</v>
      </c>
      <c r="J18" s="175">
        <v>23.65764650729384</v>
      </c>
      <c r="L18" s="173" t="s">
        <v>25</v>
      </c>
      <c r="M18" s="173" t="s">
        <v>25</v>
      </c>
      <c r="O18" s="173">
        <f t="shared" si="1"/>
        <v>12.085488159372822</v>
      </c>
      <c r="P18" s="173">
        <f t="shared" si="2"/>
        <v>7.2512928956236928</v>
      </c>
      <c r="Q18" s="173">
        <f t="shared" si="3"/>
        <v>4.8341952637491294</v>
      </c>
    </row>
    <row r="19" spans="5:17">
      <c r="E19" s="179">
        <v>47088</v>
      </c>
      <c r="F19" s="129">
        <v>98.401371802947693</v>
      </c>
      <c r="I19" s="196">
        <f t="shared" si="4"/>
        <v>46327</v>
      </c>
      <c r="J19" s="175">
        <v>24.022792733794429</v>
      </c>
      <c r="L19" s="173" t="s">
        <v>25</v>
      </c>
      <c r="M19" s="173" t="s">
        <v>25</v>
      </c>
      <c r="O19" s="173">
        <f t="shared" si="1"/>
        <v>11.720341932872234</v>
      </c>
      <c r="P19" s="173">
        <f t="shared" si="2"/>
        <v>7.0322051597233406</v>
      </c>
      <c r="Q19" s="173">
        <f t="shared" si="3"/>
        <v>4.6881367731488934</v>
      </c>
    </row>
    <row r="20" spans="5:17">
      <c r="E20" s="179">
        <v>47453</v>
      </c>
      <c r="F20" s="129">
        <v>133.48943874170556</v>
      </c>
      <c r="I20" s="197">
        <f t="shared" si="4"/>
        <v>46357</v>
      </c>
      <c r="J20" s="198">
        <v>24.385178588323246</v>
      </c>
      <c r="L20" s="174" t="s">
        <v>25</v>
      </c>
      <c r="M20" s="174" t="s">
        <v>25</v>
      </c>
      <c r="O20" s="174">
        <f t="shared" si="1"/>
        <v>11.357956078343417</v>
      </c>
      <c r="P20" s="174">
        <f t="shared" si="2"/>
        <v>6.8147736470060503</v>
      </c>
      <c r="Q20" s="174">
        <f t="shared" si="3"/>
        <v>4.5431824313373665</v>
      </c>
    </row>
    <row r="21" spans="5:17">
      <c r="E21" s="179"/>
      <c r="I21" s="192">
        <f t="shared" si="4"/>
        <v>46388</v>
      </c>
      <c r="J21" s="193">
        <v>24.779144696693145</v>
      </c>
      <c r="L21" s="189" t="s">
        <v>25</v>
      </c>
      <c r="M21" s="189" t="s">
        <v>25</v>
      </c>
      <c r="O21" s="189">
        <f t="shared" si="1"/>
        <v>10.963989969973518</v>
      </c>
      <c r="P21" s="189">
        <f t="shared" si="2"/>
        <v>6.5783939819841111</v>
      </c>
      <c r="Q21" s="189">
        <f t="shared" si="3"/>
        <v>4.3855959879894071</v>
      </c>
    </row>
    <row r="22" spans="5:17">
      <c r="E22" s="179"/>
      <c r="I22" s="192">
        <f t="shared" si="4"/>
        <v>46419</v>
      </c>
      <c r="J22" s="193">
        <v>25.18465816291403</v>
      </c>
      <c r="L22" s="189" t="s">
        <v>25</v>
      </c>
      <c r="M22" s="189" t="s">
        <v>25</v>
      </c>
      <c r="O22" s="189">
        <f t="shared" si="1"/>
        <v>10.558476503752633</v>
      </c>
      <c r="P22" s="189">
        <f t="shared" si="2"/>
        <v>6.3350859022515795</v>
      </c>
      <c r="Q22" s="189">
        <f t="shared" si="3"/>
        <v>4.2233906015010536</v>
      </c>
    </row>
    <row r="23" spans="5:17">
      <c r="E23" s="179"/>
      <c r="I23" s="192">
        <f t="shared" si="4"/>
        <v>46447</v>
      </c>
      <c r="J23" s="193">
        <v>25.558186974553756</v>
      </c>
      <c r="L23" s="189" t="s">
        <v>25</v>
      </c>
      <c r="M23" s="189" t="s">
        <v>25</v>
      </c>
      <c r="O23" s="189">
        <f t="shared" si="1"/>
        <v>10.184947692112907</v>
      </c>
      <c r="P23" s="189">
        <f t="shared" si="2"/>
        <v>6.110968615267744</v>
      </c>
      <c r="Q23" s="189">
        <f t="shared" si="3"/>
        <v>4.0739790768451627</v>
      </c>
    </row>
    <row r="24" spans="5:17">
      <c r="E24" s="179"/>
      <c r="I24" s="192">
        <f t="shared" si="4"/>
        <v>46478</v>
      </c>
      <c r="J24" s="193">
        <v>25.967656570375173</v>
      </c>
      <c r="L24" s="189" t="s">
        <v>25</v>
      </c>
      <c r="M24" s="189" t="s">
        <v>25</v>
      </c>
      <c r="O24" s="189">
        <f t="shared" si="1"/>
        <v>9.77547809629149</v>
      </c>
      <c r="P24" s="189">
        <f t="shared" si="2"/>
        <v>5.865286857774894</v>
      </c>
      <c r="Q24" s="189">
        <f t="shared" si="3"/>
        <v>3.910191238516596</v>
      </c>
    </row>
    <row r="25" spans="5:17">
      <c r="E25" s="179"/>
      <c r="I25" s="192">
        <f t="shared" si="4"/>
        <v>46508</v>
      </c>
      <c r="J25" s="193">
        <v>26.372735119543712</v>
      </c>
      <c r="L25" s="189" t="s">
        <v>25</v>
      </c>
      <c r="M25" s="189" t="s">
        <v>25</v>
      </c>
      <c r="O25" s="189">
        <f t="shared" si="1"/>
        <v>9.3703995471229504</v>
      </c>
      <c r="P25" s="189">
        <f t="shared" si="2"/>
        <v>5.6222397282737697</v>
      </c>
      <c r="Q25" s="189">
        <f t="shared" si="3"/>
        <v>3.7481598188491803</v>
      </c>
    </row>
    <row r="26" spans="5:17">
      <c r="E26" s="179"/>
      <c r="I26" s="192">
        <f t="shared" ref="I26:I48" si="5">EDATE(I25,1)</f>
        <v>46539</v>
      </c>
      <c r="J26" s="193">
        <v>26.798927308541323</v>
      </c>
      <c r="L26" s="189" t="s">
        <v>25</v>
      </c>
      <c r="M26" s="189" t="s">
        <v>25</v>
      </c>
      <c r="O26" s="189">
        <f t="shared" si="1"/>
        <v>8.9442073581253396</v>
      </c>
      <c r="P26" s="189">
        <f t="shared" si="2"/>
        <v>5.3665244148752036</v>
      </c>
      <c r="Q26" s="189">
        <f t="shared" si="3"/>
        <v>3.577682943250136</v>
      </c>
    </row>
    <row r="27" spans="5:17">
      <c r="E27" s="179"/>
      <c r="I27" s="192">
        <f t="shared" si="5"/>
        <v>46569</v>
      </c>
      <c r="J27" s="193">
        <f>J26*H27</f>
        <v>0</v>
      </c>
      <c r="L27" s="189" t="s">
        <v>25</v>
      </c>
      <c r="M27" s="189" t="s">
        <v>25</v>
      </c>
      <c r="O27" s="189">
        <f t="shared" ref="O27:O36" si="6">$O$4-J27</f>
        <v>35.743134666666663</v>
      </c>
      <c r="P27" s="189">
        <f t="shared" ref="P27:P36" si="7">IFERROR($P$5*O27,"-")</f>
        <v>21.445880799999998</v>
      </c>
      <c r="Q27" s="189">
        <f t="shared" ref="Q27:Q36" si="8">IFERROR($Q$5*O27,"-")</f>
        <v>14.297253866666665</v>
      </c>
    </row>
    <row r="28" spans="5:17">
      <c r="E28" s="179"/>
      <c r="I28" s="192">
        <f t="shared" si="5"/>
        <v>46600</v>
      </c>
      <c r="J28" s="193">
        <f t="shared" ref="J28:J36" si="9">J27*H28</f>
        <v>0</v>
      </c>
      <c r="L28" s="189" t="s">
        <v>25</v>
      </c>
      <c r="M28" s="189" t="s">
        <v>25</v>
      </c>
      <c r="O28" s="189">
        <f t="shared" si="6"/>
        <v>35.743134666666663</v>
      </c>
      <c r="P28" s="189">
        <f t="shared" si="7"/>
        <v>21.445880799999998</v>
      </c>
      <c r="Q28" s="189">
        <f t="shared" si="8"/>
        <v>14.297253866666665</v>
      </c>
    </row>
    <row r="29" spans="5:17">
      <c r="E29" s="179"/>
      <c r="I29" s="192">
        <f t="shared" si="5"/>
        <v>46631</v>
      </c>
      <c r="J29" s="193">
        <f t="shared" si="9"/>
        <v>0</v>
      </c>
      <c r="L29" s="189" t="s">
        <v>25</v>
      </c>
      <c r="M29" s="189" t="s">
        <v>25</v>
      </c>
      <c r="O29" s="189">
        <f t="shared" si="6"/>
        <v>35.743134666666663</v>
      </c>
      <c r="P29" s="189">
        <f t="shared" si="7"/>
        <v>21.445880799999998</v>
      </c>
      <c r="Q29" s="189">
        <f t="shared" si="8"/>
        <v>14.297253866666665</v>
      </c>
    </row>
    <row r="30" spans="5:17">
      <c r="E30" s="179"/>
      <c r="I30" s="192">
        <f t="shared" si="5"/>
        <v>46661</v>
      </c>
      <c r="J30" s="193">
        <f t="shared" si="9"/>
        <v>0</v>
      </c>
      <c r="L30" s="189" t="s">
        <v>25</v>
      </c>
      <c r="M30" s="189" t="s">
        <v>25</v>
      </c>
      <c r="O30" s="189">
        <f t="shared" si="6"/>
        <v>35.743134666666663</v>
      </c>
      <c r="P30" s="189">
        <f t="shared" si="7"/>
        <v>21.445880799999998</v>
      </c>
      <c r="Q30" s="189">
        <f t="shared" si="8"/>
        <v>14.297253866666665</v>
      </c>
    </row>
    <row r="31" spans="5:17">
      <c r="E31" s="179"/>
      <c r="I31" s="192">
        <f t="shared" si="5"/>
        <v>46692</v>
      </c>
      <c r="J31" s="193">
        <f t="shared" si="9"/>
        <v>0</v>
      </c>
      <c r="L31" s="189" t="s">
        <v>25</v>
      </c>
      <c r="M31" s="189" t="s">
        <v>25</v>
      </c>
      <c r="O31" s="189">
        <f t="shared" si="6"/>
        <v>35.743134666666663</v>
      </c>
      <c r="P31" s="189">
        <f t="shared" si="7"/>
        <v>21.445880799999998</v>
      </c>
      <c r="Q31" s="189">
        <f t="shared" si="8"/>
        <v>14.297253866666665</v>
      </c>
    </row>
    <row r="32" spans="5:17">
      <c r="E32" s="179"/>
      <c r="I32" s="194">
        <f t="shared" si="5"/>
        <v>46722</v>
      </c>
      <c r="J32" s="195">
        <f t="shared" si="9"/>
        <v>0</v>
      </c>
      <c r="L32" s="190" t="s">
        <v>25</v>
      </c>
      <c r="M32" s="190" t="s">
        <v>25</v>
      </c>
      <c r="O32" s="190">
        <f t="shared" si="6"/>
        <v>35.743134666666663</v>
      </c>
      <c r="P32" s="190">
        <f t="shared" si="7"/>
        <v>21.445880799999998</v>
      </c>
      <c r="Q32" s="190">
        <f t="shared" si="8"/>
        <v>14.297253866666665</v>
      </c>
    </row>
    <row r="33" spans="3:17">
      <c r="E33" s="179"/>
      <c r="I33" s="196">
        <f t="shared" si="5"/>
        <v>46753</v>
      </c>
      <c r="J33" s="175">
        <f t="shared" si="9"/>
        <v>0</v>
      </c>
      <c r="L33" s="173" t="s">
        <v>25</v>
      </c>
      <c r="M33" s="173" t="s">
        <v>25</v>
      </c>
      <c r="O33" s="173">
        <f t="shared" si="6"/>
        <v>35.743134666666663</v>
      </c>
      <c r="P33" s="173">
        <f t="shared" si="7"/>
        <v>21.445880799999998</v>
      </c>
      <c r="Q33" s="173">
        <f t="shared" si="8"/>
        <v>14.297253866666665</v>
      </c>
    </row>
    <row r="34" spans="3:17">
      <c r="E34" s="179"/>
      <c r="I34" s="196">
        <f t="shared" si="5"/>
        <v>46784</v>
      </c>
      <c r="J34" s="175">
        <f t="shared" si="9"/>
        <v>0</v>
      </c>
      <c r="L34" s="173" t="s">
        <v>25</v>
      </c>
      <c r="M34" s="173" t="s">
        <v>25</v>
      </c>
      <c r="O34" s="173">
        <f t="shared" si="6"/>
        <v>35.743134666666663</v>
      </c>
      <c r="P34" s="173">
        <f t="shared" si="7"/>
        <v>21.445880799999998</v>
      </c>
      <c r="Q34" s="173">
        <f t="shared" si="8"/>
        <v>14.297253866666665</v>
      </c>
    </row>
    <row r="35" spans="3:17">
      <c r="I35" s="196">
        <f t="shared" si="5"/>
        <v>46813</v>
      </c>
      <c r="J35" s="175">
        <f t="shared" si="9"/>
        <v>0</v>
      </c>
      <c r="L35" s="173" t="s">
        <v>25</v>
      </c>
      <c r="M35" s="173" t="s">
        <v>25</v>
      </c>
      <c r="O35" s="173">
        <f t="shared" si="6"/>
        <v>35.743134666666663</v>
      </c>
      <c r="P35" s="173">
        <f t="shared" si="7"/>
        <v>21.445880799999998</v>
      </c>
      <c r="Q35" s="173">
        <f t="shared" si="8"/>
        <v>14.297253866666665</v>
      </c>
    </row>
    <row r="36" spans="3:17">
      <c r="C36" s="201" t="s">
        <v>1392</v>
      </c>
      <c r="E36" s="203" t="s">
        <v>1395</v>
      </c>
      <c r="I36" s="196">
        <f t="shared" si="5"/>
        <v>46844</v>
      </c>
      <c r="J36" s="175">
        <f t="shared" si="9"/>
        <v>0</v>
      </c>
      <c r="L36" s="173" t="s">
        <v>25</v>
      </c>
      <c r="M36" s="173" t="s">
        <v>25</v>
      </c>
      <c r="O36" s="173">
        <f t="shared" si="6"/>
        <v>35.743134666666663</v>
      </c>
      <c r="P36" s="173">
        <f t="shared" si="7"/>
        <v>21.445880799999998</v>
      </c>
      <c r="Q36" s="173">
        <f t="shared" si="8"/>
        <v>14.297253866666665</v>
      </c>
    </row>
    <row r="37" spans="3:17">
      <c r="C37" s="188" t="s">
        <v>877</v>
      </c>
      <c r="D37" s="188" t="s">
        <v>1393</v>
      </c>
      <c r="E37" s="188" t="s">
        <v>1394</v>
      </c>
      <c r="I37" s="196">
        <f t="shared" si="5"/>
        <v>46874</v>
      </c>
      <c r="J37" s="175">
        <f t="shared" ref="J37:J48" si="10">J36*H37</f>
        <v>0</v>
      </c>
      <c r="L37" s="173" t="s">
        <v>25</v>
      </c>
      <c r="M37" s="173" t="s">
        <v>25</v>
      </c>
      <c r="O37" s="173">
        <f t="shared" ref="O37:O48" si="11">$O$4-J37</f>
        <v>35.743134666666663</v>
      </c>
      <c r="P37" s="173">
        <f t="shared" ref="P37:P48" si="12">IFERROR($P$5*O37,"-")</f>
        <v>21.445880799999998</v>
      </c>
      <c r="Q37" s="173">
        <f t="shared" ref="Q37:Q48" si="13">IFERROR($Q$5*O37,"-")</f>
        <v>14.297253866666665</v>
      </c>
    </row>
    <row r="38" spans="3:17">
      <c r="C38" s="196">
        <v>45985</v>
      </c>
      <c r="D38" s="202">
        <v>40.273008501065917</v>
      </c>
      <c r="E38" s="202">
        <v>20.418018843127179</v>
      </c>
      <c r="I38" s="196">
        <f t="shared" si="5"/>
        <v>46905</v>
      </c>
      <c r="J38" s="175">
        <f t="shared" si="10"/>
        <v>0</v>
      </c>
      <c r="L38" s="173" t="s">
        <v>25</v>
      </c>
      <c r="M38" s="173" t="s">
        <v>25</v>
      </c>
      <c r="O38" s="173">
        <f t="shared" si="11"/>
        <v>35.743134666666663</v>
      </c>
      <c r="P38" s="173">
        <f t="shared" si="12"/>
        <v>21.445880799999998</v>
      </c>
      <c r="Q38" s="173">
        <f t="shared" si="13"/>
        <v>14.297253866666665</v>
      </c>
    </row>
    <row r="39" spans="3:17">
      <c r="C39" s="196">
        <f t="shared" ref="C39" si="14">EDATE(C38,1)</f>
        <v>46015</v>
      </c>
      <c r="D39" s="202">
        <v>41.208983841974025</v>
      </c>
      <c r="E39" s="202">
        <v>20.690096382106685</v>
      </c>
      <c r="I39" s="196">
        <f t="shared" si="5"/>
        <v>46935</v>
      </c>
      <c r="J39" s="175">
        <f t="shared" si="10"/>
        <v>0</v>
      </c>
      <c r="L39" s="173" t="s">
        <v>25</v>
      </c>
      <c r="M39" s="173" t="s">
        <v>25</v>
      </c>
      <c r="O39" s="173">
        <f t="shared" si="11"/>
        <v>35.743134666666663</v>
      </c>
      <c r="P39" s="173">
        <f t="shared" si="12"/>
        <v>21.445880799999998</v>
      </c>
      <c r="Q39" s="173">
        <f t="shared" si="13"/>
        <v>14.297253866666665</v>
      </c>
    </row>
    <row r="40" spans="3:17">
      <c r="C40" s="196">
        <v>46357</v>
      </c>
      <c r="D40" s="202">
        <v>54.168807571084265</v>
      </c>
      <c r="E40" s="202">
        <v>24.385178588323246</v>
      </c>
      <c r="I40" s="196">
        <f t="shared" si="5"/>
        <v>46966</v>
      </c>
      <c r="J40" s="175">
        <f t="shared" si="10"/>
        <v>0</v>
      </c>
      <c r="L40" s="173" t="s">
        <v>25</v>
      </c>
      <c r="M40" s="173" t="s">
        <v>25</v>
      </c>
      <c r="O40" s="173">
        <f t="shared" si="11"/>
        <v>35.743134666666663</v>
      </c>
      <c r="P40" s="173">
        <f t="shared" si="12"/>
        <v>21.445880799999998</v>
      </c>
      <c r="Q40" s="173">
        <f t="shared" si="13"/>
        <v>14.297253866666665</v>
      </c>
    </row>
    <row r="41" spans="3:17">
      <c r="C41" s="196">
        <v>46722</v>
      </c>
      <c r="D41" s="202">
        <v>72.859582202250962</v>
      </c>
      <c r="E41" s="202">
        <v>29.459906142318076</v>
      </c>
      <c r="I41" s="196">
        <f t="shared" si="5"/>
        <v>46997</v>
      </c>
      <c r="J41" s="175">
        <f t="shared" si="10"/>
        <v>0</v>
      </c>
      <c r="L41" s="173" t="s">
        <v>25</v>
      </c>
      <c r="M41" s="173" t="s">
        <v>25</v>
      </c>
      <c r="O41" s="173">
        <f t="shared" si="11"/>
        <v>35.743134666666663</v>
      </c>
      <c r="P41" s="173">
        <f t="shared" si="12"/>
        <v>21.445880799999998</v>
      </c>
      <c r="Q41" s="173">
        <f t="shared" si="13"/>
        <v>14.297253866666665</v>
      </c>
    </row>
    <row r="42" spans="3:17">
      <c r="C42" s="196">
        <v>47088</v>
      </c>
      <c r="D42" s="202">
        <v>98.401371802947693</v>
      </c>
      <c r="E42" s="202">
        <v>36.032849870915292</v>
      </c>
      <c r="I42" s="196">
        <f t="shared" si="5"/>
        <v>47027</v>
      </c>
      <c r="J42" s="175">
        <f t="shared" si="10"/>
        <v>0</v>
      </c>
      <c r="L42" s="173" t="s">
        <v>25</v>
      </c>
      <c r="M42" s="173" t="s">
        <v>25</v>
      </c>
      <c r="O42" s="173">
        <f t="shared" si="11"/>
        <v>35.743134666666663</v>
      </c>
      <c r="P42" s="173">
        <f t="shared" si="12"/>
        <v>21.445880799999998</v>
      </c>
      <c r="Q42" s="173">
        <f t="shared" si="13"/>
        <v>14.297253866666665</v>
      </c>
    </row>
    <row r="43" spans="3:17">
      <c r="C43" s="196">
        <v>47453</v>
      </c>
      <c r="D43" s="202">
        <v>133.48943874170556</v>
      </c>
      <c r="E43" s="202">
        <v>44.536833012685975</v>
      </c>
      <c r="I43" s="196">
        <f t="shared" si="5"/>
        <v>47058</v>
      </c>
      <c r="J43" s="175">
        <f t="shared" si="10"/>
        <v>0</v>
      </c>
      <c r="L43" s="173" t="s">
        <v>25</v>
      </c>
      <c r="M43" s="173" t="s">
        <v>25</v>
      </c>
      <c r="O43" s="173">
        <f t="shared" si="11"/>
        <v>35.743134666666663</v>
      </c>
      <c r="P43" s="173">
        <f t="shared" si="12"/>
        <v>21.445880799999998</v>
      </c>
      <c r="Q43" s="173">
        <f t="shared" si="13"/>
        <v>14.297253866666665</v>
      </c>
    </row>
    <row r="44" spans="3:17">
      <c r="I44" s="197">
        <f t="shared" si="5"/>
        <v>47088</v>
      </c>
      <c r="J44" s="198">
        <f t="shared" si="10"/>
        <v>0</v>
      </c>
      <c r="L44" s="174" t="s">
        <v>25</v>
      </c>
      <c r="M44" s="174" t="s">
        <v>25</v>
      </c>
      <c r="O44" s="174">
        <f t="shared" si="11"/>
        <v>35.743134666666663</v>
      </c>
      <c r="P44" s="174">
        <f t="shared" si="12"/>
        <v>21.445880799999998</v>
      </c>
      <c r="Q44" s="174">
        <f t="shared" si="13"/>
        <v>14.297253866666665</v>
      </c>
    </row>
    <row r="45" spans="3:17">
      <c r="I45" s="192">
        <f t="shared" si="5"/>
        <v>47119</v>
      </c>
      <c r="J45" s="193">
        <f t="shared" si="10"/>
        <v>0</v>
      </c>
      <c r="L45" s="189" t="s">
        <v>25</v>
      </c>
      <c r="M45" s="189" t="s">
        <v>25</v>
      </c>
      <c r="O45" s="189">
        <f t="shared" si="11"/>
        <v>35.743134666666663</v>
      </c>
      <c r="P45" s="189">
        <f t="shared" si="12"/>
        <v>21.445880799999998</v>
      </c>
      <c r="Q45" s="189">
        <f t="shared" si="13"/>
        <v>14.297253866666665</v>
      </c>
    </row>
    <row r="46" spans="3:17">
      <c r="I46" s="192">
        <f t="shared" si="5"/>
        <v>47150</v>
      </c>
      <c r="J46" s="193">
        <f t="shared" si="10"/>
        <v>0</v>
      </c>
      <c r="L46" s="189" t="s">
        <v>25</v>
      </c>
      <c r="M46" s="189" t="s">
        <v>25</v>
      </c>
      <c r="O46" s="189">
        <f t="shared" si="11"/>
        <v>35.743134666666663</v>
      </c>
      <c r="P46" s="189">
        <f t="shared" si="12"/>
        <v>21.445880799999998</v>
      </c>
      <c r="Q46" s="189">
        <f t="shared" si="13"/>
        <v>14.297253866666665</v>
      </c>
    </row>
    <row r="47" spans="3:17">
      <c r="I47" s="192">
        <f t="shared" si="5"/>
        <v>47178</v>
      </c>
      <c r="J47" s="193">
        <f t="shared" si="10"/>
        <v>0</v>
      </c>
      <c r="L47" s="189" t="s">
        <v>25</v>
      </c>
      <c r="M47" s="189" t="s">
        <v>25</v>
      </c>
      <c r="O47" s="189">
        <f t="shared" si="11"/>
        <v>35.743134666666663</v>
      </c>
      <c r="P47" s="189">
        <f t="shared" si="12"/>
        <v>21.445880799999998</v>
      </c>
      <c r="Q47" s="189">
        <f t="shared" si="13"/>
        <v>14.297253866666665</v>
      </c>
    </row>
    <row r="48" spans="3:17">
      <c r="I48" s="192">
        <f t="shared" si="5"/>
        <v>47209</v>
      </c>
      <c r="J48" s="193">
        <f t="shared" si="10"/>
        <v>0</v>
      </c>
      <c r="L48" s="189" t="s">
        <v>25</v>
      </c>
      <c r="M48" s="189" t="s">
        <v>25</v>
      </c>
      <c r="O48" s="189">
        <f t="shared" si="11"/>
        <v>35.743134666666663</v>
      </c>
      <c r="P48" s="189">
        <f t="shared" si="12"/>
        <v>21.445880799999998</v>
      </c>
      <c r="Q48" s="189">
        <f t="shared" si="13"/>
        <v>14.297253866666665</v>
      </c>
    </row>
  </sheetData>
  <dataValidations disablePrompts="1" count="1">
    <dataValidation type="list" allowBlank="1" showInputMessage="1" showErrorMessage="1" sqref="E3" xr:uid="{178579AA-F0EA-416F-A087-54EC0CDA85EE}">
      <formula1>"INPC,30%a.a."</formula1>
    </dataValidation>
  </dataValidation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2ECE1-1CA0-47A8-915B-2564203FF373}">
  <dimension ref="A2:E31"/>
  <sheetViews>
    <sheetView showGridLines="0" workbookViewId="0"/>
  </sheetViews>
  <sheetFormatPr defaultRowHeight="15"/>
  <cols>
    <col min="1" max="1" width="32.28515625" customWidth="1"/>
    <col min="2" max="3" width="22" customWidth="1"/>
    <col min="4" max="4" width="10.42578125" bestFit="1" customWidth="1"/>
    <col min="5" max="5" width="14.28515625" bestFit="1" customWidth="1"/>
  </cols>
  <sheetData>
    <row r="2" spans="1:5">
      <c r="D2" s="186">
        <f>Contrato!$C$2</f>
        <v>45978</v>
      </c>
    </row>
    <row r="3" spans="1:5">
      <c r="A3" s="160" t="s">
        <v>820</v>
      </c>
      <c r="B3" s="160" t="s">
        <v>821</v>
      </c>
      <c r="C3" s="160" t="s">
        <v>822</v>
      </c>
      <c r="D3" s="160" t="s">
        <v>100</v>
      </c>
      <c r="E3" s="161" t="s">
        <v>823</v>
      </c>
    </row>
    <row r="4" spans="1:5">
      <c r="A4" s="29" t="s">
        <v>824</v>
      </c>
      <c r="B4" s="162">
        <v>26000</v>
      </c>
      <c r="C4" s="163">
        <v>43577</v>
      </c>
      <c r="D4" s="157">
        <f>$D$2</f>
        <v>45978</v>
      </c>
      <c r="E4" s="164">
        <f t="shared" ref="E4:E26" si="0">B4*1.3^((D4-C4)/360)</f>
        <v>149593.32178882672</v>
      </c>
    </row>
    <row r="5" spans="1:5">
      <c r="A5" s="29" t="s">
        <v>825</v>
      </c>
      <c r="B5" s="162">
        <v>2000</v>
      </c>
      <c r="C5" s="163">
        <v>43815</v>
      </c>
      <c r="D5" s="157">
        <f t="shared" ref="D5:D26" si="1">$D$2</f>
        <v>45978</v>
      </c>
      <c r="E5" s="164">
        <f t="shared" si="0"/>
        <v>9674.7474598632161</v>
      </c>
    </row>
    <row r="6" spans="1:5">
      <c r="A6" s="29" t="s">
        <v>826</v>
      </c>
      <c r="B6" s="162">
        <v>3733.37</v>
      </c>
      <c r="C6" s="163">
        <v>43812</v>
      </c>
      <c r="D6" s="157">
        <f t="shared" si="1"/>
        <v>45978</v>
      </c>
      <c r="E6" s="164">
        <f t="shared" si="0"/>
        <v>18099.234337099973</v>
      </c>
    </row>
    <row r="7" spans="1:5">
      <c r="A7" s="29" t="s">
        <v>827</v>
      </c>
      <c r="B7" s="162">
        <v>4405.26</v>
      </c>
      <c r="C7" s="163">
        <v>43812</v>
      </c>
      <c r="D7" s="157">
        <f t="shared" si="1"/>
        <v>45978</v>
      </c>
      <c r="E7" s="164">
        <f t="shared" si="0"/>
        <v>21356.531245457332</v>
      </c>
    </row>
    <row r="8" spans="1:5">
      <c r="A8" s="29" t="s">
        <v>828</v>
      </c>
      <c r="B8" s="162">
        <v>23000</v>
      </c>
      <c r="C8" s="163">
        <v>43797</v>
      </c>
      <c r="D8" s="157">
        <f t="shared" si="1"/>
        <v>45978</v>
      </c>
      <c r="E8" s="164">
        <f t="shared" si="0"/>
        <v>112728.73808169481</v>
      </c>
    </row>
    <row r="9" spans="1:5">
      <c r="A9" s="29" t="s">
        <v>829</v>
      </c>
      <c r="B9" s="162">
        <v>4011.88</v>
      </c>
      <c r="C9" s="163">
        <v>43812</v>
      </c>
      <c r="D9" s="157">
        <f t="shared" si="1"/>
        <v>45978</v>
      </c>
      <c r="E9" s="164">
        <f t="shared" si="0"/>
        <v>19449.44011772866</v>
      </c>
    </row>
    <row r="10" spans="1:5">
      <c r="A10" s="29" t="s">
        <v>830</v>
      </c>
      <c r="B10" s="162">
        <v>3887.38</v>
      </c>
      <c r="C10" s="163">
        <v>43812</v>
      </c>
      <c r="D10" s="157">
        <f t="shared" si="1"/>
        <v>45978</v>
      </c>
      <c r="E10" s="164">
        <f t="shared" si="0"/>
        <v>18845.868900579288</v>
      </c>
    </row>
    <row r="11" spans="1:5">
      <c r="A11" s="29" t="s">
        <v>831</v>
      </c>
      <c r="B11" s="162">
        <v>3022.92</v>
      </c>
      <c r="C11" s="163">
        <v>43812</v>
      </c>
      <c r="D11" s="157">
        <f t="shared" si="1"/>
        <v>45978</v>
      </c>
      <c r="E11" s="164">
        <f t="shared" si="0"/>
        <v>14655.000030081737</v>
      </c>
    </row>
    <row r="12" spans="1:5">
      <c r="A12" s="29" t="s">
        <v>832</v>
      </c>
      <c r="B12" s="162">
        <v>2376.6999999999998</v>
      </c>
      <c r="C12" s="163">
        <v>43812</v>
      </c>
      <c r="D12" s="157">
        <f t="shared" si="1"/>
        <v>45978</v>
      </c>
      <c r="E12" s="164">
        <f t="shared" si="0"/>
        <v>11522.150295573572</v>
      </c>
    </row>
    <row r="13" spans="1:5">
      <c r="A13" s="29" t="s">
        <v>833</v>
      </c>
      <c r="B13" s="162">
        <v>3697.44</v>
      </c>
      <c r="C13" s="163">
        <v>43812</v>
      </c>
      <c r="D13" s="157">
        <f t="shared" si="1"/>
        <v>45978</v>
      </c>
      <c r="E13" s="164">
        <f t="shared" si="0"/>
        <v>17925.047077403775</v>
      </c>
    </row>
    <row r="14" spans="1:5">
      <c r="A14" s="29" t="s">
        <v>834</v>
      </c>
      <c r="B14" s="162">
        <v>11000</v>
      </c>
      <c r="C14" s="163">
        <v>43577</v>
      </c>
      <c r="D14" s="157">
        <f t="shared" si="1"/>
        <v>45978</v>
      </c>
      <c r="E14" s="164">
        <f t="shared" si="0"/>
        <v>63289.48229527285</v>
      </c>
    </row>
    <row r="15" spans="1:5">
      <c r="A15" s="29" t="s">
        <v>835</v>
      </c>
      <c r="B15" s="162">
        <v>57760.6</v>
      </c>
      <c r="C15" s="163">
        <v>43812</v>
      </c>
      <c r="D15" s="157">
        <f t="shared" si="1"/>
        <v>45978</v>
      </c>
      <c r="E15" s="164">
        <f t="shared" si="0"/>
        <v>280021.16984158999</v>
      </c>
    </row>
    <row r="16" spans="1:5">
      <c r="A16" s="29" t="s">
        <v>836</v>
      </c>
      <c r="B16" s="162">
        <v>14000</v>
      </c>
      <c r="C16" s="163">
        <v>43637</v>
      </c>
      <c r="D16" s="157">
        <f t="shared" si="1"/>
        <v>45978</v>
      </c>
      <c r="E16" s="164">
        <f t="shared" si="0"/>
        <v>77103.898097839876</v>
      </c>
    </row>
    <row r="17" spans="1:5">
      <c r="A17" s="29" t="s">
        <v>837</v>
      </c>
      <c r="B17" s="162">
        <v>35000</v>
      </c>
      <c r="C17" s="163">
        <v>43654</v>
      </c>
      <c r="D17" s="157">
        <f t="shared" si="1"/>
        <v>45978</v>
      </c>
      <c r="E17" s="164">
        <f t="shared" si="0"/>
        <v>190386.29629980764</v>
      </c>
    </row>
    <row r="18" spans="1:5">
      <c r="A18" s="29" t="s">
        <v>838</v>
      </c>
      <c r="B18" s="162">
        <v>35000</v>
      </c>
      <c r="C18" s="163">
        <v>43651</v>
      </c>
      <c r="D18" s="157">
        <f t="shared" si="1"/>
        <v>45978</v>
      </c>
      <c r="E18" s="164">
        <f t="shared" si="0"/>
        <v>190803.00634635933</v>
      </c>
    </row>
    <row r="19" spans="1:5">
      <c r="A19" s="29" t="s">
        <v>839</v>
      </c>
      <c r="B19" s="162">
        <v>35000</v>
      </c>
      <c r="C19" s="163">
        <v>43651</v>
      </c>
      <c r="D19" s="157">
        <f t="shared" si="1"/>
        <v>45978</v>
      </c>
      <c r="E19" s="164">
        <f t="shared" si="0"/>
        <v>190803.00634635933</v>
      </c>
    </row>
    <row r="20" spans="1:5">
      <c r="A20" s="29" t="s">
        <v>840</v>
      </c>
      <c r="B20" s="162">
        <v>33000</v>
      </c>
      <c r="C20" s="163">
        <v>43797</v>
      </c>
      <c r="D20" s="157">
        <f t="shared" si="1"/>
        <v>45978</v>
      </c>
      <c r="E20" s="164">
        <f t="shared" si="0"/>
        <v>161741.23289982299</v>
      </c>
    </row>
    <row r="21" spans="1:5">
      <c r="A21" s="29" t="s">
        <v>841</v>
      </c>
      <c r="B21" s="162">
        <v>300000</v>
      </c>
      <c r="C21" s="163">
        <v>43644</v>
      </c>
      <c r="D21" s="157">
        <f t="shared" si="1"/>
        <v>45978</v>
      </c>
      <c r="E21" s="164">
        <f t="shared" si="0"/>
        <v>1643818.9732425706</v>
      </c>
    </row>
    <row r="22" spans="1:5">
      <c r="A22" s="29" t="s">
        <v>842</v>
      </c>
      <c r="B22" s="162">
        <v>150000</v>
      </c>
      <c r="C22" s="163">
        <v>43511</v>
      </c>
      <c r="D22" s="157">
        <f t="shared" si="1"/>
        <v>45978</v>
      </c>
      <c r="E22" s="164">
        <f t="shared" si="0"/>
        <v>905565.21464603848</v>
      </c>
    </row>
    <row r="23" spans="1:5">
      <c r="A23" s="29" t="s">
        <v>843</v>
      </c>
      <c r="B23" s="162">
        <v>100000</v>
      </c>
      <c r="C23" s="163">
        <v>43734</v>
      </c>
      <c r="D23" s="157">
        <f t="shared" si="1"/>
        <v>45978</v>
      </c>
      <c r="E23" s="164">
        <f t="shared" si="0"/>
        <v>513153.02814662916</v>
      </c>
    </row>
    <row r="24" spans="1:5">
      <c r="A24" s="29" t="s">
        <v>844</v>
      </c>
      <c r="B24" s="162">
        <v>400000</v>
      </c>
      <c r="C24" s="163">
        <v>43612</v>
      </c>
      <c r="D24" s="157">
        <f t="shared" si="1"/>
        <v>45978</v>
      </c>
      <c r="E24" s="164">
        <f t="shared" si="0"/>
        <v>2243473.9103604732</v>
      </c>
    </row>
    <row r="25" spans="1:5">
      <c r="A25" s="29" t="s">
        <v>845</v>
      </c>
      <c r="B25" s="162">
        <v>500000</v>
      </c>
      <c r="C25" s="163">
        <v>43998</v>
      </c>
      <c r="D25" s="157">
        <f t="shared" si="1"/>
        <v>45978</v>
      </c>
      <c r="E25" s="164">
        <f t="shared" si="0"/>
        <v>2116695.7705566711</v>
      </c>
    </row>
    <row r="26" spans="1:5">
      <c r="A26" s="31" t="s">
        <v>846</v>
      </c>
      <c r="B26" s="165">
        <v>1100000</v>
      </c>
      <c r="C26" s="166">
        <v>44796</v>
      </c>
      <c r="D26" s="167">
        <f t="shared" si="1"/>
        <v>45978</v>
      </c>
      <c r="E26" s="168">
        <f t="shared" si="0"/>
        <v>2603194.9428288853</v>
      </c>
    </row>
    <row r="27" spans="1:5">
      <c r="B27" s="158">
        <f>SUM(B4:B26)</f>
        <v>2846895.55</v>
      </c>
      <c r="C27" s="157"/>
      <c r="E27" s="169">
        <f>SUM(E4:E26)</f>
        <v>11573900.011242628</v>
      </c>
    </row>
    <row r="28" spans="1:5">
      <c r="C28" s="157"/>
    </row>
    <row r="29" spans="1:5">
      <c r="C29" s="157"/>
    </row>
    <row r="30" spans="1:5">
      <c r="C30" s="157"/>
    </row>
    <row r="31" spans="1:5">
      <c r="C31" s="157"/>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CD34C-2D2C-4DC2-A8FE-E4A375CA1629}">
  <sheetPr>
    <tabColor rgb="FFC00000"/>
  </sheetPr>
  <dimension ref="A2:V316"/>
  <sheetViews>
    <sheetView workbookViewId="0">
      <selection activeCell="H42" sqref="H42"/>
    </sheetView>
  </sheetViews>
  <sheetFormatPr defaultRowHeight="15"/>
  <cols>
    <col min="1" max="1" width="31.140625" bestFit="1" customWidth="1"/>
    <col min="2" max="3" width="10.140625" bestFit="1" customWidth="1"/>
    <col min="4" max="6" width="12.85546875" bestFit="1" customWidth="1"/>
    <col min="7" max="7" width="12.42578125" customWidth="1"/>
    <col min="8" max="8" width="80.85546875" bestFit="1" customWidth="1"/>
    <col min="9" max="9" width="9.7109375" bestFit="1" customWidth="1"/>
    <col min="10" max="10" width="54.5703125" bestFit="1" customWidth="1"/>
    <col min="11" max="11" width="8.140625" bestFit="1" customWidth="1"/>
    <col min="12" max="12" width="43.42578125" bestFit="1" customWidth="1"/>
    <col min="13" max="13" width="8" bestFit="1" customWidth="1"/>
    <col min="14" max="14" width="25.28515625" bestFit="1" customWidth="1"/>
    <col min="15" max="15" width="118.42578125" customWidth="1"/>
    <col min="16" max="16" width="15.7109375" bestFit="1" customWidth="1"/>
    <col min="17" max="17" width="41.28515625" bestFit="1" customWidth="1"/>
    <col min="18" max="18" width="40.7109375" bestFit="1" customWidth="1"/>
    <col min="19" max="19" width="21.85546875" bestFit="1" customWidth="1"/>
    <col min="20" max="20" width="10.42578125" bestFit="1" customWidth="1"/>
    <col min="21" max="22" width="13.28515625" bestFit="1" customWidth="1"/>
  </cols>
  <sheetData>
    <row r="2" spans="1:22">
      <c r="A2" s="151" t="s">
        <v>81</v>
      </c>
      <c r="B2" s="151" t="s">
        <v>82</v>
      </c>
      <c r="C2" s="151" t="s">
        <v>83</v>
      </c>
      <c r="D2" s="151" t="s">
        <v>84</v>
      </c>
      <c r="E2" s="151" t="s">
        <v>85</v>
      </c>
      <c r="F2" s="151" t="s">
        <v>86</v>
      </c>
      <c r="G2" s="151" t="s">
        <v>87</v>
      </c>
      <c r="H2" s="151" t="s">
        <v>88</v>
      </c>
      <c r="I2" s="151" t="s">
        <v>89</v>
      </c>
      <c r="J2" s="151" t="s">
        <v>90</v>
      </c>
      <c r="K2" s="151" t="s">
        <v>91</v>
      </c>
      <c r="L2" s="151" t="s">
        <v>92</v>
      </c>
      <c r="M2" s="151" t="s">
        <v>93</v>
      </c>
      <c r="N2" s="151" t="s">
        <v>94</v>
      </c>
      <c r="O2" s="151" t="s">
        <v>95</v>
      </c>
      <c r="P2" s="151" t="s">
        <v>96</v>
      </c>
      <c r="Q2" s="151" t="s">
        <v>97</v>
      </c>
      <c r="R2" s="151" t="s">
        <v>98</v>
      </c>
      <c r="S2" s="151" t="s">
        <v>99</v>
      </c>
      <c r="T2" s="152" t="s">
        <v>100</v>
      </c>
      <c r="U2" s="153" t="s">
        <v>870</v>
      </c>
      <c r="V2" s="153" t="s">
        <v>101</v>
      </c>
    </row>
    <row r="3" spans="1:22">
      <c r="A3" s="154" t="s">
        <v>102</v>
      </c>
      <c r="B3" s="155">
        <v>43825</v>
      </c>
      <c r="C3" s="155">
        <v>43825</v>
      </c>
      <c r="D3" s="156">
        <v>1105423.32</v>
      </c>
      <c r="E3" s="156">
        <v>1105423.32</v>
      </c>
      <c r="F3" s="156">
        <v>1105423.32</v>
      </c>
      <c r="G3" s="154">
        <v>83573</v>
      </c>
      <c r="H3" s="154" t="s">
        <v>103</v>
      </c>
      <c r="I3" s="154" t="s">
        <v>104</v>
      </c>
      <c r="J3" s="154" t="s">
        <v>105</v>
      </c>
      <c r="K3" s="154">
        <v>10027</v>
      </c>
      <c r="L3" s="154" t="s">
        <v>106</v>
      </c>
      <c r="M3" s="154">
        <v>44</v>
      </c>
      <c r="N3" s="154" t="s">
        <v>107</v>
      </c>
      <c r="O3" s="154" t="s">
        <v>108</v>
      </c>
      <c r="P3" s="154" t="s">
        <v>109</v>
      </c>
      <c r="Q3" s="154" t="s">
        <v>110</v>
      </c>
      <c r="R3" s="154" t="s">
        <v>111</v>
      </c>
      <c r="S3" s="154" t="s">
        <v>112</v>
      </c>
      <c r="T3" s="157">
        <v>45978</v>
      </c>
      <c r="U3" s="158" cm="1">
        <f t="array" ref="U3">[15]!CalculateINPC(B3,T3,-1)*F3</f>
        <v>1550553.2258983238</v>
      </c>
      <c r="V3" s="158">
        <f t="shared" ref="V3:V66" si="0">F3*1.3^((T3-B3)/360)</f>
        <v>5308516.4914063448</v>
      </c>
    </row>
    <row r="4" spans="1:22">
      <c r="A4" s="154" t="s">
        <v>102</v>
      </c>
      <c r="B4" s="155">
        <v>44722</v>
      </c>
      <c r="C4" s="155">
        <v>44721</v>
      </c>
      <c r="D4" s="156">
        <v>4030.38</v>
      </c>
      <c r="E4" s="156">
        <v>4030.38</v>
      </c>
      <c r="F4" s="156">
        <v>4030.38</v>
      </c>
      <c r="G4" s="154">
        <v>151254</v>
      </c>
      <c r="H4" s="154" t="s">
        <v>113</v>
      </c>
      <c r="I4" s="154" t="s">
        <v>114</v>
      </c>
      <c r="J4" s="154" t="s">
        <v>115</v>
      </c>
      <c r="K4" s="154">
        <v>10027</v>
      </c>
      <c r="L4" s="154" t="s">
        <v>106</v>
      </c>
      <c r="M4" s="154">
        <v>44</v>
      </c>
      <c r="N4" s="154" t="s">
        <v>107</v>
      </c>
      <c r="O4" s="154" t="s">
        <v>116</v>
      </c>
      <c r="P4" s="154" t="s">
        <v>109</v>
      </c>
      <c r="Q4" s="154" t="s">
        <v>110</v>
      </c>
      <c r="R4" s="154" t="s">
        <v>117</v>
      </c>
      <c r="S4" s="154" t="s">
        <v>118</v>
      </c>
      <c r="T4" s="157">
        <v>45978</v>
      </c>
      <c r="U4" s="158" cm="1">
        <f t="array" ref="U4">[15]!CalculateINPC(B4,T4,-1)*F4</f>
        <v>4580.8749739206005</v>
      </c>
      <c r="V4" s="158">
        <f t="shared" si="0"/>
        <v>10066.574010943155</v>
      </c>
    </row>
    <row r="5" spans="1:22">
      <c r="A5" s="154" t="s">
        <v>102</v>
      </c>
      <c r="B5" s="155">
        <v>44881</v>
      </c>
      <c r="C5" s="155">
        <v>44876</v>
      </c>
      <c r="D5" s="156">
        <v>2061.09</v>
      </c>
      <c r="E5" s="156">
        <v>2061.09</v>
      </c>
      <c r="F5" s="156">
        <v>2061.09</v>
      </c>
      <c r="G5" s="154">
        <v>161618</v>
      </c>
      <c r="H5" s="154" t="s">
        <v>113</v>
      </c>
      <c r="I5" s="154" t="s">
        <v>119</v>
      </c>
      <c r="J5" s="154" t="s">
        <v>120</v>
      </c>
      <c r="K5" s="154">
        <v>10027</v>
      </c>
      <c r="L5" s="154" t="s">
        <v>106</v>
      </c>
      <c r="M5" s="154">
        <v>44</v>
      </c>
      <c r="N5" s="154" t="s">
        <v>107</v>
      </c>
      <c r="O5" s="154" t="s">
        <v>121</v>
      </c>
      <c r="P5" s="154" t="s">
        <v>109</v>
      </c>
      <c r="Q5" s="154" t="s">
        <v>110</v>
      </c>
      <c r="R5" s="154" t="s">
        <v>117</v>
      </c>
      <c r="S5" s="154" t="s">
        <v>122</v>
      </c>
      <c r="T5" s="157">
        <v>45978</v>
      </c>
      <c r="U5" s="158" cm="1">
        <f t="array" ref="U5">[15]!CalculateINPC(B5,T5,-1)*F5</f>
        <v>2346.0245213922003</v>
      </c>
      <c r="V5" s="158">
        <f t="shared" si="0"/>
        <v>4584.6656756908915</v>
      </c>
    </row>
    <row r="6" spans="1:22">
      <c r="A6" s="154" t="s">
        <v>102</v>
      </c>
      <c r="B6" s="155">
        <v>44876</v>
      </c>
      <c r="C6" s="155">
        <v>44869</v>
      </c>
      <c r="D6" s="156">
        <v>934.94</v>
      </c>
      <c r="E6" s="156">
        <v>934.94</v>
      </c>
      <c r="F6" s="156">
        <v>934.94</v>
      </c>
      <c r="G6" s="154">
        <v>161503</v>
      </c>
      <c r="H6" s="154" t="s">
        <v>113</v>
      </c>
      <c r="I6" s="154" t="s">
        <v>104</v>
      </c>
      <c r="J6" s="154" t="s">
        <v>105</v>
      </c>
      <c r="K6" s="154">
        <v>10027</v>
      </c>
      <c r="L6" s="154" t="s">
        <v>106</v>
      </c>
      <c r="M6" s="154">
        <v>44</v>
      </c>
      <c r="N6" s="154" t="s">
        <v>107</v>
      </c>
      <c r="O6" s="154" t="s">
        <v>123</v>
      </c>
      <c r="P6" s="154" t="s">
        <v>109</v>
      </c>
      <c r="Q6" s="154" t="s">
        <v>110</v>
      </c>
      <c r="R6" s="154" t="s">
        <v>117</v>
      </c>
      <c r="S6" s="154" t="s">
        <v>124</v>
      </c>
      <c r="T6" s="157">
        <v>45978</v>
      </c>
      <c r="U6" s="158" cm="1">
        <f t="array" ref="U6">[15]!CalculateINPC(B6,T6,-1)*F6</f>
        <v>1064.1903876252002</v>
      </c>
      <c r="V6" s="158">
        <f t="shared" si="0"/>
        <v>2087.2621731957179</v>
      </c>
    </row>
    <row r="7" spans="1:22">
      <c r="A7" s="154" t="s">
        <v>102</v>
      </c>
      <c r="B7" s="155">
        <v>45509</v>
      </c>
      <c r="C7" s="155">
        <v>45503</v>
      </c>
      <c r="D7" s="156">
        <v>250000</v>
      </c>
      <c r="E7" s="156">
        <v>250000</v>
      </c>
      <c r="F7" s="156">
        <v>250000</v>
      </c>
      <c r="G7" s="154">
        <v>203921</v>
      </c>
      <c r="H7" s="154" t="s">
        <v>125</v>
      </c>
      <c r="I7" s="154" t="s">
        <v>126</v>
      </c>
      <c r="J7" s="154" t="s">
        <v>127</v>
      </c>
      <c r="K7" s="154">
        <v>18799</v>
      </c>
      <c r="L7" s="154" t="s">
        <v>106</v>
      </c>
      <c r="M7" s="154">
        <v>243</v>
      </c>
      <c r="N7" s="154" t="s">
        <v>107</v>
      </c>
      <c r="O7" s="154" t="s">
        <v>128</v>
      </c>
      <c r="P7" s="154" t="s">
        <v>129</v>
      </c>
      <c r="Q7" s="154" t="s">
        <v>129</v>
      </c>
      <c r="R7" s="154" t="s">
        <v>130</v>
      </c>
      <c r="S7" s="154" t="s">
        <v>131</v>
      </c>
      <c r="T7" s="157">
        <v>45978</v>
      </c>
      <c r="U7" s="158" cm="1">
        <f t="array" ref="U7">[15]!CalculateINPC(B7,T7,-1)*F7</f>
        <v>263711.02</v>
      </c>
      <c r="V7" s="158">
        <f t="shared" si="0"/>
        <v>351870.51446668187</v>
      </c>
    </row>
    <row r="8" spans="1:22">
      <c r="A8" s="154" t="s">
        <v>102</v>
      </c>
      <c r="B8" s="155">
        <v>44722</v>
      </c>
      <c r="C8" s="155">
        <v>44719</v>
      </c>
      <c r="D8" s="156">
        <v>876.22</v>
      </c>
      <c r="E8" s="156">
        <v>876.22</v>
      </c>
      <c r="F8" s="156">
        <v>876.22</v>
      </c>
      <c r="G8" s="154">
        <v>151250</v>
      </c>
      <c r="H8" s="154" t="s">
        <v>113</v>
      </c>
      <c r="I8" s="154" t="s">
        <v>114</v>
      </c>
      <c r="J8" s="154" t="s">
        <v>115</v>
      </c>
      <c r="K8" s="154">
        <v>10027</v>
      </c>
      <c r="L8" s="154" t="s">
        <v>106</v>
      </c>
      <c r="M8" s="154">
        <v>44</v>
      </c>
      <c r="N8" s="154" t="s">
        <v>107</v>
      </c>
      <c r="O8" s="154" t="s">
        <v>132</v>
      </c>
      <c r="P8" s="154" t="s">
        <v>109</v>
      </c>
      <c r="Q8" s="154" t="s">
        <v>110</v>
      </c>
      <c r="R8" s="154" t="s">
        <v>117</v>
      </c>
      <c r="S8" s="154" t="s">
        <v>133</v>
      </c>
      <c r="T8" s="157">
        <v>45978</v>
      </c>
      <c r="U8" s="158" cm="1">
        <f t="array" ref="U8">[15]!CalculateINPC(B8,T8,-1)*F8</f>
        <v>995.89970912140006</v>
      </c>
      <c r="V8" s="158">
        <f t="shared" si="0"/>
        <v>2188.5116241814944</v>
      </c>
    </row>
    <row r="9" spans="1:22">
      <c r="A9" s="154" t="s">
        <v>102</v>
      </c>
      <c r="B9" s="155">
        <v>44757</v>
      </c>
      <c r="C9" s="155">
        <v>44754</v>
      </c>
      <c r="D9" s="156">
        <v>696.16</v>
      </c>
      <c r="E9" s="156">
        <v>696.16</v>
      </c>
      <c r="F9" s="156">
        <v>696.16</v>
      </c>
      <c r="G9" s="154">
        <v>153637</v>
      </c>
      <c r="H9" s="154" t="s">
        <v>113</v>
      </c>
      <c r="I9" s="154" t="s">
        <v>114</v>
      </c>
      <c r="J9" s="154" t="s">
        <v>115</v>
      </c>
      <c r="K9" s="154">
        <v>10027</v>
      </c>
      <c r="L9" s="154" t="s">
        <v>106</v>
      </c>
      <c r="M9" s="154">
        <v>44</v>
      </c>
      <c r="N9" s="154" t="s">
        <v>107</v>
      </c>
      <c r="O9" s="154" t="s">
        <v>134</v>
      </c>
      <c r="P9" s="154" t="s">
        <v>109</v>
      </c>
      <c r="Q9" s="154" t="s">
        <v>110</v>
      </c>
      <c r="R9" s="154" t="s">
        <v>117</v>
      </c>
      <c r="S9" s="154" t="s">
        <v>135</v>
      </c>
      <c r="T9" s="157">
        <v>45978</v>
      </c>
      <c r="U9" s="158" cm="1">
        <f t="array" ref="U9">[15]!CalculateINPC(B9,T9,-1)*F9</f>
        <v>786.37010446879992</v>
      </c>
      <c r="V9" s="158">
        <f t="shared" si="0"/>
        <v>1694.9892019974459</v>
      </c>
    </row>
    <row r="10" spans="1:22">
      <c r="A10" s="154" t="s">
        <v>102</v>
      </c>
      <c r="B10" s="155">
        <v>43825</v>
      </c>
      <c r="C10" s="155">
        <v>43825</v>
      </c>
      <c r="D10" s="156">
        <v>180480.79</v>
      </c>
      <c r="E10" s="156">
        <v>180480.79</v>
      </c>
      <c r="F10" s="156">
        <v>180480.79</v>
      </c>
      <c r="G10" s="154">
        <v>83575</v>
      </c>
      <c r="H10" s="154" t="s">
        <v>103</v>
      </c>
      <c r="I10" s="154" t="s">
        <v>104</v>
      </c>
      <c r="J10" s="154" t="s">
        <v>105</v>
      </c>
      <c r="K10" s="154">
        <v>10027</v>
      </c>
      <c r="L10" s="154" t="s">
        <v>106</v>
      </c>
      <c r="M10" s="154">
        <v>44</v>
      </c>
      <c r="N10" s="154" t="s">
        <v>107</v>
      </c>
      <c r="O10" s="154" t="s">
        <v>136</v>
      </c>
      <c r="P10" s="154" t="s">
        <v>137</v>
      </c>
      <c r="Q10" s="154" t="s">
        <v>138</v>
      </c>
      <c r="R10" s="154" t="s">
        <v>111</v>
      </c>
      <c r="S10" s="154" t="s">
        <v>139</v>
      </c>
      <c r="T10" s="157">
        <v>45978</v>
      </c>
      <c r="U10" s="158" cm="1">
        <f t="array" ref="U10">[15]!CalculateINPC(B10,T10,-1)*F10</f>
        <v>253156.4750662017</v>
      </c>
      <c r="V10" s="158">
        <f t="shared" si="0"/>
        <v>866713.44159542897</v>
      </c>
    </row>
    <row r="11" spans="1:22">
      <c r="A11" s="154" t="s">
        <v>102</v>
      </c>
      <c r="B11" s="155">
        <v>44757</v>
      </c>
      <c r="C11" s="155">
        <v>44754</v>
      </c>
      <c r="D11" s="156">
        <v>696.16</v>
      </c>
      <c r="E11" s="156">
        <v>696.16</v>
      </c>
      <c r="F11" s="156">
        <v>696.16</v>
      </c>
      <c r="G11" s="154">
        <v>153631</v>
      </c>
      <c r="H11" s="154" t="s">
        <v>113</v>
      </c>
      <c r="I11" s="154" t="s">
        <v>114</v>
      </c>
      <c r="J11" s="154" t="s">
        <v>115</v>
      </c>
      <c r="K11" s="154">
        <v>10027</v>
      </c>
      <c r="L11" s="154" t="s">
        <v>106</v>
      </c>
      <c r="M11" s="154">
        <v>44</v>
      </c>
      <c r="N11" s="154" t="s">
        <v>107</v>
      </c>
      <c r="O11" s="154" t="s">
        <v>140</v>
      </c>
      <c r="P11" s="154" t="s">
        <v>109</v>
      </c>
      <c r="Q11" s="154" t="s">
        <v>110</v>
      </c>
      <c r="R11" s="154" t="s">
        <v>117</v>
      </c>
      <c r="S11" s="154" t="s">
        <v>141</v>
      </c>
      <c r="T11" s="157">
        <v>45978</v>
      </c>
      <c r="U11" s="158" cm="1">
        <f t="array" ref="U11">[15]!CalculateINPC(B11,T11,-1)*F11</f>
        <v>786.37010446879992</v>
      </c>
      <c r="V11" s="158">
        <f t="shared" si="0"/>
        <v>1694.9892019974459</v>
      </c>
    </row>
    <row r="12" spans="1:22">
      <c r="A12" s="154" t="s">
        <v>102</v>
      </c>
      <c r="B12" s="155">
        <v>43825</v>
      </c>
      <c r="C12" s="155">
        <v>43825</v>
      </c>
      <c r="D12" s="156">
        <v>154903.85</v>
      </c>
      <c r="E12" s="156">
        <v>154903.85</v>
      </c>
      <c r="F12" s="156">
        <v>154903.85</v>
      </c>
      <c r="G12" s="154">
        <v>83576</v>
      </c>
      <c r="H12" s="154" t="s">
        <v>103</v>
      </c>
      <c r="I12" s="154" t="s">
        <v>104</v>
      </c>
      <c r="J12" s="154" t="s">
        <v>105</v>
      </c>
      <c r="K12" s="154">
        <v>10027</v>
      </c>
      <c r="L12" s="154" t="s">
        <v>106</v>
      </c>
      <c r="M12" s="154">
        <v>44</v>
      </c>
      <c r="N12" s="154" t="s">
        <v>107</v>
      </c>
      <c r="O12" s="154" t="s">
        <v>142</v>
      </c>
      <c r="P12" s="154" t="s">
        <v>137</v>
      </c>
      <c r="Q12" s="154" t="s">
        <v>138</v>
      </c>
      <c r="R12" s="154" t="s">
        <v>111</v>
      </c>
      <c r="S12" s="154" t="s">
        <v>143</v>
      </c>
      <c r="T12" s="157">
        <v>45978</v>
      </c>
      <c r="U12" s="158" cm="1">
        <f t="array" ref="U12">[15]!CalculateINPC(B12,T12,-1)*F12</f>
        <v>217280.25813818551</v>
      </c>
      <c r="V12" s="158">
        <f t="shared" si="0"/>
        <v>743886.64272736222</v>
      </c>
    </row>
    <row r="13" spans="1:22">
      <c r="A13" s="154" t="s">
        <v>102</v>
      </c>
      <c r="B13" s="155">
        <v>44757</v>
      </c>
      <c r="C13" s="155">
        <v>44754</v>
      </c>
      <c r="D13" s="156">
        <v>696.16</v>
      </c>
      <c r="E13" s="156">
        <v>696.16</v>
      </c>
      <c r="F13" s="156">
        <v>696.16</v>
      </c>
      <c r="G13" s="154">
        <v>153621</v>
      </c>
      <c r="H13" s="154" t="s">
        <v>113</v>
      </c>
      <c r="I13" s="154" t="s">
        <v>114</v>
      </c>
      <c r="J13" s="154" t="s">
        <v>115</v>
      </c>
      <c r="K13" s="154">
        <v>10027</v>
      </c>
      <c r="L13" s="154" t="s">
        <v>106</v>
      </c>
      <c r="M13" s="154">
        <v>44</v>
      </c>
      <c r="N13" s="154" t="s">
        <v>107</v>
      </c>
      <c r="O13" s="154" t="s">
        <v>144</v>
      </c>
      <c r="P13" s="154" t="s">
        <v>109</v>
      </c>
      <c r="Q13" s="154" t="s">
        <v>110</v>
      </c>
      <c r="R13" s="154" t="s">
        <v>117</v>
      </c>
      <c r="S13" s="154" t="s">
        <v>145</v>
      </c>
      <c r="T13" s="157">
        <v>45978</v>
      </c>
      <c r="U13" s="158" cm="1">
        <f t="array" ref="U13">[15]!CalculateINPC(B13,T13,-1)*F13</f>
        <v>786.37010446879992</v>
      </c>
      <c r="V13" s="158">
        <f t="shared" si="0"/>
        <v>1694.9892019974459</v>
      </c>
    </row>
    <row r="14" spans="1:22">
      <c r="A14" s="154" t="s">
        <v>102</v>
      </c>
      <c r="B14" s="155">
        <v>44757</v>
      </c>
      <c r="C14" s="155">
        <v>44754</v>
      </c>
      <c r="D14" s="156">
        <v>696.16</v>
      </c>
      <c r="E14" s="156">
        <v>696.16</v>
      </c>
      <c r="F14" s="156">
        <v>696.16</v>
      </c>
      <c r="G14" s="154">
        <v>153646</v>
      </c>
      <c r="H14" s="154" t="s">
        <v>113</v>
      </c>
      <c r="I14" s="154" t="s">
        <v>114</v>
      </c>
      <c r="J14" s="154" t="s">
        <v>115</v>
      </c>
      <c r="K14" s="154">
        <v>10027</v>
      </c>
      <c r="L14" s="154" t="s">
        <v>106</v>
      </c>
      <c r="M14" s="154">
        <v>44</v>
      </c>
      <c r="N14" s="154" t="s">
        <v>107</v>
      </c>
      <c r="O14" s="154" t="s">
        <v>146</v>
      </c>
      <c r="P14" s="154" t="s">
        <v>109</v>
      </c>
      <c r="Q14" s="154" t="s">
        <v>110</v>
      </c>
      <c r="R14" s="154" t="s">
        <v>117</v>
      </c>
      <c r="S14" s="154" t="s">
        <v>147</v>
      </c>
      <c r="T14" s="157">
        <v>45978</v>
      </c>
      <c r="U14" s="158" cm="1">
        <f t="array" ref="U14">[15]!CalculateINPC(B14,T14,-1)*F14</f>
        <v>786.37010446879992</v>
      </c>
      <c r="V14" s="158">
        <f t="shared" si="0"/>
        <v>1694.9892019974459</v>
      </c>
    </row>
    <row r="15" spans="1:22">
      <c r="A15" s="154" t="s">
        <v>102</v>
      </c>
      <c r="B15" s="155">
        <v>45590</v>
      </c>
      <c r="C15" s="155">
        <v>45586</v>
      </c>
      <c r="D15" s="156">
        <v>402.2</v>
      </c>
      <c r="E15" s="156">
        <v>402.2</v>
      </c>
      <c r="F15" s="156">
        <v>402.2</v>
      </c>
      <c r="G15" s="154">
        <v>222346</v>
      </c>
      <c r="H15" s="154" t="s">
        <v>148</v>
      </c>
      <c r="I15" s="154" t="s">
        <v>149</v>
      </c>
      <c r="J15" s="154" t="s">
        <v>150</v>
      </c>
      <c r="K15" s="154">
        <v>10027</v>
      </c>
      <c r="L15" s="154" t="s">
        <v>106</v>
      </c>
      <c r="M15" s="154">
        <v>44</v>
      </c>
      <c r="N15" s="154" t="s">
        <v>107</v>
      </c>
      <c r="O15" s="154" t="s">
        <v>151</v>
      </c>
      <c r="P15" s="154" t="s">
        <v>109</v>
      </c>
      <c r="Q15" s="154" t="s">
        <v>110</v>
      </c>
      <c r="R15" s="154" t="s">
        <v>117</v>
      </c>
      <c r="S15" s="154" t="s">
        <v>152</v>
      </c>
      <c r="T15" s="157">
        <v>45978</v>
      </c>
      <c r="U15" s="158" cm="1">
        <f t="array" ref="U15">[15]!CalculateINPC(B15,T15,-1)*F15</f>
        <v>422.82319915599999</v>
      </c>
      <c r="V15" s="158">
        <f t="shared" si="0"/>
        <v>533.63914455122881</v>
      </c>
    </row>
    <row r="16" spans="1:22">
      <c r="A16" s="154" t="s">
        <v>102</v>
      </c>
      <c r="B16" s="155">
        <v>45145</v>
      </c>
      <c r="C16" s="155">
        <v>45141</v>
      </c>
      <c r="D16" s="156">
        <v>43026</v>
      </c>
      <c r="E16" s="156">
        <v>43026</v>
      </c>
      <c r="F16" s="156">
        <v>43026</v>
      </c>
      <c r="G16" s="154">
        <v>178651</v>
      </c>
      <c r="H16" s="154" t="s">
        <v>153</v>
      </c>
      <c r="I16" s="154" t="s">
        <v>154</v>
      </c>
      <c r="J16" s="154" t="s">
        <v>155</v>
      </c>
      <c r="K16" s="154">
        <v>10027</v>
      </c>
      <c r="L16" s="154" t="s">
        <v>106</v>
      </c>
      <c r="M16" s="154">
        <v>44</v>
      </c>
      <c r="N16" s="154" t="s">
        <v>107</v>
      </c>
      <c r="O16" s="154" t="s">
        <v>156</v>
      </c>
      <c r="P16" s="154" t="s">
        <v>157</v>
      </c>
      <c r="Q16" s="154" t="s">
        <v>158</v>
      </c>
      <c r="R16" s="154" t="s">
        <v>159</v>
      </c>
      <c r="S16" s="154" t="s">
        <v>160</v>
      </c>
      <c r="T16" s="157">
        <v>45978</v>
      </c>
      <c r="U16" s="158" cm="1">
        <f t="array" ref="U16">[15]!CalculateINPC(B16,T16,-1)*F16</f>
        <v>47228.811088980001</v>
      </c>
      <c r="V16" s="158">
        <f t="shared" si="0"/>
        <v>78955.653008138135</v>
      </c>
    </row>
    <row r="17" spans="1:22">
      <c r="A17" s="154" t="s">
        <v>102</v>
      </c>
      <c r="B17" s="155">
        <v>43991</v>
      </c>
      <c r="C17" s="155">
        <v>43927</v>
      </c>
      <c r="D17" s="156">
        <v>42863</v>
      </c>
      <c r="E17" s="156">
        <v>42863</v>
      </c>
      <c r="F17" s="156">
        <v>42005.74</v>
      </c>
      <c r="G17" s="154">
        <v>89682</v>
      </c>
      <c r="H17" s="154" t="s">
        <v>161</v>
      </c>
      <c r="I17" s="154" t="s">
        <v>126</v>
      </c>
      <c r="J17" s="154" t="s">
        <v>127</v>
      </c>
      <c r="K17" s="154">
        <v>10027</v>
      </c>
      <c r="L17" s="154" t="s">
        <v>106</v>
      </c>
      <c r="M17" s="154">
        <v>44</v>
      </c>
      <c r="N17" s="154" t="s">
        <v>107</v>
      </c>
      <c r="O17" s="154" t="s">
        <v>162</v>
      </c>
      <c r="P17" s="154" t="s">
        <v>109</v>
      </c>
      <c r="Q17" s="154" t="s">
        <v>110</v>
      </c>
      <c r="R17" s="154" t="s">
        <v>130</v>
      </c>
      <c r="S17" s="154" t="s">
        <v>163</v>
      </c>
      <c r="T17" s="157">
        <v>45978</v>
      </c>
      <c r="U17" s="158" cm="1">
        <f t="array" ref="U17">[15]!CalculateINPC(B17,T17,-1)*F17</f>
        <v>58176.068462905394</v>
      </c>
      <c r="V17" s="158">
        <f t="shared" si="0"/>
        <v>178736.25035914924</v>
      </c>
    </row>
    <row r="18" spans="1:22">
      <c r="A18" s="154" t="s">
        <v>102</v>
      </c>
      <c r="B18" s="155">
        <v>43825</v>
      </c>
      <c r="C18" s="155">
        <v>43825</v>
      </c>
      <c r="D18" s="156">
        <v>33384.49</v>
      </c>
      <c r="E18" s="156">
        <v>33384.49</v>
      </c>
      <c r="F18" s="156">
        <v>33384.49</v>
      </c>
      <c r="G18" s="154">
        <v>83574</v>
      </c>
      <c r="H18" s="154" t="s">
        <v>164</v>
      </c>
      <c r="I18" s="154" t="s">
        <v>104</v>
      </c>
      <c r="J18" s="154" t="s">
        <v>105</v>
      </c>
      <c r="K18" s="154">
        <v>10027</v>
      </c>
      <c r="L18" s="154" t="s">
        <v>106</v>
      </c>
      <c r="M18" s="154">
        <v>44</v>
      </c>
      <c r="N18" s="154" t="s">
        <v>107</v>
      </c>
      <c r="O18" s="154" t="s">
        <v>165</v>
      </c>
      <c r="P18" s="154" t="s">
        <v>137</v>
      </c>
      <c r="Q18" s="154" t="s">
        <v>138</v>
      </c>
      <c r="R18" s="154" t="s">
        <v>111</v>
      </c>
      <c r="S18" s="154" t="s">
        <v>122</v>
      </c>
      <c r="T18" s="157">
        <v>45978</v>
      </c>
      <c r="U18" s="158" cm="1">
        <f t="array" ref="U18">[15]!CalculateINPC(B18,T18,-1)*F18</f>
        <v>46827.697342652697</v>
      </c>
      <c r="V18" s="158">
        <f t="shared" si="0"/>
        <v>160320.58715948762</v>
      </c>
    </row>
    <row r="19" spans="1:22">
      <c r="A19" s="154" t="s">
        <v>102</v>
      </c>
      <c r="B19" s="155">
        <v>43980</v>
      </c>
      <c r="C19" s="155">
        <v>43980</v>
      </c>
      <c r="D19" s="156">
        <v>20008.939999999999</v>
      </c>
      <c r="E19" s="156">
        <v>20008.939999999999</v>
      </c>
      <c r="F19" s="156">
        <v>24758</v>
      </c>
      <c r="G19" s="154">
        <v>89559</v>
      </c>
      <c r="H19" s="154" t="s">
        <v>166</v>
      </c>
      <c r="I19" s="154" t="s">
        <v>167</v>
      </c>
      <c r="J19" s="154" t="s">
        <v>168</v>
      </c>
      <c r="K19" s="154">
        <v>10027</v>
      </c>
      <c r="L19" s="154" t="s">
        <v>106</v>
      </c>
      <c r="M19" s="154">
        <v>44</v>
      </c>
      <c r="N19" s="154" t="s">
        <v>107</v>
      </c>
      <c r="O19" s="154" t="s">
        <v>169</v>
      </c>
      <c r="P19" s="154" t="s">
        <v>137</v>
      </c>
      <c r="Q19" s="154" t="s">
        <v>138</v>
      </c>
      <c r="R19" s="154" t="s">
        <v>111</v>
      </c>
      <c r="S19" s="154" t="s">
        <v>170</v>
      </c>
      <c r="T19" s="157">
        <v>45978</v>
      </c>
      <c r="U19" s="158" cm="1">
        <f t="array" ref="U19">[15]!CalculateINPC(B19,T19,-1)*F19</f>
        <v>34202.979183580006</v>
      </c>
      <c r="V19" s="158">
        <f t="shared" si="0"/>
        <v>106194.28957736447</v>
      </c>
    </row>
    <row r="20" spans="1:22">
      <c r="A20" s="154" t="s">
        <v>102</v>
      </c>
      <c r="B20" s="155">
        <v>45624</v>
      </c>
      <c r="C20" s="155">
        <v>45622</v>
      </c>
      <c r="D20" s="156">
        <v>472.62</v>
      </c>
      <c r="E20" s="156">
        <v>472.62</v>
      </c>
      <c r="F20" s="156">
        <v>472.62</v>
      </c>
      <c r="G20" s="154">
        <v>226475</v>
      </c>
      <c r="H20" s="154" t="s">
        <v>171</v>
      </c>
      <c r="I20" s="154" t="s">
        <v>149</v>
      </c>
      <c r="J20" s="154" t="s">
        <v>150</v>
      </c>
      <c r="K20" s="154">
        <v>10027</v>
      </c>
      <c r="L20" s="154" t="s">
        <v>106</v>
      </c>
      <c r="M20" s="154">
        <v>44</v>
      </c>
      <c r="N20" s="154" t="s">
        <v>107</v>
      </c>
      <c r="O20" s="154" t="s">
        <v>172</v>
      </c>
      <c r="P20" s="154" t="s">
        <v>109</v>
      </c>
      <c r="Q20" s="154" t="s">
        <v>110</v>
      </c>
      <c r="R20" s="154" t="s">
        <v>173</v>
      </c>
      <c r="S20" s="154" t="s">
        <v>174</v>
      </c>
      <c r="T20" s="157">
        <v>45978</v>
      </c>
      <c r="U20" s="158" cm="1">
        <f t="array" ref="U20">[15]!CalculateINPC(B20,T20,-1)*F20</f>
        <v>493.84172975219997</v>
      </c>
      <c r="V20" s="158">
        <f t="shared" si="0"/>
        <v>611.72522912097236</v>
      </c>
    </row>
    <row r="21" spans="1:22">
      <c r="A21" s="154" t="s">
        <v>102</v>
      </c>
      <c r="B21" s="155">
        <v>44881</v>
      </c>
      <c r="C21" s="155">
        <v>44876</v>
      </c>
      <c r="D21" s="156">
        <v>4281.74</v>
      </c>
      <c r="E21" s="156">
        <v>4281.74</v>
      </c>
      <c r="F21" s="156">
        <v>4281.74</v>
      </c>
      <c r="G21" s="154">
        <v>161619</v>
      </c>
      <c r="H21" s="154" t="s">
        <v>175</v>
      </c>
      <c r="I21" s="154" t="s">
        <v>119</v>
      </c>
      <c r="J21" s="154" t="s">
        <v>120</v>
      </c>
      <c r="K21" s="154">
        <v>10027</v>
      </c>
      <c r="L21" s="154" t="s">
        <v>106</v>
      </c>
      <c r="M21" s="154">
        <v>44</v>
      </c>
      <c r="N21" s="154" t="s">
        <v>107</v>
      </c>
      <c r="O21" s="154" t="s">
        <v>176</v>
      </c>
      <c r="P21" s="154" t="s">
        <v>109</v>
      </c>
      <c r="Q21" s="154" t="s">
        <v>110</v>
      </c>
      <c r="R21" s="154" t="s">
        <v>117</v>
      </c>
      <c r="S21" s="154" t="s">
        <v>177</v>
      </c>
      <c r="T21" s="157">
        <v>45978</v>
      </c>
      <c r="U21" s="158" cm="1">
        <f t="array" ref="U21">[15]!CalculateINPC(B21,T21,-1)*F21</f>
        <v>4873.6673479691999</v>
      </c>
      <c r="V21" s="158">
        <f t="shared" si="0"/>
        <v>9524.2548409980718</v>
      </c>
    </row>
    <row r="22" spans="1:22">
      <c r="A22" s="154" t="s">
        <v>102</v>
      </c>
      <c r="B22" s="155">
        <v>44722</v>
      </c>
      <c r="C22" s="155">
        <v>44720</v>
      </c>
      <c r="D22" s="156">
        <v>3977.25</v>
      </c>
      <c r="E22" s="156">
        <v>3977.25</v>
      </c>
      <c r="F22" s="156">
        <v>3977.25</v>
      </c>
      <c r="G22" s="154">
        <v>151247</v>
      </c>
      <c r="H22" s="154" t="s">
        <v>175</v>
      </c>
      <c r="I22" s="154" t="s">
        <v>114</v>
      </c>
      <c r="J22" s="154" t="s">
        <v>115</v>
      </c>
      <c r="K22" s="154">
        <v>10027</v>
      </c>
      <c r="L22" s="154" t="s">
        <v>106</v>
      </c>
      <c r="M22" s="154">
        <v>44</v>
      </c>
      <c r="N22" s="154" t="s">
        <v>107</v>
      </c>
      <c r="O22" s="154" t="s">
        <v>178</v>
      </c>
      <c r="P22" s="154" t="s">
        <v>109</v>
      </c>
      <c r="Q22" s="154" t="s">
        <v>110</v>
      </c>
      <c r="R22" s="154" t="s">
        <v>117</v>
      </c>
      <c r="S22" s="154" t="s">
        <v>179</v>
      </c>
      <c r="T22" s="157">
        <v>45978</v>
      </c>
      <c r="U22" s="158" cm="1">
        <f t="array" ref="U22">[15]!CalculateINPC(B22,T22,-1)*F22</f>
        <v>4520.4881400825006</v>
      </c>
      <c r="V22" s="158">
        <f t="shared" si="0"/>
        <v>9933.8726087921386</v>
      </c>
    </row>
    <row r="23" spans="1:22">
      <c r="A23" s="154" t="s">
        <v>102</v>
      </c>
      <c r="B23" s="155">
        <v>44755</v>
      </c>
      <c r="C23" s="155">
        <v>44753</v>
      </c>
      <c r="D23" s="156">
        <v>786.48</v>
      </c>
      <c r="E23" s="156">
        <v>786.48</v>
      </c>
      <c r="F23" s="156">
        <v>786.48</v>
      </c>
      <c r="G23" s="154">
        <v>153402</v>
      </c>
      <c r="H23" s="154" t="s">
        <v>175</v>
      </c>
      <c r="I23" s="154" t="s">
        <v>114</v>
      </c>
      <c r="J23" s="154" t="s">
        <v>115</v>
      </c>
      <c r="K23" s="154">
        <v>10027</v>
      </c>
      <c r="L23" s="154" t="s">
        <v>106</v>
      </c>
      <c r="M23" s="154">
        <v>44</v>
      </c>
      <c r="N23" s="154" t="s">
        <v>107</v>
      </c>
      <c r="O23" s="154" t="s">
        <v>180</v>
      </c>
      <c r="P23" s="154" t="s">
        <v>109</v>
      </c>
      <c r="Q23" s="154" t="s">
        <v>110</v>
      </c>
      <c r="R23" s="154" t="s">
        <v>117</v>
      </c>
      <c r="S23" s="154" t="s">
        <v>181</v>
      </c>
      <c r="T23" s="157">
        <v>45978</v>
      </c>
      <c r="U23" s="158" cm="1">
        <f t="array" ref="U23">[15]!CalculateINPC(B23,T23,-1)*F23</f>
        <v>888.39398954640001</v>
      </c>
      <c r="V23" s="158">
        <f t="shared" si="0"/>
        <v>1917.690742028637</v>
      </c>
    </row>
    <row r="24" spans="1:22">
      <c r="A24" s="154" t="s">
        <v>102</v>
      </c>
      <c r="B24" s="155">
        <v>44722</v>
      </c>
      <c r="C24" s="155">
        <v>44719</v>
      </c>
      <c r="D24" s="156">
        <v>778.56</v>
      </c>
      <c r="E24" s="156">
        <v>778.56</v>
      </c>
      <c r="F24" s="156">
        <v>778.56</v>
      </c>
      <c r="G24" s="154">
        <v>151248</v>
      </c>
      <c r="H24" s="154" t="s">
        <v>175</v>
      </c>
      <c r="I24" s="154" t="s">
        <v>114</v>
      </c>
      <c r="J24" s="154" t="s">
        <v>115</v>
      </c>
      <c r="K24" s="154">
        <v>10027</v>
      </c>
      <c r="L24" s="154" t="s">
        <v>106</v>
      </c>
      <c r="M24" s="154">
        <v>44</v>
      </c>
      <c r="N24" s="154" t="s">
        <v>107</v>
      </c>
      <c r="O24" s="154" t="s">
        <v>182</v>
      </c>
      <c r="P24" s="154" t="s">
        <v>109</v>
      </c>
      <c r="Q24" s="154" t="s">
        <v>110</v>
      </c>
      <c r="R24" s="154" t="s">
        <v>117</v>
      </c>
      <c r="S24" s="154" t="s">
        <v>183</v>
      </c>
      <c r="T24" s="157">
        <v>45978</v>
      </c>
      <c r="U24" s="158" cm="1">
        <f t="array" ref="U24">[15]!CalculateINPC(B24,T24,-1)*F24</f>
        <v>884.90068422720003</v>
      </c>
      <c r="V24" s="158">
        <f t="shared" si="0"/>
        <v>1944.5888134518091</v>
      </c>
    </row>
    <row r="25" spans="1:22">
      <c r="A25" s="154" t="s">
        <v>102</v>
      </c>
      <c r="B25" s="155">
        <v>44755</v>
      </c>
      <c r="C25" s="155">
        <v>44754</v>
      </c>
      <c r="D25" s="156">
        <v>687.16</v>
      </c>
      <c r="E25" s="156">
        <v>687.16</v>
      </c>
      <c r="F25" s="156">
        <v>687.16</v>
      </c>
      <c r="G25" s="154">
        <v>153403</v>
      </c>
      <c r="H25" s="154" t="s">
        <v>175</v>
      </c>
      <c r="I25" s="154" t="s">
        <v>114</v>
      </c>
      <c r="J25" s="154" t="s">
        <v>115</v>
      </c>
      <c r="K25" s="154">
        <v>10027</v>
      </c>
      <c r="L25" s="154" t="s">
        <v>106</v>
      </c>
      <c r="M25" s="154">
        <v>44</v>
      </c>
      <c r="N25" s="154" t="s">
        <v>107</v>
      </c>
      <c r="O25" s="154" t="s">
        <v>184</v>
      </c>
      <c r="P25" s="154" t="s">
        <v>109</v>
      </c>
      <c r="Q25" s="154" t="s">
        <v>110</v>
      </c>
      <c r="R25" s="154" t="s">
        <v>117</v>
      </c>
      <c r="S25" s="154" t="s">
        <v>185</v>
      </c>
      <c r="T25" s="157">
        <v>45978</v>
      </c>
      <c r="U25" s="158" cm="1">
        <f t="array" ref="U25">[15]!CalculateINPC(B25,T25,-1)*F25</f>
        <v>776.2038625987999</v>
      </c>
      <c r="V25" s="158">
        <f t="shared" si="0"/>
        <v>1675.5166950111868</v>
      </c>
    </row>
    <row r="26" spans="1:22">
      <c r="A26" s="154" t="s">
        <v>102</v>
      </c>
      <c r="B26" s="155">
        <v>44755</v>
      </c>
      <c r="C26" s="155">
        <v>44754</v>
      </c>
      <c r="D26" s="156">
        <v>687.16</v>
      </c>
      <c r="E26" s="156">
        <v>687.16</v>
      </c>
      <c r="F26" s="156">
        <v>687.16</v>
      </c>
      <c r="G26" s="154">
        <v>153405</v>
      </c>
      <c r="H26" s="154" t="s">
        <v>175</v>
      </c>
      <c r="I26" s="154" t="s">
        <v>114</v>
      </c>
      <c r="J26" s="154" t="s">
        <v>115</v>
      </c>
      <c r="K26" s="154">
        <v>10027</v>
      </c>
      <c r="L26" s="154" t="s">
        <v>106</v>
      </c>
      <c r="M26" s="154">
        <v>44</v>
      </c>
      <c r="N26" s="154" t="s">
        <v>107</v>
      </c>
      <c r="O26" s="154" t="s">
        <v>186</v>
      </c>
      <c r="P26" s="154" t="s">
        <v>109</v>
      </c>
      <c r="Q26" s="154" t="s">
        <v>110</v>
      </c>
      <c r="R26" s="154" t="s">
        <v>117</v>
      </c>
      <c r="S26" s="154" t="s">
        <v>187</v>
      </c>
      <c r="T26" s="157">
        <v>45978</v>
      </c>
      <c r="U26" s="158" cm="1">
        <f t="array" ref="U26">[15]!CalculateINPC(B26,T26,-1)*F26</f>
        <v>776.2038625987999</v>
      </c>
      <c r="V26" s="158">
        <f t="shared" si="0"/>
        <v>1675.5166950111868</v>
      </c>
    </row>
    <row r="27" spans="1:22">
      <c r="A27" s="154" t="s">
        <v>102</v>
      </c>
      <c r="B27" s="155">
        <v>43783</v>
      </c>
      <c r="C27" s="155">
        <v>43762</v>
      </c>
      <c r="D27" s="156">
        <v>15000</v>
      </c>
      <c r="E27" s="156">
        <v>15000</v>
      </c>
      <c r="F27" s="156">
        <v>13327.5</v>
      </c>
      <c r="G27" s="154">
        <v>80597</v>
      </c>
      <c r="H27" s="154" t="s">
        <v>188</v>
      </c>
      <c r="I27" s="154" t="s">
        <v>189</v>
      </c>
      <c r="J27" s="154" t="s">
        <v>190</v>
      </c>
      <c r="K27" s="154">
        <v>10027</v>
      </c>
      <c r="L27" s="154" t="s">
        <v>106</v>
      </c>
      <c r="M27" s="154">
        <v>44</v>
      </c>
      <c r="N27" s="154" t="s">
        <v>107</v>
      </c>
      <c r="O27" s="154" t="s">
        <v>191</v>
      </c>
      <c r="P27" s="154" t="s">
        <v>109</v>
      </c>
      <c r="Q27" s="154" t="s">
        <v>110</v>
      </c>
      <c r="R27" s="154" t="s">
        <v>130</v>
      </c>
      <c r="S27" s="154" t="s">
        <v>192</v>
      </c>
      <c r="T27" s="157">
        <v>45978</v>
      </c>
      <c r="U27" s="158" cm="1">
        <f t="array" ref="U27">[15]!CalculateINPC(B27,T27,-1)*F27</f>
        <v>18795.148856625001</v>
      </c>
      <c r="V27" s="158">
        <f t="shared" si="0"/>
        <v>65991.291961410607</v>
      </c>
    </row>
    <row r="28" spans="1:22">
      <c r="A28" s="154" t="s">
        <v>102</v>
      </c>
      <c r="B28" s="155">
        <v>45147</v>
      </c>
      <c r="C28" s="155">
        <v>45141</v>
      </c>
      <c r="D28" s="156">
        <v>13900</v>
      </c>
      <c r="E28" s="156">
        <v>13900</v>
      </c>
      <c r="F28" s="156">
        <v>13045.15</v>
      </c>
      <c r="G28" s="154">
        <v>178820</v>
      </c>
      <c r="H28" s="154" t="s">
        <v>193</v>
      </c>
      <c r="I28" s="154" t="s">
        <v>154</v>
      </c>
      <c r="J28" s="154" t="s">
        <v>155</v>
      </c>
      <c r="K28" s="154">
        <v>10027</v>
      </c>
      <c r="L28" s="154" t="s">
        <v>106</v>
      </c>
      <c r="M28" s="154">
        <v>44</v>
      </c>
      <c r="N28" s="154" t="s">
        <v>107</v>
      </c>
      <c r="O28" s="154" t="s">
        <v>194</v>
      </c>
      <c r="P28" s="154" t="s">
        <v>109</v>
      </c>
      <c r="Q28" s="154" t="s">
        <v>110</v>
      </c>
      <c r="R28" s="154" t="s">
        <v>130</v>
      </c>
      <c r="S28" s="154" t="s">
        <v>195</v>
      </c>
      <c r="T28" s="157">
        <v>45978</v>
      </c>
      <c r="U28" s="158" cm="1">
        <f t="array" ref="U28">[15]!CalculateINPC(B28,T28,-1)*F28</f>
        <v>14319.4097749595</v>
      </c>
      <c r="V28" s="158">
        <f t="shared" si="0"/>
        <v>23903.875349963841</v>
      </c>
    </row>
    <row r="29" spans="1:22">
      <c r="A29" s="154" t="s">
        <v>102</v>
      </c>
      <c r="B29" s="155">
        <v>44755</v>
      </c>
      <c r="C29" s="155">
        <v>44754</v>
      </c>
      <c r="D29" s="156">
        <v>687.16</v>
      </c>
      <c r="E29" s="156">
        <v>687.16</v>
      </c>
      <c r="F29" s="156">
        <v>687.16</v>
      </c>
      <c r="G29" s="154">
        <v>153404</v>
      </c>
      <c r="H29" s="154" t="s">
        <v>175</v>
      </c>
      <c r="I29" s="154" t="s">
        <v>114</v>
      </c>
      <c r="J29" s="154" t="s">
        <v>115</v>
      </c>
      <c r="K29" s="154">
        <v>10027</v>
      </c>
      <c r="L29" s="154" t="s">
        <v>106</v>
      </c>
      <c r="M29" s="154">
        <v>44</v>
      </c>
      <c r="N29" s="154" t="s">
        <v>107</v>
      </c>
      <c r="O29" s="154" t="s">
        <v>196</v>
      </c>
      <c r="P29" s="154" t="s">
        <v>109</v>
      </c>
      <c r="Q29" s="154" t="s">
        <v>110</v>
      </c>
      <c r="R29" s="154" t="s">
        <v>117</v>
      </c>
      <c r="S29" s="154" t="s">
        <v>197</v>
      </c>
      <c r="T29" s="157">
        <v>45978</v>
      </c>
      <c r="U29" s="158" cm="1">
        <f t="array" ref="U29">[15]!CalculateINPC(B29,T29,-1)*F29</f>
        <v>776.2038625987999</v>
      </c>
      <c r="V29" s="158">
        <f t="shared" si="0"/>
        <v>1675.5166950111868</v>
      </c>
    </row>
    <row r="30" spans="1:22">
      <c r="A30" s="154" t="s">
        <v>102</v>
      </c>
      <c r="B30" s="155">
        <v>44722</v>
      </c>
      <c r="C30" s="155">
        <v>44721</v>
      </c>
      <c r="D30" s="156">
        <v>682.21</v>
      </c>
      <c r="E30" s="156">
        <v>682.21</v>
      </c>
      <c r="F30" s="156">
        <v>682.21</v>
      </c>
      <c r="G30" s="154">
        <v>151249</v>
      </c>
      <c r="H30" s="154" t="s">
        <v>175</v>
      </c>
      <c r="I30" s="154" t="s">
        <v>114</v>
      </c>
      <c r="J30" s="154" t="s">
        <v>115</v>
      </c>
      <c r="K30" s="154">
        <v>10027</v>
      </c>
      <c r="L30" s="154" t="s">
        <v>106</v>
      </c>
      <c r="M30" s="154">
        <v>44</v>
      </c>
      <c r="N30" s="154" t="s">
        <v>107</v>
      </c>
      <c r="O30" s="154" t="s">
        <v>198</v>
      </c>
      <c r="P30" s="154" t="s">
        <v>109</v>
      </c>
      <c r="Q30" s="154" t="s">
        <v>110</v>
      </c>
      <c r="R30" s="154" t="s">
        <v>117</v>
      </c>
      <c r="S30" s="154" t="s">
        <v>199</v>
      </c>
      <c r="T30" s="157">
        <v>45978</v>
      </c>
      <c r="U30" s="158" cm="1">
        <f t="array" ref="U30">[15]!CalculateINPC(B30,T30,-1)*F30</f>
        <v>775.39058747770014</v>
      </c>
      <c r="V30" s="158">
        <f t="shared" si="0"/>
        <v>1703.9379552314001</v>
      </c>
    </row>
    <row r="31" spans="1:22">
      <c r="A31" s="154" t="s">
        <v>102</v>
      </c>
      <c r="B31" s="155">
        <v>43816</v>
      </c>
      <c r="C31" s="155">
        <v>43800</v>
      </c>
      <c r="D31" s="156">
        <v>474048.75</v>
      </c>
      <c r="E31" s="156">
        <v>474048.75</v>
      </c>
      <c r="F31" s="156">
        <v>474048.75</v>
      </c>
      <c r="G31" s="154">
        <v>82848</v>
      </c>
      <c r="H31" s="154" t="s">
        <v>200</v>
      </c>
      <c r="I31" s="154" t="s">
        <v>119</v>
      </c>
      <c r="J31" s="154" t="s">
        <v>120</v>
      </c>
      <c r="K31" s="154">
        <v>10027</v>
      </c>
      <c r="L31" s="154" t="s">
        <v>106</v>
      </c>
      <c r="M31" s="154">
        <v>44</v>
      </c>
      <c r="N31" s="154" t="s">
        <v>107</v>
      </c>
      <c r="O31" s="154" t="s">
        <v>201</v>
      </c>
      <c r="P31" s="154" t="s">
        <v>109</v>
      </c>
      <c r="Q31" s="154" t="s">
        <v>110</v>
      </c>
      <c r="R31" s="154" t="s">
        <v>111</v>
      </c>
      <c r="S31" s="154" t="s">
        <v>202</v>
      </c>
      <c r="T31" s="157">
        <v>45978</v>
      </c>
      <c r="U31" s="158" cm="1">
        <f t="array" ref="U31">[15]!CalculateINPC(B31,T31,-1)*F31</f>
        <v>664937.86158371251</v>
      </c>
      <c r="V31" s="158">
        <f t="shared" si="0"/>
        <v>2291480.3541625161</v>
      </c>
    </row>
    <row r="32" spans="1:22">
      <c r="A32" s="154" t="s">
        <v>102</v>
      </c>
      <c r="B32" s="155">
        <v>43816</v>
      </c>
      <c r="C32" s="155">
        <v>43800</v>
      </c>
      <c r="D32" s="156">
        <v>320887.21000000002</v>
      </c>
      <c r="E32" s="156">
        <v>320887.21000000002</v>
      </c>
      <c r="F32" s="156">
        <v>320887.21000000002</v>
      </c>
      <c r="G32" s="154">
        <v>82849</v>
      </c>
      <c r="H32" s="154" t="s">
        <v>200</v>
      </c>
      <c r="I32" s="154" t="s">
        <v>119</v>
      </c>
      <c r="J32" s="154" t="s">
        <v>120</v>
      </c>
      <c r="K32" s="154">
        <v>10027</v>
      </c>
      <c r="L32" s="154" t="s">
        <v>106</v>
      </c>
      <c r="M32" s="154">
        <v>44</v>
      </c>
      <c r="N32" s="154" t="s">
        <v>107</v>
      </c>
      <c r="O32" s="154" t="s">
        <v>203</v>
      </c>
      <c r="P32" s="154" t="s">
        <v>109</v>
      </c>
      <c r="Q32" s="154" t="s">
        <v>110</v>
      </c>
      <c r="R32" s="154" t="s">
        <v>111</v>
      </c>
      <c r="S32" s="154" t="s">
        <v>204</v>
      </c>
      <c r="T32" s="157">
        <v>45978</v>
      </c>
      <c r="U32" s="158" cm="1">
        <f t="array" ref="U32">[15]!CalculateINPC(B32,T32,-1)*F32</f>
        <v>450101.50375243835</v>
      </c>
      <c r="V32" s="158">
        <f t="shared" si="0"/>
        <v>1551120.5073676952</v>
      </c>
    </row>
    <row r="33" spans="1:22">
      <c r="A33" s="154" t="s">
        <v>102</v>
      </c>
      <c r="B33" s="155">
        <v>43815</v>
      </c>
      <c r="C33" s="155">
        <v>43800</v>
      </c>
      <c r="D33" s="156">
        <v>265390.2</v>
      </c>
      <c r="E33" s="156">
        <v>265390.2</v>
      </c>
      <c r="F33" s="156">
        <v>265390.2</v>
      </c>
      <c r="G33" s="154">
        <v>82730</v>
      </c>
      <c r="H33" s="154" t="s">
        <v>200</v>
      </c>
      <c r="I33" s="154" t="s">
        <v>119</v>
      </c>
      <c r="J33" s="154" t="s">
        <v>120</v>
      </c>
      <c r="K33" s="154">
        <v>10027</v>
      </c>
      <c r="L33" s="154" t="s">
        <v>106</v>
      </c>
      <c r="M33" s="154">
        <v>44</v>
      </c>
      <c r="N33" s="154" t="s">
        <v>107</v>
      </c>
      <c r="O33" s="154" t="s">
        <v>205</v>
      </c>
      <c r="P33" s="154" t="s">
        <v>109</v>
      </c>
      <c r="Q33" s="154" t="s">
        <v>110</v>
      </c>
      <c r="R33" s="154" t="s">
        <v>111</v>
      </c>
      <c r="S33" s="154" t="s">
        <v>206</v>
      </c>
      <c r="T33" s="157">
        <v>45978</v>
      </c>
      <c r="U33" s="158" cm="1">
        <f t="array" ref="U33">[15]!CalculateINPC(B33,T33,-1)*F33</f>
        <v>372257.05599534605</v>
      </c>
      <c r="V33" s="158">
        <f t="shared" si="0"/>
        <v>1283791.5816612954</v>
      </c>
    </row>
    <row r="34" spans="1:22">
      <c r="A34" s="154" t="s">
        <v>102</v>
      </c>
      <c r="B34" s="155">
        <v>43823</v>
      </c>
      <c r="C34" s="155">
        <v>43797</v>
      </c>
      <c r="D34" s="156">
        <v>10000</v>
      </c>
      <c r="E34" s="156">
        <v>10000</v>
      </c>
      <c r="F34" s="156">
        <v>9800</v>
      </c>
      <c r="G34" s="154">
        <v>82866</v>
      </c>
      <c r="H34" s="154" t="s">
        <v>161</v>
      </c>
      <c r="I34" s="154" t="s">
        <v>126</v>
      </c>
      <c r="J34" s="154" t="s">
        <v>127</v>
      </c>
      <c r="K34" s="154">
        <v>10027</v>
      </c>
      <c r="L34" s="154" t="s">
        <v>106</v>
      </c>
      <c r="M34" s="154">
        <v>44</v>
      </c>
      <c r="N34" s="154" t="s">
        <v>107</v>
      </c>
      <c r="O34" s="154" t="s">
        <v>207</v>
      </c>
      <c r="P34" s="154" t="s">
        <v>109</v>
      </c>
      <c r="Q34" s="154" t="s">
        <v>110</v>
      </c>
      <c r="R34" s="154" t="s">
        <v>130</v>
      </c>
      <c r="S34" s="154" t="s">
        <v>208</v>
      </c>
      <c r="T34" s="157">
        <v>45978</v>
      </c>
      <c r="U34" s="158" cm="1">
        <f t="array" ref="U34">[15]!CalculateINPC(B34,T34,-1)*F34</f>
        <v>13746.246654</v>
      </c>
      <c r="V34" s="158">
        <f t="shared" si="0"/>
        <v>47130.673182780105</v>
      </c>
    </row>
    <row r="35" spans="1:22">
      <c r="A35" s="154" t="s">
        <v>102</v>
      </c>
      <c r="B35" s="155">
        <v>45147</v>
      </c>
      <c r="C35" s="155">
        <v>45139</v>
      </c>
      <c r="D35" s="156">
        <v>13325</v>
      </c>
      <c r="E35" s="156">
        <v>10075.000000000004</v>
      </c>
      <c r="F35" s="156">
        <v>9455.3856097561002</v>
      </c>
      <c r="G35" s="154">
        <v>178823</v>
      </c>
      <c r="H35" s="154" t="s">
        <v>209</v>
      </c>
      <c r="I35" s="154" t="s">
        <v>154</v>
      </c>
      <c r="J35" s="154" t="s">
        <v>155</v>
      </c>
      <c r="K35" s="154">
        <v>10027</v>
      </c>
      <c r="L35" s="154" t="s">
        <v>106</v>
      </c>
      <c r="M35" s="154">
        <v>44</v>
      </c>
      <c r="N35" s="154" t="s">
        <v>107</v>
      </c>
      <c r="O35" s="154" t="s">
        <v>210</v>
      </c>
      <c r="P35" s="154" t="s">
        <v>137</v>
      </c>
      <c r="Q35" s="154" t="s">
        <v>138</v>
      </c>
      <c r="R35" s="154" t="s">
        <v>130</v>
      </c>
      <c r="S35" s="154" t="s">
        <v>211</v>
      </c>
      <c r="T35" s="157">
        <v>45978</v>
      </c>
      <c r="U35" s="158" cm="1">
        <f t="array" ref="U35">[15]!CalculateINPC(B35,T35,-1)*F35</f>
        <v>10378.994578548571</v>
      </c>
      <c r="V35" s="158">
        <f t="shared" si="0"/>
        <v>17326.006906892726</v>
      </c>
    </row>
    <row r="36" spans="1:22">
      <c r="A36" s="154" t="s">
        <v>102</v>
      </c>
      <c r="B36" s="155">
        <v>45146</v>
      </c>
      <c r="C36" s="155">
        <v>45139</v>
      </c>
      <c r="D36" s="156">
        <v>9900</v>
      </c>
      <c r="E36" s="156">
        <v>9900</v>
      </c>
      <c r="F36" s="156">
        <v>9291.15</v>
      </c>
      <c r="G36" s="154">
        <v>178767</v>
      </c>
      <c r="H36" s="154" t="s">
        <v>212</v>
      </c>
      <c r="I36" s="154" t="s">
        <v>154</v>
      </c>
      <c r="J36" s="154" t="s">
        <v>155</v>
      </c>
      <c r="K36" s="154">
        <v>10027</v>
      </c>
      <c r="L36" s="154" t="s">
        <v>106</v>
      </c>
      <c r="M36" s="154">
        <v>44</v>
      </c>
      <c r="N36" s="154" t="s">
        <v>107</v>
      </c>
      <c r="O36" s="154" t="s">
        <v>213</v>
      </c>
      <c r="P36" s="154" t="s">
        <v>109</v>
      </c>
      <c r="Q36" s="154" t="s">
        <v>110</v>
      </c>
      <c r="R36" s="154" t="s">
        <v>130</v>
      </c>
      <c r="S36" s="154" t="s">
        <v>214</v>
      </c>
      <c r="T36" s="157">
        <v>45978</v>
      </c>
      <c r="U36" s="158" cm="1">
        <f t="array" ref="U36">[15]!CalculateINPC(B36,T36,-1)*F36</f>
        <v>10198.716314539499</v>
      </c>
      <c r="V36" s="158">
        <f t="shared" si="0"/>
        <v>17037.474510754251</v>
      </c>
    </row>
    <row r="37" spans="1:22">
      <c r="A37" s="154" t="s">
        <v>102</v>
      </c>
      <c r="B37" s="155">
        <v>43812</v>
      </c>
      <c r="C37" s="155">
        <v>43800</v>
      </c>
      <c r="D37" s="156">
        <v>216320.05</v>
      </c>
      <c r="E37" s="156">
        <v>216320.05</v>
      </c>
      <c r="F37" s="156">
        <v>216320.05</v>
      </c>
      <c r="G37" s="154">
        <v>82738</v>
      </c>
      <c r="H37" s="154" t="s">
        <v>200</v>
      </c>
      <c r="I37" s="154" t="s">
        <v>119</v>
      </c>
      <c r="J37" s="154" t="s">
        <v>120</v>
      </c>
      <c r="K37" s="154">
        <v>10027</v>
      </c>
      <c r="L37" s="154" t="s">
        <v>106</v>
      </c>
      <c r="M37" s="154">
        <v>44</v>
      </c>
      <c r="N37" s="154" t="s">
        <v>107</v>
      </c>
      <c r="O37" s="154" t="s">
        <v>215</v>
      </c>
      <c r="P37" s="154" t="s">
        <v>137</v>
      </c>
      <c r="Q37" s="154" t="s">
        <v>138</v>
      </c>
      <c r="R37" s="154" t="s">
        <v>111</v>
      </c>
      <c r="S37" s="154" t="s">
        <v>216</v>
      </c>
      <c r="T37" s="157">
        <v>45978</v>
      </c>
      <c r="U37" s="158" cm="1">
        <f t="array" ref="U37">[15]!CalculateINPC(B37,T37,-1)*F37</f>
        <v>303427.42484751152</v>
      </c>
      <c r="V37" s="158">
        <f t="shared" si="0"/>
        <v>1048711.2921470904</v>
      </c>
    </row>
    <row r="38" spans="1:22">
      <c r="A38" s="154" t="s">
        <v>102</v>
      </c>
      <c r="B38" s="155">
        <v>44806</v>
      </c>
      <c r="C38" s="155">
        <v>44803</v>
      </c>
      <c r="D38" s="156">
        <v>5663.85</v>
      </c>
      <c r="E38" s="156">
        <v>5663.85</v>
      </c>
      <c r="F38" s="156">
        <v>5663.85</v>
      </c>
      <c r="G38" s="154">
        <v>156908</v>
      </c>
      <c r="H38" s="154" t="s">
        <v>217</v>
      </c>
      <c r="I38" s="154" t="s">
        <v>218</v>
      </c>
      <c r="J38" s="154" t="s">
        <v>219</v>
      </c>
      <c r="K38" s="154">
        <v>10027</v>
      </c>
      <c r="L38" s="154" t="s">
        <v>106</v>
      </c>
      <c r="M38" s="154">
        <v>44</v>
      </c>
      <c r="N38" s="154" t="s">
        <v>107</v>
      </c>
      <c r="O38" s="154" t="s">
        <v>220</v>
      </c>
      <c r="P38" s="154" t="s">
        <v>109</v>
      </c>
      <c r="Q38" s="154" t="s">
        <v>110</v>
      </c>
      <c r="R38" s="154" t="s">
        <v>221</v>
      </c>
      <c r="S38" s="154" t="s">
        <v>222</v>
      </c>
      <c r="T38" s="157">
        <v>45978</v>
      </c>
      <c r="U38" s="158" cm="1">
        <f t="array" ref="U38">[15]!CalculateINPC(B38,T38,-1)*F38</f>
        <v>6456.421755966001</v>
      </c>
      <c r="V38" s="158">
        <f t="shared" si="0"/>
        <v>13306.402518397294</v>
      </c>
    </row>
    <row r="39" spans="1:22">
      <c r="A39" s="154" t="s">
        <v>102</v>
      </c>
      <c r="B39" s="155">
        <v>44788</v>
      </c>
      <c r="C39" s="155">
        <v>44784</v>
      </c>
      <c r="D39" s="156">
        <v>5663.85</v>
      </c>
      <c r="E39" s="156">
        <v>5663.85</v>
      </c>
      <c r="F39" s="156">
        <v>5663.85</v>
      </c>
      <c r="G39" s="154">
        <v>155955</v>
      </c>
      <c r="H39" s="154" t="s">
        <v>217</v>
      </c>
      <c r="I39" s="154" t="s">
        <v>218</v>
      </c>
      <c r="J39" s="154" t="s">
        <v>219</v>
      </c>
      <c r="K39" s="154">
        <v>10027</v>
      </c>
      <c r="L39" s="154" t="s">
        <v>106</v>
      </c>
      <c r="M39" s="154">
        <v>44</v>
      </c>
      <c r="N39" s="154" t="s">
        <v>107</v>
      </c>
      <c r="O39" s="154" t="s">
        <v>223</v>
      </c>
      <c r="P39" s="154" t="s">
        <v>109</v>
      </c>
      <c r="Q39" s="154" t="s">
        <v>110</v>
      </c>
      <c r="R39" s="154" t="s">
        <v>221</v>
      </c>
      <c r="S39" s="154" t="s">
        <v>224</v>
      </c>
      <c r="T39" s="157">
        <v>45978</v>
      </c>
      <c r="U39" s="158" cm="1">
        <f t="array" ref="U39">[15]!CalculateINPC(B39,T39,-1)*F39</f>
        <v>6436.4085419910007</v>
      </c>
      <c r="V39" s="158">
        <f t="shared" si="0"/>
        <v>13482.10869971578</v>
      </c>
    </row>
    <row r="40" spans="1:22">
      <c r="A40" s="154" t="s">
        <v>102</v>
      </c>
      <c r="B40" s="155">
        <v>44841</v>
      </c>
      <c r="C40" s="155">
        <v>44833</v>
      </c>
      <c r="D40" s="156">
        <v>7540</v>
      </c>
      <c r="E40" s="156">
        <v>5280.0000000000009</v>
      </c>
      <c r="F40" s="156">
        <v>5280.0000000000009</v>
      </c>
      <c r="G40" s="154">
        <v>159501</v>
      </c>
      <c r="H40" s="154" t="s">
        <v>225</v>
      </c>
      <c r="I40" s="154" t="s">
        <v>226</v>
      </c>
      <c r="J40" s="154" t="s">
        <v>227</v>
      </c>
      <c r="K40" s="154">
        <v>10027</v>
      </c>
      <c r="L40" s="154" t="s">
        <v>106</v>
      </c>
      <c r="M40" s="154">
        <v>44</v>
      </c>
      <c r="N40" s="154" t="s">
        <v>107</v>
      </c>
      <c r="O40" s="154" t="s">
        <v>228</v>
      </c>
      <c r="P40" s="154" t="s">
        <v>109</v>
      </c>
      <c r="Q40" s="154" t="s">
        <v>110</v>
      </c>
      <c r="R40" s="154" t="s">
        <v>130</v>
      </c>
      <c r="S40" s="154" t="s">
        <v>229</v>
      </c>
      <c r="T40" s="157">
        <v>45978</v>
      </c>
      <c r="U40" s="158" cm="1">
        <f t="array" ref="U40">[15]!CalculateINPC(B40,T40,-1)*F40</f>
        <v>6038.1793824000015</v>
      </c>
      <c r="V40" s="158">
        <f t="shared" si="0"/>
        <v>12092.191330135553</v>
      </c>
    </row>
    <row r="41" spans="1:22">
      <c r="A41" s="154" t="s">
        <v>102</v>
      </c>
      <c r="B41" s="155">
        <v>44939</v>
      </c>
      <c r="C41" s="155">
        <v>44917</v>
      </c>
      <c r="D41" s="156">
        <v>18211</v>
      </c>
      <c r="E41" s="156">
        <v>5100.0000000000373</v>
      </c>
      <c r="F41" s="156">
        <v>5100.0000000000373</v>
      </c>
      <c r="G41" s="154">
        <v>165151</v>
      </c>
      <c r="H41" s="154" t="s">
        <v>225</v>
      </c>
      <c r="I41" s="154" t="s">
        <v>226</v>
      </c>
      <c r="J41" s="154" t="s">
        <v>227</v>
      </c>
      <c r="K41" s="154">
        <v>10027</v>
      </c>
      <c r="L41" s="154" t="s">
        <v>106</v>
      </c>
      <c r="M41" s="154">
        <v>44</v>
      </c>
      <c r="N41" s="154" t="s">
        <v>107</v>
      </c>
      <c r="O41" s="154" t="s">
        <v>230</v>
      </c>
      <c r="P41" s="154" t="s">
        <v>137</v>
      </c>
      <c r="Q41" s="154" t="s">
        <v>138</v>
      </c>
      <c r="R41" s="154" t="s">
        <v>130</v>
      </c>
      <c r="S41" s="154" t="s">
        <v>231</v>
      </c>
      <c r="T41" s="157">
        <v>45978</v>
      </c>
      <c r="U41" s="158" cm="1">
        <f t="array" ref="U41">[15]!CalculateINPC(B41,T41,-1)*F41</f>
        <v>5743.4404290000421</v>
      </c>
      <c r="V41" s="158">
        <f t="shared" si="0"/>
        <v>10874.851900839489</v>
      </c>
    </row>
    <row r="42" spans="1:22">
      <c r="A42" s="154" t="s">
        <v>102</v>
      </c>
      <c r="B42" s="155">
        <v>44760</v>
      </c>
      <c r="C42" s="155">
        <v>44740</v>
      </c>
      <c r="D42" s="156">
        <v>13855</v>
      </c>
      <c r="E42" s="156">
        <v>5099.9999999999663</v>
      </c>
      <c r="F42" s="156">
        <v>5099.9999999999663</v>
      </c>
      <c r="G42" s="154">
        <v>154067</v>
      </c>
      <c r="H42" s="154" t="s">
        <v>225</v>
      </c>
      <c r="I42" s="154" t="s">
        <v>232</v>
      </c>
      <c r="J42" s="154" t="s">
        <v>233</v>
      </c>
      <c r="K42" s="154">
        <v>10027</v>
      </c>
      <c r="L42" s="154" t="s">
        <v>106</v>
      </c>
      <c r="M42" s="154">
        <v>44</v>
      </c>
      <c r="N42" s="154" t="s">
        <v>107</v>
      </c>
      <c r="O42" s="154" t="s">
        <v>234</v>
      </c>
      <c r="P42" s="154" t="s">
        <v>109</v>
      </c>
      <c r="Q42" s="154" t="s">
        <v>110</v>
      </c>
      <c r="R42" s="154" t="s">
        <v>130</v>
      </c>
      <c r="S42" s="154" t="s">
        <v>235</v>
      </c>
      <c r="T42" s="157">
        <v>45978</v>
      </c>
      <c r="U42" s="158" cm="1">
        <f t="array" ref="U42">[15]!CalculateINPC(B42,T42,-1)*F42</f>
        <v>5760.870392999962</v>
      </c>
      <c r="V42" s="158">
        <f t="shared" si="0"/>
        <v>12390.2057443187</v>
      </c>
    </row>
    <row r="43" spans="1:22">
      <c r="A43" s="154" t="s">
        <v>102</v>
      </c>
      <c r="B43" s="155">
        <v>45734</v>
      </c>
      <c r="C43" s="155">
        <v>45733</v>
      </c>
      <c r="D43" s="156">
        <v>4665.34</v>
      </c>
      <c r="E43" s="156">
        <v>4665.34</v>
      </c>
      <c r="F43" s="156">
        <v>4665.34</v>
      </c>
      <c r="G43" s="154">
        <v>242144</v>
      </c>
      <c r="H43" s="154" t="s">
        <v>236</v>
      </c>
      <c r="I43" s="154" t="s">
        <v>237</v>
      </c>
      <c r="J43" s="154" t="s">
        <v>238</v>
      </c>
      <c r="K43" s="154">
        <v>10027</v>
      </c>
      <c r="L43" s="154" t="s">
        <v>106</v>
      </c>
      <c r="M43" s="154">
        <v>44</v>
      </c>
      <c r="N43" s="154" t="s">
        <v>107</v>
      </c>
      <c r="O43" s="154" t="s">
        <v>239</v>
      </c>
      <c r="P43" s="154" t="s">
        <v>109</v>
      </c>
      <c r="Q43" s="154" t="s">
        <v>110</v>
      </c>
      <c r="R43" s="154" t="s">
        <v>240</v>
      </c>
      <c r="S43" s="154" t="s">
        <v>241</v>
      </c>
      <c r="T43" s="157">
        <v>45978</v>
      </c>
      <c r="U43" s="158" cm="1">
        <f t="array" ref="U43">[15]!CalculateINPC(B43,T43,-1)*F43</f>
        <v>4765.0548311036</v>
      </c>
      <c r="V43" s="158">
        <f t="shared" si="0"/>
        <v>5573.2891033496398</v>
      </c>
    </row>
    <row r="44" spans="1:22">
      <c r="A44" s="154" t="s">
        <v>102</v>
      </c>
      <c r="B44" s="155">
        <v>45258</v>
      </c>
      <c r="C44" s="155">
        <v>45223</v>
      </c>
      <c r="D44" s="156">
        <v>26012.51</v>
      </c>
      <c r="E44" s="156">
        <v>4535.230000000106</v>
      </c>
      <c r="F44" s="156">
        <v>4535.230000000106</v>
      </c>
      <c r="G44" s="154">
        <v>186043</v>
      </c>
      <c r="H44" s="154" t="s">
        <v>242</v>
      </c>
      <c r="I44" s="154" t="s">
        <v>243</v>
      </c>
      <c r="J44" s="154" t="s">
        <v>244</v>
      </c>
      <c r="K44" s="154">
        <v>10027</v>
      </c>
      <c r="L44" s="154" t="s">
        <v>106</v>
      </c>
      <c r="M44" s="154">
        <v>44</v>
      </c>
      <c r="N44" s="154" t="s">
        <v>107</v>
      </c>
      <c r="O44" s="154" t="s">
        <v>245</v>
      </c>
      <c r="P44" s="154" t="s">
        <v>109</v>
      </c>
      <c r="Q44" s="154" t="s">
        <v>110</v>
      </c>
      <c r="R44" s="154" t="s">
        <v>240</v>
      </c>
      <c r="S44" s="154" t="s">
        <v>246</v>
      </c>
      <c r="T44" s="157">
        <v>45978</v>
      </c>
      <c r="U44" s="158" cm="1">
        <f t="array" ref="U44">[15]!CalculateINPC(B44,T44,-1)*F44</f>
        <v>4956.8945058760155</v>
      </c>
      <c r="V44" s="158">
        <f t="shared" si="0"/>
        <v>7664.5387000001801</v>
      </c>
    </row>
    <row r="45" spans="1:22">
      <c r="A45" s="154" t="s">
        <v>102</v>
      </c>
      <c r="B45" s="155">
        <v>43822</v>
      </c>
      <c r="C45" s="155">
        <v>43819</v>
      </c>
      <c r="D45" s="156">
        <v>192607.53</v>
      </c>
      <c r="E45" s="156">
        <v>192607.53</v>
      </c>
      <c r="F45" s="156">
        <v>192607.53</v>
      </c>
      <c r="G45" s="154">
        <v>83554</v>
      </c>
      <c r="H45" s="154" t="s">
        <v>200</v>
      </c>
      <c r="I45" s="154" t="s">
        <v>119</v>
      </c>
      <c r="J45" s="154" t="s">
        <v>120</v>
      </c>
      <c r="K45" s="154">
        <v>10027</v>
      </c>
      <c r="L45" s="154" t="s">
        <v>106</v>
      </c>
      <c r="M45" s="154">
        <v>44</v>
      </c>
      <c r="N45" s="154" t="s">
        <v>107</v>
      </c>
      <c r="O45" s="154" t="s">
        <v>247</v>
      </c>
      <c r="P45" s="154" t="s">
        <v>109</v>
      </c>
      <c r="Q45" s="154" t="s">
        <v>110</v>
      </c>
      <c r="R45" s="154" t="s">
        <v>111</v>
      </c>
      <c r="S45" s="154" t="s">
        <v>248</v>
      </c>
      <c r="T45" s="157">
        <v>45978</v>
      </c>
      <c r="U45" s="158" cm="1">
        <f t="array" ref="U45">[15]!CalculateINPC(B45,T45,-1)*F45</f>
        <v>270166.38926507189</v>
      </c>
      <c r="V45" s="158">
        <f t="shared" si="0"/>
        <v>926973.54186756443</v>
      </c>
    </row>
    <row r="46" spans="1:22">
      <c r="A46" s="154" t="s">
        <v>102</v>
      </c>
      <c r="B46" s="155">
        <v>43815</v>
      </c>
      <c r="C46" s="155">
        <v>43800</v>
      </c>
      <c r="D46" s="156">
        <v>167751.10999999999</v>
      </c>
      <c r="E46" s="156">
        <v>167751.10999999999</v>
      </c>
      <c r="F46" s="156">
        <v>167751.10999999999</v>
      </c>
      <c r="G46" s="154">
        <v>82847</v>
      </c>
      <c r="H46" s="154" t="s">
        <v>200</v>
      </c>
      <c r="I46" s="154" t="s">
        <v>119</v>
      </c>
      <c r="J46" s="154" t="s">
        <v>120</v>
      </c>
      <c r="K46" s="154">
        <v>10027</v>
      </c>
      <c r="L46" s="154" t="s">
        <v>106</v>
      </c>
      <c r="M46" s="154">
        <v>44</v>
      </c>
      <c r="N46" s="154" t="s">
        <v>107</v>
      </c>
      <c r="O46" s="154" t="s">
        <v>249</v>
      </c>
      <c r="P46" s="154" t="s">
        <v>109</v>
      </c>
      <c r="Q46" s="154" t="s">
        <v>110</v>
      </c>
      <c r="R46" s="154" t="s">
        <v>111</v>
      </c>
      <c r="S46" s="154" t="s">
        <v>250</v>
      </c>
      <c r="T46" s="157">
        <v>45978</v>
      </c>
      <c r="U46" s="158" cm="1">
        <f t="array" ref="U46">[15]!CalculateINPC(B46,T46,-1)*F46</f>
        <v>235300.83005533527</v>
      </c>
      <c r="V46" s="158">
        <f t="shared" si="0"/>
        <v>811474.81268086738</v>
      </c>
    </row>
    <row r="47" spans="1:22">
      <c r="A47" s="154" t="s">
        <v>102</v>
      </c>
      <c r="B47" s="155">
        <v>43812</v>
      </c>
      <c r="C47" s="155">
        <v>43800</v>
      </c>
      <c r="D47" s="156">
        <v>93824.33</v>
      </c>
      <c r="E47" s="156">
        <v>93824.33</v>
      </c>
      <c r="F47" s="156">
        <v>93824.33</v>
      </c>
      <c r="G47" s="154">
        <v>82739</v>
      </c>
      <c r="H47" s="154" t="s">
        <v>200</v>
      </c>
      <c r="I47" s="154" t="s">
        <v>119</v>
      </c>
      <c r="J47" s="154" t="s">
        <v>120</v>
      </c>
      <c r="K47" s="154">
        <v>10027</v>
      </c>
      <c r="L47" s="154" t="s">
        <v>106</v>
      </c>
      <c r="M47" s="154">
        <v>44</v>
      </c>
      <c r="N47" s="154" t="s">
        <v>107</v>
      </c>
      <c r="O47" s="154" t="s">
        <v>251</v>
      </c>
      <c r="P47" s="154" t="s">
        <v>137</v>
      </c>
      <c r="Q47" s="154" t="s">
        <v>138</v>
      </c>
      <c r="R47" s="154" t="s">
        <v>111</v>
      </c>
      <c r="S47" s="154" t="s">
        <v>252</v>
      </c>
      <c r="T47" s="157">
        <v>45978</v>
      </c>
      <c r="U47" s="158" cm="1">
        <f t="array" ref="U47">[15]!CalculateINPC(B47,T47,-1)*F47</f>
        <v>131605.3451353359</v>
      </c>
      <c r="V47" s="158">
        <f t="shared" si="0"/>
        <v>454856.74744035531</v>
      </c>
    </row>
    <row r="48" spans="1:22">
      <c r="A48" s="154" t="s">
        <v>102</v>
      </c>
      <c r="B48" s="155">
        <v>43812</v>
      </c>
      <c r="C48" s="155">
        <v>43800</v>
      </c>
      <c r="D48" s="156">
        <v>71265.66</v>
      </c>
      <c r="E48" s="156">
        <v>71265.66</v>
      </c>
      <c r="F48" s="156">
        <v>71265.66</v>
      </c>
      <c r="G48" s="154">
        <v>82736</v>
      </c>
      <c r="H48" s="154" t="s">
        <v>200</v>
      </c>
      <c r="I48" s="154" t="s">
        <v>119</v>
      </c>
      <c r="J48" s="154" t="s">
        <v>120</v>
      </c>
      <c r="K48" s="154">
        <v>10027</v>
      </c>
      <c r="L48" s="154" t="s">
        <v>106</v>
      </c>
      <c r="M48" s="154">
        <v>44</v>
      </c>
      <c r="N48" s="154" t="s">
        <v>107</v>
      </c>
      <c r="O48" s="154" t="s">
        <v>253</v>
      </c>
      <c r="P48" s="154" t="s">
        <v>137</v>
      </c>
      <c r="Q48" s="154" t="s">
        <v>138</v>
      </c>
      <c r="R48" s="154" t="s">
        <v>111</v>
      </c>
      <c r="S48" s="154" t="s">
        <v>254</v>
      </c>
      <c r="T48" s="157">
        <v>45978</v>
      </c>
      <c r="U48" s="158" cm="1">
        <f t="array" ref="U48">[15]!CalculateINPC(B48,T48,-1)*F48</f>
        <v>99962.789828581808</v>
      </c>
      <c r="V48" s="158">
        <f t="shared" si="0"/>
        <v>345493.18190484529</v>
      </c>
    </row>
    <row r="49" spans="1:22">
      <c r="A49" s="154" t="s">
        <v>102</v>
      </c>
      <c r="B49" s="155">
        <v>44827</v>
      </c>
      <c r="C49" s="155">
        <v>44826</v>
      </c>
      <c r="D49" s="156">
        <v>3951.7</v>
      </c>
      <c r="E49" s="156">
        <v>3951.7</v>
      </c>
      <c r="F49" s="156">
        <v>3951.7</v>
      </c>
      <c r="G49" s="154">
        <v>159084</v>
      </c>
      <c r="H49" s="154" t="s">
        <v>236</v>
      </c>
      <c r="I49" s="154" t="s">
        <v>237</v>
      </c>
      <c r="J49" s="154" t="s">
        <v>238</v>
      </c>
      <c r="K49" s="154">
        <v>10027</v>
      </c>
      <c r="L49" s="154" t="s">
        <v>106</v>
      </c>
      <c r="M49" s="154">
        <v>44</v>
      </c>
      <c r="N49" s="154" t="s">
        <v>107</v>
      </c>
      <c r="O49" s="154" t="s">
        <v>255</v>
      </c>
      <c r="P49" s="154" t="s">
        <v>109</v>
      </c>
      <c r="Q49" s="154" t="s">
        <v>110</v>
      </c>
      <c r="R49" s="154" t="s">
        <v>240</v>
      </c>
      <c r="S49" s="154" t="s">
        <v>256</v>
      </c>
      <c r="T49" s="157">
        <v>45978</v>
      </c>
      <c r="U49" s="158" cm="1">
        <f t="array" ref="U49">[15]!CalculateINPC(B49,T49,-1)*F49</f>
        <v>4504.6817717719996</v>
      </c>
      <c r="V49" s="158">
        <f t="shared" si="0"/>
        <v>9142.9466376143155</v>
      </c>
    </row>
    <row r="50" spans="1:22">
      <c r="A50" s="154" t="s">
        <v>257</v>
      </c>
      <c r="B50" s="155">
        <v>45757</v>
      </c>
      <c r="C50" s="155">
        <v>45748</v>
      </c>
      <c r="D50" s="156">
        <v>90474.95</v>
      </c>
      <c r="E50" s="156">
        <v>3945.0700000000152</v>
      </c>
      <c r="F50" s="156">
        <v>3945.0700000000152</v>
      </c>
      <c r="G50" s="154">
        <v>245772</v>
      </c>
      <c r="H50" s="154" t="s">
        <v>258</v>
      </c>
      <c r="I50" s="154" t="s">
        <v>243</v>
      </c>
      <c r="J50" s="154" t="s">
        <v>244</v>
      </c>
      <c r="K50" s="154">
        <v>10027</v>
      </c>
      <c r="L50" s="154" t="s">
        <v>106</v>
      </c>
      <c r="M50" s="154">
        <v>44</v>
      </c>
      <c r="N50" s="154" t="s">
        <v>107</v>
      </c>
      <c r="O50" s="154" t="s">
        <v>259</v>
      </c>
      <c r="P50" s="154" t="s">
        <v>260</v>
      </c>
      <c r="Q50" s="154" t="s">
        <v>261</v>
      </c>
      <c r="R50" s="154" t="s">
        <v>262</v>
      </c>
      <c r="S50" s="154" t="s">
        <v>263</v>
      </c>
      <c r="T50" s="157">
        <v>45978</v>
      </c>
      <c r="U50" s="158" cm="1">
        <f t="array" ref="U50">[15]!CalculateINPC(B50,T50,-1)*F50</f>
        <v>4008.9446678207155</v>
      </c>
      <c r="V50" s="158">
        <f t="shared" si="0"/>
        <v>4634.5041088776325</v>
      </c>
    </row>
    <row r="51" spans="1:22">
      <c r="A51" s="154" t="s">
        <v>102</v>
      </c>
      <c r="B51" s="155">
        <v>45674</v>
      </c>
      <c r="C51" s="155">
        <v>45667</v>
      </c>
      <c r="D51" s="156">
        <v>3889.3</v>
      </c>
      <c r="E51" s="156">
        <v>3889.3</v>
      </c>
      <c r="F51" s="156">
        <v>3889.3</v>
      </c>
      <c r="G51" s="154">
        <v>232898</v>
      </c>
      <c r="H51" s="154" t="s">
        <v>236</v>
      </c>
      <c r="I51" s="154" t="s">
        <v>237</v>
      </c>
      <c r="J51" s="154" t="s">
        <v>238</v>
      </c>
      <c r="K51" s="154">
        <v>10027</v>
      </c>
      <c r="L51" s="154" t="s">
        <v>106</v>
      </c>
      <c r="M51" s="154">
        <v>44</v>
      </c>
      <c r="N51" s="154" t="s">
        <v>107</v>
      </c>
      <c r="O51" s="154" t="s">
        <v>264</v>
      </c>
      <c r="P51" s="154" t="s">
        <v>109</v>
      </c>
      <c r="Q51" s="154" t="s">
        <v>110</v>
      </c>
      <c r="R51" s="154" t="s">
        <v>240</v>
      </c>
      <c r="S51" s="154" t="s">
        <v>265</v>
      </c>
      <c r="T51" s="157">
        <v>45978</v>
      </c>
      <c r="U51" s="158" cm="1">
        <f t="array" ref="U51">[15]!CalculateINPC(B51,T51,-1)*F51</f>
        <v>4031.2211403950005</v>
      </c>
      <c r="V51" s="158">
        <f t="shared" si="0"/>
        <v>4853.8938495077891</v>
      </c>
    </row>
    <row r="52" spans="1:22">
      <c r="A52" s="154" t="s">
        <v>257</v>
      </c>
      <c r="B52" s="155">
        <v>45688</v>
      </c>
      <c r="C52" s="155">
        <v>45658</v>
      </c>
      <c r="D52" s="156">
        <v>5277.52</v>
      </c>
      <c r="E52" s="156">
        <v>3856.9699999999812</v>
      </c>
      <c r="F52" s="156">
        <v>3856.9699999999812</v>
      </c>
      <c r="G52" s="154">
        <v>235492</v>
      </c>
      <c r="H52" s="154" t="s">
        <v>258</v>
      </c>
      <c r="I52" s="154" t="s">
        <v>243</v>
      </c>
      <c r="J52" s="154" t="s">
        <v>244</v>
      </c>
      <c r="K52" s="154">
        <v>10027</v>
      </c>
      <c r="L52" s="154" t="s">
        <v>106</v>
      </c>
      <c r="M52" s="154">
        <v>44</v>
      </c>
      <c r="N52" s="154" t="s">
        <v>107</v>
      </c>
      <c r="O52" s="154" t="s">
        <v>266</v>
      </c>
      <c r="P52" s="154" t="s">
        <v>260</v>
      </c>
      <c r="Q52" s="154" t="s">
        <v>261</v>
      </c>
      <c r="R52" s="154" t="s">
        <v>262</v>
      </c>
      <c r="S52" s="154" t="s">
        <v>267</v>
      </c>
      <c r="T52" s="157">
        <v>45978</v>
      </c>
      <c r="U52" s="158" cm="1">
        <f t="array" ref="U52">[15]!CalculateINPC(B52,T52,-1)*F52</f>
        <v>3997.7114138454808</v>
      </c>
      <c r="V52" s="158">
        <f t="shared" si="0"/>
        <v>4764.6824464175379</v>
      </c>
    </row>
    <row r="53" spans="1:22">
      <c r="A53" s="154" t="s">
        <v>102</v>
      </c>
      <c r="B53" s="155">
        <v>44894</v>
      </c>
      <c r="C53" s="155">
        <v>44890</v>
      </c>
      <c r="D53" s="156">
        <v>3401.7</v>
      </c>
      <c r="E53" s="156">
        <v>3401.7</v>
      </c>
      <c r="F53" s="156">
        <v>3401.7</v>
      </c>
      <c r="G53" s="154">
        <v>162287</v>
      </c>
      <c r="H53" s="154" t="s">
        <v>236</v>
      </c>
      <c r="I53" s="154" t="s">
        <v>167</v>
      </c>
      <c r="J53" s="154" t="s">
        <v>168</v>
      </c>
      <c r="K53" s="154">
        <v>10027</v>
      </c>
      <c r="L53" s="154" t="s">
        <v>106</v>
      </c>
      <c r="M53" s="154">
        <v>44</v>
      </c>
      <c r="N53" s="154" t="s">
        <v>107</v>
      </c>
      <c r="O53" s="154" t="s">
        <v>268</v>
      </c>
      <c r="P53" s="154" t="s">
        <v>109</v>
      </c>
      <c r="Q53" s="154" t="s">
        <v>110</v>
      </c>
      <c r="R53" s="154" t="s">
        <v>173</v>
      </c>
      <c r="S53" s="154" t="s">
        <v>269</v>
      </c>
      <c r="T53" s="157">
        <v>45978</v>
      </c>
      <c r="U53" s="158" cm="1">
        <f t="array" ref="U53">[15]!CalculateINPC(B53,T53,-1)*F53</f>
        <v>3871.9665877860002</v>
      </c>
      <c r="V53" s="158">
        <f t="shared" si="0"/>
        <v>7495.3532252313444</v>
      </c>
    </row>
    <row r="54" spans="1:22">
      <c r="A54" s="154" t="s">
        <v>102</v>
      </c>
      <c r="B54" s="155">
        <v>44809</v>
      </c>
      <c r="C54" s="155">
        <v>44797</v>
      </c>
      <c r="D54" s="156">
        <v>43226</v>
      </c>
      <c r="E54" s="156">
        <v>3352.500000000055</v>
      </c>
      <c r="F54" s="156">
        <v>3352.500000000055</v>
      </c>
      <c r="G54" s="154">
        <v>156775</v>
      </c>
      <c r="H54" s="154" t="s">
        <v>270</v>
      </c>
      <c r="I54" s="154" t="s">
        <v>271</v>
      </c>
      <c r="J54" s="154" t="s">
        <v>272</v>
      </c>
      <c r="K54" s="154">
        <v>10027</v>
      </c>
      <c r="L54" s="154" t="s">
        <v>106</v>
      </c>
      <c r="M54" s="154">
        <v>44</v>
      </c>
      <c r="N54" s="154" t="s">
        <v>107</v>
      </c>
      <c r="O54" s="154" t="s">
        <v>273</v>
      </c>
      <c r="P54" s="154" t="s">
        <v>109</v>
      </c>
      <c r="Q54" s="154" t="s">
        <v>110</v>
      </c>
      <c r="R54" s="154" t="s">
        <v>130</v>
      </c>
      <c r="S54" s="154" t="s">
        <v>274</v>
      </c>
      <c r="T54" s="157">
        <v>45978</v>
      </c>
      <c r="U54" s="158" cm="1">
        <f t="array" ref="U54">[15]!CalculateINPC(B54,T54,-1)*F54</f>
        <v>3821.6326239000628</v>
      </c>
      <c r="V54" s="158">
        <f t="shared" si="0"/>
        <v>7859.0159866801059</v>
      </c>
    </row>
    <row r="55" spans="1:22">
      <c r="A55" s="154" t="s">
        <v>102</v>
      </c>
      <c r="B55" s="155">
        <v>45253</v>
      </c>
      <c r="C55" s="155">
        <v>45252</v>
      </c>
      <c r="D55" s="156">
        <v>3499.98</v>
      </c>
      <c r="E55" s="156">
        <v>3499.98</v>
      </c>
      <c r="F55" s="156">
        <v>3284.73</v>
      </c>
      <c r="G55" s="154">
        <v>185621</v>
      </c>
      <c r="H55" s="154" t="s">
        <v>193</v>
      </c>
      <c r="I55" s="154" t="s">
        <v>154</v>
      </c>
      <c r="J55" s="154" t="s">
        <v>155</v>
      </c>
      <c r="K55" s="154">
        <v>10027</v>
      </c>
      <c r="L55" s="154" t="s">
        <v>106</v>
      </c>
      <c r="M55" s="154">
        <v>44</v>
      </c>
      <c r="N55" s="154" t="s">
        <v>107</v>
      </c>
      <c r="O55" s="154" t="s">
        <v>275</v>
      </c>
      <c r="P55" s="154" t="s">
        <v>109</v>
      </c>
      <c r="Q55" s="154" t="s">
        <v>110</v>
      </c>
      <c r="R55" s="154" t="s">
        <v>130</v>
      </c>
      <c r="S55" s="154" t="s">
        <v>276</v>
      </c>
      <c r="T55" s="157">
        <v>45978</v>
      </c>
      <c r="U55" s="158" cm="1">
        <f t="array" ref="U55">[15]!CalculateINPC(B55,T55,-1)*F55</f>
        <v>3590.1288557109001</v>
      </c>
      <c r="V55" s="158">
        <f t="shared" si="0"/>
        <v>5571.4588620090481</v>
      </c>
    </row>
    <row r="56" spans="1:22">
      <c r="A56" s="154" t="s">
        <v>102</v>
      </c>
      <c r="B56" s="155">
        <v>44894</v>
      </c>
      <c r="C56" s="155">
        <v>44855</v>
      </c>
      <c r="D56" s="156">
        <v>3012.7</v>
      </c>
      <c r="E56" s="156">
        <v>3012.7</v>
      </c>
      <c r="F56" s="156">
        <v>3012.7</v>
      </c>
      <c r="G56" s="154">
        <v>162163</v>
      </c>
      <c r="H56" s="154" t="s">
        <v>236</v>
      </c>
      <c r="I56" s="154" t="s">
        <v>237</v>
      </c>
      <c r="J56" s="154" t="s">
        <v>238</v>
      </c>
      <c r="K56" s="154">
        <v>10027</v>
      </c>
      <c r="L56" s="154" t="s">
        <v>106</v>
      </c>
      <c r="M56" s="154">
        <v>44</v>
      </c>
      <c r="N56" s="154" t="s">
        <v>107</v>
      </c>
      <c r="O56" s="154" t="s">
        <v>277</v>
      </c>
      <c r="P56" s="154" t="s">
        <v>109</v>
      </c>
      <c r="Q56" s="154" t="s">
        <v>110</v>
      </c>
      <c r="R56" s="154" t="s">
        <v>240</v>
      </c>
      <c r="S56" s="154" t="s">
        <v>278</v>
      </c>
      <c r="T56" s="157">
        <v>45978</v>
      </c>
      <c r="U56" s="158" cm="1">
        <f t="array" ref="U56">[15]!CalculateINPC(B56,T56,-1)*F56</f>
        <v>3429.1894461659999</v>
      </c>
      <c r="V56" s="158">
        <f t="shared" si="0"/>
        <v>6638.2251996514897</v>
      </c>
    </row>
    <row r="57" spans="1:22">
      <c r="A57" s="154" t="s">
        <v>102</v>
      </c>
      <c r="B57" s="155">
        <v>44876</v>
      </c>
      <c r="C57" s="155">
        <v>44862</v>
      </c>
      <c r="D57" s="156">
        <v>10762.5</v>
      </c>
      <c r="E57" s="156">
        <v>2999.9999999999659</v>
      </c>
      <c r="F57" s="156">
        <v>2999.9999999999659</v>
      </c>
      <c r="G57" s="154">
        <v>161481</v>
      </c>
      <c r="H57" s="154" t="s">
        <v>225</v>
      </c>
      <c r="I57" s="154" t="s">
        <v>226</v>
      </c>
      <c r="J57" s="154" t="s">
        <v>227</v>
      </c>
      <c r="K57" s="154">
        <v>10027</v>
      </c>
      <c r="L57" s="154" t="s">
        <v>106</v>
      </c>
      <c r="M57" s="154">
        <v>44</v>
      </c>
      <c r="N57" s="154" t="s">
        <v>107</v>
      </c>
      <c r="O57" s="154" t="s">
        <v>279</v>
      </c>
      <c r="P57" s="154" t="s">
        <v>109</v>
      </c>
      <c r="Q57" s="154" t="s">
        <v>110</v>
      </c>
      <c r="R57" s="154" t="s">
        <v>130</v>
      </c>
      <c r="S57" s="154" t="s">
        <v>280</v>
      </c>
      <c r="T57" s="157">
        <v>45978</v>
      </c>
      <c r="U57" s="158" cm="1">
        <f t="array" ref="U57">[15]!CalculateINPC(B57,T57,-1)*F57</f>
        <v>3414.7337399999615</v>
      </c>
      <c r="V57" s="158">
        <f t="shared" si="0"/>
        <v>6697.527669783175</v>
      </c>
    </row>
    <row r="58" spans="1:22">
      <c r="A58" s="154" t="s">
        <v>102</v>
      </c>
      <c r="B58" s="155">
        <v>45742</v>
      </c>
      <c r="C58" s="155">
        <v>45737</v>
      </c>
      <c r="D58" s="156">
        <v>2921.66</v>
      </c>
      <c r="E58" s="156">
        <v>2921.66</v>
      </c>
      <c r="F58" s="156">
        <v>2921.66</v>
      </c>
      <c r="G58" s="154">
        <v>243435</v>
      </c>
      <c r="H58" s="154" t="s">
        <v>281</v>
      </c>
      <c r="I58" s="154" t="s">
        <v>282</v>
      </c>
      <c r="J58" s="154" t="s">
        <v>283</v>
      </c>
      <c r="K58" s="154">
        <v>10027</v>
      </c>
      <c r="L58" s="154" t="s">
        <v>106</v>
      </c>
      <c r="M58" s="154">
        <v>44</v>
      </c>
      <c r="N58" s="154" t="s">
        <v>107</v>
      </c>
      <c r="O58" s="154" t="s">
        <v>284</v>
      </c>
      <c r="P58" s="154" t="s">
        <v>285</v>
      </c>
      <c r="Q58" s="154" t="s">
        <v>286</v>
      </c>
      <c r="R58" s="154" t="s">
        <v>111</v>
      </c>
      <c r="S58" s="154" t="s">
        <v>287</v>
      </c>
      <c r="T58" s="157">
        <v>45978</v>
      </c>
      <c r="U58" s="158" cm="1">
        <f t="array" ref="U58">[15]!CalculateINPC(B58,T58,-1)*F58</f>
        <v>2984.1062168763997</v>
      </c>
      <c r="V58" s="158">
        <f t="shared" si="0"/>
        <v>3469.9712167886296</v>
      </c>
    </row>
    <row r="59" spans="1:22">
      <c r="A59" s="154" t="s">
        <v>257</v>
      </c>
      <c r="B59" s="155">
        <v>45428</v>
      </c>
      <c r="C59" s="155">
        <v>45413</v>
      </c>
      <c r="D59" s="156">
        <v>98159.06</v>
      </c>
      <c r="E59" s="156">
        <v>2817.7399999999111</v>
      </c>
      <c r="F59" s="156">
        <v>2817.7399999999111</v>
      </c>
      <c r="G59" s="154">
        <v>198396</v>
      </c>
      <c r="H59" s="154" t="s">
        <v>258</v>
      </c>
      <c r="I59" s="154" t="s">
        <v>243</v>
      </c>
      <c r="J59" s="154" t="s">
        <v>244</v>
      </c>
      <c r="K59" s="154">
        <v>10027</v>
      </c>
      <c r="L59" s="154" t="s">
        <v>106</v>
      </c>
      <c r="M59" s="154">
        <v>44</v>
      </c>
      <c r="N59" s="154" t="s">
        <v>107</v>
      </c>
      <c r="O59" s="154" t="s">
        <v>288</v>
      </c>
      <c r="P59" s="154" t="s">
        <v>260</v>
      </c>
      <c r="Q59" s="154" t="s">
        <v>261</v>
      </c>
      <c r="R59" s="154" t="s">
        <v>262</v>
      </c>
      <c r="S59" s="154" t="s">
        <v>289</v>
      </c>
      <c r="T59" s="157">
        <v>45978</v>
      </c>
      <c r="U59" s="158" cm="1">
        <f t="array" ref="U59">[15]!CalculateINPC(B59,T59,-1)*F59</f>
        <v>3001.2002618373053</v>
      </c>
      <c r="V59" s="158">
        <f t="shared" si="0"/>
        <v>4207.0825990753419</v>
      </c>
    </row>
    <row r="60" spans="1:22">
      <c r="A60" s="154" t="s">
        <v>102</v>
      </c>
      <c r="B60" s="155">
        <v>45089</v>
      </c>
      <c r="C60" s="155">
        <v>45078</v>
      </c>
      <c r="D60" s="156">
        <v>70402.63</v>
      </c>
      <c r="E60" s="156">
        <v>2798.7400000000098</v>
      </c>
      <c r="F60" s="156">
        <v>2798.7400000000098</v>
      </c>
      <c r="G60" s="154">
        <v>174747</v>
      </c>
      <c r="H60" s="154" t="s">
        <v>258</v>
      </c>
      <c r="I60" s="154" t="s">
        <v>290</v>
      </c>
      <c r="J60" s="154" t="s">
        <v>291</v>
      </c>
      <c r="K60" s="154">
        <v>10027</v>
      </c>
      <c r="L60" s="154" t="s">
        <v>106</v>
      </c>
      <c r="M60" s="154">
        <v>44</v>
      </c>
      <c r="N60" s="154" t="s">
        <v>107</v>
      </c>
      <c r="O60" s="154" t="s">
        <v>292</v>
      </c>
      <c r="P60" s="154" t="s">
        <v>137</v>
      </c>
      <c r="Q60" s="154" t="s">
        <v>138</v>
      </c>
      <c r="R60" s="154" t="s">
        <v>117</v>
      </c>
      <c r="S60" s="154" t="s">
        <v>293</v>
      </c>
      <c r="T60" s="157">
        <v>45978</v>
      </c>
      <c r="U60" s="158" cm="1">
        <f t="array" ref="U60">[15]!CalculateINPC(B60,T60,-1)*F60</f>
        <v>3066.2891326872109</v>
      </c>
      <c r="V60" s="158">
        <f t="shared" si="0"/>
        <v>5349.8220100811541</v>
      </c>
    </row>
    <row r="61" spans="1:22">
      <c r="A61" s="154" t="s">
        <v>102</v>
      </c>
      <c r="B61" s="155">
        <v>45511</v>
      </c>
      <c r="C61" s="155">
        <v>45510</v>
      </c>
      <c r="D61" s="156">
        <v>2680</v>
      </c>
      <c r="E61" s="156">
        <v>2680</v>
      </c>
      <c r="F61" s="156">
        <v>2680</v>
      </c>
      <c r="G61" s="154">
        <v>204435</v>
      </c>
      <c r="H61" s="154" t="s">
        <v>236</v>
      </c>
      <c r="I61" s="154" t="s">
        <v>294</v>
      </c>
      <c r="J61" s="154" t="s">
        <v>295</v>
      </c>
      <c r="K61" s="154">
        <v>10027</v>
      </c>
      <c r="L61" s="154" t="s">
        <v>106</v>
      </c>
      <c r="M61" s="154">
        <v>44</v>
      </c>
      <c r="N61" s="154" t="s">
        <v>107</v>
      </c>
      <c r="O61" s="154" t="s">
        <v>296</v>
      </c>
      <c r="P61" s="154" t="s">
        <v>109</v>
      </c>
      <c r="Q61" s="154" t="s">
        <v>110</v>
      </c>
      <c r="R61" s="154" t="s">
        <v>173</v>
      </c>
      <c r="S61" s="154" t="s">
        <v>297</v>
      </c>
      <c r="T61" s="157">
        <v>45978</v>
      </c>
      <c r="U61" s="158" cm="1">
        <f t="array" ref="U61">[15]!CalculateINPC(B61,T61,-1)*F61</f>
        <v>2826.9821344000002</v>
      </c>
      <c r="V61" s="158">
        <f t="shared" si="0"/>
        <v>3766.5578554789663</v>
      </c>
    </row>
    <row r="62" spans="1:22">
      <c r="A62" s="154" t="s">
        <v>102</v>
      </c>
      <c r="B62" s="155">
        <v>45761</v>
      </c>
      <c r="C62" s="155">
        <v>45751</v>
      </c>
      <c r="D62" s="156">
        <v>9190</v>
      </c>
      <c r="E62" s="156">
        <v>2660.0000000000209</v>
      </c>
      <c r="F62" s="156">
        <v>2660.0000000000209</v>
      </c>
      <c r="G62" s="154">
        <v>246376</v>
      </c>
      <c r="H62" s="154" t="s">
        <v>298</v>
      </c>
      <c r="I62" s="154" t="s">
        <v>232</v>
      </c>
      <c r="J62" s="154" t="s">
        <v>233</v>
      </c>
      <c r="K62" s="154">
        <v>10027</v>
      </c>
      <c r="L62" s="154" t="s">
        <v>106</v>
      </c>
      <c r="M62" s="154">
        <v>44</v>
      </c>
      <c r="N62" s="154" t="s">
        <v>107</v>
      </c>
      <c r="O62" s="154" t="s">
        <v>299</v>
      </c>
      <c r="P62" s="154" t="s">
        <v>109</v>
      </c>
      <c r="Q62" s="154" t="s">
        <v>110</v>
      </c>
      <c r="R62" s="154" t="s">
        <v>130</v>
      </c>
      <c r="S62" s="154" t="s">
        <v>300</v>
      </c>
      <c r="T62" s="157">
        <v>45978</v>
      </c>
      <c r="U62" s="158" cm="1">
        <f t="array" ref="U62">[15]!CalculateINPC(B62,T62,-1)*F62</f>
        <v>2703.0680866000212</v>
      </c>
      <c r="V62" s="158">
        <f t="shared" si="0"/>
        <v>3115.7611462207396</v>
      </c>
    </row>
    <row r="63" spans="1:22">
      <c r="A63" s="154" t="s">
        <v>257</v>
      </c>
      <c r="B63" s="155">
        <v>45531</v>
      </c>
      <c r="C63" s="155">
        <v>45505</v>
      </c>
      <c r="D63" s="156">
        <v>53768.72</v>
      </c>
      <c r="E63" s="156">
        <v>2542.469999999767</v>
      </c>
      <c r="F63" s="156">
        <v>2542.469999999767</v>
      </c>
      <c r="G63" s="154">
        <v>205812</v>
      </c>
      <c r="H63" s="154" t="s">
        <v>258</v>
      </c>
      <c r="I63" s="154" t="s">
        <v>290</v>
      </c>
      <c r="J63" s="154" t="s">
        <v>291</v>
      </c>
      <c r="K63" s="154">
        <v>10027</v>
      </c>
      <c r="L63" s="154" t="s">
        <v>106</v>
      </c>
      <c r="M63" s="154">
        <v>44</v>
      </c>
      <c r="N63" s="154" t="s">
        <v>107</v>
      </c>
      <c r="O63" s="154" t="s">
        <v>301</v>
      </c>
      <c r="P63" s="154" t="s">
        <v>260</v>
      </c>
      <c r="Q63" s="154" t="s">
        <v>261</v>
      </c>
      <c r="R63" s="154" t="s">
        <v>262</v>
      </c>
      <c r="S63" s="154" t="s">
        <v>302</v>
      </c>
      <c r="T63" s="157">
        <v>45978</v>
      </c>
      <c r="U63" s="158" cm="1">
        <f t="array" ref="U63">[15]!CalculateINPC(B63,T63,-1)*F63</f>
        <v>2681.9094280773543</v>
      </c>
      <c r="V63" s="158">
        <f t="shared" si="0"/>
        <v>3521.5633029519563</v>
      </c>
    </row>
    <row r="64" spans="1:22">
      <c r="A64" s="154" t="s">
        <v>102</v>
      </c>
      <c r="B64" s="155">
        <v>45225</v>
      </c>
      <c r="C64" s="155">
        <v>45197</v>
      </c>
      <c r="D64" s="156">
        <v>15505</v>
      </c>
      <c r="E64" s="156">
        <v>2680.0000000000082</v>
      </c>
      <c r="F64" s="156">
        <v>2515.179567881336</v>
      </c>
      <c r="G64" s="154">
        <v>184489</v>
      </c>
      <c r="H64" s="154" t="s">
        <v>242</v>
      </c>
      <c r="I64" s="154" t="s">
        <v>189</v>
      </c>
      <c r="J64" s="154" t="s">
        <v>190</v>
      </c>
      <c r="K64" s="154">
        <v>10027</v>
      </c>
      <c r="L64" s="154" t="s">
        <v>106</v>
      </c>
      <c r="M64" s="154">
        <v>44</v>
      </c>
      <c r="N64" s="154" t="s">
        <v>107</v>
      </c>
      <c r="O64" s="154" t="s">
        <v>303</v>
      </c>
      <c r="P64" s="154" t="s">
        <v>109</v>
      </c>
      <c r="Q64" s="154" t="s">
        <v>110</v>
      </c>
      <c r="R64" s="154" t="s">
        <v>130</v>
      </c>
      <c r="S64" s="154" t="s">
        <v>304</v>
      </c>
      <c r="T64" s="157">
        <v>45978</v>
      </c>
      <c r="U64" s="158" cm="1">
        <f t="array" ref="U64">[15]!CalculateINPC(B64,T64,-1)*F64</f>
        <v>2752.3273228781318</v>
      </c>
      <c r="V64" s="158">
        <f t="shared" si="0"/>
        <v>4354.1211450376586</v>
      </c>
    </row>
    <row r="65" spans="1:22">
      <c r="A65" s="154" t="s">
        <v>102</v>
      </c>
      <c r="B65" s="155">
        <v>45530</v>
      </c>
      <c r="C65" s="155">
        <v>45453</v>
      </c>
      <c r="D65" s="156">
        <v>2513.88</v>
      </c>
      <c r="E65" s="156">
        <v>2513.88</v>
      </c>
      <c r="F65" s="156">
        <v>2513.88</v>
      </c>
      <c r="G65" s="154">
        <v>205712</v>
      </c>
      <c r="H65" s="154" t="s">
        <v>236</v>
      </c>
      <c r="I65" s="154" t="s">
        <v>237</v>
      </c>
      <c r="J65" s="154" t="s">
        <v>238</v>
      </c>
      <c r="K65" s="154">
        <v>10027</v>
      </c>
      <c r="L65" s="154" t="s">
        <v>106</v>
      </c>
      <c r="M65" s="154">
        <v>44</v>
      </c>
      <c r="N65" s="154" t="s">
        <v>107</v>
      </c>
      <c r="O65" s="154" t="s">
        <v>305</v>
      </c>
      <c r="P65" s="154" t="s">
        <v>109</v>
      </c>
      <c r="Q65" s="154" t="s">
        <v>110</v>
      </c>
      <c r="R65" s="154" t="s">
        <v>240</v>
      </c>
      <c r="S65" s="154" t="s">
        <v>306</v>
      </c>
      <c r="T65" s="157">
        <v>45978</v>
      </c>
      <c r="U65" s="158" cm="1">
        <f t="array" ref="U65">[15]!CalculateINPC(B65,T65,-1)*F65</f>
        <v>2651.7514358304002</v>
      </c>
      <c r="V65" s="158">
        <f t="shared" si="0"/>
        <v>3484.5019714358882</v>
      </c>
    </row>
    <row r="66" spans="1:22">
      <c r="A66" s="154" t="s">
        <v>102</v>
      </c>
      <c r="B66" s="155">
        <v>45082</v>
      </c>
      <c r="C66" s="155">
        <v>45069</v>
      </c>
      <c r="D66" s="156">
        <v>3210</v>
      </c>
      <c r="E66" s="156">
        <v>2400.0000000000032</v>
      </c>
      <c r="F66" s="156">
        <v>2400.0000000000032</v>
      </c>
      <c r="G66" s="154">
        <v>174696</v>
      </c>
      <c r="H66" s="154" t="s">
        <v>307</v>
      </c>
      <c r="I66" s="154" t="s">
        <v>232</v>
      </c>
      <c r="J66" s="154" t="s">
        <v>233</v>
      </c>
      <c r="K66" s="154">
        <v>10027</v>
      </c>
      <c r="L66" s="154" t="s">
        <v>106</v>
      </c>
      <c r="M66" s="154">
        <v>44</v>
      </c>
      <c r="N66" s="154" t="s">
        <v>107</v>
      </c>
      <c r="O66" s="154" t="s">
        <v>308</v>
      </c>
      <c r="P66" s="154" t="s">
        <v>109</v>
      </c>
      <c r="Q66" s="154" t="s">
        <v>110</v>
      </c>
      <c r="R66" s="154" t="s">
        <v>130</v>
      </c>
      <c r="S66" s="154" t="s">
        <v>309</v>
      </c>
      <c r="T66" s="157">
        <v>45978</v>
      </c>
      <c r="U66" s="158" cm="1">
        <f t="array" ref="U66">[15]!CalculateINPC(B66,T66,-1)*F66</f>
        <v>2629.4310720000035</v>
      </c>
      <c r="V66" s="158">
        <f t="shared" si="0"/>
        <v>4611.0898545286254</v>
      </c>
    </row>
    <row r="67" spans="1:22">
      <c r="A67" s="154" t="s">
        <v>102</v>
      </c>
      <c r="B67" s="155">
        <v>44778</v>
      </c>
      <c r="C67" s="155">
        <v>44750</v>
      </c>
      <c r="D67" s="156">
        <v>37170</v>
      </c>
      <c r="E67" s="156">
        <v>2327.2800000000202</v>
      </c>
      <c r="F67" s="156">
        <v>2327.2800000000202</v>
      </c>
      <c r="G67" s="154">
        <v>155649</v>
      </c>
      <c r="H67" s="154" t="s">
        <v>310</v>
      </c>
      <c r="I67" s="154" t="s">
        <v>271</v>
      </c>
      <c r="J67" s="154" t="s">
        <v>272</v>
      </c>
      <c r="K67" s="154">
        <v>10027</v>
      </c>
      <c r="L67" s="154" t="s">
        <v>106</v>
      </c>
      <c r="M67" s="154">
        <v>44</v>
      </c>
      <c r="N67" s="154" t="s">
        <v>107</v>
      </c>
      <c r="O67" s="154" t="s">
        <v>311</v>
      </c>
      <c r="P67" s="154" t="s">
        <v>109</v>
      </c>
      <c r="Q67" s="154" t="s">
        <v>110</v>
      </c>
      <c r="R67" s="154" t="s">
        <v>130</v>
      </c>
      <c r="S67" s="154" t="s">
        <v>312</v>
      </c>
      <c r="T67" s="157">
        <v>45978</v>
      </c>
      <c r="U67" s="158" cm="1">
        <f t="array" ref="U67">[15]!CalculateINPC(B67,T67,-1)*F67</f>
        <v>2644.7248552848228</v>
      </c>
      <c r="V67" s="158">
        <f t="shared" ref="V67:V130" si="1">F67*1.3^((T67-B67)/360)</f>
        <v>5580.3290930723688</v>
      </c>
    </row>
    <row r="68" spans="1:22">
      <c r="A68" s="154" t="s">
        <v>102</v>
      </c>
      <c r="B68" s="155">
        <v>43812</v>
      </c>
      <c r="C68" s="155">
        <v>43800</v>
      </c>
      <c r="D68" s="156">
        <v>52596.11</v>
      </c>
      <c r="E68" s="156">
        <v>52596.11</v>
      </c>
      <c r="F68" s="156">
        <v>52596.11</v>
      </c>
      <c r="G68" s="154">
        <v>82727</v>
      </c>
      <c r="H68" s="154" t="s">
        <v>200</v>
      </c>
      <c r="I68" s="154" t="s">
        <v>119</v>
      </c>
      <c r="J68" s="154" t="s">
        <v>120</v>
      </c>
      <c r="K68" s="154">
        <v>10027</v>
      </c>
      <c r="L68" s="154" t="s">
        <v>106</v>
      </c>
      <c r="M68" s="154">
        <v>44</v>
      </c>
      <c r="N68" s="154" t="s">
        <v>107</v>
      </c>
      <c r="O68" s="154" t="s">
        <v>313</v>
      </c>
      <c r="P68" s="154" t="s">
        <v>137</v>
      </c>
      <c r="Q68" s="154" t="s">
        <v>138</v>
      </c>
      <c r="R68" s="154" t="s">
        <v>111</v>
      </c>
      <c r="S68" s="154" t="s">
        <v>314</v>
      </c>
      <c r="T68" s="157">
        <v>45978</v>
      </c>
      <c r="U68" s="158" cm="1">
        <f t="array" ref="U68">[15]!CalculateINPC(B68,T68,-1)*F68</f>
        <v>73775.418479685308</v>
      </c>
      <c r="V68" s="158">
        <f t="shared" si="1"/>
        <v>254983.92072306987</v>
      </c>
    </row>
    <row r="69" spans="1:22">
      <c r="A69" s="154" t="s">
        <v>102</v>
      </c>
      <c r="B69" s="155">
        <v>43699</v>
      </c>
      <c r="C69" s="155">
        <v>43697</v>
      </c>
      <c r="D69" s="156">
        <v>2289.41</v>
      </c>
      <c r="E69" s="156">
        <v>1926.0999999999949</v>
      </c>
      <c r="F69" s="156">
        <v>1926.0999999999949</v>
      </c>
      <c r="G69" s="154">
        <v>77560</v>
      </c>
      <c r="H69" s="154" t="s">
        <v>315</v>
      </c>
      <c r="I69" s="154" t="s">
        <v>316</v>
      </c>
      <c r="J69" s="154" t="s">
        <v>317</v>
      </c>
      <c r="K69" s="154">
        <v>10027</v>
      </c>
      <c r="L69" s="154" t="s">
        <v>106</v>
      </c>
      <c r="M69" s="154">
        <v>44</v>
      </c>
      <c r="N69" s="154" t="s">
        <v>107</v>
      </c>
      <c r="O69" s="154" t="s">
        <v>318</v>
      </c>
      <c r="P69" s="154" t="s">
        <v>109</v>
      </c>
      <c r="Q69" s="154" t="s">
        <v>110</v>
      </c>
      <c r="R69" s="154" t="s">
        <v>240</v>
      </c>
      <c r="S69" s="154" t="s">
        <v>319</v>
      </c>
      <c r="T69" s="157">
        <v>45978</v>
      </c>
      <c r="U69" s="158" cm="1">
        <f t="array" ref="U69">[15]!CalculateINPC(B69,T69,-1)*F69</f>
        <v>2719.2743361299931</v>
      </c>
      <c r="V69" s="158">
        <f t="shared" si="1"/>
        <v>10139.196811474001</v>
      </c>
    </row>
    <row r="70" spans="1:22">
      <c r="A70" s="154" t="s">
        <v>102</v>
      </c>
      <c r="B70" s="155">
        <v>45054</v>
      </c>
      <c r="C70" s="155">
        <v>45048</v>
      </c>
      <c r="D70" s="156">
        <v>77775</v>
      </c>
      <c r="E70" s="156">
        <v>1874.999999999952</v>
      </c>
      <c r="F70" s="156">
        <v>1759.6875602699649</v>
      </c>
      <c r="G70" s="154">
        <v>173122</v>
      </c>
      <c r="H70" s="154" t="s">
        <v>212</v>
      </c>
      <c r="I70" s="154" t="s">
        <v>154</v>
      </c>
      <c r="J70" s="154" t="s">
        <v>155</v>
      </c>
      <c r="K70" s="154">
        <v>10027</v>
      </c>
      <c r="L70" s="154" t="s">
        <v>106</v>
      </c>
      <c r="M70" s="154">
        <v>44</v>
      </c>
      <c r="N70" s="154" t="s">
        <v>107</v>
      </c>
      <c r="O70" s="154" t="s">
        <v>320</v>
      </c>
      <c r="P70" s="154" t="s">
        <v>109</v>
      </c>
      <c r="Q70" s="154" t="s">
        <v>110</v>
      </c>
      <c r="R70" s="154" t="s">
        <v>130</v>
      </c>
      <c r="S70" s="154" t="s">
        <v>321</v>
      </c>
      <c r="T70" s="157">
        <v>45978</v>
      </c>
      <c r="U70" s="158" cm="1">
        <f t="array" ref="U70">[15]!CalculateINPC(B70,T70,-1)*F70</f>
        <v>1934.8485317224195</v>
      </c>
      <c r="V70" s="158">
        <f t="shared" si="1"/>
        <v>3450.5646449359492</v>
      </c>
    </row>
    <row r="71" spans="1:22">
      <c r="A71" s="154" t="s">
        <v>102</v>
      </c>
      <c r="B71" s="155">
        <v>44895</v>
      </c>
      <c r="C71" s="155">
        <v>44894</v>
      </c>
      <c r="D71" s="156">
        <v>19018.57</v>
      </c>
      <c r="E71" s="156">
        <v>19018.57</v>
      </c>
      <c r="F71" s="156">
        <v>19018.57</v>
      </c>
      <c r="G71" s="154">
        <v>162410</v>
      </c>
      <c r="H71" s="154" t="s">
        <v>200</v>
      </c>
      <c r="I71" s="154" t="s">
        <v>119</v>
      </c>
      <c r="J71" s="154" t="s">
        <v>120</v>
      </c>
      <c r="K71" s="154">
        <v>10027</v>
      </c>
      <c r="L71" s="154" t="s">
        <v>106</v>
      </c>
      <c r="M71" s="154">
        <v>44</v>
      </c>
      <c r="N71" s="154" t="s">
        <v>107</v>
      </c>
      <c r="O71" s="154" t="s">
        <v>322</v>
      </c>
      <c r="P71" s="154" t="s">
        <v>109</v>
      </c>
      <c r="Q71" s="154" t="s">
        <v>110</v>
      </c>
      <c r="R71" s="154" t="s">
        <v>117</v>
      </c>
      <c r="S71" s="154" t="s">
        <v>323</v>
      </c>
      <c r="T71" s="157">
        <v>45978</v>
      </c>
      <c r="U71" s="158" cm="1">
        <f t="array" ref="U71">[15]!CalculateINPC(B71,T71,-1)*F71</f>
        <v>21647.784221850601</v>
      </c>
      <c r="V71" s="158">
        <f t="shared" si="1"/>
        <v>41875.253026338352</v>
      </c>
    </row>
    <row r="72" spans="1:22">
      <c r="A72" s="154" t="s">
        <v>102</v>
      </c>
      <c r="B72" s="155">
        <v>44130</v>
      </c>
      <c r="C72" s="155">
        <v>44008</v>
      </c>
      <c r="D72" s="156">
        <v>1686.51</v>
      </c>
      <c r="E72" s="156">
        <v>1686.51</v>
      </c>
      <c r="F72" s="156">
        <v>1686.51</v>
      </c>
      <c r="G72" s="154">
        <v>96885</v>
      </c>
      <c r="H72" s="154" t="s">
        <v>236</v>
      </c>
      <c r="I72" s="154" t="s">
        <v>237</v>
      </c>
      <c r="J72" s="154" t="s">
        <v>238</v>
      </c>
      <c r="K72" s="154">
        <v>10027</v>
      </c>
      <c r="L72" s="154" t="s">
        <v>106</v>
      </c>
      <c r="M72" s="154">
        <v>44</v>
      </c>
      <c r="N72" s="154" t="s">
        <v>107</v>
      </c>
      <c r="O72" s="154" t="s">
        <v>324</v>
      </c>
      <c r="P72" s="154" t="s">
        <v>109</v>
      </c>
      <c r="Q72" s="154" t="s">
        <v>110</v>
      </c>
      <c r="R72" s="154" t="s">
        <v>240</v>
      </c>
      <c r="S72" s="154" t="s">
        <v>325</v>
      </c>
      <c r="T72" s="157">
        <v>45978</v>
      </c>
      <c r="U72" s="158" cm="1">
        <f t="array" ref="U72">[15]!CalculateINPC(B72,T72,-1)*F72</f>
        <v>2290.3047308232003</v>
      </c>
      <c r="V72" s="158">
        <f t="shared" si="1"/>
        <v>6484.8230361010355</v>
      </c>
    </row>
    <row r="73" spans="1:22">
      <c r="A73" s="154" t="s">
        <v>102</v>
      </c>
      <c r="B73" s="155">
        <v>44757</v>
      </c>
      <c r="C73" s="155">
        <v>44748</v>
      </c>
      <c r="D73" s="156">
        <v>30000</v>
      </c>
      <c r="E73" s="156">
        <v>1740</v>
      </c>
      <c r="F73" s="156">
        <v>1653</v>
      </c>
      <c r="G73" s="154">
        <v>153443</v>
      </c>
      <c r="H73" s="154" t="s">
        <v>326</v>
      </c>
      <c r="I73" s="154" t="s">
        <v>154</v>
      </c>
      <c r="J73" s="154" t="s">
        <v>155</v>
      </c>
      <c r="K73" s="154">
        <v>10027</v>
      </c>
      <c r="L73" s="154" t="s">
        <v>106</v>
      </c>
      <c r="M73" s="154">
        <v>44</v>
      </c>
      <c r="N73" s="154" t="s">
        <v>107</v>
      </c>
      <c r="O73" s="154" t="s">
        <v>327</v>
      </c>
      <c r="P73" s="154" t="s">
        <v>109</v>
      </c>
      <c r="Q73" s="154" t="s">
        <v>110</v>
      </c>
      <c r="R73" s="154" t="s">
        <v>130</v>
      </c>
      <c r="S73" s="154" t="s">
        <v>328</v>
      </c>
      <c r="T73" s="157">
        <v>45978</v>
      </c>
      <c r="U73" s="158" cm="1">
        <f t="array" ref="U73">[15]!CalculateINPC(B73,T73,-1)*F73</f>
        <v>1867.1997567899998</v>
      </c>
      <c r="V73" s="158">
        <f t="shared" si="1"/>
        <v>4024.6741422974287</v>
      </c>
    </row>
    <row r="74" spans="1:22">
      <c r="A74" s="154" t="s">
        <v>102</v>
      </c>
      <c r="B74" s="155">
        <v>44783</v>
      </c>
      <c r="C74" s="155">
        <v>44774</v>
      </c>
      <c r="D74" s="156">
        <v>31440.05</v>
      </c>
      <c r="E74" s="156">
        <v>1604.680000000056</v>
      </c>
      <c r="F74" s="156">
        <v>1604.680000000056</v>
      </c>
      <c r="G74" s="154">
        <v>155674</v>
      </c>
      <c r="H74" s="154" t="s">
        <v>258</v>
      </c>
      <c r="I74" s="154" t="s">
        <v>290</v>
      </c>
      <c r="J74" s="154" t="s">
        <v>291</v>
      </c>
      <c r="K74" s="154">
        <v>10027</v>
      </c>
      <c r="L74" s="154" t="s">
        <v>106</v>
      </c>
      <c r="M74" s="154">
        <v>44</v>
      </c>
      <c r="N74" s="154" t="s">
        <v>107</v>
      </c>
      <c r="O74" s="154" t="s">
        <v>329</v>
      </c>
      <c r="P74" s="154" t="s">
        <v>109</v>
      </c>
      <c r="Q74" s="154" t="s">
        <v>110</v>
      </c>
      <c r="R74" s="154" t="s">
        <v>117</v>
      </c>
      <c r="S74" s="154" t="s">
        <v>330</v>
      </c>
      <c r="T74" s="157">
        <v>45978</v>
      </c>
      <c r="U74" s="158" cm="1">
        <f t="array" ref="U74">[15]!CalculateINPC(B74,T74,-1)*F74</f>
        <v>1823.5610157688636</v>
      </c>
      <c r="V74" s="158">
        <f t="shared" si="1"/>
        <v>3833.6906671120887</v>
      </c>
    </row>
    <row r="75" spans="1:22">
      <c r="A75" s="154" t="s">
        <v>102</v>
      </c>
      <c r="B75" s="155">
        <v>45734</v>
      </c>
      <c r="C75" s="155">
        <v>45717</v>
      </c>
      <c r="D75" s="156">
        <v>1506.68</v>
      </c>
      <c r="E75" s="156">
        <v>1355.9999999999959</v>
      </c>
      <c r="F75" s="156">
        <v>1355.9999999999959</v>
      </c>
      <c r="G75" s="154">
        <v>242131</v>
      </c>
      <c r="H75" s="154" t="s">
        <v>331</v>
      </c>
      <c r="I75" s="154" t="s">
        <v>316</v>
      </c>
      <c r="J75" s="154" t="s">
        <v>317</v>
      </c>
      <c r="K75" s="154">
        <v>10027</v>
      </c>
      <c r="L75" s="154" t="s">
        <v>106</v>
      </c>
      <c r="M75" s="154">
        <v>44</v>
      </c>
      <c r="N75" s="154" t="s">
        <v>107</v>
      </c>
      <c r="O75" s="154" t="s">
        <v>332</v>
      </c>
      <c r="P75" s="154" t="s">
        <v>109</v>
      </c>
      <c r="Q75" s="154" t="s">
        <v>110</v>
      </c>
      <c r="R75" s="154" t="s">
        <v>333</v>
      </c>
      <c r="S75" s="154" t="s">
        <v>334</v>
      </c>
      <c r="T75" s="157">
        <v>45978</v>
      </c>
      <c r="U75" s="158" cm="1">
        <f t="array" ref="U75">[15]!CalculateINPC(B75,T75,-1)*F75</f>
        <v>1384.9825202399957</v>
      </c>
      <c r="V75" s="158">
        <f t="shared" si="1"/>
        <v>1619.8990907719672</v>
      </c>
    </row>
    <row r="76" spans="1:22">
      <c r="A76" s="154" t="s">
        <v>102</v>
      </c>
      <c r="B76" s="155">
        <v>44743</v>
      </c>
      <c r="C76" s="155">
        <v>44743</v>
      </c>
      <c r="D76" s="156">
        <v>1297.47</v>
      </c>
      <c r="E76" s="156">
        <v>1297.47</v>
      </c>
      <c r="F76" s="156">
        <v>1297.47</v>
      </c>
      <c r="G76" s="154">
        <v>152297</v>
      </c>
      <c r="H76" s="154" t="s">
        <v>335</v>
      </c>
      <c r="I76" s="154" t="s">
        <v>282</v>
      </c>
      <c r="J76" s="154" t="s">
        <v>283</v>
      </c>
      <c r="K76" s="154">
        <v>10027</v>
      </c>
      <c r="L76" s="154" t="s">
        <v>106</v>
      </c>
      <c r="M76" s="154">
        <v>44</v>
      </c>
      <c r="N76" s="154" t="s">
        <v>107</v>
      </c>
      <c r="O76" s="154" t="s">
        <v>336</v>
      </c>
      <c r="P76" s="154" t="s">
        <v>109</v>
      </c>
      <c r="Q76" s="154" t="s">
        <v>110</v>
      </c>
      <c r="R76" s="154" t="s">
        <v>111</v>
      </c>
      <c r="S76" s="154" t="s">
        <v>337</v>
      </c>
      <c r="T76" s="157">
        <v>45978</v>
      </c>
      <c r="U76" s="158" cm="1">
        <f t="array" ref="U76">[15]!CalculateINPC(B76,T76,-1)*F76</f>
        <v>1465.5993154521</v>
      </c>
      <c r="V76" s="158">
        <f t="shared" si="1"/>
        <v>3191.4373633980335</v>
      </c>
    </row>
    <row r="77" spans="1:22">
      <c r="A77" s="154" t="s">
        <v>102</v>
      </c>
      <c r="B77" s="155">
        <v>45553</v>
      </c>
      <c r="C77" s="155">
        <v>45540</v>
      </c>
      <c r="D77" s="156">
        <v>4640</v>
      </c>
      <c r="E77" s="156">
        <v>1259.999999999995</v>
      </c>
      <c r="F77" s="156">
        <v>1259.999999999995</v>
      </c>
      <c r="G77" s="154">
        <v>216732</v>
      </c>
      <c r="H77" s="154" t="s">
        <v>338</v>
      </c>
      <c r="I77" s="154" t="s">
        <v>189</v>
      </c>
      <c r="J77" s="154" t="s">
        <v>190</v>
      </c>
      <c r="K77" s="154">
        <v>10027</v>
      </c>
      <c r="L77" s="154" t="s">
        <v>106</v>
      </c>
      <c r="M77" s="154">
        <v>44</v>
      </c>
      <c r="N77" s="154" t="s">
        <v>107</v>
      </c>
      <c r="O77" s="154" t="s">
        <v>339</v>
      </c>
      <c r="P77" s="154" t="s">
        <v>109</v>
      </c>
      <c r="Q77" s="154" t="s">
        <v>110</v>
      </c>
      <c r="R77" s="154" t="s">
        <v>130</v>
      </c>
      <c r="S77" s="154" t="s">
        <v>340</v>
      </c>
      <c r="T77" s="157">
        <v>45978</v>
      </c>
      <c r="U77" s="158" cm="1">
        <f t="array" ref="U77">[15]!CalculateINPC(B77,T77,-1)*F77</f>
        <v>1330.9662617999948</v>
      </c>
      <c r="V77" s="158">
        <f t="shared" si="1"/>
        <v>1717.461469771602</v>
      </c>
    </row>
    <row r="78" spans="1:22">
      <c r="A78" s="154" t="s">
        <v>102</v>
      </c>
      <c r="B78" s="155">
        <v>44768</v>
      </c>
      <c r="C78" s="155">
        <v>44762</v>
      </c>
      <c r="D78" s="156">
        <v>3007.36</v>
      </c>
      <c r="E78" s="156">
        <v>1242.8199999999961</v>
      </c>
      <c r="F78" s="156">
        <v>1242.8199999999961</v>
      </c>
      <c r="G78" s="154">
        <v>154803</v>
      </c>
      <c r="H78" s="154" t="s">
        <v>341</v>
      </c>
      <c r="I78" s="154" t="s">
        <v>342</v>
      </c>
      <c r="J78" s="154" t="s">
        <v>343</v>
      </c>
      <c r="K78" s="154">
        <v>10027</v>
      </c>
      <c r="L78" s="154" t="s">
        <v>106</v>
      </c>
      <c r="M78" s="154">
        <v>44</v>
      </c>
      <c r="N78" s="154" t="s">
        <v>107</v>
      </c>
      <c r="O78" s="154" t="s">
        <v>344</v>
      </c>
      <c r="P78" s="154" t="s">
        <v>137</v>
      </c>
      <c r="Q78" s="154" t="s">
        <v>138</v>
      </c>
      <c r="R78" s="154" t="s">
        <v>333</v>
      </c>
      <c r="S78" s="154" t="s">
        <v>345</v>
      </c>
      <c r="T78" s="157">
        <v>45978</v>
      </c>
      <c r="U78" s="158" cm="1">
        <f t="array" ref="U78">[15]!CalculateINPC(B78,T78,-1)*F78</f>
        <v>1403.8676356525955</v>
      </c>
      <c r="V78" s="158">
        <f t="shared" si="1"/>
        <v>3001.8189919122092</v>
      </c>
    </row>
    <row r="79" spans="1:22">
      <c r="A79" s="154" t="s">
        <v>102</v>
      </c>
      <c r="B79" s="155">
        <v>45054</v>
      </c>
      <c r="C79" s="155">
        <v>45049</v>
      </c>
      <c r="D79" s="156">
        <v>3920</v>
      </c>
      <c r="E79" s="156">
        <v>1210.0000000000191</v>
      </c>
      <c r="F79" s="156">
        <v>1210.0000000000191</v>
      </c>
      <c r="G79" s="154">
        <v>173126</v>
      </c>
      <c r="H79" s="154" t="s">
        <v>346</v>
      </c>
      <c r="I79" s="154" t="s">
        <v>154</v>
      </c>
      <c r="J79" s="154" t="s">
        <v>155</v>
      </c>
      <c r="K79" s="154">
        <v>10027</v>
      </c>
      <c r="L79" s="154" t="s">
        <v>106</v>
      </c>
      <c r="M79" s="154">
        <v>44</v>
      </c>
      <c r="N79" s="154" t="s">
        <v>107</v>
      </c>
      <c r="O79" s="154" t="s">
        <v>347</v>
      </c>
      <c r="P79" s="154" t="s">
        <v>109</v>
      </c>
      <c r="Q79" s="154" t="s">
        <v>110</v>
      </c>
      <c r="R79" s="154" t="s">
        <v>130</v>
      </c>
      <c r="S79" s="154" t="s">
        <v>348</v>
      </c>
      <c r="T79" s="157">
        <v>45978</v>
      </c>
      <c r="U79" s="158" cm="1">
        <f t="array" ref="U79">[15]!CalculateINPC(B79,T79,-1)*F79</f>
        <v>1330.4445495000209</v>
      </c>
      <c r="V79" s="158">
        <f t="shared" si="1"/>
        <v>2372.6843984349262</v>
      </c>
    </row>
    <row r="80" spans="1:22">
      <c r="A80" s="154" t="s">
        <v>102</v>
      </c>
      <c r="B80" s="155">
        <v>45399</v>
      </c>
      <c r="C80" s="155">
        <v>45386</v>
      </c>
      <c r="D80" s="156">
        <v>1740</v>
      </c>
      <c r="E80" s="156">
        <v>1199.999999999995</v>
      </c>
      <c r="F80" s="156">
        <v>1199.999999999995</v>
      </c>
      <c r="G80" s="154">
        <v>195803</v>
      </c>
      <c r="H80" s="154" t="s">
        <v>338</v>
      </c>
      <c r="I80" s="154" t="s">
        <v>232</v>
      </c>
      <c r="J80" s="154" t="s">
        <v>233</v>
      </c>
      <c r="K80" s="154">
        <v>10027</v>
      </c>
      <c r="L80" s="154" t="s">
        <v>106</v>
      </c>
      <c r="M80" s="154">
        <v>44</v>
      </c>
      <c r="N80" s="154" t="s">
        <v>107</v>
      </c>
      <c r="O80" s="154" t="s">
        <v>349</v>
      </c>
      <c r="P80" s="154" t="s">
        <v>109</v>
      </c>
      <c r="Q80" s="154" t="s">
        <v>110</v>
      </c>
      <c r="R80" s="154" t="s">
        <v>130</v>
      </c>
      <c r="S80" s="154" t="s">
        <v>350</v>
      </c>
      <c r="T80" s="157">
        <v>45978</v>
      </c>
      <c r="U80" s="158" cm="1">
        <f t="array" ref="U80">[15]!CalculateINPC(B80,T80,-1)*F80</f>
        <v>1282.8601919999946</v>
      </c>
      <c r="V80" s="158">
        <f t="shared" si="1"/>
        <v>1829.9538515671684</v>
      </c>
    </row>
    <row r="81" spans="1:22">
      <c r="A81" s="154" t="s">
        <v>102</v>
      </c>
      <c r="B81" s="155">
        <v>44757</v>
      </c>
      <c r="C81" s="155">
        <v>44750</v>
      </c>
      <c r="D81" s="156">
        <v>5000</v>
      </c>
      <c r="E81" s="156">
        <v>1170</v>
      </c>
      <c r="F81" s="156">
        <v>1170</v>
      </c>
      <c r="G81" s="154">
        <v>153559</v>
      </c>
      <c r="H81" s="154" t="s">
        <v>351</v>
      </c>
      <c r="I81" s="154" t="s">
        <v>154</v>
      </c>
      <c r="J81" s="154" t="s">
        <v>155</v>
      </c>
      <c r="K81" s="154">
        <v>10027</v>
      </c>
      <c r="L81" s="154" t="s">
        <v>106</v>
      </c>
      <c r="M81" s="154">
        <v>44</v>
      </c>
      <c r="N81" s="154" t="s">
        <v>107</v>
      </c>
      <c r="O81" s="154" t="s">
        <v>352</v>
      </c>
      <c r="P81" s="154" t="s">
        <v>109</v>
      </c>
      <c r="Q81" s="154" t="s">
        <v>110</v>
      </c>
      <c r="R81" s="154" t="s">
        <v>130</v>
      </c>
      <c r="S81" s="154" t="s">
        <v>353</v>
      </c>
      <c r="T81" s="157">
        <v>45978</v>
      </c>
      <c r="U81" s="158" cm="1">
        <f t="array" ref="U81">[15]!CalculateINPC(B81,T81,-1)*F81</f>
        <v>1321.6114430999999</v>
      </c>
      <c r="V81" s="158">
        <f t="shared" si="1"/>
        <v>2848.680427397454</v>
      </c>
    </row>
    <row r="82" spans="1:22">
      <c r="A82" s="154" t="s">
        <v>102</v>
      </c>
      <c r="B82" s="155">
        <v>45090</v>
      </c>
      <c r="C82" s="155">
        <v>45078</v>
      </c>
      <c r="D82" s="156">
        <v>38150</v>
      </c>
      <c r="E82" s="156">
        <v>1199.9999999999341</v>
      </c>
      <c r="F82" s="156">
        <v>1126.1998427260191</v>
      </c>
      <c r="G82" s="154">
        <v>175018</v>
      </c>
      <c r="H82" s="154" t="s">
        <v>212</v>
      </c>
      <c r="I82" s="154" t="s">
        <v>154</v>
      </c>
      <c r="J82" s="154" t="s">
        <v>155</v>
      </c>
      <c r="K82" s="154">
        <v>10027</v>
      </c>
      <c r="L82" s="154" t="s">
        <v>106</v>
      </c>
      <c r="M82" s="154">
        <v>44</v>
      </c>
      <c r="N82" s="154" t="s">
        <v>107</v>
      </c>
      <c r="O82" s="154" t="s">
        <v>354</v>
      </c>
      <c r="P82" s="154" t="s">
        <v>137</v>
      </c>
      <c r="Q82" s="154" t="s">
        <v>138</v>
      </c>
      <c r="R82" s="154" t="s">
        <v>130</v>
      </c>
      <c r="S82" s="154" t="s">
        <v>355</v>
      </c>
      <c r="T82" s="157">
        <v>45978</v>
      </c>
      <c r="U82" s="158" cm="1">
        <f t="array" ref="U82">[15]!CalculateINPC(B82,T82,-1)*F82</f>
        <v>1233.8603582272117</v>
      </c>
      <c r="V82" s="158">
        <f t="shared" si="1"/>
        <v>2151.1749470602922</v>
      </c>
    </row>
    <row r="83" spans="1:22">
      <c r="A83" s="154" t="s">
        <v>102</v>
      </c>
      <c r="B83" s="155">
        <v>44895</v>
      </c>
      <c r="C83" s="155">
        <v>44894</v>
      </c>
      <c r="D83" s="156">
        <v>18510.71</v>
      </c>
      <c r="E83" s="156">
        <v>18510.71</v>
      </c>
      <c r="F83" s="156">
        <v>18510.71</v>
      </c>
      <c r="G83" s="154">
        <v>162400</v>
      </c>
      <c r="H83" s="154" t="s">
        <v>200</v>
      </c>
      <c r="I83" s="154" t="s">
        <v>119</v>
      </c>
      <c r="J83" s="154" t="s">
        <v>120</v>
      </c>
      <c r="K83" s="154">
        <v>10027</v>
      </c>
      <c r="L83" s="154" t="s">
        <v>106</v>
      </c>
      <c r="M83" s="154">
        <v>44</v>
      </c>
      <c r="N83" s="154" t="s">
        <v>107</v>
      </c>
      <c r="O83" s="154" t="s">
        <v>356</v>
      </c>
      <c r="P83" s="154" t="s">
        <v>109</v>
      </c>
      <c r="Q83" s="154" t="s">
        <v>110</v>
      </c>
      <c r="R83" s="154" t="s">
        <v>117</v>
      </c>
      <c r="S83" s="154" t="s">
        <v>357</v>
      </c>
      <c r="T83" s="157">
        <v>45978</v>
      </c>
      <c r="U83" s="158" cm="1">
        <f t="array" ref="U83">[15]!CalculateINPC(B83,T83,-1)*F83</f>
        <v>21069.715329451799</v>
      </c>
      <c r="V83" s="158">
        <f t="shared" si="1"/>
        <v>40757.042456250478</v>
      </c>
    </row>
    <row r="84" spans="1:22">
      <c r="A84" s="154" t="s">
        <v>102</v>
      </c>
      <c r="B84" s="155">
        <v>44942</v>
      </c>
      <c r="C84" s="155">
        <v>44868</v>
      </c>
      <c r="D84" s="156">
        <v>16460</v>
      </c>
      <c r="E84" s="156">
        <v>1050.0000000000359</v>
      </c>
      <c r="F84" s="156">
        <v>1050.0000000000359</v>
      </c>
      <c r="G84" s="154">
        <v>165258</v>
      </c>
      <c r="H84" s="154" t="s">
        <v>358</v>
      </c>
      <c r="I84" s="154" t="s">
        <v>290</v>
      </c>
      <c r="J84" s="154" t="s">
        <v>291</v>
      </c>
      <c r="K84" s="154">
        <v>10027</v>
      </c>
      <c r="L84" s="154" t="s">
        <v>106</v>
      </c>
      <c r="M84" s="154">
        <v>44</v>
      </c>
      <c r="N84" s="154" t="s">
        <v>107</v>
      </c>
      <c r="O84" s="154" t="s">
        <v>359</v>
      </c>
      <c r="P84" s="154" t="s">
        <v>109</v>
      </c>
      <c r="Q84" s="154" t="s">
        <v>110</v>
      </c>
      <c r="R84" s="154" t="s">
        <v>130</v>
      </c>
      <c r="S84" s="154" t="s">
        <v>360</v>
      </c>
      <c r="T84" s="157">
        <v>45978</v>
      </c>
      <c r="U84" s="158" cm="1">
        <f t="array" ref="U84">[15]!CalculateINPC(B84,T84,-1)*F84</f>
        <v>1182.4730295000404</v>
      </c>
      <c r="V84" s="158">
        <f t="shared" si="1"/>
        <v>2234.0502957028571</v>
      </c>
    </row>
    <row r="85" spans="1:22">
      <c r="A85" s="154" t="s">
        <v>102</v>
      </c>
      <c r="B85" s="155">
        <v>45114</v>
      </c>
      <c r="C85" s="155">
        <v>45110</v>
      </c>
      <c r="D85" s="156">
        <v>2100</v>
      </c>
      <c r="E85" s="156">
        <v>1040.00000000001</v>
      </c>
      <c r="F85" s="156">
        <v>1040.00000000001</v>
      </c>
      <c r="G85" s="154">
        <v>176844</v>
      </c>
      <c r="H85" s="154" t="s">
        <v>298</v>
      </c>
      <c r="I85" s="154" t="s">
        <v>232</v>
      </c>
      <c r="J85" s="154" t="s">
        <v>233</v>
      </c>
      <c r="K85" s="154">
        <v>10027</v>
      </c>
      <c r="L85" s="154" t="s">
        <v>106</v>
      </c>
      <c r="M85" s="154">
        <v>44</v>
      </c>
      <c r="N85" s="154" t="s">
        <v>107</v>
      </c>
      <c r="O85" s="154" t="s">
        <v>361</v>
      </c>
      <c r="P85" s="154" t="s">
        <v>109</v>
      </c>
      <c r="Q85" s="154" t="s">
        <v>110</v>
      </c>
      <c r="R85" s="154" t="s">
        <v>362</v>
      </c>
      <c r="S85" s="154" t="s">
        <v>363</v>
      </c>
      <c r="T85" s="157">
        <v>45978</v>
      </c>
      <c r="U85" s="158" cm="1">
        <f t="array" ref="U85">[15]!CalculateINPC(B85,T85,-1)*F85</f>
        <v>1140.5601480000109</v>
      </c>
      <c r="V85" s="158">
        <f t="shared" si="1"/>
        <v>1952.0789792920232</v>
      </c>
    </row>
    <row r="86" spans="1:22">
      <c r="A86" s="154" t="s">
        <v>102</v>
      </c>
      <c r="B86" s="155">
        <v>45147</v>
      </c>
      <c r="C86" s="155">
        <v>45139</v>
      </c>
      <c r="D86" s="156">
        <v>3600</v>
      </c>
      <c r="E86" s="156">
        <v>1099.99999999998</v>
      </c>
      <c r="F86" s="156">
        <v>1032.349999999981</v>
      </c>
      <c r="G86" s="154">
        <v>178825</v>
      </c>
      <c r="H86" s="154" t="s">
        <v>364</v>
      </c>
      <c r="I86" s="154" t="s">
        <v>154</v>
      </c>
      <c r="J86" s="154" t="s">
        <v>155</v>
      </c>
      <c r="K86" s="154">
        <v>10027</v>
      </c>
      <c r="L86" s="154" t="s">
        <v>106</v>
      </c>
      <c r="M86" s="154">
        <v>44</v>
      </c>
      <c r="N86" s="154" t="s">
        <v>107</v>
      </c>
      <c r="O86" s="154" t="s">
        <v>365</v>
      </c>
      <c r="P86" s="154" t="s">
        <v>109</v>
      </c>
      <c r="Q86" s="154" t="s">
        <v>110</v>
      </c>
      <c r="R86" s="154" t="s">
        <v>130</v>
      </c>
      <c r="S86" s="154" t="s">
        <v>366</v>
      </c>
      <c r="T86" s="157">
        <v>45978</v>
      </c>
      <c r="U86" s="158" cm="1">
        <f t="array" ref="U86">[15]!CalculateINPC(B86,T86,-1)*F86</f>
        <v>1133.1907016154792</v>
      </c>
      <c r="V86" s="158">
        <f t="shared" si="1"/>
        <v>1891.6735888460246</v>
      </c>
    </row>
    <row r="87" spans="1:22">
      <c r="A87" s="154" t="s">
        <v>102</v>
      </c>
      <c r="B87" s="155">
        <v>45054</v>
      </c>
      <c r="C87" s="155">
        <v>45049</v>
      </c>
      <c r="D87" s="156">
        <v>31340</v>
      </c>
      <c r="E87" s="156">
        <v>1025.0000000000671</v>
      </c>
      <c r="F87" s="156">
        <v>1025.0000000000671</v>
      </c>
      <c r="G87" s="154">
        <v>173128</v>
      </c>
      <c r="H87" s="154" t="s">
        <v>270</v>
      </c>
      <c r="I87" s="154" t="s">
        <v>154</v>
      </c>
      <c r="J87" s="154" t="s">
        <v>155</v>
      </c>
      <c r="K87" s="154">
        <v>10027</v>
      </c>
      <c r="L87" s="154" t="s">
        <v>106</v>
      </c>
      <c r="M87" s="154">
        <v>44</v>
      </c>
      <c r="N87" s="154" t="s">
        <v>107</v>
      </c>
      <c r="O87" s="154" t="s">
        <v>367</v>
      </c>
      <c r="P87" s="154" t="s">
        <v>109</v>
      </c>
      <c r="Q87" s="154" t="s">
        <v>110</v>
      </c>
      <c r="R87" s="154" t="s">
        <v>130</v>
      </c>
      <c r="S87" s="154" t="s">
        <v>368</v>
      </c>
      <c r="T87" s="157">
        <v>45978</v>
      </c>
      <c r="U87" s="158" cm="1">
        <f t="array" ref="U87">[15]!CalculateINPC(B87,T87,-1)*F87</f>
        <v>1127.0294737500737</v>
      </c>
      <c r="V87" s="158">
        <f t="shared" si="1"/>
        <v>2009.9186019800991</v>
      </c>
    </row>
    <row r="88" spans="1:22">
      <c r="A88" s="154" t="s">
        <v>102</v>
      </c>
      <c r="B88" s="155">
        <v>44022</v>
      </c>
      <c r="C88" s="155">
        <v>43927</v>
      </c>
      <c r="D88" s="156">
        <v>857.26</v>
      </c>
      <c r="E88" s="156">
        <v>857.26</v>
      </c>
      <c r="F88" s="156">
        <v>968.71</v>
      </c>
      <c r="G88" s="154">
        <v>89867</v>
      </c>
      <c r="H88" s="154" t="s">
        <v>369</v>
      </c>
      <c r="I88" s="154" t="s">
        <v>370</v>
      </c>
      <c r="J88" s="154" t="s">
        <v>371</v>
      </c>
      <c r="K88" s="154">
        <v>10027</v>
      </c>
      <c r="L88" s="154" t="s">
        <v>106</v>
      </c>
      <c r="M88" s="154">
        <v>44</v>
      </c>
      <c r="N88" s="154" t="s">
        <v>107</v>
      </c>
      <c r="O88" s="154" t="s">
        <v>372</v>
      </c>
      <c r="P88" s="154" t="s">
        <v>137</v>
      </c>
      <c r="Q88" s="154" t="s">
        <v>138</v>
      </c>
      <c r="R88" s="154" t="s">
        <v>111</v>
      </c>
      <c r="S88" s="154" t="s">
        <v>163</v>
      </c>
      <c r="T88" s="157">
        <v>45978</v>
      </c>
      <c r="U88" s="158" cm="1">
        <f t="array" ref="U88">[15]!CalculateINPC(B88,T88,-1)*F88</f>
        <v>1337.6069349976001</v>
      </c>
      <c r="V88" s="158">
        <f t="shared" si="1"/>
        <v>4029.8232406551983</v>
      </c>
    </row>
    <row r="89" spans="1:22">
      <c r="A89" s="154" t="s">
        <v>102</v>
      </c>
      <c r="B89" s="155">
        <v>43756</v>
      </c>
      <c r="C89" s="155">
        <v>43741</v>
      </c>
      <c r="D89" s="156">
        <v>1320</v>
      </c>
      <c r="E89" s="156">
        <v>959.99999999999</v>
      </c>
      <c r="F89" s="156">
        <v>959.99999999999</v>
      </c>
      <c r="G89" s="154">
        <v>80387</v>
      </c>
      <c r="H89" s="154" t="s">
        <v>373</v>
      </c>
      <c r="I89" s="154" t="s">
        <v>154</v>
      </c>
      <c r="J89" s="154" t="s">
        <v>155</v>
      </c>
      <c r="K89" s="154">
        <v>10027</v>
      </c>
      <c r="L89" s="154" t="s">
        <v>106</v>
      </c>
      <c r="M89" s="154">
        <v>44</v>
      </c>
      <c r="N89" s="154" t="s">
        <v>107</v>
      </c>
      <c r="O89" s="154" t="s">
        <v>374</v>
      </c>
      <c r="P89" s="154" t="s">
        <v>109</v>
      </c>
      <c r="Q89" s="154" t="s">
        <v>110</v>
      </c>
      <c r="R89" s="154" t="s">
        <v>130</v>
      </c>
      <c r="S89" s="154" t="s">
        <v>375</v>
      </c>
      <c r="T89" s="157">
        <v>45978</v>
      </c>
      <c r="U89" s="158" cm="1">
        <f t="array" ref="U89">[15]!CalculateINPC(B89,T89,-1)*F89</f>
        <v>1354.3842527999859</v>
      </c>
      <c r="V89" s="158">
        <f t="shared" si="1"/>
        <v>4847.9141920124384</v>
      </c>
    </row>
    <row r="90" spans="1:22">
      <c r="A90" s="154" t="s">
        <v>102</v>
      </c>
      <c r="B90" s="155">
        <v>43812</v>
      </c>
      <c r="C90" s="155">
        <v>43800</v>
      </c>
      <c r="D90" s="156">
        <v>16673.25</v>
      </c>
      <c r="E90" s="156">
        <v>16673.25</v>
      </c>
      <c r="F90" s="156">
        <v>16673.25</v>
      </c>
      <c r="G90" s="154">
        <v>82724</v>
      </c>
      <c r="H90" s="154" t="s">
        <v>200</v>
      </c>
      <c r="I90" s="154" t="s">
        <v>119</v>
      </c>
      <c r="J90" s="154" t="s">
        <v>120</v>
      </c>
      <c r="K90" s="154">
        <v>10027</v>
      </c>
      <c r="L90" s="154" t="s">
        <v>106</v>
      </c>
      <c r="M90" s="154">
        <v>44</v>
      </c>
      <c r="N90" s="154" t="s">
        <v>107</v>
      </c>
      <c r="O90" s="154" t="s">
        <v>376</v>
      </c>
      <c r="P90" s="154" t="s">
        <v>137</v>
      </c>
      <c r="Q90" s="154" t="s">
        <v>138</v>
      </c>
      <c r="R90" s="154" t="s">
        <v>111</v>
      </c>
      <c r="S90" s="154" t="s">
        <v>377</v>
      </c>
      <c r="T90" s="157">
        <v>45978</v>
      </c>
      <c r="U90" s="158" cm="1">
        <f t="array" ref="U90">[15]!CalculateINPC(B90,T90,-1)*F90</f>
        <v>23387.204798347502</v>
      </c>
      <c r="V90" s="158">
        <f t="shared" si="1"/>
        <v>80831.275472576293</v>
      </c>
    </row>
    <row r="91" spans="1:22">
      <c r="A91" s="154" t="s">
        <v>102</v>
      </c>
      <c r="B91" s="155">
        <v>43812</v>
      </c>
      <c r="C91" s="155">
        <v>43800</v>
      </c>
      <c r="D91" s="156">
        <v>16120.3</v>
      </c>
      <c r="E91" s="156">
        <v>16120.3</v>
      </c>
      <c r="F91" s="156">
        <v>16120.3</v>
      </c>
      <c r="G91" s="154">
        <v>82732</v>
      </c>
      <c r="H91" s="154" t="s">
        <v>200</v>
      </c>
      <c r="I91" s="154" t="s">
        <v>119</v>
      </c>
      <c r="J91" s="154" t="s">
        <v>120</v>
      </c>
      <c r="K91" s="154">
        <v>10027</v>
      </c>
      <c r="L91" s="154" t="s">
        <v>106</v>
      </c>
      <c r="M91" s="154">
        <v>44</v>
      </c>
      <c r="N91" s="154" t="s">
        <v>107</v>
      </c>
      <c r="O91" s="154" t="s">
        <v>378</v>
      </c>
      <c r="P91" s="154" t="s">
        <v>137</v>
      </c>
      <c r="Q91" s="154" t="s">
        <v>138</v>
      </c>
      <c r="R91" s="154" t="s">
        <v>111</v>
      </c>
      <c r="S91" s="154" t="s">
        <v>379</v>
      </c>
      <c r="T91" s="157">
        <v>45978</v>
      </c>
      <c r="U91" s="158" cm="1">
        <f t="array" ref="U91">[15]!CalculateINPC(B91,T91,-1)*F91</f>
        <v>22611.593871068999</v>
      </c>
      <c r="V91" s="158">
        <f t="shared" si="1"/>
        <v>78150.595114963886</v>
      </c>
    </row>
    <row r="92" spans="1:22">
      <c r="A92" s="154" t="s">
        <v>102</v>
      </c>
      <c r="B92" s="155">
        <v>43812</v>
      </c>
      <c r="C92" s="155">
        <v>43800</v>
      </c>
      <c r="D92" s="156">
        <v>16044.01</v>
      </c>
      <c r="E92" s="156">
        <v>16044.01</v>
      </c>
      <c r="F92" s="156">
        <v>16044.01</v>
      </c>
      <c r="G92" s="154">
        <v>82722</v>
      </c>
      <c r="H92" s="154" t="s">
        <v>200</v>
      </c>
      <c r="I92" s="154" t="s">
        <v>119</v>
      </c>
      <c r="J92" s="154" t="s">
        <v>120</v>
      </c>
      <c r="K92" s="154">
        <v>10027</v>
      </c>
      <c r="L92" s="154" t="s">
        <v>106</v>
      </c>
      <c r="M92" s="154">
        <v>44</v>
      </c>
      <c r="N92" s="154" t="s">
        <v>107</v>
      </c>
      <c r="O92" s="154" t="s">
        <v>380</v>
      </c>
      <c r="P92" s="154" t="s">
        <v>137</v>
      </c>
      <c r="Q92" s="154" t="s">
        <v>138</v>
      </c>
      <c r="R92" s="154" t="s">
        <v>111</v>
      </c>
      <c r="S92" s="154" t="s">
        <v>381</v>
      </c>
      <c r="T92" s="157">
        <v>45978</v>
      </c>
      <c r="U92" s="158" cm="1">
        <f t="array" ref="U92">[15]!CalculateINPC(B92,T92,-1)*F92</f>
        <v>22504.583548902301</v>
      </c>
      <c r="V92" s="158">
        <f t="shared" si="1"/>
        <v>77780.74412575645</v>
      </c>
    </row>
    <row r="93" spans="1:22">
      <c r="A93" s="154" t="s">
        <v>102</v>
      </c>
      <c r="B93" s="155">
        <v>45028</v>
      </c>
      <c r="C93" s="155">
        <v>45027</v>
      </c>
      <c r="D93" s="156">
        <v>922.5</v>
      </c>
      <c r="E93" s="156">
        <v>922.5</v>
      </c>
      <c r="F93" s="156">
        <v>922.5</v>
      </c>
      <c r="G93" s="154">
        <v>171576</v>
      </c>
      <c r="H93" s="154" t="s">
        <v>382</v>
      </c>
      <c r="I93" s="154" t="s">
        <v>282</v>
      </c>
      <c r="J93" s="154" t="s">
        <v>283</v>
      </c>
      <c r="K93" s="154">
        <v>10027</v>
      </c>
      <c r="L93" s="154" t="s">
        <v>106</v>
      </c>
      <c r="M93" s="154">
        <v>44</v>
      </c>
      <c r="N93" s="154" t="s">
        <v>107</v>
      </c>
      <c r="O93" s="154" t="s">
        <v>383</v>
      </c>
      <c r="P93" s="154" t="s">
        <v>285</v>
      </c>
      <c r="Q93" s="154" t="s">
        <v>286</v>
      </c>
      <c r="R93" s="154" t="s">
        <v>111</v>
      </c>
      <c r="S93" s="154" t="s">
        <v>384</v>
      </c>
      <c r="T93" s="157">
        <v>45978</v>
      </c>
      <c r="U93" s="158" cm="1">
        <f t="array" ref="U93">[15]!CalculateINPC(B93,T93,-1)*F93</f>
        <v>1019.702265975</v>
      </c>
      <c r="V93" s="158">
        <f t="shared" si="1"/>
        <v>1843.5300503738292</v>
      </c>
    </row>
    <row r="94" spans="1:22">
      <c r="A94" s="154" t="s">
        <v>102</v>
      </c>
      <c r="B94" s="155">
        <v>45029</v>
      </c>
      <c r="C94" s="155">
        <v>45027</v>
      </c>
      <c r="D94" s="156">
        <v>922.5</v>
      </c>
      <c r="E94" s="156">
        <v>922.5</v>
      </c>
      <c r="F94" s="156">
        <v>922.5</v>
      </c>
      <c r="G94" s="154">
        <v>171664</v>
      </c>
      <c r="H94" s="154" t="s">
        <v>382</v>
      </c>
      <c r="I94" s="154" t="s">
        <v>282</v>
      </c>
      <c r="J94" s="154" t="s">
        <v>283</v>
      </c>
      <c r="K94" s="154">
        <v>10027</v>
      </c>
      <c r="L94" s="154" t="s">
        <v>106</v>
      </c>
      <c r="M94" s="154">
        <v>44</v>
      </c>
      <c r="N94" s="154" t="s">
        <v>107</v>
      </c>
      <c r="O94" s="154" t="s">
        <v>385</v>
      </c>
      <c r="P94" s="154" t="s">
        <v>109</v>
      </c>
      <c r="Q94" s="154" t="s">
        <v>110</v>
      </c>
      <c r="R94" s="154" t="s">
        <v>111</v>
      </c>
      <c r="S94" s="154" t="s">
        <v>386</v>
      </c>
      <c r="T94" s="157">
        <v>45978</v>
      </c>
      <c r="U94" s="158" cm="1">
        <f t="array" ref="U94">[15]!CalculateINPC(B94,T94,-1)*F94</f>
        <v>1019.702265975</v>
      </c>
      <c r="V94" s="158">
        <f t="shared" si="1"/>
        <v>1842.1869942645912</v>
      </c>
    </row>
    <row r="95" spans="1:22">
      <c r="A95" s="154" t="s">
        <v>102</v>
      </c>
      <c r="B95" s="155">
        <v>44952</v>
      </c>
      <c r="C95" s="155">
        <v>44950</v>
      </c>
      <c r="D95" s="156">
        <v>922.5</v>
      </c>
      <c r="E95" s="156">
        <v>922.5</v>
      </c>
      <c r="F95" s="156">
        <v>922.5</v>
      </c>
      <c r="G95" s="154">
        <v>166214</v>
      </c>
      <c r="H95" s="154" t="s">
        <v>382</v>
      </c>
      <c r="I95" s="154" t="s">
        <v>387</v>
      </c>
      <c r="J95" s="154" t="s">
        <v>388</v>
      </c>
      <c r="K95" s="154">
        <v>10027</v>
      </c>
      <c r="L95" s="154" t="s">
        <v>106</v>
      </c>
      <c r="M95" s="154">
        <v>44</v>
      </c>
      <c r="N95" s="154" t="s">
        <v>107</v>
      </c>
      <c r="O95" s="154" t="s">
        <v>389</v>
      </c>
      <c r="P95" s="154" t="s">
        <v>109</v>
      </c>
      <c r="Q95" s="154" t="s">
        <v>110</v>
      </c>
      <c r="R95" s="154" t="s">
        <v>111</v>
      </c>
      <c r="S95" s="154" t="s">
        <v>390</v>
      </c>
      <c r="T95" s="157">
        <v>45978</v>
      </c>
      <c r="U95" s="158" cm="1">
        <f t="array" ref="U95">[15]!CalculateINPC(B95,T95,-1)*F95</f>
        <v>1038.8870187750001</v>
      </c>
      <c r="V95" s="158">
        <f t="shared" si="1"/>
        <v>1948.5202739912938</v>
      </c>
    </row>
    <row r="96" spans="1:22">
      <c r="A96" s="154" t="s">
        <v>102</v>
      </c>
      <c r="B96" s="155">
        <v>45044</v>
      </c>
      <c r="C96" s="155">
        <v>45035</v>
      </c>
      <c r="D96" s="156">
        <v>922.5</v>
      </c>
      <c r="E96" s="156">
        <v>922.5</v>
      </c>
      <c r="F96" s="156">
        <v>922.5</v>
      </c>
      <c r="G96" s="154">
        <v>172709</v>
      </c>
      <c r="H96" s="154" t="s">
        <v>382</v>
      </c>
      <c r="I96" s="154" t="s">
        <v>387</v>
      </c>
      <c r="J96" s="154" t="s">
        <v>388</v>
      </c>
      <c r="K96" s="154">
        <v>10027</v>
      </c>
      <c r="L96" s="154" t="s">
        <v>106</v>
      </c>
      <c r="M96" s="154">
        <v>44</v>
      </c>
      <c r="N96" s="154" t="s">
        <v>107</v>
      </c>
      <c r="O96" s="154" t="s">
        <v>391</v>
      </c>
      <c r="P96" s="154" t="s">
        <v>109</v>
      </c>
      <c r="Q96" s="154" t="s">
        <v>110</v>
      </c>
      <c r="R96" s="154" t="s">
        <v>111</v>
      </c>
      <c r="S96" s="154" t="s">
        <v>392</v>
      </c>
      <c r="T96" s="157">
        <v>45978</v>
      </c>
      <c r="U96" s="158" cm="1">
        <f t="array" ref="U96">[15]!CalculateINPC(B96,T96,-1)*F96</f>
        <v>1019.702265975</v>
      </c>
      <c r="V96" s="158">
        <f t="shared" si="1"/>
        <v>1822.1581682408889</v>
      </c>
    </row>
    <row r="97" spans="1:22">
      <c r="A97" s="154" t="s">
        <v>102</v>
      </c>
      <c r="B97" s="155">
        <v>44544</v>
      </c>
      <c r="C97" s="155">
        <v>44538</v>
      </c>
      <c r="D97" s="156">
        <v>900</v>
      </c>
      <c r="E97" s="156">
        <v>900</v>
      </c>
      <c r="F97" s="156">
        <v>900</v>
      </c>
      <c r="G97" s="154">
        <v>121049</v>
      </c>
      <c r="H97" s="154" t="s">
        <v>236</v>
      </c>
      <c r="I97" s="154" t="s">
        <v>237</v>
      </c>
      <c r="J97" s="154" t="s">
        <v>238</v>
      </c>
      <c r="K97" s="154">
        <v>10027</v>
      </c>
      <c r="L97" s="154" t="s">
        <v>106</v>
      </c>
      <c r="M97" s="154">
        <v>44</v>
      </c>
      <c r="N97" s="154" t="s">
        <v>107</v>
      </c>
      <c r="O97" s="154" t="s">
        <v>393</v>
      </c>
      <c r="P97" s="154" t="s">
        <v>109</v>
      </c>
      <c r="Q97" s="154" t="s">
        <v>110</v>
      </c>
      <c r="R97" s="154" t="s">
        <v>240</v>
      </c>
      <c r="S97" s="154" t="s">
        <v>394</v>
      </c>
      <c r="T97" s="157">
        <v>45978</v>
      </c>
      <c r="U97" s="158" cm="1">
        <f t="array" ref="U97">[15]!CalculateINPC(B97,T97,-1)*F97</f>
        <v>1081.514817</v>
      </c>
      <c r="V97" s="158">
        <f t="shared" si="1"/>
        <v>2559.2744605410235</v>
      </c>
    </row>
    <row r="98" spans="1:22">
      <c r="A98" s="154" t="s">
        <v>102</v>
      </c>
      <c r="B98" s="155">
        <v>45223</v>
      </c>
      <c r="C98" s="155">
        <v>45204</v>
      </c>
      <c r="D98" s="156">
        <v>15485.01</v>
      </c>
      <c r="E98" s="156">
        <v>888.97000000005403</v>
      </c>
      <c r="F98" s="156">
        <v>888.97000000005403</v>
      </c>
      <c r="G98" s="154">
        <v>184305</v>
      </c>
      <c r="H98" s="154" t="s">
        <v>395</v>
      </c>
      <c r="I98" s="154" t="s">
        <v>396</v>
      </c>
      <c r="J98" s="154" t="s">
        <v>397</v>
      </c>
      <c r="K98" s="154">
        <v>10027</v>
      </c>
      <c r="L98" s="154" t="s">
        <v>106</v>
      </c>
      <c r="M98" s="154">
        <v>44</v>
      </c>
      <c r="N98" s="154" t="s">
        <v>107</v>
      </c>
      <c r="O98" s="154" t="s">
        <v>398</v>
      </c>
      <c r="P98" s="154" t="s">
        <v>109</v>
      </c>
      <c r="Q98" s="154" t="s">
        <v>110</v>
      </c>
      <c r="R98" s="154" t="s">
        <v>399</v>
      </c>
      <c r="S98" s="154" t="s">
        <v>400</v>
      </c>
      <c r="T98" s="157">
        <v>45978</v>
      </c>
      <c r="U98" s="158" cm="1">
        <f t="array" ref="U98">[15]!CalculateINPC(B98,T98,-1)*F98</f>
        <v>972.78796769175904</v>
      </c>
      <c r="V98" s="158">
        <f t="shared" si="1"/>
        <v>1541.1738648124526</v>
      </c>
    </row>
    <row r="99" spans="1:22">
      <c r="A99" s="154" t="s">
        <v>257</v>
      </c>
      <c r="B99" s="155">
        <v>45588</v>
      </c>
      <c r="C99" s="155">
        <v>45566</v>
      </c>
      <c r="D99" s="156">
        <v>1851.98</v>
      </c>
      <c r="E99" s="156">
        <v>887.45999999999401</v>
      </c>
      <c r="F99" s="156">
        <v>887.45999999999401</v>
      </c>
      <c r="G99" s="154">
        <v>221727</v>
      </c>
      <c r="H99" s="154" t="s">
        <v>258</v>
      </c>
      <c r="I99" s="154" t="s">
        <v>243</v>
      </c>
      <c r="J99" s="154" t="s">
        <v>244</v>
      </c>
      <c r="K99" s="154">
        <v>10027</v>
      </c>
      <c r="L99" s="154" t="s">
        <v>106</v>
      </c>
      <c r="M99" s="154">
        <v>44</v>
      </c>
      <c r="N99" s="154" t="s">
        <v>107</v>
      </c>
      <c r="O99" s="154" t="s">
        <v>401</v>
      </c>
      <c r="P99" s="154" t="s">
        <v>260</v>
      </c>
      <c r="Q99" s="154" t="s">
        <v>261</v>
      </c>
      <c r="R99" s="154" t="s">
        <v>262</v>
      </c>
      <c r="S99" s="154" t="s">
        <v>402</v>
      </c>
      <c r="T99" s="157">
        <v>45978</v>
      </c>
      <c r="U99" s="158" cm="1">
        <f t="array" ref="U99">[15]!CalculateINPC(B99,T99,-1)*F99</f>
        <v>932.96538121079368</v>
      </c>
      <c r="V99" s="158">
        <f t="shared" si="1"/>
        <v>1179.1998604409455</v>
      </c>
    </row>
    <row r="100" spans="1:22">
      <c r="A100" s="154" t="s">
        <v>102</v>
      </c>
      <c r="B100" s="155">
        <v>43816</v>
      </c>
      <c r="C100" s="155">
        <v>43800</v>
      </c>
      <c r="D100" s="156">
        <v>15779.06</v>
      </c>
      <c r="E100" s="156">
        <v>15779.06</v>
      </c>
      <c r="F100" s="156">
        <v>15779.06</v>
      </c>
      <c r="G100" s="154">
        <v>82852</v>
      </c>
      <c r="H100" s="154" t="s">
        <v>200</v>
      </c>
      <c r="I100" s="154" t="s">
        <v>119</v>
      </c>
      <c r="J100" s="154" t="s">
        <v>120</v>
      </c>
      <c r="K100" s="154">
        <v>10027</v>
      </c>
      <c r="L100" s="154" t="s">
        <v>106</v>
      </c>
      <c r="M100" s="154">
        <v>44</v>
      </c>
      <c r="N100" s="154" t="s">
        <v>107</v>
      </c>
      <c r="O100" s="154" t="s">
        <v>403</v>
      </c>
      <c r="P100" s="154" t="s">
        <v>109</v>
      </c>
      <c r="Q100" s="154" t="s">
        <v>110</v>
      </c>
      <c r="R100" s="154" t="s">
        <v>111</v>
      </c>
      <c r="S100" s="154" t="s">
        <v>404</v>
      </c>
      <c r="T100" s="157">
        <v>45978</v>
      </c>
      <c r="U100" s="158" cm="1">
        <f t="array" ref="U100">[15]!CalculateINPC(B100,T100,-1)*F100</f>
        <v>22132.943951863799</v>
      </c>
      <c r="V100" s="158">
        <f t="shared" si="1"/>
        <v>76273.602656164774</v>
      </c>
    </row>
    <row r="101" spans="1:22">
      <c r="A101" s="154" t="s">
        <v>102</v>
      </c>
      <c r="B101" s="155">
        <v>43812</v>
      </c>
      <c r="C101" s="155">
        <v>43800</v>
      </c>
      <c r="D101" s="156">
        <v>15555.21</v>
      </c>
      <c r="E101" s="156">
        <v>15555.21</v>
      </c>
      <c r="F101" s="156">
        <v>15555.21</v>
      </c>
      <c r="G101" s="154">
        <v>82735</v>
      </c>
      <c r="H101" s="154" t="s">
        <v>200</v>
      </c>
      <c r="I101" s="154" t="s">
        <v>119</v>
      </c>
      <c r="J101" s="154" t="s">
        <v>120</v>
      </c>
      <c r="K101" s="154">
        <v>10027</v>
      </c>
      <c r="L101" s="154" t="s">
        <v>106</v>
      </c>
      <c r="M101" s="154">
        <v>44</v>
      </c>
      <c r="N101" s="154" t="s">
        <v>107</v>
      </c>
      <c r="O101" s="154" t="s">
        <v>405</v>
      </c>
      <c r="P101" s="154" t="s">
        <v>137</v>
      </c>
      <c r="Q101" s="154" t="s">
        <v>138</v>
      </c>
      <c r="R101" s="154" t="s">
        <v>111</v>
      </c>
      <c r="S101" s="154" t="s">
        <v>406</v>
      </c>
      <c r="T101" s="157">
        <v>45978</v>
      </c>
      <c r="U101" s="158" cm="1">
        <f t="array" ref="U101">[15]!CalculateINPC(B101,T101,-1)*F101</f>
        <v>21818.954430078298</v>
      </c>
      <c r="V101" s="158">
        <f t="shared" si="1"/>
        <v>75411.060503727436</v>
      </c>
    </row>
    <row r="102" spans="1:22">
      <c r="A102" s="154" t="s">
        <v>102</v>
      </c>
      <c r="B102" s="155">
        <v>43812</v>
      </c>
      <c r="C102" s="155">
        <v>43800</v>
      </c>
      <c r="D102" s="156">
        <v>12965.31</v>
      </c>
      <c r="E102" s="156">
        <v>12965.31</v>
      </c>
      <c r="F102" s="156">
        <v>12965.31</v>
      </c>
      <c r="G102" s="154">
        <v>82723</v>
      </c>
      <c r="H102" s="154" t="s">
        <v>200</v>
      </c>
      <c r="I102" s="154" t="s">
        <v>119</v>
      </c>
      <c r="J102" s="154" t="s">
        <v>120</v>
      </c>
      <c r="K102" s="154">
        <v>10027</v>
      </c>
      <c r="L102" s="154" t="s">
        <v>106</v>
      </c>
      <c r="M102" s="154">
        <v>44</v>
      </c>
      <c r="N102" s="154" t="s">
        <v>107</v>
      </c>
      <c r="O102" s="154" t="s">
        <v>407</v>
      </c>
      <c r="P102" s="154" t="s">
        <v>137</v>
      </c>
      <c r="Q102" s="154" t="s">
        <v>138</v>
      </c>
      <c r="R102" s="154" t="s">
        <v>111</v>
      </c>
      <c r="S102" s="154" t="s">
        <v>408</v>
      </c>
      <c r="T102" s="157">
        <v>45978</v>
      </c>
      <c r="U102" s="158" cm="1">
        <f t="array" ref="U102">[15]!CalculateINPC(B102,T102,-1)*F102</f>
        <v>18186.158082201298</v>
      </c>
      <c r="V102" s="158">
        <f t="shared" si="1"/>
        <v>62855.324798545458</v>
      </c>
    </row>
    <row r="103" spans="1:22">
      <c r="A103" s="154" t="s">
        <v>102</v>
      </c>
      <c r="B103" s="155">
        <v>43816</v>
      </c>
      <c r="C103" s="155">
        <v>43800</v>
      </c>
      <c r="D103" s="156">
        <v>12692.59</v>
      </c>
      <c r="E103" s="156">
        <v>12692.59</v>
      </c>
      <c r="F103" s="156">
        <v>12692.59</v>
      </c>
      <c r="G103" s="154">
        <v>82853</v>
      </c>
      <c r="H103" s="154" t="s">
        <v>200</v>
      </c>
      <c r="I103" s="154" t="s">
        <v>119</v>
      </c>
      <c r="J103" s="154" t="s">
        <v>120</v>
      </c>
      <c r="K103" s="154">
        <v>10027</v>
      </c>
      <c r="L103" s="154" t="s">
        <v>106</v>
      </c>
      <c r="M103" s="154">
        <v>44</v>
      </c>
      <c r="N103" s="154" t="s">
        <v>107</v>
      </c>
      <c r="O103" s="154" t="s">
        <v>409</v>
      </c>
      <c r="P103" s="154" t="s">
        <v>109</v>
      </c>
      <c r="Q103" s="154" t="s">
        <v>110</v>
      </c>
      <c r="R103" s="154" t="s">
        <v>111</v>
      </c>
      <c r="S103" s="154" t="s">
        <v>410</v>
      </c>
      <c r="T103" s="157">
        <v>45978</v>
      </c>
      <c r="U103" s="158" cm="1">
        <f t="array" ref="U103">[15]!CalculateINPC(B103,T103,-1)*F103</f>
        <v>17803.619675315702</v>
      </c>
      <c r="V103" s="158">
        <f t="shared" si="1"/>
        <v>61354.070922958053</v>
      </c>
    </row>
    <row r="104" spans="1:22">
      <c r="A104" s="154" t="s">
        <v>102</v>
      </c>
      <c r="B104" s="155">
        <v>45562</v>
      </c>
      <c r="C104" s="155">
        <v>45560</v>
      </c>
      <c r="D104" s="156">
        <v>1369.79</v>
      </c>
      <c r="E104" s="156">
        <v>846.94</v>
      </c>
      <c r="F104" s="156">
        <v>846.94</v>
      </c>
      <c r="G104" s="154">
        <v>218569</v>
      </c>
      <c r="H104" s="154" t="s">
        <v>411</v>
      </c>
      <c r="I104" s="154" t="s">
        <v>316</v>
      </c>
      <c r="J104" s="154" t="s">
        <v>317</v>
      </c>
      <c r="K104" s="154">
        <v>10027</v>
      </c>
      <c r="L104" s="154" t="s">
        <v>106</v>
      </c>
      <c r="M104" s="154">
        <v>44</v>
      </c>
      <c r="N104" s="154" t="s">
        <v>107</v>
      </c>
      <c r="O104" s="154" t="s">
        <v>412</v>
      </c>
      <c r="P104" s="154" t="s">
        <v>109</v>
      </c>
      <c r="Q104" s="154" t="s">
        <v>110</v>
      </c>
      <c r="R104" s="154" t="s">
        <v>333</v>
      </c>
      <c r="S104" s="154" t="s">
        <v>413</v>
      </c>
      <c r="T104" s="157">
        <v>45978</v>
      </c>
      <c r="U104" s="158" cm="1">
        <f t="array" ref="U104">[15]!CalculateINPC(B104,T104,-1)*F104</f>
        <v>894.64171886420013</v>
      </c>
      <c r="V104" s="158">
        <f t="shared" si="1"/>
        <v>1146.8867051026486</v>
      </c>
    </row>
    <row r="105" spans="1:22">
      <c r="A105" s="154" t="s">
        <v>102</v>
      </c>
      <c r="B105" s="155">
        <v>43812</v>
      </c>
      <c r="C105" s="155">
        <v>43800</v>
      </c>
      <c r="D105" s="156">
        <v>11623.45</v>
      </c>
      <c r="E105" s="156">
        <v>11623.45</v>
      </c>
      <c r="F105" s="156">
        <v>11623.45</v>
      </c>
      <c r="G105" s="154">
        <v>82721</v>
      </c>
      <c r="H105" s="154" t="s">
        <v>200</v>
      </c>
      <c r="I105" s="154" t="s">
        <v>119</v>
      </c>
      <c r="J105" s="154" t="s">
        <v>120</v>
      </c>
      <c r="K105" s="154">
        <v>10027</v>
      </c>
      <c r="L105" s="154" t="s">
        <v>106</v>
      </c>
      <c r="M105" s="154">
        <v>44</v>
      </c>
      <c r="N105" s="154" t="s">
        <v>107</v>
      </c>
      <c r="O105" s="154" t="s">
        <v>414</v>
      </c>
      <c r="P105" s="154" t="s">
        <v>137</v>
      </c>
      <c r="Q105" s="154" t="s">
        <v>138</v>
      </c>
      <c r="R105" s="154" t="s">
        <v>111</v>
      </c>
      <c r="S105" s="154" t="s">
        <v>415</v>
      </c>
      <c r="T105" s="157">
        <v>45978</v>
      </c>
      <c r="U105" s="158" cm="1">
        <f t="array" ref="U105">[15]!CalculateINPC(B105,T105,-1)*F105</f>
        <v>16303.960272493501</v>
      </c>
      <c r="V105" s="158">
        <f t="shared" si="1"/>
        <v>56350.039068071128</v>
      </c>
    </row>
    <row r="106" spans="1:22">
      <c r="A106" s="154" t="s">
        <v>102</v>
      </c>
      <c r="B106" s="155">
        <v>43816</v>
      </c>
      <c r="C106" s="155">
        <v>43815</v>
      </c>
      <c r="D106" s="156">
        <v>10953.86</v>
      </c>
      <c r="E106" s="156">
        <v>10953.86</v>
      </c>
      <c r="F106" s="156">
        <v>10953.86</v>
      </c>
      <c r="G106" s="154">
        <v>82854</v>
      </c>
      <c r="H106" s="154" t="s">
        <v>200</v>
      </c>
      <c r="I106" s="154" t="s">
        <v>119</v>
      </c>
      <c r="J106" s="154" t="s">
        <v>120</v>
      </c>
      <c r="K106" s="154">
        <v>10027</v>
      </c>
      <c r="L106" s="154" t="s">
        <v>106</v>
      </c>
      <c r="M106" s="154">
        <v>44</v>
      </c>
      <c r="N106" s="154" t="s">
        <v>107</v>
      </c>
      <c r="O106" s="154" t="s">
        <v>416</v>
      </c>
      <c r="P106" s="154" t="s">
        <v>109</v>
      </c>
      <c r="Q106" s="154" t="s">
        <v>110</v>
      </c>
      <c r="R106" s="154" t="s">
        <v>111</v>
      </c>
      <c r="S106" s="154" t="s">
        <v>417</v>
      </c>
      <c r="T106" s="157">
        <v>45978</v>
      </c>
      <c r="U106" s="158" cm="1">
        <f t="array" ref="U106">[15]!CalculateINPC(B106,T106,-1)*F106</f>
        <v>15364.740956467802</v>
      </c>
      <c r="V106" s="158">
        <f t="shared" si="1"/>
        <v>52949.311631444274</v>
      </c>
    </row>
    <row r="107" spans="1:22">
      <c r="A107" s="154" t="s">
        <v>257</v>
      </c>
      <c r="B107" s="155">
        <v>45769</v>
      </c>
      <c r="C107" s="155">
        <v>45748</v>
      </c>
      <c r="D107" s="156">
        <v>46431.23</v>
      </c>
      <c r="E107" s="156">
        <v>810.920000000188</v>
      </c>
      <c r="F107" s="156">
        <v>810.920000000188</v>
      </c>
      <c r="G107" s="154">
        <v>249404</v>
      </c>
      <c r="H107" s="154" t="s">
        <v>258</v>
      </c>
      <c r="I107" s="154" t="s">
        <v>243</v>
      </c>
      <c r="J107" s="154" t="s">
        <v>244</v>
      </c>
      <c r="K107" s="154">
        <v>10027</v>
      </c>
      <c r="L107" s="154" t="s">
        <v>106</v>
      </c>
      <c r="M107" s="154">
        <v>44</v>
      </c>
      <c r="N107" s="154" t="s">
        <v>107</v>
      </c>
      <c r="O107" s="154" t="s">
        <v>418</v>
      </c>
      <c r="P107" s="154" t="s">
        <v>260</v>
      </c>
      <c r="Q107" s="154" t="s">
        <v>261</v>
      </c>
      <c r="R107" s="154" t="s">
        <v>262</v>
      </c>
      <c r="S107" s="154" t="s">
        <v>419</v>
      </c>
      <c r="T107" s="157">
        <v>45978</v>
      </c>
      <c r="U107" s="158" cm="1">
        <f t="array" ref="U107">[15]!CalculateINPC(B107,T107,-1)*F107</f>
        <v>824.04961382939109</v>
      </c>
      <c r="V107" s="158">
        <f t="shared" si="1"/>
        <v>944.34015687803219</v>
      </c>
    </row>
    <row r="108" spans="1:22">
      <c r="A108" s="154" t="s">
        <v>102</v>
      </c>
      <c r="B108" s="155">
        <v>43812</v>
      </c>
      <c r="C108" s="155">
        <v>43800</v>
      </c>
      <c r="D108" s="156">
        <v>9917.0400000000009</v>
      </c>
      <c r="E108" s="156">
        <v>9917.0400000000009</v>
      </c>
      <c r="F108" s="156">
        <v>9917.0400000000009</v>
      </c>
      <c r="G108" s="154">
        <v>82728</v>
      </c>
      <c r="H108" s="154" t="s">
        <v>200</v>
      </c>
      <c r="I108" s="154" t="s">
        <v>119</v>
      </c>
      <c r="J108" s="154" t="s">
        <v>120</v>
      </c>
      <c r="K108" s="154">
        <v>10027</v>
      </c>
      <c r="L108" s="154" t="s">
        <v>106</v>
      </c>
      <c r="M108" s="154">
        <v>44</v>
      </c>
      <c r="N108" s="154" t="s">
        <v>107</v>
      </c>
      <c r="O108" s="154" t="s">
        <v>420</v>
      </c>
      <c r="P108" s="154" t="s">
        <v>137</v>
      </c>
      <c r="Q108" s="154" t="s">
        <v>138</v>
      </c>
      <c r="R108" s="154" t="s">
        <v>111</v>
      </c>
      <c r="S108" s="154" t="s">
        <v>421</v>
      </c>
      <c r="T108" s="157">
        <v>45978</v>
      </c>
      <c r="U108" s="158" cm="1">
        <f t="array" ref="U108">[15]!CalculateINPC(B108,T108,-1)*F108</f>
        <v>13910.416114039201</v>
      </c>
      <c r="V108" s="158">
        <f t="shared" si="1"/>
        <v>48077.428942321269</v>
      </c>
    </row>
    <row r="109" spans="1:22">
      <c r="A109" s="154" t="s">
        <v>102</v>
      </c>
      <c r="B109" s="155">
        <v>44719</v>
      </c>
      <c r="C109" s="155">
        <v>44714</v>
      </c>
      <c r="D109" s="156">
        <v>5856.19</v>
      </c>
      <c r="E109" s="156">
        <v>802.44000000002802</v>
      </c>
      <c r="F109" s="156">
        <v>802.44000000002802</v>
      </c>
      <c r="G109" s="154">
        <v>151019</v>
      </c>
      <c r="H109" s="154" t="s">
        <v>422</v>
      </c>
      <c r="I109" s="154" t="s">
        <v>243</v>
      </c>
      <c r="J109" s="154" t="s">
        <v>244</v>
      </c>
      <c r="K109" s="154">
        <v>10027</v>
      </c>
      <c r="L109" s="154" t="s">
        <v>106</v>
      </c>
      <c r="M109" s="154">
        <v>44</v>
      </c>
      <c r="N109" s="154" t="s">
        <v>107</v>
      </c>
      <c r="O109" s="154" t="s">
        <v>423</v>
      </c>
      <c r="P109" s="154" t="s">
        <v>109</v>
      </c>
      <c r="Q109" s="154" t="s">
        <v>110</v>
      </c>
      <c r="R109" s="154" t="s">
        <v>173</v>
      </c>
      <c r="S109" s="154" t="s">
        <v>424</v>
      </c>
      <c r="T109" s="157">
        <v>45978</v>
      </c>
      <c r="U109" s="158" cm="1">
        <f t="array" ref="U109">[15]!CalculateINPC(B109,T109,-1)*F109</f>
        <v>912.04236674283186</v>
      </c>
      <c r="V109" s="158">
        <f t="shared" si="1"/>
        <v>2008.620047750614</v>
      </c>
    </row>
    <row r="110" spans="1:22">
      <c r="A110" s="154" t="s">
        <v>102</v>
      </c>
      <c r="B110" s="155">
        <v>45078</v>
      </c>
      <c r="C110" s="155">
        <v>45071</v>
      </c>
      <c r="D110" s="156">
        <v>800</v>
      </c>
      <c r="E110" s="156">
        <v>800</v>
      </c>
      <c r="F110" s="156">
        <v>800</v>
      </c>
      <c r="G110" s="154">
        <v>174426</v>
      </c>
      <c r="H110" s="154" t="s">
        <v>236</v>
      </c>
      <c r="I110" s="154" t="s">
        <v>237</v>
      </c>
      <c r="J110" s="154" t="s">
        <v>238</v>
      </c>
      <c r="K110" s="154">
        <v>10027</v>
      </c>
      <c r="L110" s="154" t="s">
        <v>106</v>
      </c>
      <c r="M110" s="154">
        <v>44</v>
      </c>
      <c r="N110" s="154" t="s">
        <v>107</v>
      </c>
      <c r="O110" s="154" t="s">
        <v>425</v>
      </c>
      <c r="P110" s="154" t="s">
        <v>109</v>
      </c>
      <c r="Q110" s="154" t="s">
        <v>110</v>
      </c>
      <c r="R110" s="154" t="s">
        <v>240</v>
      </c>
      <c r="S110" s="154" t="s">
        <v>426</v>
      </c>
      <c r="T110" s="157">
        <v>45978</v>
      </c>
      <c r="U110" s="158" cm="1">
        <f t="array" ref="U110">[15]!CalculateINPC(B110,T110,-1)*F110</f>
        <v>876.47702400000003</v>
      </c>
      <c r="V110" s="158">
        <f t="shared" si="1"/>
        <v>1541.5171747340346</v>
      </c>
    </row>
    <row r="111" spans="1:22">
      <c r="A111" s="154" t="s">
        <v>102</v>
      </c>
      <c r="B111" s="155">
        <v>43812</v>
      </c>
      <c r="C111" s="155">
        <v>43800</v>
      </c>
      <c r="D111" s="156">
        <v>7786.17</v>
      </c>
      <c r="E111" s="156">
        <v>7786.17</v>
      </c>
      <c r="F111" s="156">
        <v>7786.17</v>
      </c>
      <c r="G111" s="154">
        <v>82729</v>
      </c>
      <c r="H111" s="154" t="s">
        <v>200</v>
      </c>
      <c r="I111" s="154" t="s">
        <v>119</v>
      </c>
      <c r="J111" s="154" t="s">
        <v>120</v>
      </c>
      <c r="K111" s="154">
        <v>10027</v>
      </c>
      <c r="L111" s="154" t="s">
        <v>106</v>
      </c>
      <c r="M111" s="154">
        <v>44</v>
      </c>
      <c r="N111" s="154" t="s">
        <v>107</v>
      </c>
      <c r="O111" s="154" t="s">
        <v>427</v>
      </c>
      <c r="P111" s="154" t="s">
        <v>137</v>
      </c>
      <c r="Q111" s="154" t="s">
        <v>138</v>
      </c>
      <c r="R111" s="154" t="s">
        <v>111</v>
      </c>
      <c r="S111" s="154" t="s">
        <v>428</v>
      </c>
      <c r="T111" s="157">
        <v>45978</v>
      </c>
      <c r="U111" s="158" cm="1">
        <f t="array" ref="U111">[15]!CalculateINPC(B111,T111,-1)*F111</f>
        <v>10921.4911540791</v>
      </c>
      <c r="V111" s="158">
        <f t="shared" si="1"/>
        <v>37747.053042826643</v>
      </c>
    </row>
    <row r="112" spans="1:22">
      <c r="A112" s="154" t="s">
        <v>102</v>
      </c>
      <c r="B112" s="155">
        <v>44882</v>
      </c>
      <c r="C112" s="155">
        <v>44881</v>
      </c>
      <c r="D112" s="156">
        <v>3981.49</v>
      </c>
      <c r="E112" s="156">
        <v>3981.49</v>
      </c>
      <c r="F112" s="156">
        <v>3981.49</v>
      </c>
      <c r="G112" s="154">
        <v>161711</v>
      </c>
      <c r="H112" s="154" t="s">
        <v>200</v>
      </c>
      <c r="I112" s="154" t="s">
        <v>119</v>
      </c>
      <c r="J112" s="154" t="s">
        <v>120</v>
      </c>
      <c r="K112" s="154">
        <v>10027</v>
      </c>
      <c r="L112" s="154" t="s">
        <v>106</v>
      </c>
      <c r="M112" s="154">
        <v>44</v>
      </c>
      <c r="N112" s="154" t="s">
        <v>107</v>
      </c>
      <c r="O112" s="154" t="s">
        <v>429</v>
      </c>
      <c r="P112" s="154" t="s">
        <v>109</v>
      </c>
      <c r="Q112" s="154" t="s">
        <v>110</v>
      </c>
      <c r="R112" s="154" t="s">
        <v>117</v>
      </c>
      <c r="S112" s="154" t="s">
        <v>430</v>
      </c>
      <c r="T112" s="157">
        <v>45978</v>
      </c>
      <c r="U112" s="158" cm="1">
        <f t="array" ref="U112">[15]!CalculateINPC(B112,T112,-1)*F112</f>
        <v>4531.9094128242004</v>
      </c>
      <c r="V112" s="158">
        <f t="shared" si="1"/>
        <v>8849.9299919532186</v>
      </c>
    </row>
    <row r="113" spans="1:22">
      <c r="A113" s="154" t="s">
        <v>102</v>
      </c>
      <c r="B113" s="155">
        <v>43812</v>
      </c>
      <c r="C113" s="155">
        <v>43800</v>
      </c>
      <c r="D113" s="156">
        <v>1724.38</v>
      </c>
      <c r="E113" s="156">
        <v>1724.38</v>
      </c>
      <c r="F113" s="156">
        <v>1724.38</v>
      </c>
      <c r="G113" s="154">
        <v>82741</v>
      </c>
      <c r="H113" s="154" t="s">
        <v>200</v>
      </c>
      <c r="I113" s="154" t="s">
        <v>119</v>
      </c>
      <c r="J113" s="154" t="s">
        <v>120</v>
      </c>
      <c r="K113" s="154">
        <v>10027</v>
      </c>
      <c r="L113" s="154" t="s">
        <v>106</v>
      </c>
      <c r="M113" s="154">
        <v>44</v>
      </c>
      <c r="N113" s="154" t="s">
        <v>107</v>
      </c>
      <c r="O113" s="154" t="s">
        <v>431</v>
      </c>
      <c r="P113" s="154" t="s">
        <v>137</v>
      </c>
      <c r="Q113" s="154" t="s">
        <v>138</v>
      </c>
      <c r="R113" s="154" t="s">
        <v>111</v>
      </c>
      <c r="S113" s="154" t="s">
        <v>432</v>
      </c>
      <c r="T113" s="157">
        <v>45978</v>
      </c>
      <c r="U113" s="158" cm="1">
        <f t="array" ref="U113">[15]!CalculateINPC(B113,T113,-1)*F113</f>
        <v>2418.7502862474003</v>
      </c>
      <c r="V113" s="158">
        <f t="shared" si="1"/>
        <v>8359.7279954058813</v>
      </c>
    </row>
    <row r="114" spans="1:22">
      <c r="A114" s="154" t="s">
        <v>102</v>
      </c>
      <c r="B114" s="155">
        <v>43812</v>
      </c>
      <c r="C114" s="155">
        <v>43800</v>
      </c>
      <c r="D114" s="156">
        <v>1112.06</v>
      </c>
      <c r="E114" s="156">
        <v>1112.06</v>
      </c>
      <c r="F114" s="156">
        <v>1112.06</v>
      </c>
      <c r="G114" s="154">
        <v>82726</v>
      </c>
      <c r="H114" s="154" t="s">
        <v>200</v>
      </c>
      <c r="I114" s="154" t="s">
        <v>119</v>
      </c>
      <c r="J114" s="154" t="s">
        <v>120</v>
      </c>
      <c r="K114" s="154">
        <v>10027</v>
      </c>
      <c r="L114" s="154" t="s">
        <v>106</v>
      </c>
      <c r="M114" s="154">
        <v>44</v>
      </c>
      <c r="N114" s="154" t="s">
        <v>107</v>
      </c>
      <c r="O114" s="154" t="s">
        <v>433</v>
      </c>
      <c r="P114" s="154" t="s">
        <v>137</v>
      </c>
      <c r="Q114" s="154" t="s">
        <v>138</v>
      </c>
      <c r="R114" s="154" t="s">
        <v>111</v>
      </c>
      <c r="S114" s="154" t="s">
        <v>434</v>
      </c>
      <c r="T114" s="157">
        <v>45978</v>
      </c>
      <c r="U114" s="158" cm="1">
        <f t="array" ref="U114">[15]!CalculateINPC(B114,T114,-1)*F114</f>
        <v>1559.8623524538</v>
      </c>
      <c r="V114" s="158">
        <f t="shared" si="1"/>
        <v>5391.2241585793527</v>
      </c>
    </row>
    <row r="115" spans="1:22">
      <c r="A115" s="154" t="s">
        <v>102</v>
      </c>
      <c r="B115" s="155">
        <v>43812</v>
      </c>
      <c r="C115" s="155">
        <v>43800</v>
      </c>
      <c r="D115" s="156">
        <v>945.84</v>
      </c>
      <c r="E115" s="156">
        <v>945.84</v>
      </c>
      <c r="F115" s="156">
        <v>945.84</v>
      </c>
      <c r="G115" s="154">
        <v>82742</v>
      </c>
      <c r="H115" s="154" t="s">
        <v>200</v>
      </c>
      <c r="I115" s="154" t="s">
        <v>119</v>
      </c>
      <c r="J115" s="154" t="s">
        <v>120</v>
      </c>
      <c r="K115" s="154">
        <v>10027</v>
      </c>
      <c r="L115" s="154" t="s">
        <v>106</v>
      </c>
      <c r="M115" s="154">
        <v>44</v>
      </c>
      <c r="N115" s="154" t="s">
        <v>107</v>
      </c>
      <c r="O115" s="154" t="s">
        <v>435</v>
      </c>
      <c r="P115" s="154" t="s">
        <v>137</v>
      </c>
      <c r="Q115" s="154" t="s">
        <v>138</v>
      </c>
      <c r="R115" s="154" t="s">
        <v>111</v>
      </c>
      <c r="S115" s="154" t="s">
        <v>436</v>
      </c>
      <c r="T115" s="157">
        <v>45978</v>
      </c>
      <c r="U115" s="158" cm="1">
        <f t="array" ref="U115">[15]!CalculateINPC(B115,T115,-1)*F115</f>
        <v>1326.7091770632001</v>
      </c>
      <c r="V115" s="158">
        <f t="shared" si="1"/>
        <v>4585.3959841651485</v>
      </c>
    </row>
    <row r="116" spans="1:22">
      <c r="A116" s="154" t="s">
        <v>102</v>
      </c>
      <c r="B116" s="155">
        <v>44768</v>
      </c>
      <c r="C116" s="155">
        <v>44767</v>
      </c>
      <c r="D116" s="156">
        <v>942.5</v>
      </c>
      <c r="E116" s="156">
        <v>942.5</v>
      </c>
      <c r="F116" s="156">
        <v>942.5</v>
      </c>
      <c r="G116" s="154">
        <v>154785</v>
      </c>
      <c r="H116" s="154" t="s">
        <v>200</v>
      </c>
      <c r="I116" s="154" t="s">
        <v>119</v>
      </c>
      <c r="J116" s="154" t="s">
        <v>120</v>
      </c>
      <c r="K116" s="154">
        <v>10027</v>
      </c>
      <c r="L116" s="154" t="s">
        <v>106</v>
      </c>
      <c r="M116" s="154">
        <v>44</v>
      </c>
      <c r="N116" s="154" t="s">
        <v>107</v>
      </c>
      <c r="O116" s="154" t="s">
        <v>437</v>
      </c>
      <c r="P116" s="154" t="s">
        <v>109</v>
      </c>
      <c r="Q116" s="154" t="s">
        <v>110</v>
      </c>
      <c r="R116" s="154" t="s">
        <v>117</v>
      </c>
      <c r="S116" s="154" t="s">
        <v>438</v>
      </c>
      <c r="T116" s="157">
        <v>45978</v>
      </c>
      <c r="U116" s="158" cm="1">
        <f t="array" ref="U116">[15]!CalculateINPC(B116,T116,-1)*F116</f>
        <v>1064.6314402749999</v>
      </c>
      <c r="V116" s="158">
        <f t="shared" si="1"/>
        <v>2276.4474339624935</v>
      </c>
    </row>
    <row r="117" spans="1:22">
      <c r="A117" s="154" t="s">
        <v>102</v>
      </c>
      <c r="B117" s="155">
        <v>43780</v>
      </c>
      <c r="C117" s="155">
        <v>43780</v>
      </c>
      <c r="D117" s="156">
        <v>13854.71</v>
      </c>
      <c r="E117" s="156">
        <v>749.99999999995703</v>
      </c>
      <c r="F117" s="156">
        <v>749.99999999995703</v>
      </c>
      <c r="G117" s="154">
        <v>81274</v>
      </c>
      <c r="H117" s="154" t="s">
        <v>369</v>
      </c>
      <c r="I117" s="154" t="s">
        <v>370</v>
      </c>
      <c r="J117" s="154" t="s">
        <v>371</v>
      </c>
      <c r="K117" s="154">
        <v>10027</v>
      </c>
      <c r="L117" s="154" t="s">
        <v>106</v>
      </c>
      <c r="M117" s="154">
        <v>44</v>
      </c>
      <c r="N117" s="154" t="s">
        <v>107</v>
      </c>
      <c r="O117" s="154" t="s">
        <v>439</v>
      </c>
      <c r="P117" s="154" t="s">
        <v>109</v>
      </c>
      <c r="Q117" s="154" t="s">
        <v>110</v>
      </c>
      <c r="R117" s="154" t="s">
        <v>111</v>
      </c>
      <c r="S117" s="154" t="s">
        <v>440</v>
      </c>
      <c r="T117" s="157">
        <v>45978</v>
      </c>
      <c r="U117" s="158" cm="1">
        <f t="array" ref="U117">[15]!CalculateINPC(B117,T117,-1)*F117</f>
        <v>1057.6898624999394</v>
      </c>
      <c r="V117" s="158">
        <f t="shared" si="1"/>
        <v>3721.7631462560471</v>
      </c>
    </row>
    <row r="118" spans="1:22">
      <c r="A118" s="154" t="s">
        <v>102</v>
      </c>
      <c r="B118" s="155">
        <v>44985</v>
      </c>
      <c r="C118" s="155">
        <v>44960</v>
      </c>
      <c r="D118" s="156">
        <v>22234.41</v>
      </c>
      <c r="E118" s="156">
        <v>731.94000000003302</v>
      </c>
      <c r="F118" s="156">
        <v>731.94000000003302</v>
      </c>
      <c r="G118" s="154">
        <v>168690</v>
      </c>
      <c r="H118" s="154" t="s">
        <v>441</v>
      </c>
      <c r="I118" s="154" t="s">
        <v>442</v>
      </c>
      <c r="J118" s="154" t="s">
        <v>443</v>
      </c>
      <c r="K118" s="154">
        <v>10027</v>
      </c>
      <c r="L118" s="154" t="s">
        <v>106</v>
      </c>
      <c r="M118" s="154">
        <v>44</v>
      </c>
      <c r="N118" s="154" t="s">
        <v>107</v>
      </c>
      <c r="O118" s="154" t="s">
        <v>444</v>
      </c>
      <c r="P118" s="154" t="s">
        <v>109</v>
      </c>
      <c r="Q118" s="154" t="s">
        <v>110</v>
      </c>
      <c r="R118" s="154" t="s">
        <v>130</v>
      </c>
      <c r="S118" s="154" t="s">
        <v>445</v>
      </c>
      <c r="T118" s="157">
        <v>45978</v>
      </c>
      <c r="U118" s="158" cm="1">
        <f t="array" ref="U118">[15]!CalculateINPC(B118,T118,-1)*F118</f>
        <v>820.51050036783693</v>
      </c>
      <c r="V118" s="158">
        <f t="shared" si="1"/>
        <v>1509.2779543887257</v>
      </c>
    </row>
    <row r="119" spans="1:22">
      <c r="A119" s="154" t="s">
        <v>102</v>
      </c>
      <c r="B119" s="155">
        <v>43812</v>
      </c>
      <c r="C119" s="155">
        <v>43800</v>
      </c>
      <c r="D119" s="156">
        <v>877.47</v>
      </c>
      <c r="E119" s="156">
        <v>877.47</v>
      </c>
      <c r="F119" s="156">
        <v>877.47</v>
      </c>
      <c r="G119" s="154">
        <v>82744</v>
      </c>
      <c r="H119" s="154" t="s">
        <v>200</v>
      </c>
      <c r="I119" s="154" t="s">
        <v>119</v>
      </c>
      <c r="J119" s="154" t="s">
        <v>120</v>
      </c>
      <c r="K119" s="154">
        <v>10027</v>
      </c>
      <c r="L119" s="154" t="s">
        <v>106</v>
      </c>
      <c r="M119" s="154">
        <v>44</v>
      </c>
      <c r="N119" s="154" t="s">
        <v>107</v>
      </c>
      <c r="O119" s="154" t="s">
        <v>446</v>
      </c>
      <c r="P119" s="154" t="s">
        <v>137</v>
      </c>
      <c r="Q119" s="154" t="s">
        <v>138</v>
      </c>
      <c r="R119" s="154" t="s">
        <v>111</v>
      </c>
      <c r="S119" s="154" t="s">
        <v>447</v>
      </c>
      <c r="T119" s="157">
        <v>45978</v>
      </c>
      <c r="U119" s="158" cm="1">
        <f t="array" ref="U119">[15]!CalculateINPC(B119,T119,-1)*F119</f>
        <v>1230.8080664781</v>
      </c>
      <c r="V119" s="158">
        <f t="shared" si="1"/>
        <v>4253.940850699265</v>
      </c>
    </row>
    <row r="120" spans="1:22">
      <c r="A120" s="154" t="s">
        <v>102</v>
      </c>
      <c r="B120" s="155">
        <v>45687</v>
      </c>
      <c r="C120" s="155">
        <v>45671</v>
      </c>
      <c r="D120" s="156">
        <v>5136.03</v>
      </c>
      <c r="E120" s="156">
        <v>710.05999999999699</v>
      </c>
      <c r="F120" s="156">
        <v>710.05999999999699</v>
      </c>
      <c r="G120" s="154">
        <v>234934</v>
      </c>
      <c r="H120" s="154" t="s">
        <v>395</v>
      </c>
      <c r="I120" s="154" t="s">
        <v>396</v>
      </c>
      <c r="J120" s="154" t="s">
        <v>397</v>
      </c>
      <c r="K120" s="154">
        <v>10027</v>
      </c>
      <c r="L120" s="154" t="s">
        <v>106</v>
      </c>
      <c r="M120" s="154">
        <v>44</v>
      </c>
      <c r="N120" s="154" t="s">
        <v>107</v>
      </c>
      <c r="O120" s="154" t="s">
        <v>448</v>
      </c>
      <c r="P120" s="154" t="s">
        <v>109</v>
      </c>
      <c r="Q120" s="154" t="s">
        <v>110</v>
      </c>
      <c r="R120" s="154" t="s">
        <v>399</v>
      </c>
      <c r="S120" s="154" t="s">
        <v>449</v>
      </c>
      <c r="T120" s="157">
        <v>45978</v>
      </c>
      <c r="U120" s="158" cm="1">
        <f t="array" ref="U120">[15]!CalculateINPC(B120,T120,-1)*F120</f>
        <v>735.97019590899697</v>
      </c>
      <c r="V120" s="158">
        <f t="shared" si="1"/>
        <v>877.80744087661401</v>
      </c>
    </row>
    <row r="121" spans="1:22">
      <c r="A121" s="154" t="s">
        <v>102</v>
      </c>
      <c r="B121" s="155">
        <v>45744</v>
      </c>
      <c r="C121" s="155">
        <v>45741</v>
      </c>
      <c r="D121" s="156">
        <v>863.6</v>
      </c>
      <c r="E121" s="156">
        <v>701.45</v>
      </c>
      <c r="F121" s="156">
        <v>701.45</v>
      </c>
      <c r="G121" s="154">
        <v>244168</v>
      </c>
      <c r="H121" s="154" t="s">
        <v>450</v>
      </c>
      <c r="I121" s="154" t="s">
        <v>316</v>
      </c>
      <c r="J121" s="154" t="s">
        <v>317</v>
      </c>
      <c r="K121" s="154">
        <v>10027</v>
      </c>
      <c r="L121" s="154" t="s">
        <v>106</v>
      </c>
      <c r="M121" s="154">
        <v>44</v>
      </c>
      <c r="N121" s="154" t="s">
        <v>107</v>
      </c>
      <c r="O121" s="154" t="s">
        <v>451</v>
      </c>
      <c r="P121" s="154" t="s">
        <v>109</v>
      </c>
      <c r="Q121" s="154" t="s">
        <v>110</v>
      </c>
      <c r="R121" s="154" t="s">
        <v>333</v>
      </c>
      <c r="S121" s="154" t="s">
        <v>452</v>
      </c>
      <c r="T121" s="157">
        <v>45978</v>
      </c>
      <c r="U121" s="158" cm="1">
        <f t="array" ref="U121">[15]!CalculateINPC(B121,T121,-1)*F121</f>
        <v>716.44246963299997</v>
      </c>
      <c r="V121" s="158">
        <f t="shared" si="1"/>
        <v>831.87849714269737</v>
      </c>
    </row>
    <row r="122" spans="1:22">
      <c r="A122" s="154" t="s">
        <v>102</v>
      </c>
      <c r="B122" s="155">
        <v>44732</v>
      </c>
      <c r="C122" s="155">
        <v>44721</v>
      </c>
      <c r="D122" s="156">
        <v>700</v>
      </c>
      <c r="E122" s="156">
        <v>700</v>
      </c>
      <c r="F122" s="156">
        <v>700</v>
      </c>
      <c r="G122" s="154">
        <v>151508</v>
      </c>
      <c r="H122" s="154" t="s">
        <v>236</v>
      </c>
      <c r="I122" s="154" t="s">
        <v>453</v>
      </c>
      <c r="J122" s="154" t="s">
        <v>454</v>
      </c>
      <c r="K122" s="154">
        <v>10027</v>
      </c>
      <c r="L122" s="154" t="s">
        <v>106</v>
      </c>
      <c r="M122" s="154">
        <v>44</v>
      </c>
      <c r="N122" s="154" t="s">
        <v>107</v>
      </c>
      <c r="O122" s="154" t="s">
        <v>455</v>
      </c>
      <c r="P122" s="154" t="s">
        <v>109</v>
      </c>
      <c r="Q122" s="154" t="s">
        <v>110</v>
      </c>
      <c r="R122" s="154" t="s">
        <v>240</v>
      </c>
      <c r="S122" s="154" t="s">
        <v>456</v>
      </c>
      <c r="T122" s="157">
        <v>45978</v>
      </c>
      <c r="U122" s="158" cm="1">
        <f t="array" ref="U122">[15]!CalculateINPC(B122,T122,-1)*F122</f>
        <v>795.61045899999999</v>
      </c>
      <c r="V122" s="158">
        <f t="shared" si="1"/>
        <v>1735.6759376777641</v>
      </c>
    </row>
    <row r="123" spans="1:22">
      <c r="A123" s="154" t="s">
        <v>102</v>
      </c>
      <c r="B123" s="155">
        <v>44809</v>
      </c>
      <c r="C123" s="155">
        <v>44797</v>
      </c>
      <c r="D123" s="156">
        <v>27620</v>
      </c>
      <c r="E123" s="156">
        <v>699.99999999998704</v>
      </c>
      <c r="F123" s="156">
        <v>699.99999999998704</v>
      </c>
      <c r="G123" s="154">
        <v>156869</v>
      </c>
      <c r="H123" s="154" t="s">
        <v>457</v>
      </c>
      <c r="I123" s="154" t="s">
        <v>154</v>
      </c>
      <c r="J123" s="154" t="s">
        <v>155</v>
      </c>
      <c r="K123" s="154">
        <v>10027</v>
      </c>
      <c r="L123" s="154" t="s">
        <v>106</v>
      </c>
      <c r="M123" s="154">
        <v>44</v>
      </c>
      <c r="N123" s="154" t="s">
        <v>107</v>
      </c>
      <c r="O123" s="154" t="s">
        <v>458</v>
      </c>
      <c r="P123" s="154" t="s">
        <v>109</v>
      </c>
      <c r="Q123" s="154" t="s">
        <v>110</v>
      </c>
      <c r="R123" s="154" t="s">
        <v>130</v>
      </c>
      <c r="S123" s="154" t="s">
        <v>459</v>
      </c>
      <c r="T123" s="157">
        <v>45978</v>
      </c>
      <c r="U123" s="158" cm="1">
        <f t="array" ref="U123">[15]!CalculateINPC(B123,T123,-1)*F123</f>
        <v>797.95461199998522</v>
      </c>
      <c r="V123" s="158">
        <f t="shared" si="1"/>
        <v>1640.9578495677501</v>
      </c>
    </row>
    <row r="124" spans="1:22">
      <c r="A124" s="154" t="s">
        <v>102</v>
      </c>
      <c r="B124" s="155">
        <v>43815</v>
      </c>
      <c r="C124" s="155">
        <v>43762</v>
      </c>
      <c r="D124" s="156">
        <v>697.5</v>
      </c>
      <c r="E124" s="156">
        <v>697.5</v>
      </c>
      <c r="F124" s="156">
        <v>697.5</v>
      </c>
      <c r="G124" s="154">
        <v>80892</v>
      </c>
      <c r="H124" s="154" t="s">
        <v>103</v>
      </c>
      <c r="I124" s="154" t="s">
        <v>460</v>
      </c>
      <c r="J124" s="154" t="s">
        <v>461</v>
      </c>
      <c r="K124" s="154">
        <v>10027</v>
      </c>
      <c r="L124" s="154" t="s">
        <v>106</v>
      </c>
      <c r="M124" s="154">
        <v>44</v>
      </c>
      <c r="N124" s="154" t="s">
        <v>107</v>
      </c>
      <c r="O124" s="154" t="s">
        <v>462</v>
      </c>
      <c r="P124" s="154" t="s">
        <v>109</v>
      </c>
      <c r="Q124" s="154" t="s">
        <v>110</v>
      </c>
      <c r="R124" s="154" t="s">
        <v>111</v>
      </c>
      <c r="S124" s="154" t="s">
        <v>192</v>
      </c>
      <c r="T124" s="157">
        <v>45978</v>
      </c>
      <c r="U124" s="158" cm="1">
        <f t="array" ref="U124">[15]!CalculateINPC(B124,T124,-1)*F124</f>
        <v>978.36806542500005</v>
      </c>
      <c r="V124" s="158">
        <f t="shared" si="1"/>
        <v>3374.0681766272965</v>
      </c>
    </row>
    <row r="125" spans="1:22">
      <c r="A125" s="154" t="s">
        <v>102</v>
      </c>
      <c r="B125" s="155">
        <v>43812</v>
      </c>
      <c r="C125" s="155">
        <v>43800</v>
      </c>
      <c r="D125" s="156">
        <v>858.55</v>
      </c>
      <c r="E125" s="156">
        <v>858.55</v>
      </c>
      <c r="F125" s="156">
        <v>858.55</v>
      </c>
      <c r="G125" s="154">
        <v>82733</v>
      </c>
      <c r="H125" s="154" t="s">
        <v>200</v>
      </c>
      <c r="I125" s="154" t="s">
        <v>119</v>
      </c>
      <c r="J125" s="154" t="s">
        <v>120</v>
      </c>
      <c r="K125" s="154">
        <v>10027</v>
      </c>
      <c r="L125" s="154" t="s">
        <v>106</v>
      </c>
      <c r="M125" s="154">
        <v>44</v>
      </c>
      <c r="N125" s="154" t="s">
        <v>107</v>
      </c>
      <c r="O125" s="154" t="s">
        <v>463</v>
      </c>
      <c r="P125" s="154" t="s">
        <v>137</v>
      </c>
      <c r="Q125" s="154" t="s">
        <v>138</v>
      </c>
      <c r="R125" s="154" t="s">
        <v>111</v>
      </c>
      <c r="S125" s="154" t="s">
        <v>464</v>
      </c>
      <c r="T125" s="157">
        <v>45978</v>
      </c>
      <c r="U125" s="158" cm="1">
        <f t="array" ref="U125">[15]!CalculateINPC(B125,T125,-1)*F125</f>
        <v>1204.2693943664999</v>
      </c>
      <c r="V125" s="158">
        <f t="shared" si="1"/>
        <v>4162.2174175388946</v>
      </c>
    </row>
    <row r="126" spans="1:22">
      <c r="A126" s="154" t="s">
        <v>102</v>
      </c>
      <c r="B126" s="155">
        <v>43812</v>
      </c>
      <c r="C126" s="155">
        <v>43800</v>
      </c>
      <c r="D126" s="156">
        <v>847.17</v>
      </c>
      <c r="E126" s="156">
        <v>847.17</v>
      </c>
      <c r="F126" s="156">
        <v>847.17</v>
      </c>
      <c r="G126" s="154">
        <v>82746</v>
      </c>
      <c r="H126" s="154" t="s">
        <v>200</v>
      </c>
      <c r="I126" s="154" t="s">
        <v>119</v>
      </c>
      <c r="J126" s="154" t="s">
        <v>120</v>
      </c>
      <c r="K126" s="154">
        <v>10027</v>
      </c>
      <c r="L126" s="154" t="s">
        <v>106</v>
      </c>
      <c r="M126" s="154">
        <v>44</v>
      </c>
      <c r="N126" s="154" t="s">
        <v>107</v>
      </c>
      <c r="O126" s="154" t="s">
        <v>465</v>
      </c>
      <c r="P126" s="154" t="s">
        <v>137</v>
      </c>
      <c r="Q126" s="154" t="s">
        <v>138</v>
      </c>
      <c r="R126" s="154" t="s">
        <v>111</v>
      </c>
      <c r="S126" s="154" t="s">
        <v>466</v>
      </c>
      <c r="T126" s="157">
        <v>45978</v>
      </c>
      <c r="U126" s="158" cm="1">
        <f t="array" ref="U126">[15]!CalculateINPC(B126,T126,-1)*F126</f>
        <v>1188.3069161091</v>
      </c>
      <c r="V126" s="158">
        <f t="shared" si="1"/>
        <v>4107.0476147183335</v>
      </c>
    </row>
    <row r="127" spans="1:22">
      <c r="A127" s="154" t="s">
        <v>102</v>
      </c>
      <c r="B127" s="155">
        <v>43812</v>
      </c>
      <c r="C127" s="155">
        <v>43800</v>
      </c>
      <c r="D127" s="156">
        <v>825.34</v>
      </c>
      <c r="E127" s="156">
        <v>825.34</v>
      </c>
      <c r="F127" s="156">
        <v>825.34</v>
      </c>
      <c r="G127" s="154">
        <v>82750</v>
      </c>
      <c r="H127" s="154" t="s">
        <v>200</v>
      </c>
      <c r="I127" s="154" t="s">
        <v>119</v>
      </c>
      <c r="J127" s="154" t="s">
        <v>120</v>
      </c>
      <c r="K127" s="154">
        <v>10027</v>
      </c>
      <c r="L127" s="154" t="s">
        <v>106</v>
      </c>
      <c r="M127" s="154">
        <v>44</v>
      </c>
      <c r="N127" s="154" t="s">
        <v>107</v>
      </c>
      <c r="O127" s="154" t="s">
        <v>467</v>
      </c>
      <c r="P127" s="154" t="s">
        <v>137</v>
      </c>
      <c r="Q127" s="154" t="s">
        <v>138</v>
      </c>
      <c r="R127" s="154" t="s">
        <v>111</v>
      </c>
      <c r="S127" s="154" t="s">
        <v>468</v>
      </c>
      <c r="T127" s="157">
        <v>45978</v>
      </c>
      <c r="U127" s="158" cm="1">
        <f t="array" ref="U127">[15]!CalculateINPC(B127,T127,-1)*F127</f>
        <v>1157.6864503482</v>
      </c>
      <c r="V127" s="158">
        <f t="shared" si="1"/>
        <v>4001.216613349894</v>
      </c>
    </row>
    <row r="128" spans="1:22">
      <c r="A128" s="154" t="s">
        <v>102</v>
      </c>
      <c r="B128" s="155">
        <v>43812</v>
      </c>
      <c r="C128" s="155">
        <v>43800</v>
      </c>
      <c r="D128" s="156">
        <v>814.9</v>
      </c>
      <c r="E128" s="156">
        <v>814.9</v>
      </c>
      <c r="F128" s="156">
        <v>814.9</v>
      </c>
      <c r="G128" s="154">
        <v>82749</v>
      </c>
      <c r="H128" s="154" t="s">
        <v>200</v>
      </c>
      <c r="I128" s="154" t="s">
        <v>119</v>
      </c>
      <c r="J128" s="154" t="s">
        <v>120</v>
      </c>
      <c r="K128" s="154">
        <v>10027</v>
      </c>
      <c r="L128" s="154" t="s">
        <v>106</v>
      </c>
      <c r="M128" s="154">
        <v>44</v>
      </c>
      <c r="N128" s="154" t="s">
        <v>107</v>
      </c>
      <c r="O128" s="154" t="s">
        <v>469</v>
      </c>
      <c r="P128" s="154" t="s">
        <v>137</v>
      </c>
      <c r="Q128" s="154" t="s">
        <v>138</v>
      </c>
      <c r="R128" s="154" t="s">
        <v>111</v>
      </c>
      <c r="S128" s="154" t="s">
        <v>470</v>
      </c>
      <c r="T128" s="157">
        <v>45978</v>
      </c>
      <c r="U128" s="158" cm="1">
        <f t="array" ref="U128">[15]!CalculateINPC(B128,T128,-1)*F128</f>
        <v>1143.0424896269999</v>
      </c>
      <c r="V128" s="158">
        <f t="shared" si="1"/>
        <v>3950.6038944178499</v>
      </c>
    </row>
    <row r="129" spans="1:22">
      <c r="A129" s="154" t="s">
        <v>102</v>
      </c>
      <c r="B129" s="155">
        <v>43812</v>
      </c>
      <c r="C129" s="155">
        <v>43800</v>
      </c>
      <c r="D129" s="156">
        <v>803.29</v>
      </c>
      <c r="E129" s="156">
        <v>803.29</v>
      </c>
      <c r="F129" s="156">
        <v>803.29</v>
      </c>
      <c r="G129" s="154">
        <v>82747</v>
      </c>
      <c r="H129" s="154" t="s">
        <v>200</v>
      </c>
      <c r="I129" s="154" t="s">
        <v>119</v>
      </c>
      <c r="J129" s="154" t="s">
        <v>120</v>
      </c>
      <c r="K129" s="154">
        <v>10027</v>
      </c>
      <c r="L129" s="154" t="s">
        <v>106</v>
      </c>
      <c r="M129" s="154">
        <v>44</v>
      </c>
      <c r="N129" s="154" t="s">
        <v>107</v>
      </c>
      <c r="O129" s="154" t="s">
        <v>471</v>
      </c>
      <c r="P129" s="154" t="s">
        <v>137</v>
      </c>
      <c r="Q129" s="154" t="s">
        <v>138</v>
      </c>
      <c r="R129" s="154" t="s">
        <v>111</v>
      </c>
      <c r="S129" s="154" t="s">
        <v>472</v>
      </c>
      <c r="T129" s="157">
        <v>45978</v>
      </c>
      <c r="U129" s="158" cm="1">
        <f t="array" ref="U129">[15]!CalculateINPC(B129,T129,-1)*F129</f>
        <v>1126.7573953767001</v>
      </c>
      <c r="V129" s="158">
        <f t="shared" si="1"/>
        <v>3894.3190604330771</v>
      </c>
    </row>
    <row r="130" spans="1:22">
      <c r="A130" s="154" t="s">
        <v>102</v>
      </c>
      <c r="B130" s="155">
        <v>43812</v>
      </c>
      <c r="C130" s="155">
        <v>43800</v>
      </c>
      <c r="D130" s="156">
        <v>782.62</v>
      </c>
      <c r="E130" s="156">
        <v>782.62</v>
      </c>
      <c r="F130" s="156">
        <v>782.62</v>
      </c>
      <c r="G130" s="154">
        <v>82745</v>
      </c>
      <c r="H130" s="154" t="s">
        <v>200</v>
      </c>
      <c r="I130" s="154" t="s">
        <v>119</v>
      </c>
      <c r="J130" s="154" t="s">
        <v>120</v>
      </c>
      <c r="K130" s="154">
        <v>10027</v>
      </c>
      <c r="L130" s="154" t="s">
        <v>106</v>
      </c>
      <c r="M130" s="154">
        <v>44</v>
      </c>
      <c r="N130" s="154" t="s">
        <v>107</v>
      </c>
      <c r="O130" s="154" t="s">
        <v>473</v>
      </c>
      <c r="P130" s="154" t="s">
        <v>137</v>
      </c>
      <c r="Q130" s="154" t="s">
        <v>138</v>
      </c>
      <c r="R130" s="154" t="s">
        <v>111</v>
      </c>
      <c r="S130" s="154" t="s">
        <v>474</v>
      </c>
      <c r="T130" s="157">
        <v>45978</v>
      </c>
      <c r="U130" s="158" cm="1">
        <f t="array" ref="U130">[15]!CalculateINPC(B130,T130,-1)*F130</f>
        <v>1097.7640363626001</v>
      </c>
      <c r="V130" s="158">
        <f t="shared" si="1"/>
        <v>3794.1116945015315</v>
      </c>
    </row>
    <row r="131" spans="1:22">
      <c r="A131" s="154" t="s">
        <v>102</v>
      </c>
      <c r="B131" s="155">
        <v>43812</v>
      </c>
      <c r="C131" s="155">
        <v>43800</v>
      </c>
      <c r="D131" s="156">
        <v>782.62</v>
      </c>
      <c r="E131" s="156">
        <v>782.62</v>
      </c>
      <c r="F131" s="156">
        <v>782.62</v>
      </c>
      <c r="G131" s="154">
        <v>82752</v>
      </c>
      <c r="H131" s="154" t="s">
        <v>200</v>
      </c>
      <c r="I131" s="154" t="s">
        <v>119</v>
      </c>
      <c r="J131" s="154" t="s">
        <v>120</v>
      </c>
      <c r="K131" s="154">
        <v>10027</v>
      </c>
      <c r="L131" s="154" t="s">
        <v>106</v>
      </c>
      <c r="M131" s="154">
        <v>44</v>
      </c>
      <c r="N131" s="154" t="s">
        <v>107</v>
      </c>
      <c r="O131" s="154" t="s">
        <v>475</v>
      </c>
      <c r="P131" s="154" t="s">
        <v>137</v>
      </c>
      <c r="Q131" s="154" t="s">
        <v>138</v>
      </c>
      <c r="R131" s="154" t="s">
        <v>111</v>
      </c>
      <c r="S131" s="154" t="s">
        <v>476</v>
      </c>
      <c r="T131" s="157">
        <v>45978</v>
      </c>
      <c r="U131" s="158" cm="1">
        <f t="array" ref="U131">[15]!CalculateINPC(B131,T131,-1)*F131</f>
        <v>1097.7640363626001</v>
      </c>
      <c r="V131" s="158">
        <f t="shared" ref="V131:V194" si="2">F131*1.3^((T131-B131)/360)</f>
        <v>3794.1116945015315</v>
      </c>
    </row>
    <row r="132" spans="1:22">
      <c r="A132" s="154" t="s">
        <v>102</v>
      </c>
      <c r="B132" s="155">
        <v>43812</v>
      </c>
      <c r="C132" s="155">
        <v>43800</v>
      </c>
      <c r="D132" s="156">
        <v>779.9</v>
      </c>
      <c r="E132" s="156">
        <v>779.9</v>
      </c>
      <c r="F132" s="156">
        <v>779.9</v>
      </c>
      <c r="G132" s="154">
        <v>82753</v>
      </c>
      <c r="H132" s="154" t="s">
        <v>200</v>
      </c>
      <c r="I132" s="154" t="s">
        <v>119</v>
      </c>
      <c r="J132" s="154" t="s">
        <v>120</v>
      </c>
      <c r="K132" s="154">
        <v>10027</v>
      </c>
      <c r="L132" s="154" t="s">
        <v>106</v>
      </c>
      <c r="M132" s="154">
        <v>44</v>
      </c>
      <c r="N132" s="154" t="s">
        <v>107</v>
      </c>
      <c r="O132" s="154" t="s">
        <v>477</v>
      </c>
      <c r="P132" s="154" t="s">
        <v>137</v>
      </c>
      <c r="Q132" s="154" t="s">
        <v>138</v>
      </c>
      <c r="R132" s="154" t="s">
        <v>111</v>
      </c>
      <c r="S132" s="154" t="s">
        <v>478</v>
      </c>
      <c r="T132" s="157">
        <v>45978</v>
      </c>
      <c r="U132" s="158" cm="1">
        <f t="array" ref="U132">[15]!CalculateINPC(B132,T132,-1)*F132</f>
        <v>1093.9487515769999</v>
      </c>
      <c r="V132" s="158">
        <f t="shared" si="2"/>
        <v>3780.9252389943322</v>
      </c>
    </row>
    <row r="133" spans="1:22">
      <c r="A133" s="154" t="s">
        <v>102</v>
      </c>
      <c r="B133" s="155">
        <v>45734</v>
      </c>
      <c r="C133" s="155">
        <v>45717</v>
      </c>
      <c r="D133" s="156">
        <v>802.34</v>
      </c>
      <c r="E133" s="156">
        <v>667.49999999999795</v>
      </c>
      <c r="F133" s="156">
        <v>667.49999999999795</v>
      </c>
      <c r="G133" s="154">
        <v>242129</v>
      </c>
      <c r="H133" s="154" t="s">
        <v>331</v>
      </c>
      <c r="I133" s="154" t="s">
        <v>316</v>
      </c>
      <c r="J133" s="154" t="s">
        <v>317</v>
      </c>
      <c r="K133" s="154">
        <v>10027</v>
      </c>
      <c r="L133" s="154" t="s">
        <v>106</v>
      </c>
      <c r="M133" s="154">
        <v>44</v>
      </c>
      <c r="N133" s="154" t="s">
        <v>107</v>
      </c>
      <c r="O133" s="154" t="s">
        <v>479</v>
      </c>
      <c r="P133" s="154" t="s">
        <v>109</v>
      </c>
      <c r="Q133" s="154" t="s">
        <v>110</v>
      </c>
      <c r="R133" s="154" t="s">
        <v>333</v>
      </c>
      <c r="S133" s="154" t="s">
        <v>480</v>
      </c>
      <c r="T133" s="157">
        <v>45978</v>
      </c>
      <c r="U133" s="158" cm="1">
        <f t="array" ref="U133">[15]!CalculateINPC(B133,T133,-1)*F133</f>
        <v>681.76683794999781</v>
      </c>
      <c r="V133" s="158">
        <f t="shared" si="2"/>
        <v>797.4060789751386</v>
      </c>
    </row>
    <row r="134" spans="1:22">
      <c r="A134" s="154" t="s">
        <v>257</v>
      </c>
      <c r="B134" s="155">
        <v>45777</v>
      </c>
      <c r="C134" s="155">
        <v>45748</v>
      </c>
      <c r="D134" s="156">
        <v>24067.09</v>
      </c>
      <c r="E134" s="156">
        <v>663.47999999996705</v>
      </c>
      <c r="F134" s="156">
        <v>663.47999999996705</v>
      </c>
      <c r="G134" s="154">
        <v>250893</v>
      </c>
      <c r="H134" s="154" t="s">
        <v>258</v>
      </c>
      <c r="I134" s="154" t="s">
        <v>243</v>
      </c>
      <c r="J134" s="154" t="s">
        <v>244</v>
      </c>
      <c r="K134" s="154">
        <v>10027</v>
      </c>
      <c r="L134" s="154" t="s">
        <v>106</v>
      </c>
      <c r="M134" s="154">
        <v>44</v>
      </c>
      <c r="N134" s="154" t="s">
        <v>107</v>
      </c>
      <c r="O134" s="154" t="s">
        <v>259</v>
      </c>
      <c r="P134" s="154" t="s">
        <v>260</v>
      </c>
      <c r="Q134" s="154" t="s">
        <v>261</v>
      </c>
      <c r="R134" s="154" t="s">
        <v>262</v>
      </c>
      <c r="S134" s="154" t="s">
        <v>481</v>
      </c>
      <c r="T134" s="157">
        <v>45978</v>
      </c>
      <c r="U134" s="158" cm="1">
        <f t="array" ref="U134">[15]!CalculateINPC(B134,T134,-1)*F134</f>
        <v>674.22241131476653</v>
      </c>
      <c r="V134" s="158">
        <f t="shared" si="2"/>
        <v>768.15030563834694</v>
      </c>
    </row>
    <row r="135" spans="1:22">
      <c r="A135" s="154" t="s">
        <v>102</v>
      </c>
      <c r="B135" s="155">
        <v>45189</v>
      </c>
      <c r="C135" s="155">
        <v>45141</v>
      </c>
      <c r="D135" s="156">
        <v>646.35</v>
      </c>
      <c r="E135" s="156">
        <v>646.35</v>
      </c>
      <c r="F135" s="156">
        <v>646.35</v>
      </c>
      <c r="G135" s="154">
        <v>178846</v>
      </c>
      <c r="H135" s="154" t="s">
        <v>103</v>
      </c>
      <c r="I135" s="154" t="s">
        <v>460</v>
      </c>
      <c r="J135" s="154" t="s">
        <v>461</v>
      </c>
      <c r="K135" s="154">
        <v>10027</v>
      </c>
      <c r="L135" s="154" t="s">
        <v>106</v>
      </c>
      <c r="M135" s="154">
        <v>44</v>
      </c>
      <c r="N135" s="154" t="s">
        <v>107</v>
      </c>
      <c r="O135" s="154" t="s">
        <v>482</v>
      </c>
      <c r="P135" s="154" t="s">
        <v>109</v>
      </c>
      <c r="Q135" s="154" t="s">
        <v>110</v>
      </c>
      <c r="R135" s="154" t="s">
        <v>111</v>
      </c>
      <c r="S135" s="154" t="s">
        <v>195</v>
      </c>
      <c r="T135" s="157">
        <v>45978</v>
      </c>
      <c r="U135" s="158" cm="1">
        <f t="array" ref="U135">[15]!CalculateINPC(B135,T135,-1)*F135</f>
        <v>708.06983222999997</v>
      </c>
      <c r="V135" s="158">
        <f t="shared" si="2"/>
        <v>1148.6655608091676</v>
      </c>
    </row>
    <row r="136" spans="1:22">
      <c r="A136" s="154" t="s">
        <v>102</v>
      </c>
      <c r="B136" s="155">
        <v>45111</v>
      </c>
      <c r="C136" s="155">
        <v>45098</v>
      </c>
      <c r="D136" s="156">
        <v>30765</v>
      </c>
      <c r="E136" s="156">
        <v>630.00000000004002</v>
      </c>
      <c r="F136" s="156">
        <v>630.00000000004002</v>
      </c>
      <c r="G136" s="154">
        <v>176220</v>
      </c>
      <c r="H136" s="154" t="s">
        <v>483</v>
      </c>
      <c r="I136" s="154" t="s">
        <v>189</v>
      </c>
      <c r="J136" s="154" t="s">
        <v>190</v>
      </c>
      <c r="K136" s="154">
        <v>10027</v>
      </c>
      <c r="L136" s="154" t="s">
        <v>106</v>
      </c>
      <c r="M136" s="154">
        <v>44</v>
      </c>
      <c r="N136" s="154" t="s">
        <v>107</v>
      </c>
      <c r="O136" s="154" t="s">
        <v>484</v>
      </c>
      <c r="P136" s="154" t="s">
        <v>109</v>
      </c>
      <c r="Q136" s="154" t="s">
        <v>110</v>
      </c>
      <c r="R136" s="154" t="s">
        <v>130</v>
      </c>
      <c r="S136" s="154" t="s">
        <v>485</v>
      </c>
      <c r="T136" s="157">
        <v>45978</v>
      </c>
      <c r="U136" s="158" cm="1">
        <f t="array" ref="U136">[15]!CalculateINPC(B136,T136,-1)*F136</f>
        <v>690.91624350004383</v>
      </c>
      <c r="V136" s="158">
        <f t="shared" si="2"/>
        <v>1185.0976117696639</v>
      </c>
    </row>
    <row r="137" spans="1:22">
      <c r="A137" s="154" t="s">
        <v>102</v>
      </c>
      <c r="B137" s="155">
        <v>45153</v>
      </c>
      <c r="C137" s="155">
        <v>45142</v>
      </c>
      <c r="D137" s="156">
        <v>1890</v>
      </c>
      <c r="E137" s="156">
        <v>620.00000000000398</v>
      </c>
      <c r="F137" s="156">
        <v>620.00000000000398</v>
      </c>
      <c r="G137" s="154">
        <v>179152</v>
      </c>
      <c r="H137" s="154" t="s">
        <v>486</v>
      </c>
      <c r="I137" s="154" t="s">
        <v>232</v>
      </c>
      <c r="J137" s="154" t="s">
        <v>233</v>
      </c>
      <c r="K137" s="154">
        <v>10027</v>
      </c>
      <c r="L137" s="154" t="s">
        <v>106</v>
      </c>
      <c r="M137" s="154">
        <v>44</v>
      </c>
      <c r="N137" s="154" t="s">
        <v>107</v>
      </c>
      <c r="O137" s="154" t="s">
        <v>487</v>
      </c>
      <c r="P137" s="154" t="s">
        <v>109</v>
      </c>
      <c r="Q137" s="154" t="s">
        <v>110</v>
      </c>
      <c r="R137" s="154" t="s">
        <v>362</v>
      </c>
      <c r="S137" s="154" t="s">
        <v>488</v>
      </c>
      <c r="T137" s="157">
        <v>45978</v>
      </c>
      <c r="U137" s="158" cm="1">
        <f t="array" ref="U137">[15]!CalculateINPC(B137,T137,-1)*F137</f>
        <v>680.56205260000434</v>
      </c>
      <c r="V137" s="158">
        <f t="shared" si="2"/>
        <v>1131.1283094192754</v>
      </c>
    </row>
    <row r="138" spans="1:22">
      <c r="A138" s="154" t="s">
        <v>102</v>
      </c>
      <c r="B138" s="155">
        <v>45075</v>
      </c>
      <c r="C138" s="155">
        <v>45071</v>
      </c>
      <c r="D138" s="156">
        <v>600</v>
      </c>
      <c r="E138" s="156">
        <v>600</v>
      </c>
      <c r="F138" s="156">
        <v>600</v>
      </c>
      <c r="G138" s="154">
        <v>174427</v>
      </c>
      <c r="H138" s="154" t="s">
        <v>236</v>
      </c>
      <c r="I138" s="154" t="s">
        <v>237</v>
      </c>
      <c r="J138" s="154" t="s">
        <v>238</v>
      </c>
      <c r="K138" s="154">
        <v>10027</v>
      </c>
      <c r="L138" s="154" t="s">
        <v>106</v>
      </c>
      <c r="M138" s="154">
        <v>44</v>
      </c>
      <c r="N138" s="154" t="s">
        <v>107</v>
      </c>
      <c r="O138" s="154" t="s">
        <v>489</v>
      </c>
      <c r="P138" s="154" t="s">
        <v>109</v>
      </c>
      <c r="Q138" s="154" t="s">
        <v>110</v>
      </c>
      <c r="R138" s="154" t="s">
        <v>240</v>
      </c>
      <c r="S138" s="154" t="s">
        <v>490</v>
      </c>
      <c r="T138" s="157">
        <v>45978</v>
      </c>
      <c r="U138" s="158" cm="1">
        <f t="array" ref="U138">[15]!CalculateINPC(B138,T138,-1)*F138</f>
        <v>659.72456999999997</v>
      </c>
      <c r="V138" s="158">
        <f t="shared" si="2"/>
        <v>1158.6683902289499</v>
      </c>
    </row>
    <row r="139" spans="1:22">
      <c r="A139" s="154" t="s">
        <v>102</v>
      </c>
      <c r="B139" s="155">
        <v>45184</v>
      </c>
      <c r="C139" s="155">
        <v>45163</v>
      </c>
      <c r="D139" s="156">
        <v>2430</v>
      </c>
      <c r="E139" s="156">
        <v>599.99999999999102</v>
      </c>
      <c r="F139" s="156">
        <v>599.99999999999102</v>
      </c>
      <c r="G139" s="154">
        <v>181473</v>
      </c>
      <c r="H139" s="154" t="s">
        <v>307</v>
      </c>
      <c r="I139" s="154" t="s">
        <v>232</v>
      </c>
      <c r="J139" s="154" t="s">
        <v>233</v>
      </c>
      <c r="K139" s="154">
        <v>10027</v>
      </c>
      <c r="L139" s="154" t="s">
        <v>106</v>
      </c>
      <c r="M139" s="154">
        <v>44</v>
      </c>
      <c r="N139" s="154" t="s">
        <v>107</v>
      </c>
      <c r="O139" s="154" t="s">
        <v>491</v>
      </c>
      <c r="P139" s="154" t="s">
        <v>109</v>
      </c>
      <c r="Q139" s="154" t="s">
        <v>110</v>
      </c>
      <c r="R139" s="154" t="s">
        <v>130</v>
      </c>
      <c r="S139" s="154" t="s">
        <v>492</v>
      </c>
      <c r="T139" s="157">
        <v>45978</v>
      </c>
      <c r="U139" s="158" cm="1">
        <f t="array" ref="U139">[15]!CalculateINPC(B139,T139,-1)*F139</f>
        <v>657.29387999999017</v>
      </c>
      <c r="V139" s="158">
        <f t="shared" si="2"/>
        <v>1070.1869333813127</v>
      </c>
    </row>
    <row r="140" spans="1:22">
      <c r="A140" s="154" t="s">
        <v>102</v>
      </c>
      <c r="B140" s="155">
        <v>45092</v>
      </c>
      <c r="C140" s="155">
        <v>45078</v>
      </c>
      <c r="D140" s="156">
        <v>34510.49</v>
      </c>
      <c r="E140" s="156">
        <v>620.47958174735595</v>
      </c>
      <c r="F140" s="156">
        <v>582.3199999998759</v>
      </c>
      <c r="G140" s="154">
        <v>175227</v>
      </c>
      <c r="H140" s="154" t="s">
        <v>493</v>
      </c>
      <c r="I140" s="154" t="s">
        <v>442</v>
      </c>
      <c r="J140" s="154" t="s">
        <v>443</v>
      </c>
      <c r="K140" s="154">
        <v>10027</v>
      </c>
      <c r="L140" s="154" t="s">
        <v>106</v>
      </c>
      <c r="M140" s="154">
        <v>44</v>
      </c>
      <c r="N140" s="154" t="s">
        <v>107</v>
      </c>
      <c r="O140" s="154" t="s">
        <v>494</v>
      </c>
      <c r="P140" s="154" t="s">
        <v>137</v>
      </c>
      <c r="Q140" s="154" t="s">
        <v>138</v>
      </c>
      <c r="R140" s="154" t="s">
        <v>130</v>
      </c>
      <c r="S140" s="154" t="s">
        <v>495</v>
      </c>
      <c r="T140" s="157">
        <v>45978</v>
      </c>
      <c r="U140" s="158" cm="1">
        <f t="array" ref="U140">[15]!CalculateINPC(B140,T140,-1)*F140</f>
        <v>637.9876257694641</v>
      </c>
      <c r="V140" s="158">
        <f t="shared" si="2"/>
        <v>1110.6800132179121</v>
      </c>
    </row>
    <row r="141" spans="1:22">
      <c r="A141" s="154" t="s">
        <v>102</v>
      </c>
      <c r="B141" s="155">
        <v>44369</v>
      </c>
      <c r="C141" s="155">
        <v>44354</v>
      </c>
      <c r="D141" s="156">
        <v>581.20000000000005</v>
      </c>
      <c r="E141" s="156">
        <v>581.20000000000005</v>
      </c>
      <c r="F141" s="156">
        <v>581.20000000000005</v>
      </c>
      <c r="G141" s="154">
        <v>111592</v>
      </c>
      <c r="H141" s="154" t="s">
        <v>236</v>
      </c>
      <c r="I141" s="154" t="s">
        <v>237</v>
      </c>
      <c r="J141" s="154" t="s">
        <v>238</v>
      </c>
      <c r="K141" s="154">
        <v>10027</v>
      </c>
      <c r="L141" s="154" t="s">
        <v>106</v>
      </c>
      <c r="M141" s="154">
        <v>44</v>
      </c>
      <c r="N141" s="154" t="s">
        <v>107</v>
      </c>
      <c r="O141" s="154" t="s">
        <v>496</v>
      </c>
      <c r="P141" s="154" t="s">
        <v>109</v>
      </c>
      <c r="Q141" s="154" t="s">
        <v>110</v>
      </c>
      <c r="R141" s="154" t="s">
        <v>240</v>
      </c>
      <c r="S141" s="154" t="s">
        <v>497</v>
      </c>
      <c r="T141" s="157">
        <v>45978</v>
      </c>
      <c r="U141" s="158" cm="1">
        <f t="array" ref="U141">[15]!CalculateINPC(B141,T141,-1)*F141</f>
        <v>739.17655901199998</v>
      </c>
      <c r="V141" s="158">
        <f t="shared" si="2"/>
        <v>1877.5395261145986</v>
      </c>
    </row>
    <row r="142" spans="1:22">
      <c r="A142" s="154" t="s">
        <v>102</v>
      </c>
      <c r="B142" s="155">
        <v>44734</v>
      </c>
      <c r="C142" s="155">
        <v>44722</v>
      </c>
      <c r="D142" s="156">
        <v>503.11</v>
      </c>
      <c r="E142" s="156">
        <v>503.11</v>
      </c>
      <c r="F142" s="156">
        <v>503.11</v>
      </c>
      <c r="G142" s="154">
        <v>151748</v>
      </c>
      <c r="H142" s="154" t="s">
        <v>498</v>
      </c>
      <c r="I142" s="154" t="s">
        <v>114</v>
      </c>
      <c r="J142" s="154" t="s">
        <v>115</v>
      </c>
      <c r="K142" s="154">
        <v>10027</v>
      </c>
      <c r="L142" s="154" t="s">
        <v>106</v>
      </c>
      <c r="M142" s="154">
        <v>44</v>
      </c>
      <c r="N142" s="154" t="s">
        <v>107</v>
      </c>
      <c r="O142" s="154" t="s">
        <v>499</v>
      </c>
      <c r="P142" s="154" t="s">
        <v>109</v>
      </c>
      <c r="Q142" s="154" t="s">
        <v>110</v>
      </c>
      <c r="R142" s="154" t="s">
        <v>240</v>
      </c>
      <c r="S142" s="154" t="s">
        <v>500</v>
      </c>
      <c r="T142" s="157">
        <v>45978</v>
      </c>
      <c r="U142" s="158" cm="1">
        <f t="array" ref="U142">[15]!CalculateINPC(B142,T142,-1)*F142</f>
        <v>571.82796861070005</v>
      </c>
      <c r="V142" s="158">
        <f t="shared" si="2"/>
        <v>1245.6629108706186</v>
      </c>
    </row>
    <row r="143" spans="1:22">
      <c r="A143" s="154" t="s">
        <v>102</v>
      </c>
      <c r="B143" s="155">
        <v>45090</v>
      </c>
      <c r="C143" s="155">
        <v>45079</v>
      </c>
      <c r="D143" s="156">
        <v>650</v>
      </c>
      <c r="E143" s="156">
        <v>500.00000000000102</v>
      </c>
      <c r="F143" s="156">
        <v>500.00000000000102</v>
      </c>
      <c r="G143" s="154">
        <v>174931</v>
      </c>
      <c r="H143" s="154" t="s">
        <v>486</v>
      </c>
      <c r="I143" s="154" t="s">
        <v>226</v>
      </c>
      <c r="J143" s="154" t="s">
        <v>227</v>
      </c>
      <c r="K143" s="154">
        <v>10027</v>
      </c>
      <c r="L143" s="154" t="s">
        <v>106</v>
      </c>
      <c r="M143" s="154">
        <v>44</v>
      </c>
      <c r="N143" s="154" t="s">
        <v>107</v>
      </c>
      <c r="O143" s="154" t="s">
        <v>501</v>
      </c>
      <c r="P143" s="154" t="s">
        <v>137</v>
      </c>
      <c r="Q143" s="154" t="s">
        <v>138</v>
      </c>
      <c r="R143" s="154" t="s">
        <v>362</v>
      </c>
      <c r="S143" s="154" t="s">
        <v>502</v>
      </c>
      <c r="T143" s="157">
        <v>45978</v>
      </c>
      <c r="U143" s="158" cm="1">
        <f t="array" ref="U143">[15]!CalculateINPC(B143,T143,-1)*F143</f>
        <v>547.79814000000113</v>
      </c>
      <c r="V143" s="158">
        <f t="shared" si="2"/>
        <v>955.05915799689569</v>
      </c>
    </row>
    <row r="144" spans="1:22">
      <c r="A144" s="154" t="s">
        <v>102</v>
      </c>
      <c r="B144" s="155">
        <v>45082</v>
      </c>
      <c r="C144" s="155">
        <v>45063</v>
      </c>
      <c r="D144" s="156">
        <v>500</v>
      </c>
      <c r="E144" s="156">
        <v>500</v>
      </c>
      <c r="F144" s="156">
        <v>500</v>
      </c>
      <c r="G144" s="154">
        <v>174769</v>
      </c>
      <c r="H144" s="154" t="s">
        <v>236</v>
      </c>
      <c r="I144" s="154" t="s">
        <v>237</v>
      </c>
      <c r="J144" s="154" t="s">
        <v>238</v>
      </c>
      <c r="K144" s="154">
        <v>10027</v>
      </c>
      <c r="L144" s="154" t="s">
        <v>106</v>
      </c>
      <c r="M144" s="154">
        <v>44</v>
      </c>
      <c r="N144" s="154" t="s">
        <v>107</v>
      </c>
      <c r="O144" s="154" t="s">
        <v>503</v>
      </c>
      <c r="P144" s="154" t="s">
        <v>109</v>
      </c>
      <c r="Q144" s="154" t="s">
        <v>110</v>
      </c>
      <c r="R144" s="154" t="s">
        <v>240</v>
      </c>
      <c r="S144" s="154" t="s">
        <v>504</v>
      </c>
      <c r="T144" s="157">
        <v>45978</v>
      </c>
      <c r="U144" s="158" cm="1">
        <f t="array" ref="U144">[15]!CalculateINPC(B144,T144,-1)*F144</f>
        <v>547.79813999999999</v>
      </c>
      <c r="V144" s="158">
        <f t="shared" si="2"/>
        <v>960.64371969346234</v>
      </c>
    </row>
    <row r="145" spans="1:22">
      <c r="A145" s="154" t="s">
        <v>102</v>
      </c>
      <c r="B145" s="155">
        <v>44421</v>
      </c>
      <c r="C145" s="155">
        <v>44412</v>
      </c>
      <c r="D145" s="156">
        <v>500</v>
      </c>
      <c r="E145" s="156">
        <v>500</v>
      </c>
      <c r="F145" s="156">
        <v>500</v>
      </c>
      <c r="G145" s="154">
        <v>114011</v>
      </c>
      <c r="H145" s="154" t="s">
        <v>236</v>
      </c>
      <c r="I145" s="154" t="s">
        <v>126</v>
      </c>
      <c r="J145" s="154" t="s">
        <v>127</v>
      </c>
      <c r="K145" s="154">
        <v>10027</v>
      </c>
      <c r="L145" s="154" t="s">
        <v>106</v>
      </c>
      <c r="M145" s="154">
        <v>44</v>
      </c>
      <c r="N145" s="154" t="s">
        <v>107</v>
      </c>
      <c r="O145" s="154" t="s">
        <v>505</v>
      </c>
      <c r="P145" s="154" t="s">
        <v>109</v>
      </c>
      <c r="Q145" s="154" t="s">
        <v>110</v>
      </c>
      <c r="R145" s="154" t="s">
        <v>399</v>
      </c>
      <c r="S145" s="154" t="s">
        <v>506</v>
      </c>
      <c r="T145" s="157">
        <v>45978</v>
      </c>
      <c r="U145" s="158" cm="1">
        <f t="array" ref="U145">[15]!CalculateINPC(B145,T145,-1)*F145</f>
        <v>625.73056500000007</v>
      </c>
      <c r="V145" s="158">
        <f t="shared" si="2"/>
        <v>1555.1597341194404</v>
      </c>
    </row>
    <row r="146" spans="1:22">
      <c r="A146" s="154" t="s">
        <v>102</v>
      </c>
      <c r="B146" s="155">
        <v>43878</v>
      </c>
      <c r="C146" s="155">
        <v>43862</v>
      </c>
      <c r="D146" s="156">
        <v>866.15</v>
      </c>
      <c r="E146" s="156">
        <v>480.299999999997</v>
      </c>
      <c r="F146" s="156">
        <v>480.299999999997</v>
      </c>
      <c r="G146" s="154">
        <v>85907</v>
      </c>
      <c r="H146" s="154" t="s">
        <v>315</v>
      </c>
      <c r="I146" s="154" t="s">
        <v>282</v>
      </c>
      <c r="J146" s="154" t="s">
        <v>283</v>
      </c>
      <c r="K146" s="154">
        <v>10027</v>
      </c>
      <c r="L146" s="154" t="s">
        <v>106</v>
      </c>
      <c r="M146" s="154">
        <v>44</v>
      </c>
      <c r="N146" s="154" t="s">
        <v>107</v>
      </c>
      <c r="O146" s="154" t="s">
        <v>507</v>
      </c>
      <c r="P146" s="154" t="s">
        <v>109</v>
      </c>
      <c r="Q146" s="154" t="s">
        <v>110</v>
      </c>
      <c r="R146" s="154" t="s">
        <v>240</v>
      </c>
      <c r="S146" s="154" t="s">
        <v>508</v>
      </c>
      <c r="T146" s="157">
        <v>45978</v>
      </c>
      <c r="U146" s="158" cm="1">
        <f t="array" ref="U146">[15]!CalculateINPC(B146,T146,-1)*F146</f>
        <v>664.32414965399585</v>
      </c>
      <c r="V146" s="158">
        <f t="shared" si="2"/>
        <v>2219.1269196271915</v>
      </c>
    </row>
    <row r="147" spans="1:22">
      <c r="A147" s="154" t="s">
        <v>102</v>
      </c>
      <c r="B147" s="155">
        <v>44882</v>
      </c>
      <c r="C147" s="155">
        <v>44881</v>
      </c>
      <c r="D147" s="156">
        <v>751.34</v>
      </c>
      <c r="E147" s="156">
        <v>751.34</v>
      </c>
      <c r="F147" s="156">
        <v>751.34</v>
      </c>
      <c r="G147" s="154">
        <v>161710</v>
      </c>
      <c r="H147" s="154" t="s">
        <v>200</v>
      </c>
      <c r="I147" s="154" t="s">
        <v>119</v>
      </c>
      <c r="J147" s="154" t="s">
        <v>120</v>
      </c>
      <c r="K147" s="154">
        <v>10027</v>
      </c>
      <c r="L147" s="154" t="s">
        <v>106</v>
      </c>
      <c r="M147" s="154">
        <v>44</v>
      </c>
      <c r="N147" s="154" t="s">
        <v>107</v>
      </c>
      <c r="O147" s="154" t="s">
        <v>509</v>
      </c>
      <c r="P147" s="154" t="s">
        <v>109</v>
      </c>
      <c r="Q147" s="154" t="s">
        <v>110</v>
      </c>
      <c r="R147" s="154" t="s">
        <v>117</v>
      </c>
      <c r="S147" s="154" t="s">
        <v>510</v>
      </c>
      <c r="T147" s="157">
        <v>45978</v>
      </c>
      <c r="U147" s="158" cm="1">
        <f t="array" ref="U147">[15]!CalculateINPC(B147,T147,-1)*F147</f>
        <v>855.20868273720009</v>
      </c>
      <c r="V147" s="158">
        <f t="shared" si="2"/>
        <v>1670.0547785261629</v>
      </c>
    </row>
    <row r="148" spans="1:22">
      <c r="A148" s="154" t="s">
        <v>102</v>
      </c>
      <c r="B148" s="155">
        <v>45189</v>
      </c>
      <c r="C148" s="155">
        <v>45139</v>
      </c>
      <c r="D148" s="156">
        <v>619.61</v>
      </c>
      <c r="E148" s="156">
        <v>468.48560975609797</v>
      </c>
      <c r="F148" s="156">
        <v>468.48560975609797</v>
      </c>
      <c r="G148" s="154">
        <v>178848</v>
      </c>
      <c r="H148" s="154" t="s">
        <v>103</v>
      </c>
      <c r="I148" s="154" t="s">
        <v>460</v>
      </c>
      <c r="J148" s="154" t="s">
        <v>461</v>
      </c>
      <c r="K148" s="154">
        <v>10027</v>
      </c>
      <c r="L148" s="154" t="s">
        <v>106</v>
      </c>
      <c r="M148" s="154">
        <v>44</v>
      </c>
      <c r="N148" s="154" t="s">
        <v>107</v>
      </c>
      <c r="O148" s="154" t="s">
        <v>511</v>
      </c>
      <c r="P148" s="154" t="s">
        <v>109</v>
      </c>
      <c r="Q148" s="154" t="s">
        <v>110</v>
      </c>
      <c r="R148" s="154" t="s">
        <v>111</v>
      </c>
      <c r="S148" s="154" t="s">
        <v>211</v>
      </c>
      <c r="T148" s="157">
        <v>45978</v>
      </c>
      <c r="U148" s="158" cm="1">
        <f t="array" ref="U148">[15]!CalculateINPC(B148,T148,-1)*F148</f>
        <v>513.22120693458578</v>
      </c>
      <c r="V148" s="158">
        <f t="shared" si="2"/>
        <v>832.57257780074735</v>
      </c>
    </row>
    <row r="149" spans="1:22">
      <c r="A149" s="154" t="s">
        <v>102</v>
      </c>
      <c r="B149" s="155">
        <v>45070</v>
      </c>
      <c r="C149" s="155">
        <v>45057</v>
      </c>
      <c r="D149" s="156">
        <v>463</v>
      </c>
      <c r="E149" s="156">
        <v>463</v>
      </c>
      <c r="F149" s="156">
        <v>463</v>
      </c>
      <c r="G149" s="154">
        <v>174198</v>
      </c>
      <c r="H149" s="154" t="s">
        <v>236</v>
      </c>
      <c r="I149" s="154" t="s">
        <v>237</v>
      </c>
      <c r="J149" s="154" t="s">
        <v>238</v>
      </c>
      <c r="K149" s="154">
        <v>10027</v>
      </c>
      <c r="L149" s="154" t="s">
        <v>106</v>
      </c>
      <c r="M149" s="154">
        <v>44</v>
      </c>
      <c r="N149" s="154" t="s">
        <v>107</v>
      </c>
      <c r="O149" s="154" t="s">
        <v>512</v>
      </c>
      <c r="P149" s="154" t="s">
        <v>109</v>
      </c>
      <c r="Q149" s="154" t="s">
        <v>110</v>
      </c>
      <c r="R149" s="154" t="s">
        <v>240</v>
      </c>
      <c r="S149" s="154" t="s">
        <v>513</v>
      </c>
      <c r="T149" s="157">
        <v>45978</v>
      </c>
      <c r="U149" s="158" cm="1">
        <f t="array" ref="U149">[15]!CalculateINPC(B149,T149,-1)*F149</f>
        <v>509.08745984999996</v>
      </c>
      <c r="V149" s="158">
        <f t="shared" si="2"/>
        <v>897.36979285890618</v>
      </c>
    </row>
    <row r="150" spans="1:22">
      <c r="A150" s="154" t="s">
        <v>102</v>
      </c>
      <c r="B150" s="155">
        <v>45189</v>
      </c>
      <c r="C150" s="155">
        <v>45139</v>
      </c>
      <c r="D150" s="156">
        <v>460.35</v>
      </c>
      <c r="E150" s="156">
        <v>460.35</v>
      </c>
      <c r="F150" s="156">
        <v>460.35</v>
      </c>
      <c r="G150" s="154">
        <v>178801</v>
      </c>
      <c r="H150" s="154" t="s">
        <v>103</v>
      </c>
      <c r="I150" s="154" t="s">
        <v>460</v>
      </c>
      <c r="J150" s="154" t="s">
        <v>461</v>
      </c>
      <c r="K150" s="154">
        <v>10027</v>
      </c>
      <c r="L150" s="154" t="s">
        <v>106</v>
      </c>
      <c r="M150" s="154">
        <v>44</v>
      </c>
      <c r="N150" s="154" t="s">
        <v>107</v>
      </c>
      <c r="O150" s="154" t="s">
        <v>514</v>
      </c>
      <c r="P150" s="154" t="s">
        <v>109</v>
      </c>
      <c r="Q150" s="154" t="s">
        <v>110</v>
      </c>
      <c r="R150" s="154" t="s">
        <v>111</v>
      </c>
      <c r="S150" s="154" t="s">
        <v>214</v>
      </c>
      <c r="T150" s="157">
        <v>45978</v>
      </c>
      <c r="U150" s="158" cm="1">
        <f t="array" ref="U150">[15]!CalculateINPC(B150,T150,-1)*F150</f>
        <v>504.30872943000003</v>
      </c>
      <c r="V150" s="158">
        <f t="shared" si="2"/>
        <v>818.11432028854381</v>
      </c>
    </row>
    <row r="151" spans="1:22">
      <c r="A151" s="154" t="s">
        <v>102</v>
      </c>
      <c r="B151" s="155">
        <v>45378</v>
      </c>
      <c r="C151" s="155">
        <v>45351</v>
      </c>
      <c r="D151" s="156">
        <v>28051.75</v>
      </c>
      <c r="E151" s="156">
        <v>452.4900000001</v>
      </c>
      <c r="F151" s="156">
        <v>452.4900000001</v>
      </c>
      <c r="G151" s="154">
        <v>194284</v>
      </c>
      <c r="H151" s="154" t="s">
        <v>395</v>
      </c>
      <c r="I151" s="154" t="s">
        <v>396</v>
      </c>
      <c r="J151" s="154" t="s">
        <v>397</v>
      </c>
      <c r="K151" s="154">
        <v>10027</v>
      </c>
      <c r="L151" s="154" t="s">
        <v>106</v>
      </c>
      <c r="M151" s="154">
        <v>44</v>
      </c>
      <c r="N151" s="154" t="s">
        <v>107</v>
      </c>
      <c r="O151" s="154" t="s">
        <v>515</v>
      </c>
      <c r="P151" s="154" t="s">
        <v>109</v>
      </c>
      <c r="Q151" s="154" t="s">
        <v>110</v>
      </c>
      <c r="R151" s="154" t="s">
        <v>399</v>
      </c>
      <c r="S151" s="154" t="s">
        <v>516</v>
      </c>
      <c r="T151" s="157">
        <v>45978</v>
      </c>
      <c r="U151" s="158" cm="1">
        <f t="array" ref="U151">[15]!CalculateINPC(B151,T151,-1)*F151</f>
        <v>484.65380820700705</v>
      </c>
      <c r="V151" s="158">
        <f t="shared" si="2"/>
        <v>700.67169382242889</v>
      </c>
    </row>
    <row r="152" spans="1:22">
      <c r="A152" s="154" t="s">
        <v>102</v>
      </c>
      <c r="B152" s="155">
        <v>44736</v>
      </c>
      <c r="C152" s="155">
        <v>44722</v>
      </c>
      <c r="D152" s="156">
        <v>33329</v>
      </c>
      <c r="E152" s="156">
        <v>451.26000000004802</v>
      </c>
      <c r="F152" s="156">
        <v>451.26000000004802</v>
      </c>
      <c r="G152" s="154">
        <v>151881</v>
      </c>
      <c r="H152" s="154" t="s">
        <v>310</v>
      </c>
      <c r="I152" s="154" t="s">
        <v>271</v>
      </c>
      <c r="J152" s="154" t="s">
        <v>272</v>
      </c>
      <c r="K152" s="154">
        <v>10027</v>
      </c>
      <c r="L152" s="154" t="s">
        <v>106</v>
      </c>
      <c r="M152" s="154">
        <v>44</v>
      </c>
      <c r="N152" s="154" t="s">
        <v>107</v>
      </c>
      <c r="O152" s="154" t="s">
        <v>517</v>
      </c>
      <c r="P152" s="154" t="s">
        <v>137</v>
      </c>
      <c r="Q152" s="154" t="s">
        <v>138</v>
      </c>
      <c r="R152" s="154" t="s">
        <v>130</v>
      </c>
      <c r="S152" s="154" t="s">
        <v>160</v>
      </c>
      <c r="T152" s="157">
        <v>45978</v>
      </c>
      <c r="U152" s="158" cm="1">
        <f t="array" ref="U152">[15]!CalculateINPC(B152,T152,-1)*F152</f>
        <v>512.89596532625467</v>
      </c>
      <c r="V152" s="158">
        <f t="shared" si="2"/>
        <v>1115.6588234862786</v>
      </c>
    </row>
    <row r="153" spans="1:22">
      <c r="A153" s="154" t="s">
        <v>102</v>
      </c>
      <c r="B153" s="155">
        <v>45575</v>
      </c>
      <c r="C153" s="155">
        <v>45566</v>
      </c>
      <c r="D153" s="156">
        <v>11070.77</v>
      </c>
      <c r="E153" s="156">
        <v>450.00000000003502</v>
      </c>
      <c r="F153" s="156">
        <v>422.32509572508201</v>
      </c>
      <c r="G153" s="154">
        <v>220081</v>
      </c>
      <c r="H153" s="154" t="s">
        <v>242</v>
      </c>
      <c r="I153" s="154" t="s">
        <v>189</v>
      </c>
      <c r="J153" s="154" t="s">
        <v>190</v>
      </c>
      <c r="K153" s="154">
        <v>10027</v>
      </c>
      <c r="L153" s="154" t="s">
        <v>106</v>
      </c>
      <c r="M153" s="154">
        <v>44</v>
      </c>
      <c r="N153" s="154" t="s">
        <v>107</v>
      </c>
      <c r="O153" s="154" t="s">
        <v>518</v>
      </c>
      <c r="P153" s="154" t="s">
        <v>109</v>
      </c>
      <c r="Q153" s="154" t="s">
        <v>110</v>
      </c>
      <c r="R153" s="154" t="s">
        <v>130</v>
      </c>
      <c r="S153" s="154" t="s">
        <v>519</v>
      </c>
      <c r="T153" s="157">
        <v>45978</v>
      </c>
      <c r="U153" s="158" cm="1">
        <f t="array" ref="U153">[15]!CalculateINPC(B153,T153,-1)*F153</f>
        <v>443.98022888697938</v>
      </c>
      <c r="V153" s="158">
        <f t="shared" si="2"/>
        <v>566.50029700567006</v>
      </c>
    </row>
    <row r="154" spans="1:22">
      <c r="A154" s="154" t="s">
        <v>102</v>
      </c>
      <c r="B154" s="155">
        <v>44768</v>
      </c>
      <c r="C154" s="155">
        <v>44767</v>
      </c>
      <c r="D154" s="156">
        <v>711.87</v>
      </c>
      <c r="E154" s="156">
        <v>711.87</v>
      </c>
      <c r="F154" s="156">
        <v>711.87</v>
      </c>
      <c r="G154" s="154">
        <v>154786</v>
      </c>
      <c r="H154" s="154" t="s">
        <v>200</v>
      </c>
      <c r="I154" s="154" t="s">
        <v>119</v>
      </c>
      <c r="J154" s="154" t="s">
        <v>120</v>
      </c>
      <c r="K154" s="154">
        <v>10027</v>
      </c>
      <c r="L154" s="154" t="s">
        <v>106</v>
      </c>
      <c r="M154" s="154">
        <v>44</v>
      </c>
      <c r="N154" s="154" t="s">
        <v>107</v>
      </c>
      <c r="O154" s="154" t="s">
        <v>520</v>
      </c>
      <c r="P154" s="154" t="s">
        <v>109</v>
      </c>
      <c r="Q154" s="154" t="s">
        <v>110</v>
      </c>
      <c r="R154" s="154" t="s">
        <v>117</v>
      </c>
      <c r="S154" s="154" t="s">
        <v>521</v>
      </c>
      <c r="T154" s="157">
        <v>45978</v>
      </c>
      <c r="U154" s="158" cm="1">
        <f t="array" ref="U154">[15]!CalculateINPC(B154,T154,-1)*F154</f>
        <v>804.11584444409993</v>
      </c>
      <c r="V154" s="158">
        <f t="shared" si="2"/>
        <v>1719.4001430396609</v>
      </c>
    </row>
    <row r="155" spans="1:22">
      <c r="A155" s="154" t="s">
        <v>102</v>
      </c>
      <c r="B155" s="155">
        <v>44516</v>
      </c>
      <c r="C155" s="155">
        <v>44505</v>
      </c>
      <c r="D155" s="156">
        <v>400</v>
      </c>
      <c r="E155" s="156">
        <v>400</v>
      </c>
      <c r="F155" s="156">
        <v>400</v>
      </c>
      <c r="G155" s="154">
        <v>118564</v>
      </c>
      <c r="H155" s="154" t="s">
        <v>236</v>
      </c>
      <c r="I155" s="154" t="s">
        <v>126</v>
      </c>
      <c r="J155" s="154" t="s">
        <v>127</v>
      </c>
      <c r="K155" s="154">
        <v>10027</v>
      </c>
      <c r="L155" s="154" t="s">
        <v>106</v>
      </c>
      <c r="M155" s="154">
        <v>44</v>
      </c>
      <c r="N155" s="154" t="s">
        <v>107</v>
      </c>
      <c r="O155" s="154" t="s">
        <v>522</v>
      </c>
      <c r="P155" s="154" t="s">
        <v>109</v>
      </c>
      <c r="Q155" s="154" t="s">
        <v>110</v>
      </c>
      <c r="R155" s="154" t="s">
        <v>399</v>
      </c>
      <c r="S155" s="154" t="s">
        <v>523</v>
      </c>
      <c r="T155" s="157">
        <v>45978</v>
      </c>
      <c r="U155" s="158" cm="1">
        <f t="array" ref="U155">[15]!CalculateINPC(B155,T155,-1)*F155</f>
        <v>484.71076799999997</v>
      </c>
      <c r="V155" s="158">
        <f t="shared" si="2"/>
        <v>1160.9047960957635</v>
      </c>
    </row>
    <row r="156" spans="1:22">
      <c r="A156" s="154" t="s">
        <v>102</v>
      </c>
      <c r="B156" s="155">
        <v>45070</v>
      </c>
      <c r="C156" s="155">
        <v>45057</v>
      </c>
      <c r="D156" s="156">
        <v>400</v>
      </c>
      <c r="E156" s="156">
        <v>400</v>
      </c>
      <c r="F156" s="156">
        <v>400</v>
      </c>
      <c r="G156" s="154">
        <v>174195</v>
      </c>
      <c r="H156" s="154" t="s">
        <v>236</v>
      </c>
      <c r="I156" s="154" t="s">
        <v>237</v>
      </c>
      <c r="J156" s="154" t="s">
        <v>238</v>
      </c>
      <c r="K156" s="154">
        <v>10027</v>
      </c>
      <c r="L156" s="154" t="s">
        <v>106</v>
      </c>
      <c r="M156" s="154">
        <v>44</v>
      </c>
      <c r="N156" s="154" t="s">
        <v>107</v>
      </c>
      <c r="O156" s="154" t="s">
        <v>524</v>
      </c>
      <c r="P156" s="154" t="s">
        <v>109</v>
      </c>
      <c r="Q156" s="154" t="s">
        <v>110</v>
      </c>
      <c r="R156" s="154" t="s">
        <v>240</v>
      </c>
      <c r="S156" s="154" t="s">
        <v>525</v>
      </c>
      <c r="T156" s="157">
        <v>45978</v>
      </c>
      <c r="U156" s="158" cm="1">
        <f t="array" ref="U156">[15]!CalculateINPC(B156,T156,-1)*F156</f>
        <v>439.81637999999998</v>
      </c>
      <c r="V156" s="158">
        <f t="shared" si="2"/>
        <v>775.26547979171164</v>
      </c>
    </row>
    <row r="157" spans="1:22">
      <c r="A157" s="154" t="s">
        <v>102</v>
      </c>
      <c r="B157" s="155">
        <v>44467</v>
      </c>
      <c r="C157" s="155">
        <v>44449</v>
      </c>
      <c r="D157" s="156">
        <v>400</v>
      </c>
      <c r="E157" s="156">
        <v>400</v>
      </c>
      <c r="F157" s="156">
        <v>400</v>
      </c>
      <c r="G157" s="154">
        <v>116037</v>
      </c>
      <c r="H157" s="154" t="s">
        <v>236</v>
      </c>
      <c r="I157" s="154" t="s">
        <v>126</v>
      </c>
      <c r="J157" s="154" t="s">
        <v>127</v>
      </c>
      <c r="K157" s="154">
        <v>10027</v>
      </c>
      <c r="L157" s="154" t="s">
        <v>106</v>
      </c>
      <c r="M157" s="154">
        <v>44</v>
      </c>
      <c r="N157" s="154" t="s">
        <v>107</v>
      </c>
      <c r="O157" s="154" t="s">
        <v>526</v>
      </c>
      <c r="P157" s="154" t="s">
        <v>109</v>
      </c>
      <c r="Q157" s="154" t="s">
        <v>110</v>
      </c>
      <c r="R157" s="154" t="s">
        <v>399</v>
      </c>
      <c r="S157" s="154" t="s">
        <v>527</v>
      </c>
      <c r="T157" s="157">
        <v>45978</v>
      </c>
      <c r="U157" s="158" cm="1">
        <f t="array" ref="U157">[15]!CalculateINPC(B157,T157,-1)*F157</f>
        <v>496.217376</v>
      </c>
      <c r="V157" s="158">
        <f t="shared" si="2"/>
        <v>1203.1106236706844</v>
      </c>
    </row>
    <row r="158" spans="1:22">
      <c r="A158" s="154" t="s">
        <v>102</v>
      </c>
      <c r="B158" s="155">
        <v>45155</v>
      </c>
      <c r="C158" s="155">
        <v>45155</v>
      </c>
      <c r="D158" s="156">
        <v>1571391.91</v>
      </c>
      <c r="E158" s="156">
        <v>383.81000000236298</v>
      </c>
      <c r="F158" s="156">
        <v>383.81000000236298</v>
      </c>
      <c r="G158" s="154">
        <v>179352</v>
      </c>
      <c r="H158" s="154" t="s">
        <v>166</v>
      </c>
      <c r="I158" s="154" t="s">
        <v>528</v>
      </c>
      <c r="J158" s="154" t="s">
        <v>529</v>
      </c>
      <c r="K158" s="154">
        <v>10027</v>
      </c>
      <c r="L158" s="154" t="s">
        <v>106</v>
      </c>
      <c r="M158" s="154">
        <v>44</v>
      </c>
      <c r="N158" s="154" t="s">
        <v>107</v>
      </c>
      <c r="O158" s="154" t="s">
        <v>530</v>
      </c>
      <c r="P158" s="154" t="s">
        <v>109</v>
      </c>
      <c r="Q158" s="154" t="s">
        <v>110</v>
      </c>
      <c r="R158" s="154" t="s">
        <v>111</v>
      </c>
      <c r="S158" s="154" t="s">
        <v>531</v>
      </c>
      <c r="T158" s="157">
        <v>45978</v>
      </c>
      <c r="U158" s="158" cm="1">
        <f t="array" ref="U158">[15]!CalculateINPC(B158,T158,-1)*F158</f>
        <v>421.30084098389381</v>
      </c>
      <c r="V158" s="158">
        <f t="shared" si="2"/>
        <v>699.20326827381211</v>
      </c>
    </row>
    <row r="159" spans="1:22">
      <c r="A159" s="154" t="s">
        <v>102</v>
      </c>
      <c r="B159" s="155">
        <v>45222</v>
      </c>
      <c r="C159" s="155">
        <v>45215</v>
      </c>
      <c r="D159" s="156">
        <v>4381</v>
      </c>
      <c r="E159" s="156">
        <v>370.00000000001103</v>
      </c>
      <c r="F159" s="156">
        <v>370.00000000001103</v>
      </c>
      <c r="G159" s="154">
        <v>184147</v>
      </c>
      <c r="H159" s="154" t="s">
        <v>532</v>
      </c>
      <c r="I159" s="154" t="s">
        <v>533</v>
      </c>
      <c r="J159" s="154" t="s">
        <v>534</v>
      </c>
      <c r="K159" s="154">
        <v>10027</v>
      </c>
      <c r="L159" s="154" t="s">
        <v>106</v>
      </c>
      <c r="M159" s="154">
        <v>44</v>
      </c>
      <c r="N159" s="154" t="s">
        <v>107</v>
      </c>
      <c r="O159" s="154" t="s">
        <v>535</v>
      </c>
      <c r="P159" s="154" t="s">
        <v>109</v>
      </c>
      <c r="Q159" s="154" t="s">
        <v>110</v>
      </c>
      <c r="R159" s="154" t="s">
        <v>130</v>
      </c>
      <c r="S159" s="154" t="s">
        <v>536</v>
      </c>
      <c r="T159" s="157">
        <v>45978</v>
      </c>
      <c r="U159" s="158" cm="1">
        <f t="array" ref="U159">[15]!CalculateINPC(B159,T159,-1)*F159</f>
        <v>404.88604570001206</v>
      </c>
      <c r="V159" s="158">
        <f t="shared" si="2"/>
        <v>641.92274465455546</v>
      </c>
    </row>
    <row r="160" spans="1:22">
      <c r="A160" s="154" t="s">
        <v>102</v>
      </c>
      <c r="B160" s="155">
        <v>45562</v>
      </c>
      <c r="C160" s="155">
        <v>45560</v>
      </c>
      <c r="D160" s="156">
        <v>410.59</v>
      </c>
      <c r="E160" s="156">
        <v>365.389999999998</v>
      </c>
      <c r="F160" s="156">
        <v>365.389999999998</v>
      </c>
      <c r="G160" s="154">
        <v>218571</v>
      </c>
      <c r="H160" s="154" t="s">
        <v>411</v>
      </c>
      <c r="I160" s="154" t="s">
        <v>316</v>
      </c>
      <c r="J160" s="154" t="s">
        <v>317</v>
      </c>
      <c r="K160" s="154">
        <v>10027</v>
      </c>
      <c r="L160" s="154" t="s">
        <v>106</v>
      </c>
      <c r="M160" s="154">
        <v>44</v>
      </c>
      <c r="N160" s="154" t="s">
        <v>107</v>
      </c>
      <c r="O160" s="154" t="s">
        <v>537</v>
      </c>
      <c r="P160" s="154" t="s">
        <v>109</v>
      </c>
      <c r="Q160" s="154" t="s">
        <v>110</v>
      </c>
      <c r="R160" s="154" t="s">
        <v>333</v>
      </c>
      <c r="S160" s="154" t="s">
        <v>538</v>
      </c>
      <c r="T160" s="157">
        <v>45978</v>
      </c>
      <c r="U160" s="158" cm="1">
        <f t="array" ref="U160">[15]!CalculateINPC(B160,T160,-1)*F160</f>
        <v>385.96965269769788</v>
      </c>
      <c r="V160" s="158">
        <f t="shared" si="2"/>
        <v>494.79412139874665</v>
      </c>
    </row>
    <row r="161" spans="1:22">
      <c r="A161" s="154" t="s">
        <v>102</v>
      </c>
      <c r="B161" s="155">
        <v>45681</v>
      </c>
      <c r="C161" s="155">
        <v>45674</v>
      </c>
      <c r="D161" s="156">
        <v>3150</v>
      </c>
      <c r="E161" s="156">
        <v>349.99999999999699</v>
      </c>
      <c r="F161" s="156">
        <v>349.99999999999699</v>
      </c>
      <c r="G161" s="154">
        <v>233867</v>
      </c>
      <c r="H161" s="154" t="s">
        <v>539</v>
      </c>
      <c r="I161" s="154" t="s">
        <v>189</v>
      </c>
      <c r="J161" s="154" t="s">
        <v>190</v>
      </c>
      <c r="K161" s="154">
        <v>10027</v>
      </c>
      <c r="L161" s="154" t="s">
        <v>106</v>
      </c>
      <c r="M161" s="154">
        <v>44</v>
      </c>
      <c r="N161" s="154" t="s">
        <v>107</v>
      </c>
      <c r="O161" s="154" t="s">
        <v>540</v>
      </c>
      <c r="P161" s="154" t="s">
        <v>109</v>
      </c>
      <c r="Q161" s="154" t="s">
        <v>110</v>
      </c>
      <c r="R161" s="154" t="s">
        <v>130</v>
      </c>
      <c r="S161" s="154" t="s">
        <v>541</v>
      </c>
      <c r="T161" s="157">
        <v>45978</v>
      </c>
      <c r="U161" s="158" cm="1">
        <f t="array" ref="U161">[15]!CalculateINPC(B161,T161,-1)*F161</f>
        <v>362.77155249999691</v>
      </c>
      <c r="V161" s="158">
        <f t="shared" si="2"/>
        <v>434.58157545697838</v>
      </c>
    </row>
    <row r="162" spans="1:22">
      <c r="A162" s="154" t="s">
        <v>102</v>
      </c>
      <c r="B162" s="155">
        <v>44371</v>
      </c>
      <c r="C162" s="155">
        <v>44368</v>
      </c>
      <c r="D162" s="156">
        <v>347.9</v>
      </c>
      <c r="E162" s="156">
        <v>347.9</v>
      </c>
      <c r="F162" s="156">
        <v>347.9</v>
      </c>
      <c r="G162" s="154">
        <v>111682</v>
      </c>
      <c r="H162" s="154" t="s">
        <v>236</v>
      </c>
      <c r="I162" s="154" t="s">
        <v>126</v>
      </c>
      <c r="J162" s="154" t="s">
        <v>127</v>
      </c>
      <c r="K162" s="154">
        <v>10027</v>
      </c>
      <c r="L162" s="154" t="s">
        <v>106</v>
      </c>
      <c r="M162" s="154">
        <v>44</v>
      </c>
      <c r="N162" s="154" t="s">
        <v>107</v>
      </c>
      <c r="O162" s="154" t="s">
        <v>526</v>
      </c>
      <c r="P162" s="154" t="s">
        <v>109</v>
      </c>
      <c r="Q162" s="154" t="s">
        <v>110</v>
      </c>
      <c r="R162" s="154" t="s">
        <v>399</v>
      </c>
      <c r="S162" s="154" t="s">
        <v>542</v>
      </c>
      <c r="T162" s="157">
        <v>45978</v>
      </c>
      <c r="U162" s="158" cm="1">
        <f t="array" ref="U162">[15]!CalculateINPC(B162,T162,-1)*F162</f>
        <v>442.46305037899998</v>
      </c>
      <c r="V162" s="158">
        <f t="shared" si="2"/>
        <v>1122.2378006407171</v>
      </c>
    </row>
    <row r="163" spans="1:22">
      <c r="A163" s="154" t="s">
        <v>102</v>
      </c>
      <c r="B163" s="155">
        <v>45125</v>
      </c>
      <c r="C163" s="155">
        <v>45108</v>
      </c>
      <c r="D163" s="156">
        <v>1499342.34</v>
      </c>
      <c r="E163" s="156">
        <v>332.14000000324302</v>
      </c>
      <c r="F163" s="156">
        <v>332.14000000324302</v>
      </c>
      <c r="G163" s="154">
        <v>177403</v>
      </c>
      <c r="H163" s="154" t="s">
        <v>103</v>
      </c>
      <c r="I163" s="154" t="s">
        <v>528</v>
      </c>
      <c r="J163" s="154" t="s">
        <v>529</v>
      </c>
      <c r="K163" s="154">
        <v>10027</v>
      </c>
      <c r="L163" s="154" t="s">
        <v>106</v>
      </c>
      <c r="M163" s="154">
        <v>44</v>
      </c>
      <c r="N163" s="154" t="s">
        <v>107</v>
      </c>
      <c r="O163" s="154" t="s">
        <v>543</v>
      </c>
      <c r="P163" s="154" t="s">
        <v>109</v>
      </c>
      <c r="Q163" s="154" t="s">
        <v>110</v>
      </c>
      <c r="R163" s="154" t="s">
        <v>111</v>
      </c>
      <c r="S163" s="154" t="s">
        <v>544</v>
      </c>
      <c r="T163" s="157">
        <v>45978</v>
      </c>
      <c r="U163" s="158" cm="1">
        <f t="array" ref="U163">[15]!CalculateINPC(B163,T163,-1)*F163</f>
        <v>364.25543034655658</v>
      </c>
      <c r="V163" s="158">
        <f t="shared" si="2"/>
        <v>618.44861951637654</v>
      </c>
    </row>
    <row r="164" spans="1:22">
      <c r="A164" s="154" t="s">
        <v>102</v>
      </c>
      <c r="B164" s="155">
        <v>44727</v>
      </c>
      <c r="C164" s="155">
        <v>44713</v>
      </c>
      <c r="D164" s="156">
        <v>701</v>
      </c>
      <c r="E164" s="156">
        <v>311.99999999999699</v>
      </c>
      <c r="F164" s="156">
        <v>311.99999999999699</v>
      </c>
      <c r="G164" s="154">
        <v>151441</v>
      </c>
      <c r="H164" s="154" t="s">
        <v>545</v>
      </c>
      <c r="I164" s="154" t="s">
        <v>533</v>
      </c>
      <c r="J164" s="154" t="s">
        <v>534</v>
      </c>
      <c r="K164" s="154">
        <v>10027</v>
      </c>
      <c r="L164" s="154" t="s">
        <v>106</v>
      </c>
      <c r="M164" s="154">
        <v>44</v>
      </c>
      <c r="N164" s="154" t="s">
        <v>107</v>
      </c>
      <c r="O164" s="154" t="s">
        <v>546</v>
      </c>
      <c r="P164" s="154" t="s">
        <v>109</v>
      </c>
      <c r="Q164" s="154" t="s">
        <v>110</v>
      </c>
      <c r="R164" s="154" t="s">
        <v>130</v>
      </c>
      <c r="S164" s="154" t="s">
        <v>350</v>
      </c>
      <c r="T164" s="157">
        <v>45978</v>
      </c>
      <c r="U164" s="158" cm="1">
        <f t="array" ref="U164">[15]!CalculateINPC(B164,T164,-1)*F164</f>
        <v>354.61494743999657</v>
      </c>
      <c r="V164" s="158">
        <f t="shared" si="2"/>
        <v>776.43971817648901</v>
      </c>
    </row>
    <row r="165" spans="1:22">
      <c r="A165" s="154" t="s">
        <v>102</v>
      </c>
      <c r="B165" s="155">
        <v>44789</v>
      </c>
      <c r="C165" s="155">
        <v>44775</v>
      </c>
      <c r="D165" s="156">
        <v>3892</v>
      </c>
      <c r="E165" s="156">
        <v>306.00000000000801</v>
      </c>
      <c r="F165" s="156">
        <v>306.00000000000801</v>
      </c>
      <c r="G165" s="154">
        <v>156039</v>
      </c>
      <c r="H165" s="154" t="s">
        <v>547</v>
      </c>
      <c r="I165" s="154" t="s">
        <v>533</v>
      </c>
      <c r="J165" s="154" t="s">
        <v>534</v>
      </c>
      <c r="K165" s="154">
        <v>10027</v>
      </c>
      <c r="L165" s="154" t="s">
        <v>106</v>
      </c>
      <c r="M165" s="154">
        <v>44</v>
      </c>
      <c r="N165" s="154" t="s">
        <v>107</v>
      </c>
      <c r="O165" s="154" t="s">
        <v>548</v>
      </c>
      <c r="P165" s="154" t="s">
        <v>137</v>
      </c>
      <c r="Q165" s="154" t="s">
        <v>138</v>
      </c>
      <c r="R165" s="154" t="s">
        <v>130</v>
      </c>
      <c r="S165" s="154" t="s">
        <v>549</v>
      </c>
      <c r="T165" s="157">
        <v>45978</v>
      </c>
      <c r="U165" s="158" cm="1">
        <f t="array" ref="U165">[15]!CalculateINPC(B165,T165,-1)*F165</f>
        <v>347.7389079600091</v>
      </c>
      <c r="V165" s="158">
        <f t="shared" si="2"/>
        <v>727.86527140521844</v>
      </c>
    </row>
    <row r="166" spans="1:22">
      <c r="A166" s="154" t="s">
        <v>102</v>
      </c>
      <c r="B166" s="155">
        <v>45247</v>
      </c>
      <c r="C166" s="155">
        <v>45236</v>
      </c>
      <c r="D166" s="156">
        <v>5900</v>
      </c>
      <c r="E166" s="156">
        <v>324.99999999998897</v>
      </c>
      <c r="F166" s="156">
        <v>305.01249999998998</v>
      </c>
      <c r="G166" s="154">
        <v>185620</v>
      </c>
      <c r="H166" s="154" t="s">
        <v>209</v>
      </c>
      <c r="I166" s="154" t="s">
        <v>154</v>
      </c>
      <c r="J166" s="154" t="s">
        <v>155</v>
      </c>
      <c r="K166" s="154">
        <v>10027</v>
      </c>
      <c r="L166" s="154" t="s">
        <v>106</v>
      </c>
      <c r="M166" s="154">
        <v>44</v>
      </c>
      <c r="N166" s="154" t="s">
        <v>107</v>
      </c>
      <c r="O166" s="154" t="s">
        <v>550</v>
      </c>
      <c r="P166" s="154" t="s">
        <v>137</v>
      </c>
      <c r="Q166" s="154" t="s">
        <v>138</v>
      </c>
      <c r="R166" s="154" t="s">
        <v>130</v>
      </c>
      <c r="S166" s="154" t="s">
        <v>551</v>
      </c>
      <c r="T166" s="157">
        <v>45978</v>
      </c>
      <c r="U166" s="158" cm="1">
        <f t="array" ref="U166">[15]!CalculateINPC(B166,T166,-1)*F166</f>
        <v>333.37113784161409</v>
      </c>
      <c r="V166" s="158">
        <f t="shared" si="2"/>
        <v>519.62010338626931</v>
      </c>
    </row>
    <row r="167" spans="1:22">
      <c r="A167" s="154" t="s">
        <v>102</v>
      </c>
      <c r="B167" s="155">
        <v>43878</v>
      </c>
      <c r="C167" s="155">
        <v>43862</v>
      </c>
      <c r="D167" s="156">
        <v>866.15</v>
      </c>
      <c r="E167" s="156">
        <v>285.85000000000298</v>
      </c>
      <c r="F167" s="156">
        <v>285.85000000000298</v>
      </c>
      <c r="G167" s="154">
        <v>85907</v>
      </c>
      <c r="H167" s="154" t="s">
        <v>315</v>
      </c>
      <c r="I167" s="154" t="s">
        <v>552</v>
      </c>
      <c r="J167" s="154" t="s">
        <v>244</v>
      </c>
      <c r="K167" s="154">
        <v>10027</v>
      </c>
      <c r="L167" s="154" t="s">
        <v>106</v>
      </c>
      <c r="M167" s="154">
        <v>44</v>
      </c>
      <c r="N167" s="154" t="s">
        <v>107</v>
      </c>
      <c r="O167" s="154" t="s">
        <v>507</v>
      </c>
      <c r="P167" s="154" t="s">
        <v>109</v>
      </c>
      <c r="Q167" s="154" t="s">
        <v>110</v>
      </c>
      <c r="R167" s="154" t="s">
        <v>240</v>
      </c>
      <c r="S167" s="154" t="s">
        <v>508</v>
      </c>
      <c r="T167" s="157">
        <v>45978</v>
      </c>
      <c r="U167" s="158" cm="1">
        <f t="array" ref="U167">[15]!CalculateINPC(B167,T167,-1)*F167</f>
        <v>395.3717638530041</v>
      </c>
      <c r="V167" s="158">
        <f t="shared" si="2"/>
        <v>1320.7108681562424</v>
      </c>
    </row>
    <row r="168" spans="1:22">
      <c r="A168" s="154" t="s">
        <v>102</v>
      </c>
      <c r="B168" s="155">
        <v>45594</v>
      </c>
      <c r="C168" s="155">
        <v>45583</v>
      </c>
      <c r="D168" s="156">
        <v>41700</v>
      </c>
      <c r="E168" s="156">
        <v>279.99999999991201</v>
      </c>
      <c r="F168" s="156">
        <v>279.99999999991201</v>
      </c>
      <c r="G168" s="154">
        <v>222529</v>
      </c>
      <c r="H168" s="154" t="s">
        <v>225</v>
      </c>
      <c r="I168" s="154" t="s">
        <v>226</v>
      </c>
      <c r="J168" s="154" t="s">
        <v>227</v>
      </c>
      <c r="K168" s="154">
        <v>10027</v>
      </c>
      <c r="L168" s="154" t="s">
        <v>106</v>
      </c>
      <c r="M168" s="154">
        <v>44</v>
      </c>
      <c r="N168" s="154" t="s">
        <v>107</v>
      </c>
      <c r="O168" s="154" t="s">
        <v>553</v>
      </c>
      <c r="P168" s="154" t="s">
        <v>109</v>
      </c>
      <c r="Q168" s="154" t="s">
        <v>110</v>
      </c>
      <c r="R168" s="154" t="s">
        <v>130</v>
      </c>
      <c r="S168" s="154" t="s">
        <v>554</v>
      </c>
      <c r="T168" s="157">
        <v>45978</v>
      </c>
      <c r="U168" s="158" cm="1">
        <f t="array" ref="U168">[15]!CalculateINPC(B168,T168,-1)*F168</f>
        <v>294.35727439990751</v>
      </c>
      <c r="V168" s="158">
        <f t="shared" si="2"/>
        <v>370.42271207932293</v>
      </c>
    </row>
    <row r="169" spans="1:22">
      <c r="A169" s="154" t="s">
        <v>102</v>
      </c>
      <c r="B169" s="155">
        <v>44656</v>
      </c>
      <c r="C169" s="155">
        <v>44644</v>
      </c>
      <c r="D169" s="156">
        <v>12226.31</v>
      </c>
      <c r="E169" s="156">
        <v>279.13999999998998</v>
      </c>
      <c r="F169" s="156">
        <v>279.13999999998998</v>
      </c>
      <c r="G169" s="154">
        <v>147480</v>
      </c>
      <c r="H169" s="154" t="s">
        <v>217</v>
      </c>
      <c r="I169" s="154" t="s">
        <v>290</v>
      </c>
      <c r="J169" s="154" t="s">
        <v>291</v>
      </c>
      <c r="K169" s="154">
        <v>10027</v>
      </c>
      <c r="L169" s="154" t="s">
        <v>106</v>
      </c>
      <c r="M169" s="154">
        <v>44</v>
      </c>
      <c r="N169" s="154" t="s">
        <v>107</v>
      </c>
      <c r="O169" s="154" t="s">
        <v>555</v>
      </c>
      <c r="P169" s="154" t="s">
        <v>109</v>
      </c>
      <c r="Q169" s="154" t="s">
        <v>110</v>
      </c>
      <c r="R169" s="154" t="s">
        <v>117</v>
      </c>
      <c r="S169" s="154" t="s">
        <v>556</v>
      </c>
      <c r="T169" s="157">
        <v>45978</v>
      </c>
      <c r="U169" s="158" cm="1">
        <f t="array" ref="U169">[15]!CalculateINPC(B169,T169,-1)*F169</f>
        <v>322.00914602058845</v>
      </c>
      <c r="V169" s="158">
        <f t="shared" si="2"/>
        <v>731.55567652141121</v>
      </c>
    </row>
    <row r="170" spans="1:22">
      <c r="A170" s="154" t="s">
        <v>102</v>
      </c>
      <c r="B170" s="155">
        <v>43699</v>
      </c>
      <c r="C170" s="155">
        <v>43697</v>
      </c>
      <c r="D170" s="156">
        <v>2289.41</v>
      </c>
      <c r="E170" s="156">
        <v>273.99</v>
      </c>
      <c r="F170" s="156">
        <v>273.99</v>
      </c>
      <c r="G170" s="154">
        <v>77560</v>
      </c>
      <c r="H170" s="154" t="s">
        <v>315</v>
      </c>
      <c r="I170" s="154" t="s">
        <v>557</v>
      </c>
      <c r="J170" s="154" t="s">
        <v>558</v>
      </c>
      <c r="K170" s="154">
        <v>10027</v>
      </c>
      <c r="L170" s="154" t="s">
        <v>106</v>
      </c>
      <c r="M170" s="154">
        <v>44</v>
      </c>
      <c r="N170" s="154" t="s">
        <v>107</v>
      </c>
      <c r="O170" s="154" t="s">
        <v>318</v>
      </c>
      <c r="P170" s="154" t="s">
        <v>109</v>
      </c>
      <c r="Q170" s="154" t="s">
        <v>110</v>
      </c>
      <c r="R170" s="154" t="s">
        <v>240</v>
      </c>
      <c r="S170" s="154" t="s">
        <v>319</v>
      </c>
      <c r="T170" s="157">
        <v>45978</v>
      </c>
      <c r="U170" s="158" cm="1">
        <f t="array" ref="U170">[15]!CalculateINPC(B170,T170,-1)*F170</f>
        <v>386.81998616700002</v>
      </c>
      <c r="V170" s="158">
        <f t="shared" si="2"/>
        <v>1442.312722275982</v>
      </c>
    </row>
    <row r="171" spans="1:22">
      <c r="A171" s="154" t="s">
        <v>102</v>
      </c>
      <c r="B171" s="155">
        <v>45562</v>
      </c>
      <c r="C171" s="155">
        <v>45560</v>
      </c>
      <c r="D171" s="156">
        <v>361.35</v>
      </c>
      <c r="E171" s="156">
        <v>271.81</v>
      </c>
      <c r="F171" s="156">
        <v>271.81</v>
      </c>
      <c r="G171" s="154">
        <v>218576</v>
      </c>
      <c r="H171" s="154" t="s">
        <v>559</v>
      </c>
      <c r="I171" s="154" t="s">
        <v>560</v>
      </c>
      <c r="J171" s="154" t="s">
        <v>561</v>
      </c>
      <c r="K171" s="154">
        <v>10027</v>
      </c>
      <c r="L171" s="154" t="s">
        <v>106</v>
      </c>
      <c r="M171" s="154">
        <v>44</v>
      </c>
      <c r="N171" s="154" t="s">
        <v>107</v>
      </c>
      <c r="O171" s="154" t="s">
        <v>562</v>
      </c>
      <c r="P171" s="154" t="s">
        <v>109</v>
      </c>
      <c r="Q171" s="154" t="s">
        <v>110</v>
      </c>
      <c r="R171" s="154" t="s">
        <v>333</v>
      </c>
      <c r="S171" s="154" t="s">
        <v>563</v>
      </c>
      <c r="T171" s="157">
        <v>45978</v>
      </c>
      <c r="U171" s="158" cm="1">
        <f t="array" ref="U171">[15]!CalculateINPC(B171,T171,-1)*F171</f>
        <v>287.1189996983</v>
      </c>
      <c r="V171" s="158">
        <f t="shared" si="2"/>
        <v>368.0724435189635</v>
      </c>
    </row>
    <row r="172" spans="1:22">
      <c r="A172" s="154" t="s">
        <v>102</v>
      </c>
      <c r="B172" s="155">
        <v>45562</v>
      </c>
      <c r="C172" s="155">
        <v>45560</v>
      </c>
      <c r="D172" s="156">
        <v>1369.79</v>
      </c>
      <c r="E172" s="156">
        <v>271.80999999999602</v>
      </c>
      <c r="F172" s="156">
        <v>271.80999999999602</v>
      </c>
      <c r="G172" s="154">
        <v>218569</v>
      </c>
      <c r="H172" s="154" t="s">
        <v>411</v>
      </c>
      <c r="I172" s="154" t="s">
        <v>560</v>
      </c>
      <c r="J172" s="154" t="s">
        <v>561</v>
      </c>
      <c r="K172" s="154">
        <v>10027</v>
      </c>
      <c r="L172" s="154" t="s">
        <v>106</v>
      </c>
      <c r="M172" s="154">
        <v>44</v>
      </c>
      <c r="N172" s="154" t="s">
        <v>107</v>
      </c>
      <c r="O172" s="154" t="s">
        <v>412</v>
      </c>
      <c r="P172" s="154" t="s">
        <v>109</v>
      </c>
      <c r="Q172" s="154" t="s">
        <v>110</v>
      </c>
      <c r="R172" s="154" t="s">
        <v>333</v>
      </c>
      <c r="S172" s="154" t="s">
        <v>413</v>
      </c>
      <c r="T172" s="157">
        <v>45978</v>
      </c>
      <c r="U172" s="158" cm="1">
        <f t="array" ref="U172">[15]!CalculateINPC(B172,T172,-1)*F172</f>
        <v>287.1189996982958</v>
      </c>
      <c r="V172" s="158">
        <f t="shared" si="2"/>
        <v>368.0724435189581</v>
      </c>
    </row>
    <row r="173" spans="1:22">
      <c r="A173" s="154" t="s">
        <v>102</v>
      </c>
      <c r="B173" s="155">
        <v>44750</v>
      </c>
      <c r="C173" s="155">
        <v>44743</v>
      </c>
      <c r="D173" s="156">
        <v>11000</v>
      </c>
      <c r="E173" s="156">
        <v>269.99999999994998</v>
      </c>
      <c r="F173" s="156">
        <v>269.99999999994998</v>
      </c>
      <c r="G173" s="154">
        <v>153084</v>
      </c>
      <c r="H173" s="154" t="s">
        <v>564</v>
      </c>
      <c r="I173" s="154" t="s">
        <v>154</v>
      </c>
      <c r="J173" s="154" t="s">
        <v>155</v>
      </c>
      <c r="K173" s="154">
        <v>10027</v>
      </c>
      <c r="L173" s="154" t="s">
        <v>106</v>
      </c>
      <c r="M173" s="154">
        <v>44</v>
      </c>
      <c r="N173" s="154" t="s">
        <v>107</v>
      </c>
      <c r="O173" s="154" t="s">
        <v>565</v>
      </c>
      <c r="P173" s="154" t="s">
        <v>109</v>
      </c>
      <c r="Q173" s="154" t="s">
        <v>110</v>
      </c>
      <c r="R173" s="154" t="s">
        <v>130</v>
      </c>
      <c r="S173" s="154" t="s">
        <v>566</v>
      </c>
      <c r="T173" s="157">
        <v>45978</v>
      </c>
      <c r="U173" s="158" cm="1">
        <f t="array" ref="U173">[15]!CalculateINPC(B173,T173,-1)*F173</f>
        <v>304.98725609994347</v>
      </c>
      <c r="V173" s="158">
        <f t="shared" si="2"/>
        <v>660.75004175764616</v>
      </c>
    </row>
    <row r="174" spans="1:22">
      <c r="A174" s="154" t="s">
        <v>102</v>
      </c>
      <c r="B174" s="155">
        <v>43830</v>
      </c>
      <c r="C174" s="155">
        <v>43830</v>
      </c>
      <c r="D174" s="156">
        <v>652.46</v>
      </c>
      <c r="E174" s="156">
        <v>267.50000000000102</v>
      </c>
      <c r="F174" s="156">
        <v>267.50000000000102</v>
      </c>
      <c r="G174" s="154">
        <v>83732</v>
      </c>
      <c r="H174" s="154" t="s">
        <v>567</v>
      </c>
      <c r="I174" s="154" t="s">
        <v>568</v>
      </c>
      <c r="J174" s="154" t="s">
        <v>569</v>
      </c>
      <c r="K174" s="154">
        <v>10027</v>
      </c>
      <c r="L174" s="154" t="s">
        <v>106</v>
      </c>
      <c r="M174" s="154">
        <v>44</v>
      </c>
      <c r="N174" s="154" t="s">
        <v>107</v>
      </c>
      <c r="O174" s="154" t="s">
        <v>570</v>
      </c>
      <c r="P174" s="154" t="s">
        <v>571</v>
      </c>
      <c r="Q174" s="154" t="s">
        <v>572</v>
      </c>
      <c r="R174" s="154" t="s">
        <v>573</v>
      </c>
      <c r="S174" s="154" t="s">
        <v>574</v>
      </c>
      <c r="T174" s="157">
        <v>45978</v>
      </c>
      <c r="U174" s="158" cm="1">
        <f t="array" ref="U174">[15]!CalculateINPC(B174,T174,-1)*F174</f>
        <v>375.21642652500145</v>
      </c>
      <c r="V174" s="158">
        <f t="shared" si="2"/>
        <v>1279.9287325378048</v>
      </c>
    </row>
    <row r="175" spans="1:22">
      <c r="A175" s="154" t="s">
        <v>102</v>
      </c>
      <c r="B175" s="155">
        <v>45223</v>
      </c>
      <c r="C175" s="155">
        <v>45204</v>
      </c>
      <c r="D175" s="156">
        <v>15485.01</v>
      </c>
      <c r="E175" s="156">
        <v>260.50999999997998</v>
      </c>
      <c r="F175" s="156">
        <v>260.50999999997998</v>
      </c>
      <c r="G175" s="154">
        <v>184305</v>
      </c>
      <c r="H175" s="154" t="s">
        <v>395</v>
      </c>
      <c r="I175" s="154" t="s">
        <v>560</v>
      </c>
      <c r="J175" s="154" t="s">
        <v>561</v>
      </c>
      <c r="K175" s="154">
        <v>10027</v>
      </c>
      <c r="L175" s="154" t="s">
        <v>106</v>
      </c>
      <c r="M175" s="154">
        <v>44</v>
      </c>
      <c r="N175" s="154" t="s">
        <v>107</v>
      </c>
      <c r="O175" s="154" t="s">
        <v>398</v>
      </c>
      <c r="P175" s="154" t="s">
        <v>109</v>
      </c>
      <c r="Q175" s="154" t="s">
        <v>110</v>
      </c>
      <c r="R175" s="154" t="s">
        <v>399</v>
      </c>
      <c r="S175" s="154" t="s">
        <v>400</v>
      </c>
      <c r="T175" s="157">
        <v>45978</v>
      </c>
      <c r="U175" s="158" cm="1">
        <f t="array" ref="U175">[15]!CalculateINPC(B175,T175,-1)*F175</f>
        <v>285.07260477107809</v>
      </c>
      <c r="V175" s="158">
        <f t="shared" si="2"/>
        <v>451.63639214173344</v>
      </c>
    </row>
    <row r="176" spans="1:22">
      <c r="A176" s="154" t="s">
        <v>102</v>
      </c>
      <c r="B176" s="155">
        <v>43812</v>
      </c>
      <c r="C176" s="155">
        <v>43800</v>
      </c>
      <c r="D176" s="156">
        <v>256.58999999999997</v>
      </c>
      <c r="E176" s="156">
        <v>256.58999999999997</v>
      </c>
      <c r="F176" s="156">
        <v>256.58999999999997</v>
      </c>
      <c r="G176" s="154">
        <v>82725</v>
      </c>
      <c r="H176" s="154" t="s">
        <v>200</v>
      </c>
      <c r="I176" s="154" t="s">
        <v>119</v>
      </c>
      <c r="J176" s="154" t="s">
        <v>120</v>
      </c>
      <c r="K176" s="154">
        <v>10027</v>
      </c>
      <c r="L176" s="154" t="s">
        <v>106</v>
      </c>
      <c r="M176" s="154">
        <v>44</v>
      </c>
      <c r="N176" s="154" t="s">
        <v>107</v>
      </c>
      <c r="O176" s="154" t="s">
        <v>575</v>
      </c>
      <c r="P176" s="154" t="s">
        <v>137</v>
      </c>
      <c r="Q176" s="154" t="s">
        <v>138</v>
      </c>
      <c r="R176" s="154" t="s">
        <v>111</v>
      </c>
      <c r="S176" s="154" t="s">
        <v>576</v>
      </c>
      <c r="T176" s="157">
        <v>45978</v>
      </c>
      <c r="U176" s="158" cm="1">
        <f t="array" ref="U176">[15]!CalculateINPC(B176,T176,-1)*F176</f>
        <v>359.9132070357</v>
      </c>
      <c r="V176" s="158">
        <f t="shared" si="2"/>
        <v>1243.9384627177274</v>
      </c>
    </row>
    <row r="177" spans="1:22">
      <c r="A177" s="154" t="s">
        <v>102</v>
      </c>
      <c r="B177" s="155">
        <v>44817</v>
      </c>
      <c r="C177" s="155">
        <v>44798</v>
      </c>
      <c r="D177" s="156">
        <v>12600</v>
      </c>
      <c r="E177" s="156">
        <v>254.54999999998799</v>
      </c>
      <c r="F177" s="156">
        <v>254.54999999998799</v>
      </c>
      <c r="G177" s="154">
        <v>156928</v>
      </c>
      <c r="H177" s="154" t="s">
        <v>307</v>
      </c>
      <c r="I177" s="154" t="s">
        <v>232</v>
      </c>
      <c r="J177" s="154" t="s">
        <v>233</v>
      </c>
      <c r="K177" s="154">
        <v>10027</v>
      </c>
      <c r="L177" s="154" t="s">
        <v>106</v>
      </c>
      <c r="M177" s="154">
        <v>44</v>
      </c>
      <c r="N177" s="154" t="s">
        <v>107</v>
      </c>
      <c r="O177" s="154" t="s">
        <v>577</v>
      </c>
      <c r="P177" s="154" t="s">
        <v>109</v>
      </c>
      <c r="Q177" s="154" t="s">
        <v>110</v>
      </c>
      <c r="R177" s="154" t="s">
        <v>130</v>
      </c>
      <c r="S177" s="154" t="s">
        <v>578</v>
      </c>
      <c r="T177" s="157">
        <v>45978</v>
      </c>
      <c r="U177" s="158" cm="1">
        <f t="array" ref="U177">[15]!CalculateINPC(B177,T177,-1)*F177</f>
        <v>290.17049497798632</v>
      </c>
      <c r="V177" s="158">
        <f t="shared" si="2"/>
        <v>593.25364134412962</v>
      </c>
    </row>
    <row r="178" spans="1:22">
      <c r="A178" s="154" t="s">
        <v>102</v>
      </c>
      <c r="B178" s="155">
        <v>44823</v>
      </c>
      <c r="C178" s="155">
        <v>44798</v>
      </c>
      <c r="D178" s="156">
        <v>12600</v>
      </c>
      <c r="E178" s="156">
        <v>254.54999999998799</v>
      </c>
      <c r="F178" s="156">
        <v>254.54999999998799</v>
      </c>
      <c r="G178" s="154">
        <v>156928</v>
      </c>
      <c r="H178" s="154" t="s">
        <v>307</v>
      </c>
      <c r="I178" s="154" t="s">
        <v>232</v>
      </c>
      <c r="J178" s="154" t="s">
        <v>233</v>
      </c>
      <c r="K178" s="154">
        <v>10027</v>
      </c>
      <c r="L178" s="154" t="s">
        <v>106</v>
      </c>
      <c r="M178" s="154">
        <v>44</v>
      </c>
      <c r="N178" s="154" t="s">
        <v>107</v>
      </c>
      <c r="O178" s="154" t="s">
        <v>577</v>
      </c>
      <c r="P178" s="154" t="s">
        <v>109</v>
      </c>
      <c r="Q178" s="154" t="s">
        <v>110</v>
      </c>
      <c r="R178" s="154" t="s">
        <v>130</v>
      </c>
      <c r="S178" s="154" t="s">
        <v>578</v>
      </c>
      <c r="T178" s="157">
        <v>45978</v>
      </c>
      <c r="U178" s="158" cm="1">
        <f t="array" ref="U178">[15]!CalculateINPC(B178,T178,-1)*F178</f>
        <v>290.17049497798632</v>
      </c>
      <c r="V178" s="158">
        <f t="shared" si="2"/>
        <v>590.66516225116436</v>
      </c>
    </row>
    <row r="179" spans="1:22">
      <c r="A179" s="154" t="s">
        <v>102</v>
      </c>
      <c r="B179" s="155">
        <v>44830</v>
      </c>
      <c r="C179" s="155">
        <v>44798</v>
      </c>
      <c r="D179" s="156">
        <v>12600</v>
      </c>
      <c r="E179" s="156">
        <v>254.54999999998799</v>
      </c>
      <c r="F179" s="156">
        <v>254.54999999998799</v>
      </c>
      <c r="G179" s="154">
        <v>156928</v>
      </c>
      <c r="H179" s="154" t="s">
        <v>307</v>
      </c>
      <c r="I179" s="154" t="s">
        <v>232</v>
      </c>
      <c r="J179" s="154" t="s">
        <v>233</v>
      </c>
      <c r="K179" s="154">
        <v>10027</v>
      </c>
      <c r="L179" s="154" t="s">
        <v>106</v>
      </c>
      <c r="M179" s="154">
        <v>44</v>
      </c>
      <c r="N179" s="154" t="s">
        <v>107</v>
      </c>
      <c r="O179" s="154" t="s">
        <v>577</v>
      </c>
      <c r="P179" s="154" t="s">
        <v>109</v>
      </c>
      <c r="Q179" s="154" t="s">
        <v>110</v>
      </c>
      <c r="R179" s="154" t="s">
        <v>130</v>
      </c>
      <c r="S179" s="154" t="s">
        <v>578</v>
      </c>
      <c r="T179" s="157">
        <v>45978</v>
      </c>
      <c r="U179" s="158" cm="1">
        <f t="array" ref="U179">[15]!CalculateINPC(B179,T179,-1)*F179</f>
        <v>290.17049497798632</v>
      </c>
      <c r="V179" s="158">
        <f t="shared" si="2"/>
        <v>587.65954091093874</v>
      </c>
    </row>
    <row r="180" spans="1:22">
      <c r="A180" s="154" t="s">
        <v>102</v>
      </c>
      <c r="B180" s="155">
        <v>45083</v>
      </c>
      <c r="C180" s="155">
        <v>45079</v>
      </c>
      <c r="D180" s="156">
        <v>500</v>
      </c>
      <c r="E180" s="156">
        <v>250</v>
      </c>
      <c r="F180" s="156">
        <v>250</v>
      </c>
      <c r="G180" s="154">
        <v>174903</v>
      </c>
      <c r="H180" s="154" t="s">
        <v>579</v>
      </c>
      <c r="I180" s="154" t="s">
        <v>226</v>
      </c>
      <c r="J180" s="154" t="s">
        <v>227</v>
      </c>
      <c r="K180" s="154">
        <v>10027</v>
      </c>
      <c r="L180" s="154" t="s">
        <v>106</v>
      </c>
      <c r="M180" s="154">
        <v>44</v>
      </c>
      <c r="N180" s="154" t="s">
        <v>107</v>
      </c>
      <c r="O180" s="154" t="s">
        <v>580</v>
      </c>
      <c r="P180" s="154" t="s">
        <v>109</v>
      </c>
      <c r="Q180" s="154" t="s">
        <v>110</v>
      </c>
      <c r="R180" s="154" t="s">
        <v>362</v>
      </c>
      <c r="S180" s="154" t="s">
        <v>581</v>
      </c>
      <c r="T180" s="157">
        <v>45978</v>
      </c>
      <c r="U180" s="158" cm="1">
        <f t="array" ref="U180">[15]!CalculateINPC(B180,T180,-1)*F180</f>
        <v>273.89906999999999</v>
      </c>
      <c r="V180" s="158">
        <f t="shared" si="2"/>
        <v>479.97193378605374</v>
      </c>
    </row>
    <row r="181" spans="1:22">
      <c r="A181" s="154" t="s">
        <v>102</v>
      </c>
      <c r="B181" s="155">
        <v>44760</v>
      </c>
      <c r="C181" s="155">
        <v>44748</v>
      </c>
      <c r="D181" s="156">
        <v>7110</v>
      </c>
      <c r="E181" s="156">
        <v>239.99999999997601</v>
      </c>
      <c r="F181" s="156">
        <v>239.99999999997601</v>
      </c>
      <c r="G181" s="154">
        <v>153442</v>
      </c>
      <c r="H181" s="154" t="s">
        <v>457</v>
      </c>
      <c r="I181" s="154" t="s">
        <v>154</v>
      </c>
      <c r="J181" s="154" t="s">
        <v>155</v>
      </c>
      <c r="K181" s="154">
        <v>10027</v>
      </c>
      <c r="L181" s="154" t="s">
        <v>106</v>
      </c>
      <c r="M181" s="154">
        <v>44</v>
      </c>
      <c r="N181" s="154" t="s">
        <v>107</v>
      </c>
      <c r="O181" s="154" t="s">
        <v>582</v>
      </c>
      <c r="P181" s="154" t="s">
        <v>109</v>
      </c>
      <c r="Q181" s="154" t="s">
        <v>110</v>
      </c>
      <c r="R181" s="154" t="s">
        <v>130</v>
      </c>
      <c r="S181" s="154" t="s">
        <v>583</v>
      </c>
      <c r="T181" s="157">
        <v>45978</v>
      </c>
      <c r="U181" s="158" cm="1">
        <f t="array" ref="U181">[15]!CalculateINPC(B181,T181,-1)*F181</f>
        <v>271.09978319997288</v>
      </c>
      <c r="V181" s="158">
        <f t="shared" si="2"/>
        <v>583.06850561494321</v>
      </c>
    </row>
    <row r="182" spans="1:22">
      <c r="A182" s="154" t="s">
        <v>102</v>
      </c>
      <c r="B182" s="155">
        <v>43840</v>
      </c>
      <c r="C182" s="155">
        <v>43797</v>
      </c>
      <c r="D182" s="156">
        <v>200</v>
      </c>
      <c r="E182" s="156">
        <v>200</v>
      </c>
      <c r="F182" s="156">
        <v>229.71</v>
      </c>
      <c r="G182" s="154">
        <v>82926</v>
      </c>
      <c r="H182" s="154" t="s">
        <v>369</v>
      </c>
      <c r="I182" s="154" t="s">
        <v>370</v>
      </c>
      <c r="J182" s="154" t="s">
        <v>371</v>
      </c>
      <c r="K182" s="154">
        <v>10027</v>
      </c>
      <c r="L182" s="154" t="s">
        <v>106</v>
      </c>
      <c r="M182" s="154">
        <v>44</v>
      </c>
      <c r="N182" s="154" t="s">
        <v>107</v>
      </c>
      <c r="O182" s="154" t="s">
        <v>584</v>
      </c>
      <c r="P182" s="154" t="s">
        <v>109</v>
      </c>
      <c r="Q182" s="154" t="s">
        <v>110</v>
      </c>
      <c r="R182" s="154" t="s">
        <v>111</v>
      </c>
      <c r="S182" s="154" t="s">
        <v>208</v>
      </c>
      <c r="T182" s="157">
        <v>45978</v>
      </c>
      <c r="U182" s="158" cm="1">
        <f t="array" ref="U182">[15]!CalculateINPC(B182,T182,-1)*F182</f>
        <v>318.32544722160003</v>
      </c>
      <c r="V182" s="158">
        <f t="shared" si="2"/>
        <v>1091.1307893337889</v>
      </c>
    </row>
    <row r="183" spans="1:22">
      <c r="A183" s="154" t="s">
        <v>102</v>
      </c>
      <c r="B183" s="155">
        <v>45187</v>
      </c>
      <c r="C183" s="155">
        <v>45170</v>
      </c>
      <c r="D183" s="156">
        <v>2260608.11</v>
      </c>
      <c r="E183" s="156">
        <v>228.81000000044699</v>
      </c>
      <c r="F183" s="156">
        <v>228.81000000044699</v>
      </c>
      <c r="G183" s="154">
        <v>181546</v>
      </c>
      <c r="H183" s="154" t="s">
        <v>166</v>
      </c>
      <c r="I183" s="154" t="s">
        <v>528</v>
      </c>
      <c r="J183" s="154" t="s">
        <v>529</v>
      </c>
      <c r="K183" s="154">
        <v>10027</v>
      </c>
      <c r="L183" s="154" t="s">
        <v>106</v>
      </c>
      <c r="M183" s="154">
        <v>44</v>
      </c>
      <c r="N183" s="154" t="s">
        <v>107</v>
      </c>
      <c r="O183" s="154" t="s">
        <v>585</v>
      </c>
      <c r="P183" s="154" t="s">
        <v>109</v>
      </c>
      <c r="Q183" s="154" t="s">
        <v>110</v>
      </c>
      <c r="R183" s="154" t="s">
        <v>111</v>
      </c>
      <c r="S183" s="154" t="s">
        <v>586</v>
      </c>
      <c r="T183" s="157">
        <v>45978</v>
      </c>
      <c r="U183" s="158" cm="1">
        <f t="array" ref="U183">[15]!CalculateINPC(B183,T183,-1)*F183</f>
        <v>250.65902113848966</v>
      </c>
      <c r="V183" s="158">
        <f t="shared" si="2"/>
        <v>407.22447012222949</v>
      </c>
    </row>
    <row r="184" spans="1:22">
      <c r="A184" s="154" t="s">
        <v>102</v>
      </c>
      <c r="B184" s="155">
        <v>43787</v>
      </c>
      <c r="C184" s="155">
        <v>43762</v>
      </c>
      <c r="D184" s="156">
        <v>225</v>
      </c>
      <c r="E184" s="156">
        <v>225</v>
      </c>
      <c r="F184" s="156">
        <v>225</v>
      </c>
      <c r="G184" s="154">
        <v>80890</v>
      </c>
      <c r="H184" s="154" t="s">
        <v>103</v>
      </c>
      <c r="I184" s="154" t="s">
        <v>587</v>
      </c>
      <c r="J184" s="154" t="s">
        <v>588</v>
      </c>
      <c r="K184" s="154">
        <v>10027</v>
      </c>
      <c r="L184" s="154" t="s">
        <v>106</v>
      </c>
      <c r="M184" s="154">
        <v>44</v>
      </c>
      <c r="N184" s="154" t="s">
        <v>107</v>
      </c>
      <c r="O184" s="154" t="s">
        <v>589</v>
      </c>
      <c r="P184" s="154" t="s">
        <v>109</v>
      </c>
      <c r="Q184" s="154" t="s">
        <v>110</v>
      </c>
      <c r="R184" s="154" t="s">
        <v>111</v>
      </c>
      <c r="S184" s="154" t="s">
        <v>192</v>
      </c>
      <c r="T184" s="157">
        <v>45978</v>
      </c>
      <c r="U184" s="158" cm="1">
        <f t="array" ref="U184">[15]!CalculateINPC(B184,T184,-1)*F184</f>
        <v>317.30695874999998</v>
      </c>
      <c r="V184" s="158">
        <f t="shared" si="2"/>
        <v>1110.8474453982717</v>
      </c>
    </row>
    <row r="185" spans="1:22">
      <c r="A185" s="154" t="s">
        <v>102</v>
      </c>
      <c r="B185" s="155">
        <v>45135</v>
      </c>
      <c r="C185" s="155">
        <v>45128</v>
      </c>
      <c r="D185" s="156">
        <v>220</v>
      </c>
      <c r="E185" s="156">
        <v>220</v>
      </c>
      <c r="F185" s="156">
        <v>220</v>
      </c>
      <c r="G185" s="154">
        <v>178083</v>
      </c>
      <c r="H185" s="154" t="s">
        <v>236</v>
      </c>
      <c r="I185" s="154" t="s">
        <v>237</v>
      </c>
      <c r="J185" s="154" t="s">
        <v>238</v>
      </c>
      <c r="K185" s="154">
        <v>10027</v>
      </c>
      <c r="L185" s="154" t="s">
        <v>106</v>
      </c>
      <c r="M185" s="154">
        <v>44</v>
      </c>
      <c r="N185" s="154" t="s">
        <v>107</v>
      </c>
      <c r="O185" s="154" t="s">
        <v>590</v>
      </c>
      <c r="P185" s="154" t="s">
        <v>109</v>
      </c>
      <c r="Q185" s="154" t="s">
        <v>110</v>
      </c>
      <c r="R185" s="154" t="s">
        <v>240</v>
      </c>
      <c r="S185" s="154" t="s">
        <v>591</v>
      </c>
      <c r="T185" s="157">
        <v>45978</v>
      </c>
      <c r="U185" s="158" cm="1">
        <f t="array" ref="U185">[15]!CalculateINPC(B185,T185,-1)*F185</f>
        <v>241.27233899999999</v>
      </c>
      <c r="V185" s="158">
        <f t="shared" si="2"/>
        <v>406.66802897024075</v>
      </c>
    </row>
    <row r="186" spans="1:22">
      <c r="A186" s="154" t="s">
        <v>102</v>
      </c>
      <c r="B186" s="155">
        <v>45189</v>
      </c>
      <c r="C186" s="155">
        <v>45141</v>
      </c>
      <c r="D186" s="156">
        <v>208.5</v>
      </c>
      <c r="E186" s="156">
        <v>208.5</v>
      </c>
      <c r="F186" s="156">
        <v>208.5</v>
      </c>
      <c r="G186" s="154">
        <v>178845</v>
      </c>
      <c r="H186" s="154" t="s">
        <v>103</v>
      </c>
      <c r="I186" s="154" t="s">
        <v>587</v>
      </c>
      <c r="J186" s="154" t="s">
        <v>588</v>
      </c>
      <c r="K186" s="154">
        <v>10027</v>
      </c>
      <c r="L186" s="154" t="s">
        <v>106</v>
      </c>
      <c r="M186" s="154">
        <v>44</v>
      </c>
      <c r="N186" s="154" t="s">
        <v>107</v>
      </c>
      <c r="O186" s="154" t="s">
        <v>592</v>
      </c>
      <c r="P186" s="154" t="s">
        <v>109</v>
      </c>
      <c r="Q186" s="154" t="s">
        <v>110</v>
      </c>
      <c r="R186" s="154" t="s">
        <v>111</v>
      </c>
      <c r="S186" s="154" t="s">
        <v>195</v>
      </c>
      <c r="T186" s="157">
        <v>45978</v>
      </c>
      <c r="U186" s="158" cm="1">
        <f t="array" ref="U186">[15]!CalculateINPC(B186,T186,-1)*F186</f>
        <v>228.40962329999999</v>
      </c>
      <c r="V186" s="158">
        <f t="shared" si="2"/>
        <v>370.53727768037658</v>
      </c>
    </row>
    <row r="187" spans="1:22">
      <c r="A187" s="154" t="s">
        <v>102</v>
      </c>
      <c r="B187" s="155">
        <v>44259</v>
      </c>
      <c r="C187" s="155">
        <v>44249</v>
      </c>
      <c r="D187" s="156">
        <v>200</v>
      </c>
      <c r="E187" s="156">
        <v>200</v>
      </c>
      <c r="F187" s="156">
        <v>200</v>
      </c>
      <c r="G187" s="154">
        <v>104957</v>
      </c>
      <c r="H187" s="154" t="s">
        <v>236</v>
      </c>
      <c r="I187" s="154" t="s">
        <v>237</v>
      </c>
      <c r="J187" s="154" t="s">
        <v>238</v>
      </c>
      <c r="K187" s="154">
        <v>10027</v>
      </c>
      <c r="L187" s="154" t="s">
        <v>106</v>
      </c>
      <c r="M187" s="154">
        <v>44</v>
      </c>
      <c r="N187" s="154" t="s">
        <v>107</v>
      </c>
      <c r="O187" s="154" t="s">
        <v>593</v>
      </c>
      <c r="P187" s="154" t="s">
        <v>109</v>
      </c>
      <c r="Q187" s="154" t="s">
        <v>110</v>
      </c>
      <c r="R187" s="154" t="s">
        <v>240</v>
      </c>
      <c r="S187" s="154" t="s">
        <v>594</v>
      </c>
      <c r="T187" s="157">
        <v>45978</v>
      </c>
      <c r="U187" s="158" cm="1">
        <f t="array" ref="U187">[15]!CalculateINPC(B187,T187,-1)*F187</f>
        <v>259.99676399999998</v>
      </c>
      <c r="V187" s="158">
        <f t="shared" si="2"/>
        <v>700.01847627966492</v>
      </c>
    </row>
    <row r="188" spans="1:22">
      <c r="A188" s="154" t="s">
        <v>102</v>
      </c>
      <c r="B188" s="155">
        <v>44747</v>
      </c>
      <c r="C188" s="155">
        <v>44746</v>
      </c>
      <c r="D188" s="156">
        <v>200</v>
      </c>
      <c r="E188" s="156">
        <v>200</v>
      </c>
      <c r="F188" s="156">
        <v>200</v>
      </c>
      <c r="G188" s="154">
        <v>152373</v>
      </c>
      <c r="H188" s="154" t="s">
        <v>236</v>
      </c>
      <c r="I188" s="154" t="s">
        <v>237</v>
      </c>
      <c r="J188" s="154" t="s">
        <v>238</v>
      </c>
      <c r="K188" s="154">
        <v>10027</v>
      </c>
      <c r="L188" s="154" t="s">
        <v>106</v>
      </c>
      <c r="M188" s="154">
        <v>44</v>
      </c>
      <c r="N188" s="154" t="s">
        <v>107</v>
      </c>
      <c r="O188" s="154" t="s">
        <v>595</v>
      </c>
      <c r="P188" s="154" t="s">
        <v>109</v>
      </c>
      <c r="Q188" s="154" t="s">
        <v>110</v>
      </c>
      <c r="R188" s="154" t="s">
        <v>399</v>
      </c>
      <c r="S188" s="154" t="s">
        <v>596</v>
      </c>
      <c r="T188" s="157">
        <v>45978</v>
      </c>
      <c r="U188" s="158" cm="1">
        <f t="array" ref="U188">[15]!CalculateINPC(B188,T188,-1)*F188</f>
        <v>225.91648599999999</v>
      </c>
      <c r="V188" s="158">
        <f t="shared" si="2"/>
        <v>490.51575221738079</v>
      </c>
    </row>
    <row r="189" spans="1:22">
      <c r="A189" s="154" t="s">
        <v>102</v>
      </c>
      <c r="B189" s="155">
        <v>44636</v>
      </c>
      <c r="C189" s="155">
        <v>44628</v>
      </c>
      <c r="D189" s="156">
        <v>200</v>
      </c>
      <c r="E189" s="156">
        <v>200</v>
      </c>
      <c r="F189" s="156">
        <v>200</v>
      </c>
      <c r="G189" s="154">
        <v>146615</v>
      </c>
      <c r="H189" s="154" t="s">
        <v>236</v>
      </c>
      <c r="I189" s="154" t="s">
        <v>237</v>
      </c>
      <c r="J189" s="154" t="s">
        <v>238</v>
      </c>
      <c r="K189" s="154">
        <v>10027</v>
      </c>
      <c r="L189" s="154" t="s">
        <v>106</v>
      </c>
      <c r="M189" s="154">
        <v>44</v>
      </c>
      <c r="N189" s="154" t="s">
        <v>107</v>
      </c>
      <c r="O189" s="154" t="s">
        <v>597</v>
      </c>
      <c r="P189" s="154" t="s">
        <v>109</v>
      </c>
      <c r="Q189" s="154" t="s">
        <v>110</v>
      </c>
      <c r="R189" s="154" t="s">
        <v>240</v>
      </c>
      <c r="S189" s="154" t="s">
        <v>598</v>
      </c>
      <c r="T189" s="157">
        <v>45978</v>
      </c>
      <c r="U189" s="158" cm="1">
        <f t="array" ref="U189">[15]!CalculateINPC(B189,T189,-1)*F189</f>
        <v>234.66045599999998</v>
      </c>
      <c r="V189" s="158">
        <f t="shared" si="2"/>
        <v>531.84550408634368</v>
      </c>
    </row>
    <row r="190" spans="1:22">
      <c r="A190" s="154" t="s">
        <v>102</v>
      </c>
      <c r="B190" s="155">
        <v>44397</v>
      </c>
      <c r="C190" s="155">
        <v>44385</v>
      </c>
      <c r="D190" s="156">
        <v>200</v>
      </c>
      <c r="E190" s="156">
        <v>200</v>
      </c>
      <c r="F190" s="156">
        <v>200</v>
      </c>
      <c r="G190" s="154">
        <v>112804</v>
      </c>
      <c r="H190" s="154" t="s">
        <v>236</v>
      </c>
      <c r="I190" s="154" t="s">
        <v>126</v>
      </c>
      <c r="J190" s="154" t="s">
        <v>127</v>
      </c>
      <c r="K190" s="154">
        <v>10027</v>
      </c>
      <c r="L190" s="154" t="s">
        <v>106</v>
      </c>
      <c r="M190" s="154">
        <v>44</v>
      </c>
      <c r="N190" s="154" t="s">
        <v>107</v>
      </c>
      <c r="O190" s="154" t="s">
        <v>526</v>
      </c>
      <c r="P190" s="154" t="s">
        <v>109</v>
      </c>
      <c r="Q190" s="154" t="s">
        <v>110</v>
      </c>
      <c r="R190" s="154" t="s">
        <v>399</v>
      </c>
      <c r="S190" s="154" t="s">
        <v>599</v>
      </c>
      <c r="T190" s="157">
        <v>45978</v>
      </c>
      <c r="U190" s="158" cm="1">
        <f t="array" ref="U190">[15]!CalculateINPC(B190,T190,-1)*F190</f>
        <v>252.84509000000003</v>
      </c>
      <c r="V190" s="158">
        <f t="shared" si="2"/>
        <v>633.04009497721199</v>
      </c>
    </row>
    <row r="191" spans="1:22">
      <c r="A191" s="154" t="s">
        <v>102</v>
      </c>
      <c r="B191" s="155">
        <v>45223</v>
      </c>
      <c r="C191" s="155">
        <v>45203</v>
      </c>
      <c r="D191" s="156">
        <v>200</v>
      </c>
      <c r="E191" s="156">
        <v>200</v>
      </c>
      <c r="F191" s="156">
        <v>200</v>
      </c>
      <c r="G191" s="154">
        <v>184182</v>
      </c>
      <c r="H191" s="154" t="s">
        <v>236</v>
      </c>
      <c r="I191" s="154" t="s">
        <v>237</v>
      </c>
      <c r="J191" s="154" t="s">
        <v>238</v>
      </c>
      <c r="K191" s="154">
        <v>10027</v>
      </c>
      <c r="L191" s="154" t="s">
        <v>106</v>
      </c>
      <c r="M191" s="154">
        <v>44</v>
      </c>
      <c r="N191" s="154" t="s">
        <v>107</v>
      </c>
      <c r="O191" s="154" t="s">
        <v>600</v>
      </c>
      <c r="P191" s="154" t="s">
        <v>109</v>
      </c>
      <c r="Q191" s="154" t="s">
        <v>110</v>
      </c>
      <c r="R191" s="154" t="s">
        <v>240</v>
      </c>
      <c r="S191" s="154" t="s">
        <v>601</v>
      </c>
      <c r="T191" s="157">
        <v>45978</v>
      </c>
      <c r="U191" s="158" cm="1">
        <f t="array" ref="U191">[15]!CalculateINPC(B191,T191,-1)*F191</f>
        <v>218.85732199999998</v>
      </c>
      <c r="V191" s="158">
        <f t="shared" si="2"/>
        <v>346.73248024395849</v>
      </c>
    </row>
    <row r="192" spans="1:22">
      <c r="A192" s="154" t="s">
        <v>102</v>
      </c>
      <c r="B192" s="155">
        <v>43923</v>
      </c>
      <c r="C192" s="155">
        <v>43902</v>
      </c>
      <c r="D192" s="156">
        <v>5500</v>
      </c>
      <c r="E192" s="156">
        <v>179.99999999998499</v>
      </c>
      <c r="F192" s="156">
        <v>179.99999999998499</v>
      </c>
      <c r="G192" s="154">
        <v>87902</v>
      </c>
      <c r="H192" s="154" t="s">
        <v>602</v>
      </c>
      <c r="I192" s="154" t="s">
        <v>603</v>
      </c>
      <c r="J192" s="154" t="s">
        <v>604</v>
      </c>
      <c r="K192" s="154">
        <v>10027</v>
      </c>
      <c r="L192" s="154" t="s">
        <v>106</v>
      </c>
      <c r="M192" s="154">
        <v>44</v>
      </c>
      <c r="N192" s="154" t="s">
        <v>107</v>
      </c>
      <c r="O192" s="154" t="s">
        <v>605</v>
      </c>
      <c r="P192" s="154" t="s">
        <v>109</v>
      </c>
      <c r="Q192" s="154" t="s">
        <v>110</v>
      </c>
      <c r="R192" s="154" t="s">
        <v>130</v>
      </c>
      <c r="S192" s="154" t="s">
        <v>606</v>
      </c>
      <c r="T192" s="157">
        <v>45978</v>
      </c>
      <c r="U192" s="158" cm="1">
        <f t="array" ref="U192">[15]!CalculateINPC(B192,T192,-1)*F192</f>
        <v>248.09673419997929</v>
      </c>
      <c r="V192" s="158">
        <f t="shared" si="2"/>
        <v>804.82070606411492</v>
      </c>
    </row>
    <row r="193" spans="1:22">
      <c r="A193" s="154" t="s">
        <v>102</v>
      </c>
      <c r="B193" s="155">
        <v>44181</v>
      </c>
      <c r="C193" s="155">
        <v>44169</v>
      </c>
      <c r="D193" s="156">
        <v>170</v>
      </c>
      <c r="E193" s="156">
        <v>170</v>
      </c>
      <c r="F193" s="156">
        <v>170</v>
      </c>
      <c r="G193" s="154">
        <v>101108</v>
      </c>
      <c r="H193" s="154" t="s">
        <v>236</v>
      </c>
      <c r="I193" s="154" t="s">
        <v>237</v>
      </c>
      <c r="J193" s="154" t="s">
        <v>238</v>
      </c>
      <c r="K193" s="154">
        <v>10027</v>
      </c>
      <c r="L193" s="154" t="s">
        <v>106</v>
      </c>
      <c r="M193" s="154">
        <v>44</v>
      </c>
      <c r="N193" s="154" t="s">
        <v>107</v>
      </c>
      <c r="O193" s="154" t="s">
        <v>607</v>
      </c>
      <c r="P193" s="154" t="s">
        <v>109</v>
      </c>
      <c r="Q193" s="154" t="s">
        <v>110</v>
      </c>
      <c r="R193" s="154" t="s">
        <v>240</v>
      </c>
      <c r="S193" s="154" t="s">
        <v>608</v>
      </c>
      <c r="T193" s="157">
        <v>45978</v>
      </c>
      <c r="U193" s="158" cm="1">
        <f t="array" ref="U193">[15]!CalculateINPC(B193,T193,-1)*F193</f>
        <v>226.67276909999998</v>
      </c>
      <c r="V193" s="158">
        <f t="shared" si="2"/>
        <v>629.81957565349717</v>
      </c>
    </row>
    <row r="194" spans="1:22">
      <c r="A194" s="154" t="s">
        <v>102</v>
      </c>
      <c r="B194" s="155">
        <v>45191</v>
      </c>
      <c r="C194" s="155">
        <v>45184</v>
      </c>
      <c r="D194" s="156">
        <v>212.48</v>
      </c>
      <c r="E194" s="156">
        <v>169.67999999999901</v>
      </c>
      <c r="F194" s="156">
        <v>169.67999999999901</v>
      </c>
      <c r="G194" s="154">
        <v>182087</v>
      </c>
      <c r="H194" s="154" t="s">
        <v>609</v>
      </c>
      <c r="I194" s="154" t="s">
        <v>610</v>
      </c>
      <c r="J194" s="154" t="s">
        <v>611</v>
      </c>
      <c r="K194" s="154">
        <v>10027</v>
      </c>
      <c r="L194" s="154" t="s">
        <v>106</v>
      </c>
      <c r="M194" s="154">
        <v>44</v>
      </c>
      <c r="N194" s="154" t="s">
        <v>107</v>
      </c>
      <c r="O194" s="154" t="s">
        <v>612</v>
      </c>
      <c r="P194" s="154" t="s">
        <v>109</v>
      </c>
      <c r="Q194" s="154" t="s">
        <v>110</v>
      </c>
      <c r="R194" s="154" t="s">
        <v>333</v>
      </c>
      <c r="S194" s="154" t="s">
        <v>613</v>
      </c>
      <c r="T194" s="157">
        <v>45978</v>
      </c>
      <c r="U194" s="158" cm="1">
        <f t="array" ref="U194">[15]!CalculateINPC(B194,T194,-1)*F194</f>
        <v>185.88270926399892</v>
      </c>
      <c r="V194" s="158">
        <f t="shared" si="2"/>
        <v>301.1088249125321</v>
      </c>
    </row>
    <row r="195" spans="1:22">
      <c r="A195" s="154" t="s">
        <v>102</v>
      </c>
      <c r="B195" s="155">
        <v>43812</v>
      </c>
      <c r="C195" s="155">
        <v>43800</v>
      </c>
      <c r="D195" s="156">
        <v>168</v>
      </c>
      <c r="E195" s="156">
        <v>168</v>
      </c>
      <c r="F195" s="156">
        <v>168</v>
      </c>
      <c r="G195" s="154">
        <v>82754</v>
      </c>
      <c r="H195" s="154" t="s">
        <v>200</v>
      </c>
      <c r="I195" s="154" t="s">
        <v>119</v>
      </c>
      <c r="J195" s="154" t="s">
        <v>120</v>
      </c>
      <c r="K195" s="154">
        <v>10027</v>
      </c>
      <c r="L195" s="154" t="s">
        <v>106</v>
      </c>
      <c r="M195" s="154">
        <v>44</v>
      </c>
      <c r="N195" s="154" t="s">
        <v>107</v>
      </c>
      <c r="O195" s="154" t="s">
        <v>614</v>
      </c>
      <c r="P195" s="154" t="s">
        <v>137</v>
      </c>
      <c r="Q195" s="154" t="s">
        <v>138</v>
      </c>
      <c r="R195" s="154" t="s">
        <v>111</v>
      </c>
      <c r="S195" s="154" t="s">
        <v>615</v>
      </c>
      <c r="T195" s="157">
        <v>45978</v>
      </c>
      <c r="U195" s="158" cm="1">
        <f t="array" ref="U195">[15]!CalculateINPC(B195,T195,-1)*F195</f>
        <v>235.64994264000001</v>
      </c>
      <c r="V195" s="158">
        <f t="shared" ref="V195:V258" si="3">F195*1.3^((T195-B195)/360)</f>
        <v>814.45754603288606</v>
      </c>
    </row>
    <row r="196" spans="1:22">
      <c r="A196" s="154" t="s">
        <v>102</v>
      </c>
      <c r="B196" s="155">
        <v>45551</v>
      </c>
      <c r="C196" s="155">
        <v>45545</v>
      </c>
      <c r="D196" s="156">
        <v>166.54</v>
      </c>
      <c r="E196" s="156">
        <v>166.54</v>
      </c>
      <c r="F196" s="156">
        <v>166.54</v>
      </c>
      <c r="G196" s="154">
        <v>216478</v>
      </c>
      <c r="H196" s="154" t="s">
        <v>236</v>
      </c>
      <c r="I196" s="154" t="s">
        <v>237</v>
      </c>
      <c r="J196" s="154" t="s">
        <v>238</v>
      </c>
      <c r="K196" s="154">
        <v>10027</v>
      </c>
      <c r="L196" s="154" t="s">
        <v>106</v>
      </c>
      <c r="M196" s="154">
        <v>44</v>
      </c>
      <c r="N196" s="154" t="s">
        <v>107</v>
      </c>
      <c r="O196" s="154" t="s">
        <v>616</v>
      </c>
      <c r="P196" s="154" t="s">
        <v>109</v>
      </c>
      <c r="Q196" s="154" t="s">
        <v>110</v>
      </c>
      <c r="R196" s="154" t="s">
        <v>240</v>
      </c>
      <c r="S196" s="154" t="s">
        <v>617</v>
      </c>
      <c r="T196" s="157">
        <v>45978</v>
      </c>
      <c r="U196" s="158" cm="1">
        <f t="array" ref="U196">[15]!CalculateINPC(B196,T196,-1)*F196</f>
        <v>175.91993749220001</v>
      </c>
      <c r="V196" s="158">
        <f t="shared" si="3"/>
        <v>227.33590696031166</v>
      </c>
    </row>
    <row r="197" spans="1:22">
      <c r="A197" s="154" t="s">
        <v>102</v>
      </c>
      <c r="B197" s="155">
        <v>45279</v>
      </c>
      <c r="C197" s="155">
        <v>45238</v>
      </c>
      <c r="D197" s="156">
        <v>162.75</v>
      </c>
      <c r="E197" s="156">
        <v>162.75</v>
      </c>
      <c r="F197" s="156">
        <v>162.75</v>
      </c>
      <c r="G197" s="154">
        <v>185955</v>
      </c>
      <c r="H197" s="154" t="s">
        <v>103</v>
      </c>
      <c r="I197" s="154" t="s">
        <v>460</v>
      </c>
      <c r="J197" s="154" t="s">
        <v>461</v>
      </c>
      <c r="K197" s="154">
        <v>10027</v>
      </c>
      <c r="L197" s="154" t="s">
        <v>106</v>
      </c>
      <c r="M197" s="154">
        <v>44</v>
      </c>
      <c r="N197" s="154" t="s">
        <v>107</v>
      </c>
      <c r="O197" s="154" t="s">
        <v>618</v>
      </c>
      <c r="P197" s="154" t="s">
        <v>109</v>
      </c>
      <c r="Q197" s="154" t="s">
        <v>110</v>
      </c>
      <c r="R197" s="154" t="s">
        <v>111</v>
      </c>
      <c r="S197" s="154" t="s">
        <v>619</v>
      </c>
      <c r="T197" s="157">
        <v>45978</v>
      </c>
      <c r="U197" s="158" cm="1">
        <f t="array" ref="U197">[15]!CalculateINPC(B197,T197,-1)*F197</f>
        <v>177.70402497750001</v>
      </c>
      <c r="V197" s="158">
        <f t="shared" si="3"/>
        <v>270.87006147184781</v>
      </c>
    </row>
    <row r="198" spans="1:22">
      <c r="A198" s="154" t="s">
        <v>102</v>
      </c>
      <c r="B198" s="155">
        <v>45189</v>
      </c>
      <c r="C198" s="155">
        <v>45139</v>
      </c>
      <c r="D198" s="156">
        <v>199.88</v>
      </c>
      <c r="E198" s="156">
        <v>151.12878048780499</v>
      </c>
      <c r="F198" s="156">
        <v>151.12878048780499</v>
      </c>
      <c r="G198" s="154">
        <v>178847</v>
      </c>
      <c r="H198" s="154" t="s">
        <v>103</v>
      </c>
      <c r="I198" s="154" t="s">
        <v>587</v>
      </c>
      <c r="J198" s="154" t="s">
        <v>588</v>
      </c>
      <c r="K198" s="154">
        <v>10027</v>
      </c>
      <c r="L198" s="154" t="s">
        <v>106</v>
      </c>
      <c r="M198" s="154">
        <v>44</v>
      </c>
      <c r="N198" s="154" t="s">
        <v>107</v>
      </c>
      <c r="O198" s="154" t="s">
        <v>620</v>
      </c>
      <c r="P198" s="154" t="s">
        <v>109</v>
      </c>
      <c r="Q198" s="154" t="s">
        <v>110</v>
      </c>
      <c r="R198" s="154" t="s">
        <v>111</v>
      </c>
      <c r="S198" s="154" t="s">
        <v>211</v>
      </c>
      <c r="T198" s="157">
        <v>45978</v>
      </c>
      <c r="U198" s="158" cm="1">
        <f t="array" ref="U198">[15]!CalculateINPC(B198,T198,-1)*F198</f>
        <v>165.56003751082937</v>
      </c>
      <c r="V198" s="158">
        <f t="shared" si="3"/>
        <v>268.5796014441558</v>
      </c>
    </row>
    <row r="199" spans="1:22">
      <c r="A199" s="154" t="s">
        <v>102</v>
      </c>
      <c r="B199" s="155">
        <v>45100</v>
      </c>
      <c r="C199" s="155">
        <v>45090</v>
      </c>
      <c r="D199" s="156">
        <v>500</v>
      </c>
      <c r="E199" s="156">
        <v>150</v>
      </c>
      <c r="F199" s="156">
        <v>150</v>
      </c>
      <c r="G199" s="154">
        <v>175827</v>
      </c>
      <c r="H199" s="154" t="s">
        <v>621</v>
      </c>
      <c r="I199" s="154" t="s">
        <v>226</v>
      </c>
      <c r="J199" s="154" t="s">
        <v>227</v>
      </c>
      <c r="K199" s="154">
        <v>10027</v>
      </c>
      <c r="L199" s="154" t="s">
        <v>106</v>
      </c>
      <c r="M199" s="154">
        <v>44</v>
      </c>
      <c r="N199" s="154" t="s">
        <v>107</v>
      </c>
      <c r="O199" s="154" t="s">
        <v>622</v>
      </c>
      <c r="P199" s="154" t="s">
        <v>137</v>
      </c>
      <c r="Q199" s="154" t="s">
        <v>138</v>
      </c>
      <c r="R199" s="154" t="s">
        <v>362</v>
      </c>
      <c r="S199" s="154" t="s">
        <v>623</v>
      </c>
      <c r="T199" s="157">
        <v>45978</v>
      </c>
      <c r="U199" s="158" cm="1">
        <f t="array" ref="U199">[15]!CalculateINPC(B199,T199,-1)*F199</f>
        <v>164.33944200000002</v>
      </c>
      <c r="V199" s="158">
        <f t="shared" si="3"/>
        <v>284.4372263060252</v>
      </c>
    </row>
    <row r="200" spans="1:22">
      <c r="A200" s="154" t="s">
        <v>102</v>
      </c>
      <c r="B200" s="155">
        <v>45175</v>
      </c>
      <c r="C200" s="155">
        <v>45170</v>
      </c>
      <c r="D200" s="156">
        <v>6915</v>
      </c>
      <c r="E200" s="156">
        <v>149.99999999999099</v>
      </c>
      <c r="F200" s="156">
        <v>149.99999999999099</v>
      </c>
      <c r="G200" s="154">
        <v>181067</v>
      </c>
      <c r="H200" s="154" t="s">
        <v>457</v>
      </c>
      <c r="I200" s="154" t="s">
        <v>271</v>
      </c>
      <c r="J200" s="154" t="s">
        <v>272</v>
      </c>
      <c r="K200" s="154">
        <v>10027</v>
      </c>
      <c r="L200" s="154" t="s">
        <v>106</v>
      </c>
      <c r="M200" s="154">
        <v>44</v>
      </c>
      <c r="N200" s="154" t="s">
        <v>107</v>
      </c>
      <c r="O200" s="154" t="s">
        <v>624</v>
      </c>
      <c r="P200" s="154" t="s">
        <v>109</v>
      </c>
      <c r="Q200" s="154" t="s">
        <v>110</v>
      </c>
      <c r="R200" s="154" t="s">
        <v>130</v>
      </c>
      <c r="S200" s="154" t="s">
        <v>625</v>
      </c>
      <c r="T200" s="157">
        <v>45978</v>
      </c>
      <c r="U200" s="158" cm="1">
        <f t="array" ref="U200">[15]!CalculateINPC(B200,T200,-1)*F200</f>
        <v>164.32346999999012</v>
      </c>
      <c r="V200" s="158">
        <f t="shared" si="3"/>
        <v>269.30736867821417</v>
      </c>
    </row>
    <row r="201" spans="1:22">
      <c r="A201" s="154" t="s">
        <v>102</v>
      </c>
      <c r="B201" s="155">
        <v>45457</v>
      </c>
      <c r="C201" s="155">
        <v>45449</v>
      </c>
      <c r="D201" s="156">
        <v>63700</v>
      </c>
      <c r="E201" s="156">
        <v>149.99999999975901</v>
      </c>
      <c r="F201" s="156">
        <v>149.99999999975901</v>
      </c>
      <c r="G201" s="154">
        <v>200593</v>
      </c>
      <c r="H201" s="154" t="s">
        <v>225</v>
      </c>
      <c r="I201" s="154" t="s">
        <v>226</v>
      </c>
      <c r="J201" s="154" t="s">
        <v>227</v>
      </c>
      <c r="K201" s="154">
        <v>10027</v>
      </c>
      <c r="L201" s="154" t="s">
        <v>106</v>
      </c>
      <c r="M201" s="154">
        <v>44</v>
      </c>
      <c r="N201" s="154" t="s">
        <v>107</v>
      </c>
      <c r="O201" s="154" t="s">
        <v>626</v>
      </c>
      <c r="P201" s="154" t="s">
        <v>109</v>
      </c>
      <c r="Q201" s="154" t="s">
        <v>110</v>
      </c>
      <c r="R201" s="154" t="s">
        <v>130</v>
      </c>
      <c r="S201" s="154" t="s">
        <v>627</v>
      </c>
      <c r="T201" s="157">
        <v>45978</v>
      </c>
      <c r="U201" s="158" cm="1">
        <f t="array" ref="U201">[15]!CalculateINPC(B201,T201,-1)*F201</f>
        <v>159.03471599974449</v>
      </c>
      <c r="V201" s="158">
        <f t="shared" si="3"/>
        <v>219.27676256399289</v>
      </c>
    </row>
    <row r="202" spans="1:22">
      <c r="A202" s="154" t="s">
        <v>102</v>
      </c>
      <c r="B202" s="155">
        <v>45189</v>
      </c>
      <c r="C202" s="155">
        <v>45139</v>
      </c>
      <c r="D202" s="156">
        <v>148.5</v>
      </c>
      <c r="E202" s="156">
        <v>148.5</v>
      </c>
      <c r="F202" s="156">
        <v>148.5</v>
      </c>
      <c r="G202" s="154">
        <v>178800</v>
      </c>
      <c r="H202" s="154" t="s">
        <v>103</v>
      </c>
      <c r="I202" s="154" t="s">
        <v>587</v>
      </c>
      <c r="J202" s="154" t="s">
        <v>588</v>
      </c>
      <c r="K202" s="154">
        <v>10027</v>
      </c>
      <c r="L202" s="154" t="s">
        <v>106</v>
      </c>
      <c r="M202" s="154">
        <v>44</v>
      </c>
      <c r="N202" s="154" t="s">
        <v>107</v>
      </c>
      <c r="O202" s="154" t="s">
        <v>628</v>
      </c>
      <c r="P202" s="154" t="s">
        <v>109</v>
      </c>
      <c r="Q202" s="154" t="s">
        <v>110</v>
      </c>
      <c r="R202" s="154" t="s">
        <v>111</v>
      </c>
      <c r="S202" s="154" t="s">
        <v>214</v>
      </c>
      <c r="T202" s="157">
        <v>45978</v>
      </c>
      <c r="U202" s="158" cm="1">
        <f t="array" ref="U202">[15]!CalculateINPC(B202,T202,-1)*F202</f>
        <v>162.68023529999999</v>
      </c>
      <c r="V202" s="158">
        <f t="shared" si="3"/>
        <v>263.90784525436897</v>
      </c>
    </row>
    <row r="203" spans="1:22">
      <c r="A203" s="154" t="s">
        <v>102</v>
      </c>
      <c r="B203" s="155">
        <v>45110</v>
      </c>
      <c r="C203" s="155">
        <v>45082</v>
      </c>
      <c r="D203" s="156">
        <v>86989.25</v>
      </c>
      <c r="E203" s="156">
        <v>130.18999999962799</v>
      </c>
      <c r="F203" s="156">
        <v>130.18999999962799</v>
      </c>
      <c r="G203" s="154">
        <v>176020</v>
      </c>
      <c r="H203" s="154" t="s">
        <v>629</v>
      </c>
      <c r="I203" s="154" t="s">
        <v>442</v>
      </c>
      <c r="J203" s="154" t="s">
        <v>443</v>
      </c>
      <c r="K203" s="154">
        <v>10027</v>
      </c>
      <c r="L203" s="154" t="s">
        <v>106</v>
      </c>
      <c r="M203" s="154">
        <v>44</v>
      </c>
      <c r="N203" s="154" t="s">
        <v>107</v>
      </c>
      <c r="O203" s="154" t="s">
        <v>630</v>
      </c>
      <c r="P203" s="154" t="s">
        <v>109</v>
      </c>
      <c r="Q203" s="154" t="s">
        <v>110</v>
      </c>
      <c r="R203" s="154" t="s">
        <v>130</v>
      </c>
      <c r="S203" s="154" t="s">
        <v>631</v>
      </c>
      <c r="T203" s="157">
        <v>45978</v>
      </c>
      <c r="U203" s="158" cm="1">
        <f t="array" ref="U203">[15]!CalculateINPC(B203,T203,-1)*F203</f>
        <v>142.778390065092</v>
      </c>
      <c r="V203" s="158">
        <f t="shared" si="3"/>
        <v>245.07990865013699</v>
      </c>
    </row>
    <row r="204" spans="1:22">
      <c r="A204" s="154" t="s">
        <v>102</v>
      </c>
      <c r="B204" s="155">
        <v>45131</v>
      </c>
      <c r="C204" s="155">
        <v>45124</v>
      </c>
      <c r="D204" s="156">
        <v>79975.98</v>
      </c>
      <c r="E204" s="156">
        <v>129.680000000229</v>
      </c>
      <c r="F204" s="156">
        <v>129.680000000229</v>
      </c>
      <c r="G204" s="154">
        <v>177446</v>
      </c>
      <c r="H204" s="154" t="s">
        <v>258</v>
      </c>
      <c r="I204" s="154" t="s">
        <v>243</v>
      </c>
      <c r="J204" s="154" t="s">
        <v>244</v>
      </c>
      <c r="K204" s="154">
        <v>10027</v>
      </c>
      <c r="L204" s="154" t="s">
        <v>106</v>
      </c>
      <c r="M204" s="154">
        <v>44</v>
      </c>
      <c r="N204" s="154" t="s">
        <v>107</v>
      </c>
      <c r="O204" s="154" t="s">
        <v>632</v>
      </c>
      <c r="P204" s="154" t="s">
        <v>109</v>
      </c>
      <c r="Q204" s="154" t="s">
        <v>110</v>
      </c>
      <c r="R204" s="154" t="s">
        <v>117</v>
      </c>
      <c r="S204" s="154" t="s">
        <v>633</v>
      </c>
      <c r="T204" s="157">
        <v>45978</v>
      </c>
      <c r="U204" s="158" cm="1">
        <f t="array" ref="U204">[15]!CalculateINPC(B204,T204,-1)*F204</f>
        <v>142.21907691625114</v>
      </c>
      <c r="V204" s="158">
        <f t="shared" si="3"/>
        <v>240.41213711439218</v>
      </c>
    </row>
    <row r="205" spans="1:22">
      <c r="A205" s="154" t="s">
        <v>102</v>
      </c>
      <c r="B205" s="155">
        <v>45246</v>
      </c>
      <c r="C205" s="155">
        <v>45197</v>
      </c>
      <c r="D205" s="156">
        <v>720.98</v>
      </c>
      <c r="E205" s="156">
        <v>124.619567881329</v>
      </c>
      <c r="F205" s="156">
        <v>124.619567881329</v>
      </c>
      <c r="G205" s="154">
        <v>184520</v>
      </c>
      <c r="H205" s="154" t="s">
        <v>103</v>
      </c>
      <c r="I205" s="154" t="s">
        <v>460</v>
      </c>
      <c r="J205" s="154" t="s">
        <v>461</v>
      </c>
      <c r="K205" s="154">
        <v>10027</v>
      </c>
      <c r="L205" s="154" t="s">
        <v>106</v>
      </c>
      <c r="M205" s="154">
        <v>44</v>
      </c>
      <c r="N205" s="154" t="s">
        <v>107</v>
      </c>
      <c r="O205" s="154" t="s">
        <v>634</v>
      </c>
      <c r="P205" s="154" t="s">
        <v>109</v>
      </c>
      <c r="Q205" s="154" t="s">
        <v>110</v>
      </c>
      <c r="R205" s="154" t="s">
        <v>111</v>
      </c>
      <c r="S205" s="154" t="s">
        <v>304</v>
      </c>
      <c r="T205" s="157">
        <v>45978</v>
      </c>
      <c r="U205" s="158" cm="1">
        <f t="array" ref="U205">[15]!CalculateINPC(B205,T205,-1)*F205</f>
        <v>136.20611332955298</v>
      </c>
      <c r="V205" s="158">
        <f t="shared" si="3"/>
        <v>212.45700618028508</v>
      </c>
    </row>
    <row r="206" spans="1:22">
      <c r="A206" s="154" t="s">
        <v>102</v>
      </c>
      <c r="B206" s="155">
        <v>45744</v>
      </c>
      <c r="C206" s="155">
        <v>45741</v>
      </c>
      <c r="D206" s="156">
        <v>863.6</v>
      </c>
      <c r="E206" s="156">
        <v>120.599999999997</v>
      </c>
      <c r="F206" s="156">
        <v>120.599999999997</v>
      </c>
      <c r="G206" s="154">
        <v>244168</v>
      </c>
      <c r="H206" s="154" t="s">
        <v>450</v>
      </c>
      <c r="I206" s="154" t="s">
        <v>635</v>
      </c>
      <c r="J206" s="154" t="s">
        <v>636</v>
      </c>
      <c r="K206" s="154">
        <v>10027</v>
      </c>
      <c r="L206" s="154" t="s">
        <v>106</v>
      </c>
      <c r="M206" s="154">
        <v>44</v>
      </c>
      <c r="N206" s="154" t="s">
        <v>107</v>
      </c>
      <c r="O206" s="154" t="s">
        <v>451</v>
      </c>
      <c r="P206" s="154" t="s">
        <v>109</v>
      </c>
      <c r="Q206" s="154" t="s">
        <v>110</v>
      </c>
      <c r="R206" s="154" t="s">
        <v>333</v>
      </c>
      <c r="S206" s="154" t="s">
        <v>452</v>
      </c>
      <c r="T206" s="157">
        <v>45978</v>
      </c>
      <c r="U206" s="158" cm="1">
        <f t="array" ref="U206">[15]!CalculateINPC(B206,T206,-1)*F206</f>
        <v>123.17764892399693</v>
      </c>
      <c r="V206" s="158">
        <f t="shared" si="3"/>
        <v>143.02451601027414</v>
      </c>
    </row>
    <row r="207" spans="1:22">
      <c r="A207" s="154" t="s">
        <v>102</v>
      </c>
      <c r="B207" s="155">
        <v>44158</v>
      </c>
      <c r="C207" s="155">
        <v>44139</v>
      </c>
      <c r="D207" s="156">
        <v>120</v>
      </c>
      <c r="E207" s="156">
        <v>120</v>
      </c>
      <c r="F207" s="156">
        <v>120</v>
      </c>
      <c r="G207" s="154">
        <v>98851</v>
      </c>
      <c r="H207" s="154" t="s">
        <v>236</v>
      </c>
      <c r="I207" s="154" t="s">
        <v>237</v>
      </c>
      <c r="J207" s="154" t="s">
        <v>238</v>
      </c>
      <c r="K207" s="154">
        <v>10027</v>
      </c>
      <c r="L207" s="154" t="s">
        <v>106</v>
      </c>
      <c r="M207" s="154">
        <v>44</v>
      </c>
      <c r="N207" s="154" t="s">
        <v>107</v>
      </c>
      <c r="O207" s="154" t="s">
        <v>637</v>
      </c>
      <c r="P207" s="154" t="s">
        <v>109</v>
      </c>
      <c r="Q207" s="154" t="s">
        <v>110</v>
      </c>
      <c r="R207" s="154" t="s">
        <v>240</v>
      </c>
      <c r="S207" s="154" t="s">
        <v>638</v>
      </c>
      <c r="T207" s="157">
        <v>45978</v>
      </c>
      <c r="U207" s="158" cm="1">
        <f t="array" ref="U207">[15]!CalculateINPC(B207,T207,-1)*F207</f>
        <v>161.52429599999999</v>
      </c>
      <c r="V207" s="158">
        <f t="shared" si="3"/>
        <v>452.09342800088649</v>
      </c>
    </row>
    <row r="208" spans="1:22">
      <c r="A208" s="154" t="s">
        <v>102</v>
      </c>
      <c r="B208" s="155">
        <v>44130</v>
      </c>
      <c r="C208" s="155">
        <v>44110</v>
      </c>
      <c r="D208" s="156">
        <v>120</v>
      </c>
      <c r="E208" s="156">
        <v>120</v>
      </c>
      <c r="F208" s="156">
        <v>120</v>
      </c>
      <c r="G208" s="154">
        <v>96884</v>
      </c>
      <c r="H208" s="154" t="s">
        <v>236</v>
      </c>
      <c r="I208" s="154" t="s">
        <v>237</v>
      </c>
      <c r="J208" s="154" t="s">
        <v>238</v>
      </c>
      <c r="K208" s="154">
        <v>10027</v>
      </c>
      <c r="L208" s="154" t="s">
        <v>106</v>
      </c>
      <c r="M208" s="154">
        <v>44</v>
      </c>
      <c r="N208" s="154" t="s">
        <v>107</v>
      </c>
      <c r="O208" s="154" t="s">
        <v>639</v>
      </c>
      <c r="P208" s="154" t="s">
        <v>109</v>
      </c>
      <c r="Q208" s="154" t="s">
        <v>110</v>
      </c>
      <c r="R208" s="154" t="s">
        <v>240</v>
      </c>
      <c r="S208" s="154" t="s">
        <v>640</v>
      </c>
      <c r="T208" s="157">
        <v>45978</v>
      </c>
      <c r="U208" s="158" cm="1">
        <f t="array" ref="U208">[15]!CalculateINPC(B208,T208,-1)*F208</f>
        <v>162.96171840000002</v>
      </c>
      <c r="V208" s="158">
        <f t="shared" si="3"/>
        <v>461.41366747432522</v>
      </c>
    </row>
    <row r="209" spans="1:22">
      <c r="A209" s="154" t="s">
        <v>102</v>
      </c>
      <c r="B209" s="155">
        <v>44727</v>
      </c>
      <c r="C209" s="155">
        <v>44713</v>
      </c>
      <c r="D209" s="156">
        <v>3180</v>
      </c>
      <c r="E209" s="156">
        <v>119.99999999998801</v>
      </c>
      <c r="F209" s="156">
        <v>119.99999999998801</v>
      </c>
      <c r="G209" s="154">
        <v>151463</v>
      </c>
      <c r="H209" s="154" t="s">
        <v>422</v>
      </c>
      <c r="I209" s="154" t="s">
        <v>189</v>
      </c>
      <c r="J209" s="154" t="s">
        <v>190</v>
      </c>
      <c r="K209" s="154">
        <v>10027</v>
      </c>
      <c r="L209" s="154" t="s">
        <v>106</v>
      </c>
      <c r="M209" s="154">
        <v>44</v>
      </c>
      <c r="N209" s="154" t="s">
        <v>107</v>
      </c>
      <c r="O209" s="154" t="s">
        <v>641</v>
      </c>
      <c r="P209" s="154" t="s">
        <v>109</v>
      </c>
      <c r="Q209" s="154" t="s">
        <v>110</v>
      </c>
      <c r="R209" s="154" t="s">
        <v>130</v>
      </c>
      <c r="S209" s="154" t="s">
        <v>642</v>
      </c>
      <c r="T209" s="157">
        <v>45978</v>
      </c>
      <c r="U209" s="158" cm="1">
        <f t="array" ref="U209">[15]!CalculateINPC(B209,T209,-1)*F209</f>
        <v>136.39036439998637</v>
      </c>
      <c r="V209" s="158">
        <f t="shared" si="3"/>
        <v>298.63066083708418</v>
      </c>
    </row>
    <row r="210" spans="1:22">
      <c r="A210" s="154" t="s">
        <v>102</v>
      </c>
      <c r="B210" s="155">
        <v>43861</v>
      </c>
      <c r="C210" s="155">
        <v>43861</v>
      </c>
      <c r="D210" s="156">
        <v>747.14</v>
      </c>
      <c r="E210" s="156">
        <v>119.539999999998</v>
      </c>
      <c r="F210" s="156">
        <v>119.539999999998</v>
      </c>
      <c r="G210" s="154">
        <v>85252</v>
      </c>
      <c r="H210" s="154" t="s">
        <v>567</v>
      </c>
      <c r="I210" s="154" t="s">
        <v>568</v>
      </c>
      <c r="J210" s="154" t="s">
        <v>569</v>
      </c>
      <c r="K210" s="154">
        <v>10027</v>
      </c>
      <c r="L210" s="154" t="s">
        <v>106</v>
      </c>
      <c r="M210" s="154">
        <v>44</v>
      </c>
      <c r="N210" s="154" t="s">
        <v>107</v>
      </c>
      <c r="O210" s="154" t="s">
        <v>643</v>
      </c>
      <c r="P210" s="154" t="s">
        <v>571</v>
      </c>
      <c r="Q210" s="154" t="s">
        <v>572</v>
      </c>
      <c r="R210" s="154" t="s">
        <v>573</v>
      </c>
      <c r="S210" s="154" t="s">
        <v>644</v>
      </c>
      <c r="T210" s="157">
        <v>45978</v>
      </c>
      <c r="U210" s="158" cm="1">
        <f t="array" ref="U210">[15]!CalculateINPC(B210,T210,-1)*F210</f>
        <v>165.65506055839725</v>
      </c>
      <c r="V210" s="158">
        <f t="shared" si="3"/>
        <v>559.19523869511806</v>
      </c>
    </row>
    <row r="211" spans="1:22">
      <c r="A211" s="154" t="s">
        <v>102</v>
      </c>
      <c r="B211" s="155">
        <v>45562</v>
      </c>
      <c r="C211" s="155">
        <v>45560</v>
      </c>
      <c r="D211" s="156">
        <v>1369.79</v>
      </c>
      <c r="E211" s="156">
        <v>119.360000000003</v>
      </c>
      <c r="F211" s="156">
        <v>119.360000000003</v>
      </c>
      <c r="G211" s="154">
        <v>218569</v>
      </c>
      <c r="H211" s="154" t="s">
        <v>411</v>
      </c>
      <c r="I211" s="154" t="s">
        <v>645</v>
      </c>
      <c r="J211" s="154" t="s">
        <v>646</v>
      </c>
      <c r="K211" s="154">
        <v>10027</v>
      </c>
      <c r="L211" s="154" t="s">
        <v>106</v>
      </c>
      <c r="M211" s="154">
        <v>44</v>
      </c>
      <c r="N211" s="154" t="s">
        <v>107</v>
      </c>
      <c r="O211" s="154" t="s">
        <v>412</v>
      </c>
      <c r="P211" s="154" t="s">
        <v>109</v>
      </c>
      <c r="Q211" s="154" t="s">
        <v>110</v>
      </c>
      <c r="R211" s="154" t="s">
        <v>333</v>
      </c>
      <c r="S211" s="154" t="s">
        <v>413</v>
      </c>
      <c r="T211" s="157">
        <v>45978</v>
      </c>
      <c r="U211" s="158" cm="1">
        <f t="array" ref="U211">[15]!CalculateINPC(B211,T211,-1)*F211</f>
        <v>126.08264524480317</v>
      </c>
      <c r="V211" s="158">
        <f t="shared" si="3"/>
        <v>161.63175327774763</v>
      </c>
    </row>
    <row r="212" spans="1:22">
      <c r="A212" s="154" t="s">
        <v>102</v>
      </c>
      <c r="B212" s="155">
        <v>45562</v>
      </c>
      <c r="C212" s="155">
        <v>45560</v>
      </c>
      <c r="D212" s="156">
        <v>1369.79</v>
      </c>
      <c r="E212" s="156">
        <v>118.68000000000301</v>
      </c>
      <c r="F212" s="156">
        <v>118.68000000000301</v>
      </c>
      <c r="G212" s="154">
        <v>218569</v>
      </c>
      <c r="H212" s="154" t="s">
        <v>411</v>
      </c>
      <c r="I212" s="154" t="s">
        <v>635</v>
      </c>
      <c r="J212" s="154" t="s">
        <v>636</v>
      </c>
      <c r="K212" s="154">
        <v>10027</v>
      </c>
      <c r="L212" s="154" t="s">
        <v>106</v>
      </c>
      <c r="M212" s="154">
        <v>44</v>
      </c>
      <c r="N212" s="154" t="s">
        <v>107</v>
      </c>
      <c r="O212" s="154" t="s">
        <v>412</v>
      </c>
      <c r="P212" s="154" t="s">
        <v>109</v>
      </c>
      <c r="Q212" s="154" t="s">
        <v>110</v>
      </c>
      <c r="R212" s="154" t="s">
        <v>333</v>
      </c>
      <c r="S212" s="154" t="s">
        <v>413</v>
      </c>
      <c r="T212" s="157">
        <v>45978</v>
      </c>
      <c r="U212" s="158" cm="1">
        <f t="array" ref="U212">[15]!CalculateINPC(B212,T212,-1)*F212</f>
        <v>125.36434599240317</v>
      </c>
      <c r="V212" s="158">
        <f t="shared" si="3"/>
        <v>160.7109289460715</v>
      </c>
    </row>
    <row r="213" spans="1:22">
      <c r="A213" s="154" t="s">
        <v>102</v>
      </c>
      <c r="B213" s="155">
        <v>45734</v>
      </c>
      <c r="C213" s="155">
        <v>45717</v>
      </c>
      <c r="D213" s="156">
        <v>1506.68</v>
      </c>
      <c r="E213" s="156">
        <v>118.679999999999</v>
      </c>
      <c r="F213" s="156">
        <v>118.679999999999</v>
      </c>
      <c r="G213" s="154">
        <v>242131</v>
      </c>
      <c r="H213" s="154" t="s">
        <v>331</v>
      </c>
      <c r="I213" s="154" t="s">
        <v>635</v>
      </c>
      <c r="J213" s="154" t="s">
        <v>636</v>
      </c>
      <c r="K213" s="154">
        <v>10027</v>
      </c>
      <c r="L213" s="154" t="s">
        <v>106</v>
      </c>
      <c r="M213" s="154">
        <v>44</v>
      </c>
      <c r="N213" s="154" t="s">
        <v>107</v>
      </c>
      <c r="O213" s="154" t="s">
        <v>332</v>
      </c>
      <c r="P213" s="154" t="s">
        <v>109</v>
      </c>
      <c r="Q213" s="154" t="s">
        <v>110</v>
      </c>
      <c r="R213" s="154" t="s">
        <v>333</v>
      </c>
      <c r="S213" s="154" t="s">
        <v>334</v>
      </c>
      <c r="T213" s="157">
        <v>45978</v>
      </c>
      <c r="U213" s="158" cm="1">
        <f t="array" ref="U213">[15]!CalculateINPC(B213,T213,-1)*F213</f>
        <v>121.21661172719897</v>
      </c>
      <c r="V213" s="158">
        <f t="shared" si="3"/>
        <v>141.77700891800592</v>
      </c>
    </row>
    <row r="214" spans="1:22">
      <c r="A214" s="154" t="s">
        <v>257</v>
      </c>
      <c r="B214" s="155">
        <v>45553</v>
      </c>
      <c r="C214" s="155">
        <v>45536</v>
      </c>
      <c r="D214" s="156">
        <v>50451.85</v>
      </c>
      <c r="E214" s="156">
        <v>105.93000000023299</v>
      </c>
      <c r="F214" s="156">
        <v>105.93000000023299</v>
      </c>
      <c r="G214" s="154">
        <v>216549</v>
      </c>
      <c r="H214" s="154" t="s">
        <v>258</v>
      </c>
      <c r="I214" s="154" t="s">
        <v>243</v>
      </c>
      <c r="J214" s="154" t="s">
        <v>244</v>
      </c>
      <c r="K214" s="154">
        <v>10027</v>
      </c>
      <c r="L214" s="154" t="s">
        <v>106</v>
      </c>
      <c r="M214" s="154">
        <v>44</v>
      </c>
      <c r="N214" s="154" t="s">
        <v>107</v>
      </c>
      <c r="O214" s="154" t="s">
        <v>647</v>
      </c>
      <c r="P214" s="154" t="s">
        <v>260</v>
      </c>
      <c r="Q214" s="154" t="s">
        <v>261</v>
      </c>
      <c r="R214" s="154" t="s">
        <v>262</v>
      </c>
      <c r="S214" s="154" t="s">
        <v>648</v>
      </c>
      <c r="T214" s="157">
        <v>45978</v>
      </c>
      <c r="U214" s="158" cm="1">
        <f t="array" ref="U214">[15]!CalculateINPC(B214,T214,-1)*F214</f>
        <v>111.89623501014611</v>
      </c>
      <c r="V214" s="158">
        <f t="shared" si="3"/>
        <v>144.38943928040214</v>
      </c>
    </row>
    <row r="215" spans="1:22">
      <c r="A215" s="154" t="s">
        <v>102</v>
      </c>
      <c r="B215" s="155">
        <v>45734</v>
      </c>
      <c r="C215" s="155">
        <v>45717</v>
      </c>
      <c r="D215" s="156">
        <v>802.34</v>
      </c>
      <c r="E215" s="156">
        <v>102.840000000003</v>
      </c>
      <c r="F215" s="156">
        <v>102.840000000003</v>
      </c>
      <c r="G215" s="154">
        <v>242129</v>
      </c>
      <c r="H215" s="154" t="s">
        <v>331</v>
      </c>
      <c r="I215" s="154" t="s">
        <v>635</v>
      </c>
      <c r="J215" s="154" t="s">
        <v>636</v>
      </c>
      <c r="K215" s="154">
        <v>10027</v>
      </c>
      <c r="L215" s="154" t="s">
        <v>106</v>
      </c>
      <c r="M215" s="154">
        <v>44</v>
      </c>
      <c r="N215" s="154" t="s">
        <v>107</v>
      </c>
      <c r="O215" s="154" t="s">
        <v>479</v>
      </c>
      <c r="P215" s="154" t="s">
        <v>109</v>
      </c>
      <c r="Q215" s="154" t="s">
        <v>110</v>
      </c>
      <c r="R215" s="154" t="s">
        <v>333</v>
      </c>
      <c r="S215" s="154" t="s">
        <v>480</v>
      </c>
      <c r="T215" s="157">
        <v>45978</v>
      </c>
      <c r="U215" s="158" cm="1">
        <f t="array" ref="U215">[15]!CalculateINPC(B215,T215,-1)*F215</f>
        <v>105.03805485360306</v>
      </c>
      <c r="V215" s="158">
        <f t="shared" si="3"/>
        <v>122.85429387536465</v>
      </c>
    </row>
    <row r="216" spans="1:22">
      <c r="A216" s="154" t="s">
        <v>102</v>
      </c>
      <c r="B216" s="155">
        <v>45016</v>
      </c>
      <c r="C216" s="155">
        <v>45008</v>
      </c>
      <c r="D216" s="156">
        <v>4750</v>
      </c>
      <c r="E216" s="156">
        <v>100.000000000013</v>
      </c>
      <c r="F216" s="156">
        <v>100.000000000013</v>
      </c>
      <c r="G216" s="154">
        <v>171006</v>
      </c>
      <c r="H216" s="154" t="s">
        <v>649</v>
      </c>
      <c r="I216" s="154" t="s">
        <v>290</v>
      </c>
      <c r="J216" s="154" t="s">
        <v>291</v>
      </c>
      <c r="K216" s="154">
        <v>10027</v>
      </c>
      <c r="L216" s="154" t="s">
        <v>106</v>
      </c>
      <c r="M216" s="154">
        <v>44</v>
      </c>
      <c r="N216" s="154" t="s">
        <v>107</v>
      </c>
      <c r="O216" s="154" t="s">
        <v>650</v>
      </c>
      <c r="P216" s="154" t="s">
        <v>109</v>
      </c>
      <c r="Q216" s="154" t="s">
        <v>110</v>
      </c>
      <c r="R216" s="154" t="s">
        <v>130</v>
      </c>
      <c r="S216" s="154" t="s">
        <v>651</v>
      </c>
      <c r="T216" s="157">
        <v>45978</v>
      </c>
      <c r="U216" s="158" cm="1">
        <f t="array" ref="U216">[15]!CalculateINPC(B216,T216,-1)*F216</f>
        <v>111.24428700001447</v>
      </c>
      <c r="V216" s="158">
        <f t="shared" si="3"/>
        <v>201.59602199104185</v>
      </c>
    </row>
    <row r="217" spans="1:22">
      <c r="A217" s="154" t="s">
        <v>102</v>
      </c>
      <c r="B217" s="155">
        <v>45078</v>
      </c>
      <c r="C217" s="155">
        <v>45057</v>
      </c>
      <c r="D217" s="156">
        <v>100</v>
      </c>
      <c r="E217" s="156">
        <v>100</v>
      </c>
      <c r="F217" s="156">
        <v>100</v>
      </c>
      <c r="G217" s="154">
        <v>174392</v>
      </c>
      <c r="H217" s="154" t="s">
        <v>236</v>
      </c>
      <c r="I217" s="154" t="s">
        <v>237</v>
      </c>
      <c r="J217" s="154" t="s">
        <v>238</v>
      </c>
      <c r="K217" s="154">
        <v>10027</v>
      </c>
      <c r="L217" s="154" t="s">
        <v>106</v>
      </c>
      <c r="M217" s="154">
        <v>44</v>
      </c>
      <c r="N217" s="154" t="s">
        <v>107</v>
      </c>
      <c r="O217" s="154" t="s">
        <v>652</v>
      </c>
      <c r="P217" s="154" t="s">
        <v>109</v>
      </c>
      <c r="Q217" s="154" t="s">
        <v>110</v>
      </c>
      <c r="R217" s="154" t="s">
        <v>240</v>
      </c>
      <c r="S217" s="154" t="s">
        <v>653</v>
      </c>
      <c r="T217" s="157">
        <v>45978</v>
      </c>
      <c r="U217" s="158" cm="1">
        <f t="array" ref="U217">[15]!CalculateINPC(B217,T217,-1)*F217</f>
        <v>109.559628</v>
      </c>
      <c r="V217" s="158">
        <f t="shared" si="3"/>
        <v>192.68964684175432</v>
      </c>
    </row>
    <row r="218" spans="1:22">
      <c r="A218" s="154" t="s">
        <v>102</v>
      </c>
      <c r="B218" s="155">
        <v>45707</v>
      </c>
      <c r="C218" s="155">
        <v>45685</v>
      </c>
      <c r="D218" s="156">
        <v>100</v>
      </c>
      <c r="E218" s="156">
        <v>100</v>
      </c>
      <c r="F218" s="156">
        <v>100</v>
      </c>
      <c r="G218" s="154">
        <v>238366</v>
      </c>
      <c r="H218" s="154" t="s">
        <v>236</v>
      </c>
      <c r="I218" s="154" t="s">
        <v>237</v>
      </c>
      <c r="J218" s="154" t="s">
        <v>238</v>
      </c>
      <c r="K218" s="154">
        <v>10027</v>
      </c>
      <c r="L218" s="154" t="s">
        <v>106</v>
      </c>
      <c r="M218" s="154">
        <v>44</v>
      </c>
      <c r="N218" s="154" t="s">
        <v>107</v>
      </c>
      <c r="O218" s="154" t="s">
        <v>654</v>
      </c>
      <c r="P218" s="154" t="s">
        <v>109</v>
      </c>
      <c r="Q218" s="154" t="s">
        <v>110</v>
      </c>
      <c r="R218" s="154" t="s">
        <v>240</v>
      </c>
      <c r="S218" s="154" t="s">
        <v>655</v>
      </c>
      <c r="T218" s="157">
        <v>45978</v>
      </c>
      <c r="U218" s="158" cm="1">
        <f t="array" ref="U218">[15]!CalculateINPC(B218,T218,-1)*F218</f>
        <v>103.64901500000001</v>
      </c>
      <c r="V218" s="158">
        <f t="shared" si="3"/>
        <v>121.83554870264321</v>
      </c>
    </row>
    <row r="219" spans="1:22">
      <c r="A219" s="154" t="s">
        <v>102</v>
      </c>
      <c r="B219" s="155">
        <v>45070</v>
      </c>
      <c r="C219" s="155">
        <v>45057</v>
      </c>
      <c r="D219" s="156">
        <v>100</v>
      </c>
      <c r="E219" s="156">
        <v>100</v>
      </c>
      <c r="F219" s="156">
        <v>100</v>
      </c>
      <c r="G219" s="154">
        <v>174176</v>
      </c>
      <c r="H219" s="154" t="s">
        <v>236</v>
      </c>
      <c r="I219" s="154" t="s">
        <v>237</v>
      </c>
      <c r="J219" s="154" t="s">
        <v>238</v>
      </c>
      <c r="K219" s="154">
        <v>10027</v>
      </c>
      <c r="L219" s="154" t="s">
        <v>106</v>
      </c>
      <c r="M219" s="154">
        <v>44</v>
      </c>
      <c r="N219" s="154" t="s">
        <v>107</v>
      </c>
      <c r="O219" s="154" t="s">
        <v>656</v>
      </c>
      <c r="P219" s="154" t="s">
        <v>109</v>
      </c>
      <c r="Q219" s="154" t="s">
        <v>110</v>
      </c>
      <c r="R219" s="154" t="s">
        <v>240</v>
      </c>
      <c r="S219" s="154" t="s">
        <v>657</v>
      </c>
      <c r="T219" s="157">
        <v>45978</v>
      </c>
      <c r="U219" s="158" cm="1">
        <f t="array" ref="U219">[15]!CalculateINPC(B219,T219,-1)*F219</f>
        <v>109.954095</v>
      </c>
      <c r="V219" s="158">
        <f t="shared" si="3"/>
        <v>193.81636994792791</v>
      </c>
    </row>
    <row r="220" spans="1:22">
      <c r="A220" s="154" t="s">
        <v>102</v>
      </c>
      <c r="B220" s="155">
        <v>45070</v>
      </c>
      <c r="C220" s="155">
        <v>45057</v>
      </c>
      <c r="D220" s="156">
        <v>100</v>
      </c>
      <c r="E220" s="156">
        <v>100</v>
      </c>
      <c r="F220" s="156">
        <v>100</v>
      </c>
      <c r="G220" s="154">
        <v>174193</v>
      </c>
      <c r="H220" s="154" t="s">
        <v>236</v>
      </c>
      <c r="I220" s="154" t="s">
        <v>237</v>
      </c>
      <c r="J220" s="154" t="s">
        <v>238</v>
      </c>
      <c r="K220" s="154">
        <v>10027</v>
      </c>
      <c r="L220" s="154" t="s">
        <v>106</v>
      </c>
      <c r="M220" s="154">
        <v>44</v>
      </c>
      <c r="N220" s="154" t="s">
        <v>107</v>
      </c>
      <c r="O220" s="154" t="s">
        <v>658</v>
      </c>
      <c r="P220" s="154" t="s">
        <v>109</v>
      </c>
      <c r="Q220" s="154" t="s">
        <v>110</v>
      </c>
      <c r="R220" s="154" t="s">
        <v>240</v>
      </c>
      <c r="S220" s="154" t="s">
        <v>659</v>
      </c>
      <c r="T220" s="157">
        <v>45978</v>
      </c>
      <c r="U220" s="158" cm="1">
        <f t="array" ref="U220">[15]!CalculateINPC(B220,T220,-1)*F220</f>
        <v>109.954095</v>
      </c>
      <c r="V220" s="158">
        <f t="shared" si="3"/>
        <v>193.81636994792791</v>
      </c>
    </row>
    <row r="221" spans="1:22">
      <c r="A221" s="154" t="s">
        <v>102</v>
      </c>
      <c r="B221" s="155">
        <v>45070</v>
      </c>
      <c r="C221" s="155">
        <v>45057</v>
      </c>
      <c r="D221" s="156">
        <v>100</v>
      </c>
      <c r="E221" s="156">
        <v>100</v>
      </c>
      <c r="F221" s="156">
        <v>100</v>
      </c>
      <c r="G221" s="154">
        <v>174177</v>
      </c>
      <c r="H221" s="154" t="s">
        <v>236</v>
      </c>
      <c r="I221" s="154" t="s">
        <v>237</v>
      </c>
      <c r="J221" s="154" t="s">
        <v>238</v>
      </c>
      <c r="K221" s="154">
        <v>10027</v>
      </c>
      <c r="L221" s="154" t="s">
        <v>106</v>
      </c>
      <c r="M221" s="154">
        <v>44</v>
      </c>
      <c r="N221" s="154" t="s">
        <v>107</v>
      </c>
      <c r="O221" s="154" t="s">
        <v>660</v>
      </c>
      <c r="P221" s="154" t="s">
        <v>109</v>
      </c>
      <c r="Q221" s="154" t="s">
        <v>110</v>
      </c>
      <c r="R221" s="154" t="s">
        <v>240</v>
      </c>
      <c r="S221" s="154" t="s">
        <v>661</v>
      </c>
      <c r="T221" s="157">
        <v>45978</v>
      </c>
      <c r="U221" s="158" cm="1">
        <f t="array" ref="U221">[15]!CalculateINPC(B221,T221,-1)*F221</f>
        <v>109.954095</v>
      </c>
      <c r="V221" s="158">
        <f t="shared" si="3"/>
        <v>193.81636994792791</v>
      </c>
    </row>
    <row r="222" spans="1:22">
      <c r="A222" s="154" t="s">
        <v>102</v>
      </c>
      <c r="B222" s="155">
        <v>45223</v>
      </c>
      <c r="C222" s="155">
        <v>45203</v>
      </c>
      <c r="D222" s="156">
        <v>100</v>
      </c>
      <c r="E222" s="156">
        <v>100</v>
      </c>
      <c r="F222" s="156">
        <v>100</v>
      </c>
      <c r="G222" s="154">
        <v>184185</v>
      </c>
      <c r="H222" s="154" t="s">
        <v>236</v>
      </c>
      <c r="I222" s="154" t="s">
        <v>237</v>
      </c>
      <c r="J222" s="154" t="s">
        <v>238</v>
      </c>
      <c r="K222" s="154">
        <v>10027</v>
      </c>
      <c r="L222" s="154" t="s">
        <v>106</v>
      </c>
      <c r="M222" s="154">
        <v>44</v>
      </c>
      <c r="N222" s="154" t="s">
        <v>107</v>
      </c>
      <c r="O222" s="154" t="s">
        <v>662</v>
      </c>
      <c r="P222" s="154" t="s">
        <v>109</v>
      </c>
      <c r="Q222" s="154" t="s">
        <v>110</v>
      </c>
      <c r="R222" s="154" t="s">
        <v>240</v>
      </c>
      <c r="S222" s="154" t="s">
        <v>663</v>
      </c>
      <c r="T222" s="157">
        <v>45978</v>
      </c>
      <c r="U222" s="158" cm="1">
        <f t="array" ref="U222">[15]!CalculateINPC(B222,T222,-1)*F222</f>
        <v>109.42866099999999</v>
      </c>
      <c r="V222" s="158">
        <f t="shared" si="3"/>
        <v>173.36624012197925</v>
      </c>
    </row>
    <row r="223" spans="1:22">
      <c r="A223" s="154" t="s">
        <v>102</v>
      </c>
      <c r="B223" s="155">
        <v>45545</v>
      </c>
      <c r="C223" s="155">
        <v>45538</v>
      </c>
      <c r="D223" s="156">
        <v>4200</v>
      </c>
      <c r="E223" s="156">
        <v>99.999999999983999</v>
      </c>
      <c r="F223" s="156">
        <v>99.999999999983999</v>
      </c>
      <c r="G223" s="154">
        <v>215781</v>
      </c>
      <c r="H223" s="154" t="s">
        <v>298</v>
      </c>
      <c r="I223" s="154" t="s">
        <v>232</v>
      </c>
      <c r="J223" s="154" t="s">
        <v>233</v>
      </c>
      <c r="K223" s="154">
        <v>10027</v>
      </c>
      <c r="L223" s="154" t="s">
        <v>106</v>
      </c>
      <c r="M223" s="154">
        <v>44</v>
      </c>
      <c r="N223" s="154" t="s">
        <v>107</v>
      </c>
      <c r="O223" s="154" t="s">
        <v>664</v>
      </c>
      <c r="P223" s="154" t="s">
        <v>109</v>
      </c>
      <c r="Q223" s="154" t="s">
        <v>110</v>
      </c>
      <c r="R223" s="154" t="s">
        <v>130</v>
      </c>
      <c r="S223" s="154" t="s">
        <v>665</v>
      </c>
      <c r="T223" s="157">
        <v>45978</v>
      </c>
      <c r="U223" s="158" cm="1">
        <f t="array" ref="U223">[15]!CalculateINPC(B223,T223,-1)*F223</f>
        <v>105.63224299998311</v>
      </c>
      <c r="V223" s="158">
        <f t="shared" si="3"/>
        <v>137.10349697260949</v>
      </c>
    </row>
    <row r="224" spans="1:22">
      <c r="A224" s="154" t="s">
        <v>102</v>
      </c>
      <c r="B224" s="155">
        <v>45016</v>
      </c>
      <c r="C224" s="155">
        <v>44995</v>
      </c>
      <c r="D224" s="156">
        <v>99.6</v>
      </c>
      <c r="E224" s="156">
        <v>99.6</v>
      </c>
      <c r="F224" s="156">
        <v>99.6</v>
      </c>
      <c r="G224" s="154">
        <v>170983</v>
      </c>
      <c r="H224" s="154" t="s">
        <v>236</v>
      </c>
      <c r="I224" s="154" t="s">
        <v>237</v>
      </c>
      <c r="J224" s="154" t="s">
        <v>238</v>
      </c>
      <c r="K224" s="154">
        <v>10027</v>
      </c>
      <c r="L224" s="154" t="s">
        <v>106</v>
      </c>
      <c r="M224" s="154">
        <v>44</v>
      </c>
      <c r="N224" s="154" t="s">
        <v>107</v>
      </c>
      <c r="O224" s="154" t="s">
        <v>666</v>
      </c>
      <c r="P224" s="154" t="s">
        <v>109</v>
      </c>
      <c r="Q224" s="154" t="s">
        <v>110</v>
      </c>
      <c r="R224" s="154" t="s">
        <v>240</v>
      </c>
      <c r="S224" s="154" t="s">
        <v>667</v>
      </c>
      <c r="T224" s="157">
        <v>45978</v>
      </c>
      <c r="U224" s="158" cm="1">
        <f t="array" ref="U224">[15]!CalculateINPC(B224,T224,-1)*F224</f>
        <v>110.79930985199999</v>
      </c>
      <c r="V224" s="158">
        <f t="shared" si="3"/>
        <v>200.78963790305158</v>
      </c>
    </row>
    <row r="225" spans="1:22">
      <c r="A225" s="154" t="s">
        <v>102</v>
      </c>
      <c r="B225" s="155">
        <v>45175</v>
      </c>
      <c r="C225" s="155">
        <v>45170</v>
      </c>
      <c r="D225" s="156">
        <v>39250</v>
      </c>
      <c r="E225" s="156">
        <v>98.290000000155004</v>
      </c>
      <c r="F225" s="156">
        <v>98.290000000155004</v>
      </c>
      <c r="G225" s="154">
        <v>180942</v>
      </c>
      <c r="H225" s="154" t="s">
        <v>668</v>
      </c>
      <c r="I225" s="154" t="s">
        <v>669</v>
      </c>
      <c r="J225" s="154" t="s">
        <v>670</v>
      </c>
      <c r="K225" s="154">
        <v>10027</v>
      </c>
      <c r="L225" s="154" t="s">
        <v>106</v>
      </c>
      <c r="M225" s="154">
        <v>44</v>
      </c>
      <c r="N225" s="154" t="s">
        <v>107</v>
      </c>
      <c r="O225" s="154" t="s">
        <v>671</v>
      </c>
      <c r="P225" s="154" t="s">
        <v>109</v>
      </c>
      <c r="Q225" s="154" t="s">
        <v>110</v>
      </c>
      <c r="R225" s="154" t="s">
        <v>130</v>
      </c>
      <c r="S225" s="154" t="s">
        <v>672</v>
      </c>
      <c r="T225" s="157">
        <v>45978</v>
      </c>
      <c r="U225" s="158" cm="1">
        <f t="array" ref="U225">[15]!CalculateINPC(B225,T225,-1)*F225</f>
        <v>107.6756924421698</v>
      </c>
      <c r="V225" s="158">
        <f t="shared" si="3"/>
        <v>176.46814178283336</v>
      </c>
    </row>
    <row r="226" spans="1:22">
      <c r="A226" s="154" t="s">
        <v>102</v>
      </c>
      <c r="B226" s="155">
        <v>45562</v>
      </c>
      <c r="C226" s="155">
        <v>45560</v>
      </c>
      <c r="D226" s="156">
        <v>361.35</v>
      </c>
      <c r="E226" s="156">
        <v>89.54</v>
      </c>
      <c r="F226" s="156">
        <v>89.54</v>
      </c>
      <c r="G226" s="154">
        <v>218576</v>
      </c>
      <c r="H226" s="154" t="s">
        <v>559</v>
      </c>
      <c r="I226" s="154" t="s">
        <v>645</v>
      </c>
      <c r="J226" s="154" t="s">
        <v>646</v>
      </c>
      <c r="K226" s="154">
        <v>10027</v>
      </c>
      <c r="L226" s="154" t="s">
        <v>106</v>
      </c>
      <c r="M226" s="154">
        <v>44</v>
      </c>
      <c r="N226" s="154" t="s">
        <v>107</v>
      </c>
      <c r="O226" s="154" t="s">
        <v>562</v>
      </c>
      <c r="P226" s="154" t="s">
        <v>109</v>
      </c>
      <c r="Q226" s="154" t="s">
        <v>110</v>
      </c>
      <c r="R226" s="154" t="s">
        <v>333</v>
      </c>
      <c r="S226" s="154" t="s">
        <v>563</v>
      </c>
      <c r="T226" s="157">
        <v>45978</v>
      </c>
      <c r="U226" s="158" cm="1">
        <f t="array" ref="U226">[15]!CalculateINPC(B226,T226,-1)*F226</f>
        <v>94.583110382200005</v>
      </c>
      <c r="V226" s="158">
        <f t="shared" si="3"/>
        <v>121.2508980268864</v>
      </c>
    </row>
    <row r="227" spans="1:22">
      <c r="A227" s="154" t="s">
        <v>102</v>
      </c>
      <c r="B227" s="155">
        <v>43699</v>
      </c>
      <c r="C227" s="155">
        <v>43697</v>
      </c>
      <c r="D227" s="156">
        <v>2289.41</v>
      </c>
      <c r="E227" s="156">
        <v>89.320000000006004</v>
      </c>
      <c r="F227" s="156">
        <v>89.320000000006004</v>
      </c>
      <c r="G227" s="154">
        <v>77560</v>
      </c>
      <c r="H227" s="154" t="s">
        <v>315</v>
      </c>
      <c r="I227" s="154" t="s">
        <v>645</v>
      </c>
      <c r="J227" s="154" t="s">
        <v>646</v>
      </c>
      <c r="K227" s="154">
        <v>10027</v>
      </c>
      <c r="L227" s="154" t="s">
        <v>106</v>
      </c>
      <c r="M227" s="154">
        <v>44</v>
      </c>
      <c r="N227" s="154" t="s">
        <v>107</v>
      </c>
      <c r="O227" s="154" t="s">
        <v>318</v>
      </c>
      <c r="P227" s="154" t="s">
        <v>109</v>
      </c>
      <c r="Q227" s="154" t="s">
        <v>110</v>
      </c>
      <c r="R227" s="154" t="s">
        <v>240</v>
      </c>
      <c r="S227" s="154" t="s">
        <v>319</v>
      </c>
      <c r="T227" s="157">
        <v>45978</v>
      </c>
      <c r="U227" s="158" cm="1">
        <f t="array" ref="U227">[15]!CalculateINPC(B227,T227,-1)*F227</f>
        <v>126.10227075600848</v>
      </c>
      <c r="V227" s="158">
        <f t="shared" si="3"/>
        <v>470.19005202269926</v>
      </c>
    </row>
    <row r="228" spans="1:22">
      <c r="A228" s="154" t="s">
        <v>102</v>
      </c>
      <c r="B228" s="155">
        <v>45097</v>
      </c>
      <c r="C228" s="155">
        <v>45048</v>
      </c>
      <c r="D228" s="156">
        <v>3616.54</v>
      </c>
      <c r="E228" s="156">
        <v>87.187560270006998</v>
      </c>
      <c r="F228" s="156">
        <v>87.187560270006998</v>
      </c>
      <c r="G228" s="154">
        <v>173152</v>
      </c>
      <c r="H228" s="154" t="s">
        <v>103</v>
      </c>
      <c r="I228" s="154" t="s">
        <v>460</v>
      </c>
      <c r="J228" s="154" t="s">
        <v>461</v>
      </c>
      <c r="K228" s="154">
        <v>10027</v>
      </c>
      <c r="L228" s="154" t="s">
        <v>106</v>
      </c>
      <c r="M228" s="154">
        <v>44</v>
      </c>
      <c r="N228" s="154" t="s">
        <v>107</v>
      </c>
      <c r="O228" s="154" t="s">
        <v>673</v>
      </c>
      <c r="P228" s="154" t="s">
        <v>137</v>
      </c>
      <c r="Q228" s="154" t="s">
        <v>138</v>
      </c>
      <c r="R228" s="154" t="s">
        <v>111</v>
      </c>
      <c r="S228" s="154" t="s">
        <v>321</v>
      </c>
      <c r="T228" s="157">
        <v>45978</v>
      </c>
      <c r="U228" s="158" cm="1">
        <f t="array" ref="U228">[15]!CalculateINPC(B228,T228,-1)*F228</f>
        <v>95.522366694095467</v>
      </c>
      <c r="V228" s="158">
        <f t="shared" si="3"/>
        <v>165.69111824972077</v>
      </c>
    </row>
    <row r="229" spans="1:22">
      <c r="A229" s="154" t="s">
        <v>102</v>
      </c>
      <c r="B229" s="155">
        <v>44783</v>
      </c>
      <c r="C229" s="155">
        <v>44774</v>
      </c>
      <c r="D229" s="156">
        <v>15621.48</v>
      </c>
      <c r="E229" s="156">
        <v>87.000000000067999</v>
      </c>
      <c r="F229" s="156">
        <v>87.000000000067999</v>
      </c>
      <c r="G229" s="154">
        <v>155811</v>
      </c>
      <c r="H229" s="154" t="s">
        <v>369</v>
      </c>
      <c r="I229" s="154" t="s">
        <v>370</v>
      </c>
      <c r="J229" s="154" t="s">
        <v>371</v>
      </c>
      <c r="K229" s="154">
        <v>10027</v>
      </c>
      <c r="L229" s="154" t="s">
        <v>106</v>
      </c>
      <c r="M229" s="154">
        <v>44</v>
      </c>
      <c r="N229" s="154" t="s">
        <v>107</v>
      </c>
      <c r="O229" s="154" t="s">
        <v>674</v>
      </c>
      <c r="P229" s="154" t="s">
        <v>109</v>
      </c>
      <c r="Q229" s="154" t="s">
        <v>110</v>
      </c>
      <c r="R229" s="154" t="s">
        <v>111</v>
      </c>
      <c r="S229" s="154" t="s">
        <v>675</v>
      </c>
      <c r="T229" s="157">
        <v>45978</v>
      </c>
      <c r="U229" s="158" cm="1">
        <f t="array" ref="U229">[15]!CalculateINPC(B229,T229,-1)*F229</f>
        <v>98.866944420077274</v>
      </c>
      <c r="V229" s="158">
        <f t="shared" si="3"/>
        <v>207.84897178191338</v>
      </c>
    </row>
    <row r="230" spans="1:22">
      <c r="A230" s="154" t="s">
        <v>102</v>
      </c>
      <c r="B230" s="155">
        <v>45337</v>
      </c>
      <c r="C230" s="155">
        <v>45323</v>
      </c>
      <c r="D230" s="156">
        <v>30794.25</v>
      </c>
      <c r="E230" s="156">
        <v>91.020000000032994</v>
      </c>
      <c r="F230" s="156">
        <v>85.422288842915989</v>
      </c>
      <c r="G230" s="154">
        <v>191429</v>
      </c>
      <c r="H230" s="154" t="s">
        <v>493</v>
      </c>
      <c r="I230" s="154" t="s">
        <v>442</v>
      </c>
      <c r="J230" s="154" t="s">
        <v>443</v>
      </c>
      <c r="K230" s="154">
        <v>10027</v>
      </c>
      <c r="L230" s="154" t="s">
        <v>106</v>
      </c>
      <c r="M230" s="154">
        <v>44</v>
      </c>
      <c r="N230" s="154" t="s">
        <v>107</v>
      </c>
      <c r="O230" s="154" t="s">
        <v>676</v>
      </c>
      <c r="P230" s="154" t="s">
        <v>109</v>
      </c>
      <c r="Q230" s="154" t="s">
        <v>110</v>
      </c>
      <c r="R230" s="154" t="s">
        <v>130</v>
      </c>
      <c r="S230" s="154" t="s">
        <v>677</v>
      </c>
      <c r="T230" s="157">
        <v>45978</v>
      </c>
      <c r="U230" s="158" cm="1">
        <f t="array" ref="U230">[15]!CalculateINPC(B230,T230,-1)*F230</f>
        <v>92.235304937708676</v>
      </c>
      <c r="V230" s="158">
        <f t="shared" si="3"/>
        <v>136.28676185019455</v>
      </c>
    </row>
    <row r="231" spans="1:22">
      <c r="A231" s="154" t="s">
        <v>102</v>
      </c>
      <c r="B231" s="155">
        <v>44399</v>
      </c>
      <c r="C231" s="155">
        <v>44385</v>
      </c>
      <c r="D231" s="156">
        <v>82.7</v>
      </c>
      <c r="E231" s="156">
        <v>82.7</v>
      </c>
      <c r="F231" s="156">
        <v>82.7</v>
      </c>
      <c r="G231" s="154">
        <v>112857</v>
      </c>
      <c r="H231" s="154" t="s">
        <v>236</v>
      </c>
      <c r="I231" s="154" t="s">
        <v>167</v>
      </c>
      <c r="J231" s="154" t="s">
        <v>168</v>
      </c>
      <c r="K231" s="154">
        <v>10027</v>
      </c>
      <c r="L231" s="154" t="s">
        <v>106</v>
      </c>
      <c r="M231" s="154">
        <v>44</v>
      </c>
      <c r="N231" s="154" t="s">
        <v>107</v>
      </c>
      <c r="O231" s="154" t="s">
        <v>678</v>
      </c>
      <c r="P231" s="154" t="s">
        <v>109</v>
      </c>
      <c r="Q231" s="154" t="s">
        <v>110</v>
      </c>
      <c r="R231" s="154" t="s">
        <v>399</v>
      </c>
      <c r="S231" s="154" t="s">
        <v>679</v>
      </c>
      <c r="T231" s="157">
        <v>45978</v>
      </c>
      <c r="U231" s="158" cm="1">
        <f t="array" ref="U231">[15]!CalculateINPC(B231,T231,-1)*F231</f>
        <v>104.55144471500002</v>
      </c>
      <c r="V231" s="158">
        <f t="shared" si="3"/>
        <v>261.38081822526209</v>
      </c>
    </row>
    <row r="232" spans="1:22">
      <c r="A232" s="154" t="s">
        <v>102</v>
      </c>
      <c r="B232" s="155">
        <v>43713</v>
      </c>
      <c r="C232" s="155">
        <v>43709</v>
      </c>
      <c r="D232" s="156">
        <v>3010.84</v>
      </c>
      <c r="E232" s="156">
        <v>76.500000000005002</v>
      </c>
      <c r="F232" s="156">
        <v>76.500000000005002</v>
      </c>
      <c r="G232" s="154">
        <v>78244</v>
      </c>
      <c r="H232" s="154" t="s">
        <v>217</v>
      </c>
      <c r="I232" s="154" t="s">
        <v>232</v>
      </c>
      <c r="J232" s="154" t="s">
        <v>233</v>
      </c>
      <c r="K232" s="154">
        <v>10027</v>
      </c>
      <c r="L232" s="154" t="s">
        <v>106</v>
      </c>
      <c r="M232" s="154">
        <v>44</v>
      </c>
      <c r="N232" s="154" t="s">
        <v>107</v>
      </c>
      <c r="O232" s="154" t="s">
        <v>680</v>
      </c>
      <c r="P232" s="154" t="s">
        <v>109</v>
      </c>
      <c r="Q232" s="154" t="s">
        <v>110</v>
      </c>
      <c r="R232" s="154" t="s">
        <v>117</v>
      </c>
      <c r="S232" s="154" t="s">
        <v>681</v>
      </c>
      <c r="T232" s="157">
        <v>45978</v>
      </c>
      <c r="U232" s="158" cm="1">
        <f t="array" ref="U232">[15]!CalculateINPC(B232,T232,-1)*F232</f>
        <v>107.87348844000705</v>
      </c>
      <c r="V232" s="158">
        <f t="shared" si="3"/>
        <v>398.61627530119779</v>
      </c>
    </row>
    <row r="233" spans="1:22">
      <c r="A233" s="154" t="s">
        <v>102</v>
      </c>
      <c r="B233" s="155">
        <v>45223</v>
      </c>
      <c r="C233" s="155">
        <v>45216</v>
      </c>
      <c r="D233" s="156">
        <v>3901</v>
      </c>
      <c r="E233" s="156">
        <v>75.999999999997996</v>
      </c>
      <c r="F233" s="156">
        <v>75.999999999997996</v>
      </c>
      <c r="G233" s="154">
        <v>184274</v>
      </c>
      <c r="H233" s="154" t="s">
        <v>547</v>
      </c>
      <c r="I233" s="154" t="s">
        <v>533</v>
      </c>
      <c r="J233" s="154" t="s">
        <v>534</v>
      </c>
      <c r="K233" s="154">
        <v>10027</v>
      </c>
      <c r="L233" s="154" t="s">
        <v>106</v>
      </c>
      <c r="M233" s="154">
        <v>44</v>
      </c>
      <c r="N233" s="154" t="s">
        <v>107</v>
      </c>
      <c r="O233" s="154" t="s">
        <v>682</v>
      </c>
      <c r="P233" s="154" t="s">
        <v>137</v>
      </c>
      <c r="Q233" s="154" t="s">
        <v>138</v>
      </c>
      <c r="R233" s="154" t="s">
        <v>130</v>
      </c>
      <c r="S233" s="154" t="s">
        <v>683</v>
      </c>
      <c r="T233" s="157">
        <v>45978</v>
      </c>
      <c r="U233" s="158" cm="1">
        <f t="array" ref="U233">[15]!CalculateINPC(B233,T233,-1)*F233</f>
        <v>83.165782359997806</v>
      </c>
      <c r="V233" s="158">
        <f t="shared" si="3"/>
        <v>131.75834249270076</v>
      </c>
    </row>
    <row r="234" spans="1:22">
      <c r="A234" s="154" t="s">
        <v>102</v>
      </c>
      <c r="B234" s="155">
        <v>45757</v>
      </c>
      <c r="C234" s="155">
        <v>45749</v>
      </c>
      <c r="D234" s="156">
        <v>17450</v>
      </c>
      <c r="E234" s="156">
        <v>74.999999999983004</v>
      </c>
      <c r="F234" s="156">
        <v>74.999999999983004</v>
      </c>
      <c r="G234" s="154">
        <v>245760</v>
      </c>
      <c r="H234" s="154" t="s">
        <v>684</v>
      </c>
      <c r="I234" s="154" t="s">
        <v>271</v>
      </c>
      <c r="J234" s="154" t="s">
        <v>272</v>
      </c>
      <c r="K234" s="154">
        <v>10027</v>
      </c>
      <c r="L234" s="154" t="s">
        <v>106</v>
      </c>
      <c r="M234" s="154">
        <v>44</v>
      </c>
      <c r="N234" s="154" t="s">
        <v>107</v>
      </c>
      <c r="O234" s="154" t="s">
        <v>685</v>
      </c>
      <c r="P234" s="154" t="s">
        <v>109</v>
      </c>
      <c r="Q234" s="154" t="s">
        <v>110</v>
      </c>
      <c r="R234" s="154" t="s">
        <v>130</v>
      </c>
      <c r="S234" s="154" t="s">
        <v>686</v>
      </c>
      <c r="T234" s="157">
        <v>45978</v>
      </c>
      <c r="U234" s="158" cm="1">
        <f t="array" ref="U234">[15]!CalculateINPC(B234,T234,-1)*F234</f>
        <v>76.214325749982734</v>
      </c>
      <c r="V234" s="158">
        <f t="shared" si="3"/>
        <v>88.106879767847559</v>
      </c>
    </row>
    <row r="235" spans="1:22">
      <c r="A235" s="154" t="s">
        <v>102</v>
      </c>
      <c r="B235" s="155">
        <v>45084</v>
      </c>
      <c r="C235" s="155">
        <v>45082</v>
      </c>
      <c r="D235" s="156">
        <v>12160</v>
      </c>
      <c r="E235" s="156">
        <v>74.999999999942006</v>
      </c>
      <c r="F235" s="156">
        <v>74.999999999942006</v>
      </c>
      <c r="G235" s="154">
        <v>174897</v>
      </c>
      <c r="H235" s="154" t="s">
        <v>270</v>
      </c>
      <c r="I235" s="154" t="s">
        <v>271</v>
      </c>
      <c r="J235" s="154" t="s">
        <v>272</v>
      </c>
      <c r="K235" s="154">
        <v>10027</v>
      </c>
      <c r="L235" s="154" t="s">
        <v>106</v>
      </c>
      <c r="M235" s="154">
        <v>44</v>
      </c>
      <c r="N235" s="154" t="s">
        <v>107</v>
      </c>
      <c r="O235" s="154" t="s">
        <v>687</v>
      </c>
      <c r="P235" s="154" t="s">
        <v>109</v>
      </c>
      <c r="Q235" s="154" t="s">
        <v>110</v>
      </c>
      <c r="R235" s="154" t="s">
        <v>130</v>
      </c>
      <c r="S235" s="154" t="s">
        <v>688</v>
      </c>
      <c r="T235" s="157">
        <v>45978</v>
      </c>
      <c r="U235" s="158" cm="1">
        <f t="array" ref="U235">[15]!CalculateINPC(B235,T235,-1)*F235</f>
        <v>82.169720999936473</v>
      </c>
      <c r="V235" s="158">
        <f t="shared" si="3"/>
        <v>143.88667879637438</v>
      </c>
    </row>
    <row r="236" spans="1:22">
      <c r="A236" s="154" t="s">
        <v>102</v>
      </c>
      <c r="B236" s="155">
        <v>45635</v>
      </c>
      <c r="C236" s="155">
        <v>45629</v>
      </c>
      <c r="D236" s="156">
        <v>1396.28</v>
      </c>
      <c r="E236" s="156">
        <v>73.719999999997995</v>
      </c>
      <c r="F236" s="156">
        <v>73.719999999997995</v>
      </c>
      <c r="G236" s="154">
        <v>227981</v>
      </c>
      <c r="H236" s="154" t="s">
        <v>539</v>
      </c>
      <c r="I236" s="154" t="s">
        <v>243</v>
      </c>
      <c r="J236" s="154" t="s">
        <v>244</v>
      </c>
      <c r="K236" s="154">
        <v>10027</v>
      </c>
      <c r="L236" s="154" t="s">
        <v>106</v>
      </c>
      <c r="M236" s="154">
        <v>44</v>
      </c>
      <c r="N236" s="154" t="s">
        <v>107</v>
      </c>
      <c r="O236" s="154" t="s">
        <v>689</v>
      </c>
      <c r="P236" s="154" t="s">
        <v>109</v>
      </c>
      <c r="Q236" s="154" t="s">
        <v>110</v>
      </c>
      <c r="R236" s="154" t="s">
        <v>240</v>
      </c>
      <c r="S236" s="154" t="s">
        <v>690</v>
      </c>
      <c r="T236" s="157">
        <v>45978</v>
      </c>
      <c r="U236" s="158" cm="1">
        <f t="array" ref="U236">[15]!CalculateINPC(B236,T236,-1)*F236</f>
        <v>76.776849192397918</v>
      </c>
      <c r="V236" s="158">
        <f t="shared" si="3"/>
        <v>94.655972226125556</v>
      </c>
    </row>
    <row r="237" spans="1:22">
      <c r="A237" s="154" t="s">
        <v>102</v>
      </c>
      <c r="B237" s="155">
        <v>43654</v>
      </c>
      <c r="C237" s="155">
        <v>43634</v>
      </c>
      <c r="D237" s="156">
        <v>68.05</v>
      </c>
      <c r="E237" s="156">
        <v>68.05</v>
      </c>
      <c r="F237" s="156">
        <v>68.05</v>
      </c>
      <c r="G237" s="154">
        <v>75532</v>
      </c>
      <c r="H237" s="154" t="s">
        <v>315</v>
      </c>
      <c r="I237" s="154" t="s">
        <v>237</v>
      </c>
      <c r="J237" s="154" t="s">
        <v>238</v>
      </c>
      <c r="K237" s="154">
        <v>10027</v>
      </c>
      <c r="L237" s="154" t="s">
        <v>106</v>
      </c>
      <c r="M237" s="154">
        <v>44</v>
      </c>
      <c r="N237" s="154" t="s">
        <v>107</v>
      </c>
      <c r="O237" s="154" t="s">
        <v>691</v>
      </c>
      <c r="P237" s="154" t="s">
        <v>109</v>
      </c>
      <c r="Q237" s="154" t="s">
        <v>110</v>
      </c>
      <c r="R237" s="154" t="s">
        <v>240</v>
      </c>
      <c r="S237" s="154" t="s">
        <v>692</v>
      </c>
      <c r="T237" s="157">
        <v>45978</v>
      </c>
      <c r="U237" s="158" cm="1">
        <f t="array" ref="U237">[15]!CalculateINPC(B237,T237,-1)*F237</f>
        <v>96.169216102500002</v>
      </c>
      <c r="V237" s="158">
        <f t="shared" si="3"/>
        <v>370.16535609148309</v>
      </c>
    </row>
    <row r="238" spans="1:22">
      <c r="A238" s="154" t="s">
        <v>102</v>
      </c>
      <c r="B238" s="155">
        <v>44805</v>
      </c>
      <c r="C238" s="155">
        <v>44799</v>
      </c>
      <c r="D238" s="156">
        <v>66.650000000000006</v>
      </c>
      <c r="E238" s="156">
        <v>66.650000000000006</v>
      </c>
      <c r="F238" s="156">
        <v>66.650000000000006</v>
      </c>
      <c r="G238" s="154">
        <v>156817</v>
      </c>
      <c r="H238" s="154" t="s">
        <v>258</v>
      </c>
      <c r="I238" s="154" t="s">
        <v>149</v>
      </c>
      <c r="J238" s="154" t="s">
        <v>150</v>
      </c>
      <c r="K238" s="154">
        <v>10027</v>
      </c>
      <c r="L238" s="154" t="s">
        <v>106</v>
      </c>
      <c r="M238" s="154">
        <v>44</v>
      </c>
      <c r="N238" s="154" t="s">
        <v>107</v>
      </c>
      <c r="O238" s="154" t="s">
        <v>693</v>
      </c>
      <c r="P238" s="154" t="s">
        <v>109</v>
      </c>
      <c r="Q238" s="154" t="s">
        <v>110</v>
      </c>
      <c r="R238" s="154" t="s">
        <v>117</v>
      </c>
      <c r="S238" s="154" t="s">
        <v>694</v>
      </c>
      <c r="T238" s="157">
        <v>45978</v>
      </c>
      <c r="U238" s="158" cm="1">
        <f t="array" ref="U238">[15]!CalculateINPC(B238,T238,-1)*F238</f>
        <v>75.976678414000006</v>
      </c>
      <c r="V238" s="158">
        <f t="shared" si="3"/>
        <v>156.6987660946285</v>
      </c>
    </row>
    <row r="239" spans="1:22">
      <c r="A239" s="154" t="s">
        <v>102</v>
      </c>
      <c r="B239" s="155">
        <v>44806</v>
      </c>
      <c r="C239" s="155">
        <v>44799</v>
      </c>
      <c r="D239" s="156">
        <v>66.650000000000006</v>
      </c>
      <c r="E239" s="156">
        <v>66.650000000000006</v>
      </c>
      <c r="F239" s="156">
        <v>66.650000000000006</v>
      </c>
      <c r="G239" s="154">
        <v>156899</v>
      </c>
      <c r="H239" s="154" t="s">
        <v>258</v>
      </c>
      <c r="I239" s="154" t="s">
        <v>149</v>
      </c>
      <c r="J239" s="154" t="s">
        <v>150</v>
      </c>
      <c r="K239" s="154">
        <v>10027</v>
      </c>
      <c r="L239" s="154" t="s">
        <v>106</v>
      </c>
      <c r="M239" s="154">
        <v>44</v>
      </c>
      <c r="N239" s="154" t="s">
        <v>107</v>
      </c>
      <c r="O239" s="154" t="s">
        <v>695</v>
      </c>
      <c r="P239" s="154" t="s">
        <v>109</v>
      </c>
      <c r="Q239" s="154" t="s">
        <v>110</v>
      </c>
      <c r="R239" s="154" t="s">
        <v>117</v>
      </c>
      <c r="S239" s="154" t="s">
        <v>696</v>
      </c>
      <c r="T239" s="157">
        <v>45978</v>
      </c>
      <c r="U239" s="158" cm="1">
        <f t="array" ref="U239">[15]!CalculateINPC(B239,T239,-1)*F239</f>
        <v>75.976678414000006</v>
      </c>
      <c r="V239" s="158">
        <f t="shared" si="3"/>
        <v>156.58460726381873</v>
      </c>
    </row>
    <row r="240" spans="1:22">
      <c r="A240" s="154" t="s">
        <v>102</v>
      </c>
      <c r="B240" s="155">
        <v>43878</v>
      </c>
      <c r="C240" s="155">
        <v>43862</v>
      </c>
      <c r="D240" s="156">
        <v>866.15</v>
      </c>
      <c r="E240" s="156">
        <v>65.000000000002998</v>
      </c>
      <c r="F240" s="156">
        <v>65.000000000002998</v>
      </c>
      <c r="G240" s="154">
        <v>85907</v>
      </c>
      <c r="H240" s="154" t="s">
        <v>315</v>
      </c>
      <c r="I240" s="154" t="s">
        <v>557</v>
      </c>
      <c r="J240" s="154" t="s">
        <v>558</v>
      </c>
      <c r="K240" s="154">
        <v>10027</v>
      </c>
      <c r="L240" s="154" t="s">
        <v>106</v>
      </c>
      <c r="M240" s="154">
        <v>44</v>
      </c>
      <c r="N240" s="154" t="s">
        <v>107</v>
      </c>
      <c r="O240" s="154" t="s">
        <v>507</v>
      </c>
      <c r="P240" s="154" t="s">
        <v>109</v>
      </c>
      <c r="Q240" s="154" t="s">
        <v>110</v>
      </c>
      <c r="R240" s="154" t="s">
        <v>240</v>
      </c>
      <c r="S240" s="154" t="s">
        <v>508</v>
      </c>
      <c r="T240" s="157">
        <v>45978</v>
      </c>
      <c r="U240" s="158" cm="1">
        <f t="array" ref="U240">[15]!CalculateINPC(B240,T240,-1)*F240</f>
        <v>89.904371700004148</v>
      </c>
      <c r="V240" s="158">
        <f t="shared" si="3"/>
        <v>300.31907094685613</v>
      </c>
    </row>
    <row r="241" spans="1:22">
      <c r="A241" s="154" t="s">
        <v>102</v>
      </c>
      <c r="B241" s="155">
        <v>44630</v>
      </c>
      <c r="C241" s="155">
        <v>44629</v>
      </c>
      <c r="D241" s="156">
        <v>8896.17</v>
      </c>
      <c r="E241" s="156">
        <v>63.670000000035998</v>
      </c>
      <c r="F241" s="156">
        <v>63.670000000035998</v>
      </c>
      <c r="G241" s="154">
        <v>146412</v>
      </c>
      <c r="H241" s="154" t="s">
        <v>258</v>
      </c>
      <c r="I241" s="154" t="s">
        <v>290</v>
      </c>
      <c r="J241" s="154" t="s">
        <v>291</v>
      </c>
      <c r="K241" s="154">
        <v>10027</v>
      </c>
      <c r="L241" s="154" t="s">
        <v>106</v>
      </c>
      <c r="M241" s="154">
        <v>44</v>
      </c>
      <c r="N241" s="154" t="s">
        <v>107</v>
      </c>
      <c r="O241" s="154" t="s">
        <v>697</v>
      </c>
      <c r="P241" s="154" t="s">
        <v>109</v>
      </c>
      <c r="Q241" s="154" t="s">
        <v>110</v>
      </c>
      <c r="R241" s="154" t="s">
        <v>117</v>
      </c>
      <c r="S241" s="154" t="s">
        <v>698</v>
      </c>
      <c r="T241" s="157">
        <v>45978</v>
      </c>
      <c r="U241" s="158" cm="1">
        <f t="array" ref="U241">[15]!CalculateINPC(B241,T241,-1)*F241</f>
        <v>74.704156167642225</v>
      </c>
      <c r="V241" s="158">
        <f t="shared" si="3"/>
        <v>170.05499870722107</v>
      </c>
    </row>
    <row r="242" spans="1:22">
      <c r="A242" s="154" t="s">
        <v>102</v>
      </c>
      <c r="B242" s="155">
        <v>45146</v>
      </c>
      <c r="C242" s="155">
        <v>45139</v>
      </c>
      <c r="D242" s="156">
        <v>1209.48</v>
      </c>
      <c r="E242" s="156">
        <v>61.899999999998997</v>
      </c>
      <c r="F242" s="156">
        <v>61.899999999998997</v>
      </c>
      <c r="G242" s="154">
        <v>178713</v>
      </c>
      <c r="H242" s="154" t="s">
        <v>369</v>
      </c>
      <c r="I242" s="154" t="s">
        <v>370</v>
      </c>
      <c r="J242" s="154" t="s">
        <v>371</v>
      </c>
      <c r="K242" s="154">
        <v>10027</v>
      </c>
      <c r="L242" s="154" t="s">
        <v>106</v>
      </c>
      <c r="M242" s="154">
        <v>44</v>
      </c>
      <c r="N242" s="154" t="s">
        <v>107</v>
      </c>
      <c r="O242" s="154" t="s">
        <v>699</v>
      </c>
      <c r="P242" s="154" t="s">
        <v>109</v>
      </c>
      <c r="Q242" s="154" t="s">
        <v>110</v>
      </c>
      <c r="R242" s="154" t="s">
        <v>111</v>
      </c>
      <c r="S242" s="154" t="s">
        <v>700</v>
      </c>
      <c r="T242" s="157">
        <v>45978</v>
      </c>
      <c r="U242" s="158" cm="1">
        <f t="array" ref="U242">[15]!CalculateINPC(B242,T242,-1)*F242</f>
        <v>67.946437186998892</v>
      </c>
      <c r="V242" s="158">
        <f t="shared" si="3"/>
        <v>113.5079804131535</v>
      </c>
    </row>
    <row r="243" spans="1:22">
      <c r="A243" s="154" t="s">
        <v>102</v>
      </c>
      <c r="B243" s="155">
        <v>45358</v>
      </c>
      <c r="C243" s="155">
        <v>45330</v>
      </c>
      <c r="D243" s="156">
        <v>107622.6</v>
      </c>
      <c r="E243" s="156">
        <v>61.250000000158003</v>
      </c>
      <c r="F243" s="156">
        <v>61.250000000158003</v>
      </c>
      <c r="G243" s="154">
        <v>193477</v>
      </c>
      <c r="H243" s="154" t="s">
        <v>629</v>
      </c>
      <c r="I243" s="154" t="s">
        <v>442</v>
      </c>
      <c r="J243" s="154" t="s">
        <v>443</v>
      </c>
      <c r="K243" s="154">
        <v>10027</v>
      </c>
      <c r="L243" s="154" t="s">
        <v>106</v>
      </c>
      <c r="M243" s="154">
        <v>44</v>
      </c>
      <c r="N243" s="154" t="s">
        <v>107</v>
      </c>
      <c r="O243" s="154" t="s">
        <v>701</v>
      </c>
      <c r="P243" s="154" t="s">
        <v>109</v>
      </c>
      <c r="Q243" s="154" t="s">
        <v>110</v>
      </c>
      <c r="R243" s="154" t="s">
        <v>130</v>
      </c>
      <c r="S243" s="154" t="s">
        <v>702</v>
      </c>
      <c r="T243" s="157">
        <v>45978</v>
      </c>
      <c r="U243" s="158" cm="1">
        <f t="array" ref="U243">[15]!CalculateINPC(B243,T243,-1)*F243</f>
        <v>65.603760862669233</v>
      </c>
      <c r="V243" s="158">
        <f t="shared" si="3"/>
        <v>96.236953507875967</v>
      </c>
    </row>
    <row r="244" spans="1:22">
      <c r="A244" s="154" t="s">
        <v>257</v>
      </c>
      <c r="B244" s="155">
        <v>45632</v>
      </c>
      <c r="C244" s="155">
        <v>45627</v>
      </c>
      <c r="D244" s="156">
        <v>49871.14</v>
      </c>
      <c r="E244" s="156">
        <v>61.150000000205999</v>
      </c>
      <c r="F244" s="156">
        <v>61.150000000205999</v>
      </c>
      <c r="G244" s="154">
        <v>227609</v>
      </c>
      <c r="H244" s="154" t="s">
        <v>258</v>
      </c>
      <c r="I244" s="154" t="s">
        <v>243</v>
      </c>
      <c r="J244" s="154" t="s">
        <v>244</v>
      </c>
      <c r="K244" s="154">
        <v>10027</v>
      </c>
      <c r="L244" s="154" t="s">
        <v>106</v>
      </c>
      <c r="M244" s="154">
        <v>44</v>
      </c>
      <c r="N244" s="154" t="s">
        <v>107</v>
      </c>
      <c r="O244" s="154" t="s">
        <v>703</v>
      </c>
      <c r="P244" s="154" t="s">
        <v>260</v>
      </c>
      <c r="Q244" s="154" t="s">
        <v>261</v>
      </c>
      <c r="R244" s="154" t="s">
        <v>262</v>
      </c>
      <c r="S244" s="154" t="s">
        <v>704</v>
      </c>
      <c r="T244" s="157">
        <v>45978</v>
      </c>
      <c r="U244" s="158" cm="1">
        <f t="array" ref="U244">[15]!CalculateINPC(B244,T244,-1)*F244</f>
        <v>63.68562572071454</v>
      </c>
      <c r="V244" s="158">
        <f t="shared" si="3"/>
        <v>78.688031934820543</v>
      </c>
    </row>
    <row r="245" spans="1:22">
      <c r="A245" s="154" t="s">
        <v>102</v>
      </c>
      <c r="B245" s="155">
        <v>45757</v>
      </c>
      <c r="C245" s="155">
        <v>45748</v>
      </c>
      <c r="D245" s="156">
        <v>13665</v>
      </c>
      <c r="E245" s="156">
        <v>60.000000000040998</v>
      </c>
      <c r="F245" s="156">
        <v>60.000000000040998</v>
      </c>
      <c r="G245" s="154">
        <v>245757</v>
      </c>
      <c r="H245" s="154" t="s">
        <v>705</v>
      </c>
      <c r="I245" s="154" t="s">
        <v>706</v>
      </c>
      <c r="J245" s="154" t="s">
        <v>707</v>
      </c>
      <c r="K245" s="154">
        <v>10027</v>
      </c>
      <c r="L245" s="154" t="s">
        <v>106</v>
      </c>
      <c r="M245" s="154">
        <v>44</v>
      </c>
      <c r="N245" s="154" t="s">
        <v>107</v>
      </c>
      <c r="O245" s="154" t="s">
        <v>708</v>
      </c>
      <c r="P245" s="154" t="s">
        <v>109</v>
      </c>
      <c r="Q245" s="154" t="s">
        <v>110</v>
      </c>
      <c r="R245" s="154" t="s">
        <v>130</v>
      </c>
      <c r="S245" s="154" t="s">
        <v>709</v>
      </c>
      <c r="T245" s="157">
        <v>45978</v>
      </c>
      <c r="U245" s="158" cm="1">
        <f t="array" ref="U245">[15]!CalculateINPC(B245,T245,-1)*F245</f>
        <v>60.971460600041659</v>
      </c>
      <c r="V245" s="158">
        <f t="shared" si="3"/>
        <v>70.485503814342181</v>
      </c>
    </row>
    <row r="246" spans="1:22">
      <c r="A246" s="154" t="s">
        <v>102</v>
      </c>
      <c r="B246" s="155">
        <v>44951</v>
      </c>
      <c r="C246" s="155">
        <v>44942</v>
      </c>
      <c r="D246" s="156">
        <v>8688</v>
      </c>
      <c r="E246" s="156">
        <v>60.000000000032003</v>
      </c>
      <c r="F246" s="156">
        <v>60.000000000032003</v>
      </c>
      <c r="G246" s="154">
        <v>166077</v>
      </c>
      <c r="H246" s="154" t="s">
        <v>602</v>
      </c>
      <c r="I246" s="154" t="s">
        <v>189</v>
      </c>
      <c r="J246" s="154" t="s">
        <v>190</v>
      </c>
      <c r="K246" s="154">
        <v>10027</v>
      </c>
      <c r="L246" s="154" t="s">
        <v>106</v>
      </c>
      <c r="M246" s="154">
        <v>44</v>
      </c>
      <c r="N246" s="154" t="s">
        <v>107</v>
      </c>
      <c r="O246" s="154" t="s">
        <v>710</v>
      </c>
      <c r="P246" s="154" t="s">
        <v>109</v>
      </c>
      <c r="Q246" s="154" t="s">
        <v>110</v>
      </c>
      <c r="R246" s="154" t="s">
        <v>130</v>
      </c>
      <c r="S246" s="154" t="s">
        <v>711</v>
      </c>
      <c r="T246" s="157">
        <v>45978</v>
      </c>
      <c r="U246" s="158" cm="1">
        <f t="array" ref="U246">[15]!CalculateINPC(B246,T246,-1)*F246</f>
        <v>67.569887400036038</v>
      </c>
      <c r="V246" s="158">
        <f t="shared" si="3"/>
        <v>126.82542132929819</v>
      </c>
    </row>
    <row r="247" spans="1:22">
      <c r="A247" s="154" t="s">
        <v>102</v>
      </c>
      <c r="B247" s="155">
        <v>45083</v>
      </c>
      <c r="C247" s="155">
        <v>45078</v>
      </c>
      <c r="D247" s="156">
        <v>7700</v>
      </c>
      <c r="E247" s="156">
        <v>60.000000000017003</v>
      </c>
      <c r="F247" s="156">
        <v>60.000000000017003</v>
      </c>
      <c r="G247" s="154">
        <v>174887</v>
      </c>
      <c r="H247" s="154" t="s">
        <v>457</v>
      </c>
      <c r="I247" s="154" t="s">
        <v>271</v>
      </c>
      <c r="J247" s="154" t="s">
        <v>272</v>
      </c>
      <c r="K247" s="154">
        <v>10027</v>
      </c>
      <c r="L247" s="154" t="s">
        <v>106</v>
      </c>
      <c r="M247" s="154">
        <v>44</v>
      </c>
      <c r="N247" s="154" t="s">
        <v>107</v>
      </c>
      <c r="O247" s="154" t="s">
        <v>712</v>
      </c>
      <c r="P247" s="154" t="s">
        <v>109</v>
      </c>
      <c r="Q247" s="154" t="s">
        <v>110</v>
      </c>
      <c r="R247" s="154" t="s">
        <v>130</v>
      </c>
      <c r="S247" s="154" t="s">
        <v>350</v>
      </c>
      <c r="T247" s="157">
        <v>45978</v>
      </c>
      <c r="U247" s="158" cm="1">
        <f t="array" ref="U247">[15]!CalculateINPC(B247,T247,-1)*F247</f>
        <v>65.735776800018641</v>
      </c>
      <c r="V247" s="158">
        <f t="shared" si="3"/>
        <v>115.19326410868554</v>
      </c>
    </row>
    <row r="248" spans="1:22">
      <c r="A248" s="154" t="s">
        <v>102</v>
      </c>
      <c r="B248" s="155">
        <v>45126</v>
      </c>
      <c r="C248" s="155">
        <v>45078</v>
      </c>
      <c r="D248" s="156">
        <v>1773.98</v>
      </c>
      <c r="E248" s="156">
        <v>55.800157273916</v>
      </c>
      <c r="F248" s="156">
        <v>55.800157273916</v>
      </c>
      <c r="G248" s="154">
        <v>175046</v>
      </c>
      <c r="H248" s="154" t="s">
        <v>103</v>
      </c>
      <c r="I248" s="154" t="s">
        <v>460</v>
      </c>
      <c r="J248" s="154" t="s">
        <v>461</v>
      </c>
      <c r="K248" s="154">
        <v>10027</v>
      </c>
      <c r="L248" s="154" t="s">
        <v>106</v>
      </c>
      <c r="M248" s="154">
        <v>44</v>
      </c>
      <c r="N248" s="154" t="s">
        <v>107</v>
      </c>
      <c r="O248" s="154" t="s">
        <v>713</v>
      </c>
      <c r="P248" s="154" t="s">
        <v>109</v>
      </c>
      <c r="Q248" s="154" t="s">
        <v>110</v>
      </c>
      <c r="R248" s="154" t="s">
        <v>111</v>
      </c>
      <c r="S248" s="154" t="s">
        <v>355</v>
      </c>
      <c r="T248" s="157">
        <v>45978</v>
      </c>
      <c r="U248" s="158" cm="1">
        <f t="array" ref="U248">[15]!CalculateINPC(B248,T248,-1)*F248</f>
        <v>61.195611191116257</v>
      </c>
      <c r="V248" s="158">
        <f t="shared" si="3"/>
        <v>103.8248606290646</v>
      </c>
    </row>
    <row r="249" spans="1:22">
      <c r="A249" s="154" t="s">
        <v>102</v>
      </c>
      <c r="B249" s="155">
        <v>44902</v>
      </c>
      <c r="C249" s="155">
        <v>44889</v>
      </c>
      <c r="D249" s="156">
        <v>9570</v>
      </c>
      <c r="E249" s="156">
        <v>54.999999999985</v>
      </c>
      <c r="F249" s="156">
        <v>54.999999999985</v>
      </c>
      <c r="G249" s="154">
        <v>162778</v>
      </c>
      <c r="H249" s="154" t="s">
        <v>602</v>
      </c>
      <c r="I249" s="154" t="s">
        <v>603</v>
      </c>
      <c r="J249" s="154" t="s">
        <v>604</v>
      </c>
      <c r="K249" s="154">
        <v>10027</v>
      </c>
      <c r="L249" s="154" t="s">
        <v>106</v>
      </c>
      <c r="M249" s="154">
        <v>44</v>
      </c>
      <c r="N249" s="154" t="s">
        <v>107</v>
      </c>
      <c r="O249" s="154" t="s">
        <v>714</v>
      </c>
      <c r="P249" s="154" t="s">
        <v>109</v>
      </c>
      <c r="Q249" s="154" t="s">
        <v>110</v>
      </c>
      <c r="R249" s="154" t="s">
        <v>130</v>
      </c>
      <c r="S249" s="154" t="s">
        <v>715</v>
      </c>
      <c r="T249" s="157">
        <v>45978</v>
      </c>
      <c r="U249" s="158" cm="1">
        <f t="array" ref="U249">[15]!CalculateINPC(B249,T249,-1)*F249</f>
        <v>62.366486599982991</v>
      </c>
      <c r="V249" s="158">
        <f t="shared" si="3"/>
        <v>120.48325976170131</v>
      </c>
    </row>
    <row r="250" spans="1:22">
      <c r="A250" s="154" t="s">
        <v>102</v>
      </c>
      <c r="B250" s="155">
        <v>45114</v>
      </c>
      <c r="C250" s="155">
        <v>45108</v>
      </c>
      <c r="D250" s="156">
        <v>574.95000000000005</v>
      </c>
      <c r="E250" s="156">
        <v>53.57</v>
      </c>
      <c r="F250" s="156">
        <v>53.57</v>
      </c>
      <c r="G250" s="154">
        <v>176711</v>
      </c>
      <c r="H250" s="154" t="s">
        <v>369</v>
      </c>
      <c r="I250" s="154" t="s">
        <v>370</v>
      </c>
      <c r="J250" s="154" t="s">
        <v>371</v>
      </c>
      <c r="K250" s="154">
        <v>10027</v>
      </c>
      <c r="L250" s="154" t="s">
        <v>106</v>
      </c>
      <c r="M250" s="154">
        <v>44</v>
      </c>
      <c r="N250" s="154" t="s">
        <v>107</v>
      </c>
      <c r="O250" s="154" t="s">
        <v>716</v>
      </c>
      <c r="P250" s="154" t="s">
        <v>109</v>
      </c>
      <c r="Q250" s="154" t="s">
        <v>110</v>
      </c>
      <c r="R250" s="154" t="s">
        <v>111</v>
      </c>
      <c r="S250" s="154" t="s">
        <v>717</v>
      </c>
      <c r="T250" s="157">
        <v>45978</v>
      </c>
      <c r="U250" s="158" cm="1">
        <f t="array" ref="U250">[15]!CalculateINPC(B250,T250,-1)*F250</f>
        <v>58.749814546499998</v>
      </c>
      <c r="V250" s="158">
        <f t="shared" si="3"/>
        <v>100.55083742372373</v>
      </c>
    </row>
    <row r="251" spans="1:22">
      <c r="A251" s="154" t="s">
        <v>102</v>
      </c>
      <c r="B251" s="155">
        <v>45279</v>
      </c>
      <c r="C251" s="155">
        <v>45238</v>
      </c>
      <c r="D251" s="156">
        <v>52.5</v>
      </c>
      <c r="E251" s="156">
        <v>52.5</v>
      </c>
      <c r="F251" s="156">
        <v>52.5</v>
      </c>
      <c r="G251" s="154">
        <v>185954</v>
      </c>
      <c r="H251" s="154" t="s">
        <v>103</v>
      </c>
      <c r="I251" s="154" t="s">
        <v>587</v>
      </c>
      <c r="J251" s="154" t="s">
        <v>588</v>
      </c>
      <c r="K251" s="154">
        <v>10027</v>
      </c>
      <c r="L251" s="154" t="s">
        <v>106</v>
      </c>
      <c r="M251" s="154">
        <v>44</v>
      </c>
      <c r="N251" s="154" t="s">
        <v>107</v>
      </c>
      <c r="O251" s="154" t="s">
        <v>718</v>
      </c>
      <c r="P251" s="154" t="s">
        <v>109</v>
      </c>
      <c r="Q251" s="154" t="s">
        <v>110</v>
      </c>
      <c r="R251" s="154" t="s">
        <v>111</v>
      </c>
      <c r="S251" s="154" t="s">
        <v>619</v>
      </c>
      <c r="T251" s="157">
        <v>45978</v>
      </c>
      <c r="U251" s="158" cm="1">
        <f t="array" ref="U251">[15]!CalculateINPC(B251,T251,-1)*F251</f>
        <v>57.323879025000004</v>
      </c>
      <c r="V251" s="158">
        <f t="shared" si="3"/>
        <v>87.377439184467022</v>
      </c>
    </row>
    <row r="252" spans="1:22">
      <c r="A252" s="154" t="s">
        <v>102</v>
      </c>
      <c r="B252" s="155">
        <v>45189</v>
      </c>
      <c r="C252" s="155">
        <v>45139</v>
      </c>
      <c r="D252" s="156">
        <v>167.4</v>
      </c>
      <c r="E252" s="156">
        <v>51.149999999998997</v>
      </c>
      <c r="F252" s="156">
        <v>51.149999999998997</v>
      </c>
      <c r="G252" s="154">
        <v>178854</v>
      </c>
      <c r="H252" s="154" t="s">
        <v>103</v>
      </c>
      <c r="I252" s="154" t="s">
        <v>460</v>
      </c>
      <c r="J252" s="154" t="s">
        <v>461</v>
      </c>
      <c r="K252" s="154">
        <v>10027</v>
      </c>
      <c r="L252" s="154" t="s">
        <v>106</v>
      </c>
      <c r="M252" s="154">
        <v>44</v>
      </c>
      <c r="N252" s="154" t="s">
        <v>107</v>
      </c>
      <c r="O252" s="154" t="s">
        <v>719</v>
      </c>
      <c r="P252" s="154" t="s">
        <v>109</v>
      </c>
      <c r="Q252" s="154" t="s">
        <v>110</v>
      </c>
      <c r="R252" s="154" t="s">
        <v>111</v>
      </c>
      <c r="S252" s="154" t="s">
        <v>366</v>
      </c>
      <c r="T252" s="157">
        <v>45978</v>
      </c>
      <c r="U252" s="158" cm="1">
        <f t="array" ref="U252">[15]!CalculateINPC(B252,T252,-1)*F252</f>
        <v>56.034303269998901</v>
      </c>
      <c r="V252" s="158">
        <f t="shared" si="3"/>
        <v>90.901591143169739</v>
      </c>
    </row>
    <row r="253" spans="1:22">
      <c r="A253" s="154" t="s">
        <v>102</v>
      </c>
      <c r="B253" s="155">
        <v>45021</v>
      </c>
      <c r="C253" s="155">
        <v>45007</v>
      </c>
      <c r="D253" s="156">
        <v>2900</v>
      </c>
      <c r="E253" s="156">
        <v>49.999999999986002</v>
      </c>
      <c r="F253" s="156">
        <v>49.999999999986002</v>
      </c>
      <c r="G253" s="154">
        <v>171165</v>
      </c>
      <c r="H253" s="154" t="s">
        <v>307</v>
      </c>
      <c r="I253" s="154" t="s">
        <v>232</v>
      </c>
      <c r="J253" s="154" t="s">
        <v>233</v>
      </c>
      <c r="K253" s="154">
        <v>10027</v>
      </c>
      <c r="L253" s="154" t="s">
        <v>106</v>
      </c>
      <c r="M253" s="154">
        <v>44</v>
      </c>
      <c r="N253" s="154" t="s">
        <v>107</v>
      </c>
      <c r="O253" s="154" t="s">
        <v>720</v>
      </c>
      <c r="P253" s="154" t="s">
        <v>109</v>
      </c>
      <c r="Q253" s="154" t="s">
        <v>110</v>
      </c>
      <c r="R253" s="154" t="s">
        <v>130</v>
      </c>
      <c r="S253" s="154" t="s">
        <v>665</v>
      </c>
      <c r="T253" s="157">
        <v>45978</v>
      </c>
      <c r="U253" s="158" cm="1">
        <f t="array" ref="U253">[15]!CalculateINPC(B253,T253,-1)*F253</f>
        <v>55.268415499984528</v>
      </c>
      <c r="V253" s="158">
        <f t="shared" si="3"/>
        <v>100.43137667696352</v>
      </c>
    </row>
    <row r="254" spans="1:22">
      <c r="A254" s="154" t="s">
        <v>102</v>
      </c>
      <c r="B254" s="155">
        <v>45237</v>
      </c>
      <c r="C254" s="155">
        <v>45232</v>
      </c>
      <c r="D254" s="156">
        <v>46750</v>
      </c>
      <c r="E254" s="156">
        <v>48.280000000127998</v>
      </c>
      <c r="F254" s="156">
        <v>48.280000000127998</v>
      </c>
      <c r="G254" s="154">
        <v>185060</v>
      </c>
      <c r="H254" s="154" t="s">
        <v>668</v>
      </c>
      <c r="I254" s="154" t="s">
        <v>557</v>
      </c>
      <c r="J254" s="154" t="s">
        <v>558</v>
      </c>
      <c r="K254" s="154">
        <v>10027</v>
      </c>
      <c r="L254" s="154" t="s">
        <v>106</v>
      </c>
      <c r="M254" s="154">
        <v>44</v>
      </c>
      <c r="N254" s="154" t="s">
        <v>107</v>
      </c>
      <c r="O254" s="154" t="s">
        <v>721</v>
      </c>
      <c r="P254" s="154" t="s">
        <v>109</v>
      </c>
      <c r="Q254" s="154" t="s">
        <v>110</v>
      </c>
      <c r="R254" s="154" t="s">
        <v>130</v>
      </c>
      <c r="S254" s="154" t="s">
        <v>722</v>
      </c>
      <c r="T254" s="157">
        <v>45978</v>
      </c>
      <c r="U254" s="158" cm="1">
        <f t="array" ref="U254">[15]!CalculateINPC(B254,T254,-1)*F254</f>
        <v>52.768848932539903</v>
      </c>
      <c r="V254" s="158">
        <f t="shared" si="3"/>
        <v>82.851554561307438</v>
      </c>
    </row>
    <row r="255" spans="1:22">
      <c r="A255" s="154" t="s">
        <v>102</v>
      </c>
      <c r="B255" s="155">
        <v>43698</v>
      </c>
      <c r="C255" s="155">
        <v>43698</v>
      </c>
      <c r="D255" s="156">
        <v>2796.37</v>
      </c>
      <c r="E255" s="156">
        <v>46.749999999982997</v>
      </c>
      <c r="F255" s="156">
        <v>46.749999999982997</v>
      </c>
      <c r="G255" s="154">
        <v>77572</v>
      </c>
      <c r="H255" s="154" t="s">
        <v>217</v>
      </c>
      <c r="I255" s="154" t="s">
        <v>232</v>
      </c>
      <c r="J255" s="154" t="s">
        <v>233</v>
      </c>
      <c r="K255" s="154">
        <v>10027</v>
      </c>
      <c r="L255" s="154" t="s">
        <v>106</v>
      </c>
      <c r="M255" s="154">
        <v>44</v>
      </c>
      <c r="N255" s="154" t="s">
        <v>107</v>
      </c>
      <c r="O255" s="154" t="s">
        <v>723</v>
      </c>
      <c r="P255" s="154" t="s">
        <v>109</v>
      </c>
      <c r="Q255" s="154" t="s">
        <v>110</v>
      </c>
      <c r="R255" s="154" t="s">
        <v>117</v>
      </c>
      <c r="S255" s="154" t="s">
        <v>681</v>
      </c>
      <c r="T255" s="157">
        <v>45978</v>
      </c>
      <c r="U255" s="158" cm="1">
        <f t="array" ref="U255">[15]!CalculateINPC(B255,T255,-1)*F255</f>
        <v>66.001804274975996</v>
      </c>
      <c r="V255" s="158">
        <f t="shared" si="3"/>
        <v>246.27642830556536</v>
      </c>
    </row>
    <row r="256" spans="1:22">
      <c r="A256" s="154" t="s">
        <v>102</v>
      </c>
      <c r="B256" s="155">
        <v>45562</v>
      </c>
      <c r="C256" s="155">
        <v>45560</v>
      </c>
      <c r="D256" s="156">
        <v>410.59</v>
      </c>
      <c r="E256" s="156">
        <v>45.200000000001999</v>
      </c>
      <c r="F256" s="156">
        <v>45.200000000001999</v>
      </c>
      <c r="G256" s="154">
        <v>218571</v>
      </c>
      <c r="H256" s="154" t="s">
        <v>411</v>
      </c>
      <c r="I256" s="154" t="s">
        <v>635</v>
      </c>
      <c r="J256" s="154" t="s">
        <v>636</v>
      </c>
      <c r="K256" s="154">
        <v>10027</v>
      </c>
      <c r="L256" s="154" t="s">
        <v>106</v>
      </c>
      <c r="M256" s="154">
        <v>44</v>
      </c>
      <c r="N256" s="154" t="s">
        <v>107</v>
      </c>
      <c r="O256" s="154" t="s">
        <v>537</v>
      </c>
      <c r="P256" s="154" t="s">
        <v>109</v>
      </c>
      <c r="Q256" s="154" t="s">
        <v>110</v>
      </c>
      <c r="R256" s="154" t="s">
        <v>333</v>
      </c>
      <c r="S256" s="154" t="s">
        <v>538</v>
      </c>
      <c r="T256" s="157">
        <v>45978</v>
      </c>
      <c r="U256" s="158" cm="1">
        <f t="array" ref="U256">[15]!CalculateINPC(B256,T256,-1)*F256</f>
        <v>47.745773836002115</v>
      </c>
      <c r="V256" s="158">
        <f t="shared" si="3"/>
        <v>61.20773498788818</v>
      </c>
    </row>
    <row r="257" spans="1:22">
      <c r="A257" s="154" t="s">
        <v>102</v>
      </c>
      <c r="B257" s="155">
        <v>45191</v>
      </c>
      <c r="C257" s="155">
        <v>45184</v>
      </c>
      <c r="D257" s="156">
        <v>212.48</v>
      </c>
      <c r="E257" s="156">
        <v>42.800000000000999</v>
      </c>
      <c r="F257" s="156">
        <v>42.800000000000999</v>
      </c>
      <c r="G257" s="154">
        <v>182087</v>
      </c>
      <c r="H257" s="154" t="s">
        <v>609</v>
      </c>
      <c r="I257" s="154" t="s">
        <v>645</v>
      </c>
      <c r="J257" s="154" t="s">
        <v>646</v>
      </c>
      <c r="K257" s="154">
        <v>10027</v>
      </c>
      <c r="L257" s="154" t="s">
        <v>106</v>
      </c>
      <c r="M257" s="154">
        <v>44</v>
      </c>
      <c r="N257" s="154" t="s">
        <v>107</v>
      </c>
      <c r="O257" s="154" t="s">
        <v>612</v>
      </c>
      <c r="P257" s="154" t="s">
        <v>109</v>
      </c>
      <c r="Q257" s="154" t="s">
        <v>110</v>
      </c>
      <c r="R257" s="154" t="s">
        <v>333</v>
      </c>
      <c r="S257" s="154" t="s">
        <v>613</v>
      </c>
      <c r="T257" s="157">
        <v>45978</v>
      </c>
      <c r="U257" s="158" cm="1">
        <f t="array" ref="U257">[15]!CalculateINPC(B257,T257,-1)*F257</f>
        <v>46.88696344000109</v>
      </c>
      <c r="V257" s="158">
        <f t="shared" si="3"/>
        <v>75.951542351819597</v>
      </c>
    </row>
    <row r="258" spans="1:22">
      <c r="A258" s="154" t="s">
        <v>102</v>
      </c>
      <c r="B258" s="155">
        <v>45026</v>
      </c>
      <c r="C258" s="155">
        <v>45021</v>
      </c>
      <c r="D258" s="156">
        <v>76078.710000000006</v>
      </c>
      <c r="E258" s="156">
        <v>40.959999999685998</v>
      </c>
      <c r="F258" s="156">
        <v>40.959999999685998</v>
      </c>
      <c r="G258" s="154">
        <v>171331</v>
      </c>
      <c r="H258" s="154" t="s">
        <v>258</v>
      </c>
      <c r="I258" s="154" t="s">
        <v>290</v>
      </c>
      <c r="J258" s="154" t="s">
        <v>291</v>
      </c>
      <c r="K258" s="154">
        <v>10027</v>
      </c>
      <c r="L258" s="154" t="s">
        <v>106</v>
      </c>
      <c r="M258" s="154">
        <v>44</v>
      </c>
      <c r="N258" s="154" t="s">
        <v>107</v>
      </c>
      <c r="O258" s="154" t="s">
        <v>724</v>
      </c>
      <c r="P258" s="154" t="s">
        <v>109</v>
      </c>
      <c r="Q258" s="154" t="s">
        <v>110</v>
      </c>
      <c r="R258" s="154" t="s">
        <v>117</v>
      </c>
      <c r="S258" s="154" t="s">
        <v>725</v>
      </c>
      <c r="T258" s="157">
        <v>45978</v>
      </c>
      <c r="U258" s="158" cm="1">
        <f t="array" ref="U258">[15]!CalculateINPC(B258,T258,-1)*F258</f>
        <v>45.275885977252912</v>
      </c>
      <c r="V258" s="158">
        <f t="shared" si="3"/>
        <v>81.974129396077572</v>
      </c>
    </row>
    <row r="259" spans="1:22">
      <c r="A259" s="154" t="s">
        <v>102</v>
      </c>
      <c r="B259" s="155">
        <v>45226</v>
      </c>
      <c r="C259" s="155">
        <v>45197</v>
      </c>
      <c r="D259" s="156">
        <v>232.58</v>
      </c>
      <c r="E259" s="156">
        <v>40.200864237342998</v>
      </c>
      <c r="F259" s="156">
        <v>40.862870041922001</v>
      </c>
      <c r="G259" s="154">
        <v>184519</v>
      </c>
      <c r="H259" s="154" t="s">
        <v>103</v>
      </c>
      <c r="I259" s="154" t="s">
        <v>587</v>
      </c>
      <c r="J259" s="154" t="s">
        <v>588</v>
      </c>
      <c r="K259" s="154">
        <v>10027</v>
      </c>
      <c r="L259" s="154" t="s">
        <v>106</v>
      </c>
      <c r="M259" s="154">
        <v>44</v>
      </c>
      <c r="N259" s="154" t="s">
        <v>107</v>
      </c>
      <c r="O259" s="154" t="s">
        <v>726</v>
      </c>
      <c r="P259" s="154" t="s">
        <v>109</v>
      </c>
      <c r="Q259" s="154" t="s">
        <v>110</v>
      </c>
      <c r="R259" s="154" t="s">
        <v>111</v>
      </c>
      <c r="S259" s="154" t="s">
        <v>304</v>
      </c>
      <c r="T259" s="157">
        <v>45978</v>
      </c>
      <c r="U259" s="158" cm="1">
        <f t="array" ref="U259">[15]!CalculateINPC(B259,T259,-1)*F259</f>
        <v>44.71569153304538</v>
      </c>
      <c r="V259" s="158">
        <f t="shared" ref="V259:V316" si="4">F259*1.3^((T259-B259)/360)</f>
        <v>70.687702930204438</v>
      </c>
    </row>
    <row r="260" spans="1:22">
      <c r="A260" s="154" t="s">
        <v>102</v>
      </c>
      <c r="B260" s="155">
        <v>43900</v>
      </c>
      <c r="C260" s="155">
        <v>43896</v>
      </c>
      <c r="D260" s="156">
        <v>18394.04</v>
      </c>
      <c r="E260" s="156">
        <v>38.359999999982001</v>
      </c>
      <c r="F260" s="156">
        <v>38.359999999982001</v>
      </c>
      <c r="G260" s="154">
        <v>86892</v>
      </c>
      <c r="H260" s="154" t="s">
        <v>727</v>
      </c>
      <c r="I260" s="154" t="s">
        <v>243</v>
      </c>
      <c r="J260" s="154" t="s">
        <v>244</v>
      </c>
      <c r="K260" s="154">
        <v>10027</v>
      </c>
      <c r="L260" s="154" t="s">
        <v>106</v>
      </c>
      <c r="M260" s="154">
        <v>44</v>
      </c>
      <c r="N260" s="154" t="s">
        <v>107</v>
      </c>
      <c r="O260" s="154" t="s">
        <v>728</v>
      </c>
      <c r="P260" s="154" t="s">
        <v>109</v>
      </c>
      <c r="Q260" s="154" t="s">
        <v>110</v>
      </c>
      <c r="R260" s="154" t="s">
        <v>117</v>
      </c>
      <c r="S260" s="154" t="s">
        <v>729</v>
      </c>
      <c r="T260" s="157">
        <v>45978</v>
      </c>
      <c r="U260" s="158" cm="1">
        <f t="array" ref="U260">[15]!CalculateINPC(B260,T260,-1)*F260</f>
        <v>52.967388647575149</v>
      </c>
      <c r="V260" s="158">
        <f t="shared" si="4"/>
        <v>174.41544837626219</v>
      </c>
    </row>
    <row r="261" spans="1:22">
      <c r="A261" s="154" t="s">
        <v>102</v>
      </c>
      <c r="B261" s="155">
        <v>45204</v>
      </c>
      <c r="C261" s="155">
        <v>45201</v>
      </c>
      <c r="D261" s="156">
        <v>35000</v>
      </c>
      <c r="E261" s="156">
        <v>38.22</v>
      </c>
      <c r="F261" s="156">
        <v>38.22</v>
      </c>
      <c r="G261" s="154">
        <v>183103</v>
      </c>
      <c r="H261" s="154" t="s">
        <v>668</v>
      </c>
      <c r="I261" s="154" t="s">
        <v>669</v>
      </c>
      <c r="J261" s="154" t="s">
        <v>670</v>
      </c>
      <c r="K261" s="154">
        <v>10027</v>
      </c>
      <c r="L261" s="154" t="s">
        <v>106</v>
      </c>
      <c r="M261" s="154">
        <v>44</v>
      </c>
      <c r="N261" s="154" t="s">
        <v>107</v>
      </c>
      <c r="O261" s="154" t="s">
        <v>730</v>
      </c>
      <c r="P261" s="154" t="s">
        <v>109</v>
      </c>
      <c r="Q261" s="154" t="s">
        <v>110</v>
      </c>
      <c r="R261" s="154" t="s">
        <v>130</v>
      </c>
      <c r="S261" s="154" t="s">
        <v>731</v>
      </c>
      <c r="T261" s="157">
        <v>45978</v>
      </c>
      <c r="U261" s="158" cm="1">
        <f t="array" ref="U261">[15]!CalculateINPC(B261,T261,-1)*F261</f>
        <v>41.823634234199993</v>
      </c>
      <c r="V261" s="158">
        <f t="shared" si="4"/>
        <v>67.184469179449209</v>
      </c>
    </row>
    <row r="262" spans="1:22">
      <c r="A262" s="154" t="s">
        <v>102</v>
      </c>
      <c r="B262" s="155">
        <v>45142</v>
      </c>
      <c r="C262" s="155">
        <v>45139</v>
      </c>
      <c r="D262" s="156">
        <v>37250</v>
      </c>
      <c r="E262" s="156">
        <v>37.959999999830004</v>
      </c>
      <c r="F262" s="156">
        <v>37.959999999830004</v>
      </c>
      <c r="G262" s="154">
        <v>178654</v>
      </c>
      <c r="H262" s="154" t="s">
        <v>668</v>
      </c>
      <c r="I262" s="154" t="s">
        <v>557</v>
      </c>
      <c r="J262" s="154" t="s">
        <v>558</v>
      </c>
      <c r="K262" s="154">
        <v>10027</v>
      </c>
      <c r="L262" s="154" t="s">
        <v>106</v>
      </c>
      <c r="M262" s="154">
        <v>44</v>
      </c>
      <c r="N262" s="154" t="s">
        <v>107</v>
      </c>
      <c r="O262" s="154" t="s">
        <v>732</v>
      </c>
      <c r="P262" s="154" t="s">
        <v>109</v>
      </c>
      <c r="Q262" s="154" t="s">
        <v>110</v>
      </c>
      <c r="R262" s="154" t="s">
        <v>130</v>
      </c>
      <c r="S262" s="154" t="s">
        <v>733</v>
      </c>
      <c r="T262" s="157">
        <v>45978</v>
      </c>
      <c r="U262" s="158" cm="1">
        <f t="array" ref="U262">[15]!CalculateINPC(B262,T262,-1)*F262</f>
        <v>41.667960510613398</v>
      </c>
      <c r="V262" s="158">
        <f t="shared" si="4"/>
        <v>69.811663802836591</v>
      </c>
    </row>
    <row r="263" spans="1:22">
      <c r="A263" s="154" t="s">
        <v>102</v>
      </c>
      <c r="B263" s="155">
        <v>45180</v>
      </c>
      <c r="C263" s="155">
        <v>45175</v>
      </c>
      <c r="D263" s="156">
        <v>531.6</v>
      </c>
      <c r="E263" s="156">
        <v>36.9</v>
      </c>
      <c r="F263" s="156">
        <v>36.9</v>
      </c>
      <c r="G263" s="154">
        <v>181141</v>
      </c>
      <c r="H263" s="154" t="s">
        <v>369</v>
      </c>
      <c r="I263" s="154" t="s">
        <v>370</v>
      </c>
      <c r="J263" s="154" t="s">
        <v>371</v>
      </c>
      <c r="K263" s="154">
        <v>10027</v>
      </c>
      <c r="L263" s="154" t="s">
        <v>106</v>
      </c>
      <c r="M263" s="154">
        <v>44</v>
      </c>
      <c r="N263" s="154" t="s">
        <v>107</v>
      </c>
      <c r="O263" s="154" t="s">
        <v>734</v>
      </c>
      <c r="P263" s="154" t="s">
        <v>109</v>
      </c>
      <c r="Q263" s="154" t="s">
        <v>110</v>
      </c>
      <c r="R263" s="154" t="s">
        <v>111</v>
      </c>
      <c r="S263" s="154" t="s">
        <v>735</v>
      </c>
      <c r="T263" s="157">
        <v>45978</v>
      </c>
      <c r="U263" s="158" cm="1">
        <f t="array" ref="U263">[15]!CalculateINPC(B263,T263,-1)*F263</f>
        <v>40.423573619999999</v>
      </c>
      <c r="V263" s="158">
        <f t="shared" si="4"/>
        <v>66.008641852638078</v>
      </c>
    </row>
    <row r="264" spans="1:22">
      <c r="A264" s="154" t="s">
        <v>102</v>
      </c>
      <c r="B264" s="155">
        <v>45113</v>
      </c>
      <c r="C264" s="155">
        <v>45110</v>
      </c>
      <c r="D264" s="156">
        <v>38250</v>
      </c>
      <c r="E264" s="156">
        <v>36.759999999847999</v>
      </c>
      <c r="F264" s="156">
        <v>36.759999999847999</v>
      </c>
      <c r="G264" s="154">
        <v>176587</v>
      </c>
      <c r="H264" s="154" t="s">
        <v>668</v>
      </c>
      <c r="I264" s="154" t="s">
        <v>557</v>
      </c>
      <c r="J264" s="154" t="s">
        <v>558</v>
      </c>
      <c r="K264" s="154">
        <v>10027</v>
      </c>
      <c r="L264" s="154" t="s">
        <v>106</v>
      </c>
      <c r="M264" s="154">
        <v>44</v>
      </c>
      <c r="N264" s="154" t="s">
        <v>107</v>
      </c>
      <c r="O264" s="154" t="s">
        <v>736</v>
      </c>
      <c r="P264" s="154" t="s">
        <v>109</v>
      </c>
      <c r="Q264" s="154" t="s">
        <v>110</v>
      </c>
      <c r="R264" s="154" t="s">
        <v>130</v>
      </c>
      <c r="S264" s="154" t="s">
        <v>737</v>
      </c>
      <c r="T264" s="157">
        <v>45978</v>
      </c>
      <c r="U264" s="158" cm="1">
        <f t="array" ref="U264">[15]!CalculateINPC(B264,T264,-1)*F264</f>
        <v>40.314414461833302</v>
      </c>
      <c r="V264" s="158">
        <f t="shared" si="4"/>
        <v>69.04878762891704</v>
      </c>
    </row>
    <row r="265" spans="1:22">
      <c r="A265" s="154" t="s">
        <v>257</v>
      </c>
      <c r="B265" s="155">
        <v>45622</v>
      </c>
      <c r="C265" s="155">
        <v>45597</v>
      </c>
      <c r="D265" s="156">
        <v>2385.71</v>
      </c>
      <c r="E265" s="156">
        <v>36.480000000010001</v>
      </c>
      <c r="F265" s="156">
        <v>36.480000000010001</v>
      </c>
      <c r="G265" s="154">
        <v>226025</v>
      </c>
      <c r="H265" s="154" t="s">
        <v>258</v>
      </c>
      <c r="I265" s="154" t="s">
        <v>243</v>
      </c>
      <c r="J265" s="154" t="s">
        <v>244</v>
      </c>
      <c r="K265" s="154">
        <v>10027</v>
      </c>
      <c r="L265" s="154" t="s">
        <v>106</v>
      </c>
      <c r="M265" s="154">
        <v>44</v>
      </c>
      <c r="N265" s="154" t="s">
        <v>107</v>
      </c>
      <c r="O265" s="154" t="s">
        <v>738</v>
      </c>
      <c r="P265" s="154" t="s">
        <v>260</v>
      </c>
      <c r="Q265" s="154" t="s">
        <v>261</v>
      </c>
      <c r="R265" s="154" t="s">
        <v>262</v>
      </c>
      <c r="S265" s="154" t="s">
        <v>739</v>
      </c>
      <c r="T265" s="157">
        <v>45978</v>
      </c>
      <c r="U265" s="158" cm="1">
        <f t="array" ref="U265">[15]!CalculateINPC(B265,T265,-1)*F265</f>
        <v>38.118036268810449</v>
      </c>
      <c r="V265" s="158">
        <f t="shared" si="4"/>
        <v>47.28595283603299</v>
      </c>
    </row>
    <row r="266" spans="1:22">
      <c r="A266" s="154" t="s">
        <v>102</v>
      </c>
      <c r="B266" s="155">
        <v>45121</v>
      </c>
      <c r="C266" s="155">
        <v>45109</v>
      </c>
      <c r="D266" s="156">
        <v>30407.81</v>
      </c>
      <c r="E266" s="156">
        <v>37.449999999993999</v>
      </c>
      <c r="F266" s="156">
        <v>35.146825387945995</v>
      </c>
      <c r="G266" s="154">
        <v>176814</v>
      </c>
      <c r="H266" s="154" t="s">
        <v>493</v>
      </c>
      <c r="I266" s="154" t="s">
        <v>442</v>
      </c>
      <c r="J266" s="154" t="s">
        <v>443</v>
      </c>
      <c r="K266" s="154">
        <v>10027</v>
      </c>
      <c r="L266" s="154" t="s">
        <v>106</v>
      </c>
      <c r="M266" s="154">
        <v>44</v>
      </c>
      <c r="N266" s="154" t="s">
        <v>107</v>
      </c>
      <c r="O266" s="154" t="s">
        <v>740</v>
      </c>
      <c r="P266" s="154" t="s">
        <v>109</v>
      </c>
      <c r="Q266" s="154" t="s">
        <v>110</v>
      </c>
      <c r="R266" s="154" t="s">
        <v>130</v>
      </c>
      <c r="S266" s="154" t="s">
        <v>741</v>
      </c>
      <c r="T266" s="157">
        <v>45978</v>
      </c>
      <c r="U266" s="158" cm="1">
        <f t="array" ref="U266">[15]!CalculateINPC(B266,T266,-1)*F266</f>
        <v>38.545258044428692</v>
      </c>
      <c r="V266" s="158">
        <f t="shared" si="4"/>
        <v>65.634863160847786</v>
      </c>
    </row>
    <row r="267" spans="1:22">
      <c r="A267" s="154" t="s">
        <v>102</v>
      </c>
      <c r="B267" s="155">
        <v>43878</v>
      </c>
      <c r="C267" s="155">
        <v>43862</v>
      </c>
      <c r="D267" s="156">
        <v>866.15</v>
      </c>
      <c r="E267" s="156">
        <v>34.999999999998003</v>
      </c>
      <c r="F267" s="156">
        <v>34.999999999998003</v>
      </c>
      <c r="G267" s="154">
        <v>85907</v>
      </c>
      <c r="H267" s="154" t="s">
        <v>315</v>
      </c>
      <c r="I267" s="154" t="s">
        <v>342</v>
      </c>
      <c r="J267" s="154" t="s">
        <v>343</v>
      </c>
      <c r="K267" s="154">
        <v>10027</v>
      </c>
      <c r="L267" s="154" t="s">
        <v>106</v>
      </c>
      <c r="M267" s="154">
        <v>44</v>
      </c>
      <c r="N267" s="154" t="s">
        <v>107</v>
      </c>
      <c r="O267" s="154" t="s">
        <v>507</v>
      </c>
      <c r="P267" s="154" t="s">
        <v>109</v>
      </c>
      <c r="Q267" s="154" t="s">
        <v>110</v>
      </c>
      <c r="R267" s="154" t="s">
        <v>240</v>
      </c>
      <c r="S267" s="154" t="s">
        <v>508</v>
      </c>
      <c r="T267" s="157">
        <v>45978</v>
      </c>
      <c r="U267" s="158" cm="1">
        <f t="array" ref="U267">[15]!CalculateINPC(B267,T267,-1)*F267</f>
        <v>48.410046299997234</v>
      </c>
      <c r="V267" s="158">
        <f t="shared" si="4"/>
        <v>161.71026897136738</v>
      </c>
    </row>
    <row r="268" spans="1:22">
      <c r="A268" s="154" t="s">
        <v>102</v>
      </c>
      <c r="B268" s="155">
        <v>45734</v>
      </c>
      <c r="C268" s="155">
        <v>45717</v>
      </c>
      <c r="D268" s="156">
        <v>1506.68</v>
      </c>
      <c r="E268" s="156">
        <v>32.000000000005002</v>
      </c>
      <c r="F268" s="156">
        <v>32.000000000005002</v>
      </c>
      <c r="G268" s="154">
        <v>242131</v>
      </c>
      <c r="H268" s="154" t="s">
        <v>331</v>
      </c>
      <c r="I268" s="154" t="s">
        <v>742</v>
      </c>
      <c r="J268" s="154" t="s">
        <v>743</v>
      </c>
      <c r="K268" s="154">
        <v>10027</v>
      </c>
      <c r="L268" s="154" t="s">
        <v>106</v>
      </c>
      <c r="M268" s="154">
        <v>44</v>
      </c>
      <c r="N268" s="154" t="s">
        <v>107</v>
      </c>
      <c r="O268" s="154" t="s">
        <v>332</v>
      </c>
      <c r="P268" s="154" t="s">
        <v>109</v>
      </c>
      <c r="Q268" s="154" t="s">
        <v>110</v>
      </c>
      <c r="R268" s="154" t="s">
        <v>333</v>
      </c>
      <c r="S268" s="154" t="s">
        <v>334</v>
      </c>
      <c r="T268" s="157">
        <v>45978</v>
      </c>
      <c r="U268" s="158" cm="1">
        <f t="array" ref="U268">[15]!CalculateINPC(B268,T268,-1)*F268</f>
        <v>32.683953280005106</v>
      </c>
      <c r="V268" s="158">
        <f t="shared" si="4"/>
        <v>38.227707156866671</v>
      </c>
    </row>
    <row r="269" spans="1:22">
      <c r="A269" s="154" t="s">
        <v>102</v>
      </c>
      <c r="B269" s="155">
        <v>45734</v>
      </c>
      <c r="C269" s="155">
        <v>45717</v>
      </c>
      <c r="D269" s="156">
        <v>802.34</v>
      </c>
      <c r="E269" s="156">
        <v>31.999999999999002</v>
      </c>
      <c r="F269" s="156">
        <v>31.999999999999002</v>
      </c>
      <c r="G269" s="154">
        <v>242129</v>
      </c>
      <c r="H269" s="154" t="s">
        <v>331</v>
      </c>
      <c r="I269" s="154" t="s">
        <v>742</v>
      </c>
      <c r="J269" s="154" t="s">
        <v>743</v>
      </c>
      <c r="K269" s="154">
        <v>10027</v>
      </c>
      <c r="L269" s="154" t="s">
        <v>106</v>
      </c>
      <c r="M269" s="154">
        <v>44</v>
      </c>
      <c r="N269" s="154" t="s">
        <v>107</v>
      </c>
      <c r="O269" s="154" t="s">
        <v>479</v>
      </c>
      <c r="P269" s="154" t="s">
        <v>109</v>
      </c>
      <c r="Q269" s="154" t="s">
        <v>110</v>
      </c>
      <c r="R269" s="154" t="s">
        <v>333</v>
      </c>
      <c r="S269" s="154" t="s">
        <v>480</v>
      </c>
      <c r="T269" s="157">
        <v>45978</v>
      </c>
      <c r="U269" s="158" cm="1">
        <f t="array" ref="U269">[15]!CalculateINPC(B269,T269,-1)*F269</f>
        <v>32.683953279998974</v>
      </c>
      <c r="V269" s="158">
        <f t="shared" si="4"/>
        <v>38.227707156859502</v>
      </c>
    </row>
    <row r="270" spans="1:22">
      <c r="A270" s="154" t="s">
        <v>102</v>
      </c>
      <c r="B270" s="155">
        <v>45106</v>
      </c>
      <c r="C270" s="155">
        <v>45084</v>
      </c>
      <c r="D270" s="156">
        <v>30</v>
      </c>
      <c r="E270" s="156">
        <v>30</v>
      </c>
      <c r="F270" s="156">
        <v>30</v>
      </c>
      <c r="G270" s="154">
        <v>175954</v>
      </c>
      <c r="H270" s="154" t="s">
        <v>236</v>
      </c>
      <c r="I270" s="154" t="s">
        <v>237</v>
      </c>
      <c r="J270" s="154" t="s">
        <v>238</v>
      </c>
      <c r="K270" s="154">
        <v>10027</v>
      </c>
      <c r="L270" s="154" t="s">
        <v>106</v>
      </c>
      <c r="M270" s="154">
        <v>44</v>
      </c>
      <c r="N270" s="154" t="s">
        <v>107</v>
      </c>
      <c r="O270" s="154" t="s">
        <v>744</v>
      </c>
      <c r="P270" s="154" t="s">
        <v>109</v>
      </c>
      <c r="Q270" s="154" t="s">
        <v>110</v>
      </c>
      <c r="R270" s="154" t="s">
        <v>240</v>
      </c>
      <c r="S270" s="154" t="s">
        <v>745</v>
      </c>
      <c r="T270" s="157">
        <v>45978</v>
      </c>
      <c r="U270" s="158" cm="1">
        <f t="array" ref="U270">[15]!CalculateINPC(B270,T270,-1)*F270</f>
        <v>32.867888400000005</v>
      </c>
      <c r="V270" s="158">
        <f t="shared" si="4"/>
        <v>56.639234458187943</v>
      </c>
    </row>
    <row r="271" spans="1:22">
      <c r="A271" s="154" t="s">
        <v>102</v>
      </c>
      <c r="B271" s="155">
        <v>44785</v>
      </c>
      <c r="C271" s="155">
        <v>44774</v>
      </c>
      <c r="D271" s="156">
        <v>1380</v>
      </c>
      <c r="E271" s="156">
        <v>29.999999999996</v>
      </c>
      <c r="F271" s="156">
        <v>29.999999999996</v>
      </c>
      <c r="G271" s="154">
        <v>155907</v>
      </c>
      <c r="H271" s="154" t="s">
        <v>298</v>
      </c>
      <c r="I271" s="154" t="s">
        <v>232</v>
      </c>
      <c r="J271" s="154" t="s">
        <v>233</v>
      </c>
      <c r="K271" s="154">
        <v>10027</v>
      </c>
      <c r="L271" s="154" t="s">
        <v>106</v>
      </c>
      <c r="M271" s="154">
        <v>44</v>
      </c>
      <c r="N271" s="154" t="s">
        <v>107</v>
      </c>
      <c r="O271" s="154" t="s">
        <v>746</v>
      </c>
      <c r="P271" s="154" t="s">
        <v>109</v>
      </c>
      <c r="Q271" s="154" t="s">
        <v>110</v>
      </c>
      <c r="R271" s="154" t="s">
        <v>362</v>
      </c>
      <c r="S271" s="154" t="s">
        <v>747</v>
      </c>
      <c r="T271" s="157">
        <v>45978</v>
      </c>
      <c r="U271" s="158" cm="1">
        <f t="array" ref="U271">[15]!CalculateINPC(B271,T271,-1)*F271</f>
        <v>34.092049799995451</v>
      </c>
      <c r="V271" s="158">
        <f t="shared" si="4"/>
        <v>71.567667626945948</v>
      </c>
    </row>
    <row r="272" spans="1:22">
      <c r="A272" s="154" t="s">
        <v>102</v>
      </c>
      <c r="B272" s="155">
        <v>45744</v>
      </c>
      <c r="C272" s="155">
        <v>45741</v>
      </c>
      <c r="D272" s="156">
        <v>863.6</v>
      </c>
      <c r="E272" s="156">
        <v>29.550000000002999</v>
      </c>
      <c r="F272" s="156">
        <v>29.550000000002999</v>
      </c>
      <c r="G272" s="154">
        <v>244168</v>
      </c>
      <c r="H272" s="154" t="s">
        <v>450</v>
      </c>
      <c r="I272" s="154" t="s">
        <v>645</v>
      </c>
      <c r="J272" s="154" t="s">
        <v>646</v>
      </c>
      <c r="K272" s="154">
        <v>10027</v>
      </c>
      <c r="L272" s="154" t="s">
        <v>106</v>
      </c>
      <c r="M272" s="154">
        <v>44</v>
      </c>
      <c r="N272" s="154" t="s">
        <v>107</v>
      </c>
      <c r="O272" s="154" t="s">
        <v>451</v>
      </c>
      <c r="P272" s="154" t="s">
        <v>109</v>
      </c>
      <c r="Q272" s="154" t="s">
        <v>110</v>
      </c>
      <c r="R272" s="154" t="s">
        <v>333</v>
      </c>
      <c r="S272" s="154" t="s">
        <v>452</v>
      </c>
      <c r="T272" s="157">
        <v>45978</v>
      </c>
      <c r="U272" s="158" cm="1">
        <f t="array" ref="U272">[15]!CalculateINPC(B272,T272,-1)*F272</f>
        <v>30.181588107003062</v>
      </c>
      <c r="V272" s="158">
        <f t="shared" si="4"/>
        <v>35.044564246302947</v>
      </c>
    </row>
    <row r="273" spans="1:22">
      <c r="A273" s="154" t="s">
        <v>102</v>
      </c>
      <c r="B273" s="155">
        <v>43825</v>
      </c>
      <c r="C273" s="155">
        <v>43825</v>
      </c>
      <c r="D273" s="156">
        <v>29.34</v>
      </c>
      <c r="E273" s="156">
        <v>29.34</v>
      </c>
      <c r="F273" s="156">
        <v>29.34</v>
      </c>
      <c r="G273" s="154">
        <v>83577</v>
      </c>
      <c r="H273" s="154" t="s">
        <v>164</v>
      </c>
      <c r="I273" s="154" t="s">
        <v>104</v>
      </c>
      <c r="J273" s="154" t="s">
        <v>105</v>
      </c>
      <c r="K273" s="154">
        <v>10027</v>
      </c>
      <c r="L273" s="154" t="s">
        <v>106</v>
      </c>
      <c r="M273" s="154">
        <v>44</v>
      </c>
      <c r="N273" s="154" t="s">
        <v>107</v>
      </c>
      <c r="O273" s="154" t="s">
        <v>748</v>
      </c>
      <c r="P273" s="154" t="s">
        <v>137</v>
      </c>
      <c r="Q273" s="154" t="s">
        <v>138</v>
      </c>
      <c r="R273" s="154" t="s">
        <v>111</v>
      </c>
      <c r="S273" s="154" t="s">
        <v>122</v>
      </c>
      <c r="T273" s="157">
        <v>45978</v>
      </c>
      <c r="U273" s="158" cm="1">
        <f t="array" ref="U273">[15]!CalculateINPC(B273,T273,-1)*F273</f>
        <v>41.154579268200003</v>
      </c>
      <c r="V273" s="158">
        <f t="shared" si="4"/>
        <v>140.8979447419855</v>
      </c>
    </row>
    <row r="274" spans="1:22">
      <c r="A274" s="154" t="s">
        <v>102</v>
      </c>
      <c r="B274" s="155">
        <v>45126</v>
      </c>
      <c r="C274" s="155">
        <v>45078</v>
      </c>
      <c r="D274" s="156">
        <v>1604.74</v>
      </c>
      <c r="E274" s="156">
        <v>28.852340375731</v>
      </c>
      <c r="F274" s="156">
        <v>28.852340375731</v>
      </c>
      <c r="G274" s="154">
        <v>175319</v>
      </c>
      <c r="H274" s="154" t="s">
        <v>103</v>
      </c>
      <c r="I274" s="154" t="s">
        <v>460</v>
      </c>
      <c r="J274" s="154" t="s">
        <v>461</v>
      </c>
      <c r="K274" s="154">
        <v>10027</v>
      </c>
      <c r="L274" s="154" t="s">
        <v>106</v>
      </c>
      <c r="M274" s="154">
        <v>44</v>
      </c>
      <c r="N274" s="154" t="s">
        <v>107</v>
      </c>
      <c r="O274" s="154" t="s">
        <v>749</v>
      </c>
      <c r="P274" s="154" t="s">
        <v>109</v>
      </c>
      <c r="Q274" s="154" t="s">
        <v>110</v>
      </c>
      <c r="R274" s="154" t="s">
        <v>111</v>
      </c>
      <c r="S274" s="154" t="s">
        <v>495</v>
      </c>
      <c r="T274" s="157">
        <v>45978</v>
      </c>
      <c r="U274" s="158" cm="1">
        <f t="array" ref="U274">[15]!CalculateINPC(B274,T274,-1)*F274</f>
        <v>31.64214385489435</v>
      </c>
      <c r="V274" s="158">
        <f t="shared" si="4"/>
        <v>53.684261204276297</v>
      </c>
    </row>
    <row r="275" spans="1:22">
      <c r="A275" s="154" t="s">
        <v>102</v>
      </c>
      <c r="B275" s="155">
        <v>45097</v>
      </c>
      <c r="C275" s="155">
        <v>45048</v>
      </c>
      <c r="D275" s="156">
        <v>1166.6199999999999</v>
      </c>
      <c r="E275" s="156">
        <v>28.124879459980001</v>
      </c>
      <c r="F275" s="156">
        <v>28.124879459980001</v>
      </c>
      <c r="G275" s="154">
        <v>173151</v>
      </c>
      <c r="H275" s="154" t="s">
        <v>103</v>
      </c>
      <c r="I275" s="154" t="s">
        <v>587</v>
      </c>
      <c r="J275" s="154" t="s">
        <v>588</v>
      </c>
      <c r="K275" s="154">
        <v>10027</v>
      </c>
      <c r="L275" s="154" t="s">
        <v>106</v>
      </c>
      <c r="M275" s="154">
        <v>44</v>
      </c>
      <c r="N275" s="154" t="s">
        <v>107</v>
      </c>
      <c r="O275" s="154" t="s">
        <v>750</v>
      </c>
      <c r="P275" s="154" t="s">
        <v>137</v>
      </c>
      <c r="Q275" s="154" t="s">
        <v>138</v>
      </c>
      <c r="R275" s="154" t="s">
        <v>111</v>
      </c>
      <c r="S275" s="154" t="s">
        <v>321</v>
      </c>
      <c r="T275" s="157">
        <v>45978</v>
      </c>
      <c r="U275" s="158" cm="1">
        <f t="array" ref="U275">[15]!CalculateINPC(B275,T275,-1)*F275</f>
        <v>30.813513311802499</v>
      </c>
      <c r="V275" s="158">
        <f t="shared" si="4"/>
        <v>53.448481800972814</v>
      </c>
    </row>
    <row r="276" spans="1:22">
      <c r="A276" s="154" t="s">
        <v>102</v>
      </c>
      <c r="B276" s="155">
        <v>45614</v>
      </c>
      <c r="C276" s="155">
        <v>45597</v>
      </c>
      <c r="D276" s="156">
        <v>1725397.04</v>
      </c>
      <c r="E276" s="156">
        <v>20.919999996453001</v>
      </c>
      <c r="F276" s="156">
        <v>20.919999996453001</v>
      </c>
      <c r="G276" s="154">
        <v>224886</v>
      </c>
      <c r="H276" s="154" t="s">
        <v>166</v>
      </c>
      <c r="I276" s="154" t="s">
        <v>460</v>
      </c>
      <c r="J276" s="154" t="s">
        <v>461</v>
      </c>
      <c r="K276" s="154">
        <v>10027</v>
      </c>
      <c r="L276" s="154" t="s">
        <v>106</v>
      </c>
      <c r="M276" s="154">
        <v>44</v>
      </c>
      <c r="N276" s="154" t="s">
        <v>107</v>
      </c>
      <c r="O276" s="154" t="s">
        <v>751</v>
      </c>
      <c r="P276" s="154" t="s">
        <v>109</v>
      </c>
      <c r="Q276" s="154" t="s">
        <v>110</v>
      </c>
      <c r="R276" s="154" t="s">
        <v>111</v>
      </c>
      <c r="S276" s="154" t="s">
        <v>752</v>
      </c>
      <c r="T276" s="157">
        <v>45978</v>
      </c>
      <c r="U276" s="158" cm="1">
        <f t="array" ref="U276">[15]!CalculateINPC(B276,T276,-1)*F276</f>
        <v>21.859356321493731</v>
      </c>
      <c r="V276" s="158">
        <f t="shared" si="4"/>
        <v>27.275396315982931</v>
      </c>
    </row>
    <row r="277" spans="1:22">
      <c r="A277" s="154" t="s">
        <v>102</v>
      </c>
      <c r="B277" s="155">
        <v>45071</v>
      </c>
      <c r="C277" s="155">
        <v>45063</v>
      </c>
      <c r="D277" s="156">
        <v>43724.87</v>
      </c>
      <c r="E277" s="156">
        <v>20.480000000164999</v>
      </c>
      <c r="F277" s="156">
        <v>20.480000000164999</v>
      </c>
      <c r="G277" s="154">
        <v>173769</v>
      </c>
      <c r="H277" s="154" t="s">
        <v>258</v>
      </c>
      <c r="I277" s="154" t="s">
        <v>290</v>
      </c>
      <c r="J277" s="154" t="s">
        <v>291</v>
      </c>
      <c r="K277" s="154">
        <v>10027</v>
      </c>
      <c r="L277" s="154" t="s">
        <v>106</v>
      </c>
      <c r="M277" s="154">
        <v>44</v>
      </c>
      <c r="N277" s="154" t="s">
        <v>107</v>
      </c>
      <c r="O277" s="154" t="s">
        <v>753</v>
      </c>
      <c r="P277" s="154" t="s">
        <v>109</v>
      </c>
      <c r="Q277" s="154" t="s">
        <v>110</v>
      </c>
      <c r="R277" s="154" t="s">
        <v>117</v>
      </c>
      <c r="S277" s="154" t="s">
        <v>754</v>
      </c>
      <c r="T277" s="157">
        <v>45978</v>
      </c>
      <c r="U277" s="158" cm="1">
        <f t="array" ref="U277">[15]!CalculateINPC(B277,T277,-1)*F277</f>
        <v>22.518598656181421</v>
      </c>
      <c r="V277" s="158">
        <f t="shared" si="4"/>
        <v>39.664674826027536</v>
      </c>
    </row>
    <row r="278" spans="1:22">
      <c r="A278" s="154" t="s">
        <v>102</v>
      </c>
      <c r="B278" s="155">
        <v>43689</v>
      </c>
      <c r="C278" s="155">
        <v>43672</v>
      </c>
      <c r="D278" s="156">
        <v>1517.19</v>
      </c>
      <c r="E278" s="156">
        <v>18.590000000006999</v>
      </c>
      <c r="F278" s="156">
        <v>18.590000000006999</v>
      </c>
      <c r="G278" s="154">
        <v>76991</v>
      </c>
      <c r="H278" s="154" t="s">
        <v>755</v>
      </c>
      <c r="I278" s="154" t="s">
        <v>603</v>
      </c>
      <c r="J278" s="154" t="s">
        <v>604</v>
      </c>
      <c r="K278" s="154">
        <v>10027</v>
      </c>
      <c r="L278" s="154" t="s">
        <v>106</v>
      </c>
      <c r="M278" s="154">
        <v>44</v>
      </c>
      <c r="N278" s="154" t="s">
        <v>107</v>
      </c>
      <c r="O278" s="154" t="s">
        <v>756</v>
      </c>
      <c r="P278" s="154" t="s">
        <v>109</v>
      </c>
      <c r="Q278" s="154" t="s">
        <v>110</v>
      </c>
      <c r="R278" s="154" t="s">
        <v>117</v>
      </c>
      <c r="S278" s="154" t="s">
        <v>757</v>
      </c>
      <c r="T278" s="157">
        <v>45978</v>
      </c>
      <c r="U278" s="158" cm="1">
        <f t="array" ref="U278">[15]!CalculateINPC(B278,T278,-1)*F278</f>
        <v>26.245423347009883</v>
      </c>
      <c r="V278" s="158">
        <f t="shared" si="4"/>
        <v>98.575549084898086</v>
      </c>
    </row>
    <row r="279" spans="1:22">
      <c r="A279" s="154" t="s">
        <v>102</v>
      </c>
      <c r="B279" s="155">
        <v>43718</v>
      </c>
      <c r="C279" s="155">
        <v>43714</v>
      </c>
      <c r="D279" s="156">
        <v>13686.9</v>
      </c>
      <c r="E279" s="156">
        <v>18.47999999996</v>
      </c>
      <c r="F279" s="156">
        <v>18.47999999996</v>
      </c>
      <c r="G279" s="154">
        <v>78430</v>
      </c>
      <c r="H279" s="154" t="s">
        <v>727</v>
      </c>
      <c r="I279" s="154" t="s">
        <v>243</v>
      </c>
      <c r="J279" s="154" t="s">
        <v>244</v>
      </c>
      <c r="K279" s="154">
        <v>10027</v>
      </c>
      <c r="L279" s="154" t="s">
        <v>106</v>
      </c>
      <c r="M279" s="154">
        <v>44</v>
      </c>
      <c r="N279" s="154" t="s">
        <v>107</v>
      </c>
      <c r="O279" s="154" t="s">
        <v>758</v>
      </c>
      <c r="P279" s="154" t="s">
        <v>137</v>
      </c>
      <c r="Q279" s="154" t="s">
        <v>138</v>
      </c>
      <c r="R279" s="154" t="s">
        <v>117</v>
      </c>
      <c r="S279" s="154" t="s">
        <v>759</v>
      </c>
      <c r="T279" s="157">
        <v>45978</v>
      </c>
      <c r="U279" s="158" cm="1">
        <f t="array" ref="U279">[15]!CalculateINPC(B279,T279,-1)*F279</f>
        <v>26.058850540743595</v>
      </c>
      <c r="V279" s="158">
        <f t="shared" si="4"/>
        <v>95.942937660087011</v>
      </c>
    </row>
    <row r="280" spans="1:22">
      <c r="A280" s="154" t="s">
        <v>102</v>
      </c>
      <c r="B280" s="155">
        <v>45126</v>
      </c>
      <c r="C280" s="155">
        <v>45078</v>
      </c>
      <c r="D280" s="156">
        <v>572.25</v>
      </c>
      <c r="E280" s="156">
        <v>17.999999999999002</v>
      </c>
      <c r="F280" s="156">
        <v>17.999999999999002</v>
      </c>
      <c r="G280" s="154">
        <v>175045</v>
      </c>
      <c r="H280" s="154" t="s">
        <v>103</v>
      </c>
      <c r="I280" s="154" t="s">
        <v>587</v>
      </c>
      <c r="J280" s="154" t="s">
        <v>588</v>
      </c>
      <c r="K280" s="154">
        <v>10027</v>
      </c>
      <c r="L280" s="154" t="s">
        <v>106</v>
      </c>
      <c r="M280" s="154">
        <v>44</v>
      </c>
      <c r="N280" s="154" t="s">
        <v>107</v>
      </c>
      <c r="O280" s="154" t="s">
        <v>760</v>
      </c>
      <c r="P280" s="154" t="s">
        <v>109</v>
      </c>
      <c r="Q280" s="154" t="s">
        <v>110</v>
      </c>
      <c r="R280" s="154" t="s">
        <v>111</v>
      </c>
      <c r="S280" s="154" t="s">
        <v>355</v>
      </c>
      <c r="T280" s="157">
        <v>45978</v>
      </c>
      <c r="U280" s="158" cm="1">
        <f t="array" ref="U280">[15]!CalculateINPC(B280,T280,-1)*F280</f>
        <v>19.740464099998903</v>
      </c>
      <c r="V280" s="158">
        <f t="shared" si="4"/>
        <v>33.491796127905523</v>
      </c>
    </row>
    <row r="281" spans="1:22">
      <c r="A281" s="154" t="s">
        <v>102</v>
      </c>
      <c r="B281" s="155">
        <v>44175</v>
      </c>
      <c r="C281" s="155">
        <v>44172</v>
      </c>
      <c r="D281" s="156">
        <v>34699.980000000003</v>
      </c>
      <c r="E281" s="156">
        <v>16.59999999986</v>
      </c>
      <c r="F281" s="156">
        <v>16.59999999986</v>
      </c>
      <c r="G281" s="154">
        <v>100560</v>
      </c>
      <c r="H281" s="154" t="s">
        <v>727</v>
      </c>
      <c r="I281" s="154" t="s">
        <v>243</v>
      </c>
      <c r="J281" s="154" t="s">
        <v>244</v>
      </c>
      <c r="K281" s="154">
        <v>10027</v>
      </c>
      <c r="L281" s="154" t="s">
        <v>106</v>
      </c>
      <c r="M281" s="154">
        <v>44</v>
      </c>
      <c r="N281" s="154" t="s">
        <v>107</v>
      </c>
      <c r="O281" s="154" t="s">
        <v>761</v>
      </c>
      <c r="P281" s="154" t="s">
        <v>109</v>
      </c>
      <c r="Q281" s="154" t="s">
        <v>110</v>
      </c>
      <c r="R281" s="154" t="s">
        <v>117</v>
      </c>
      <c r="S281" s="154" t="s">
        <v>762</v>
      </c>
      <c r="T281" s="157">
        <v>45978</v>
      </c>
      <c r="U281" s="158" cm="1">
        <f t="array" ref="U281">[15]!CalculateINPC(B281,T281,-1)*F281</f>
        <v>22.133929217813328</v>
      </c>
      <c r="V281" s="158">
        <f t="shared" si="4"/>
        <v>61.769541473990351</v>
      </c>
    </row>
    <row r="282" spans="1:22">
      <c r="A282" s="154" t="s">
        <v>102</v>
      </c>
      <c r="B282" s="155">
        <v>45189</v>
      </c>
      <c r="C282" s="155">
        <v>45139</v>
      </c>
      <c r="D282" s="156">
        <v>54</v>
      </c>
      <c r="E282" s="156">
        <v>16.5</v>
      </c>
      <c r="F282" s="156">
        <v>16.5</v>
      </c>
      <c r="G282" s="154">
        <v>178853</v>
      </c>
      <c r="H282" s="154" t="s">
        <v>103</v>
      </c>
      <c r="I282" s="154" t="s">
        <v>587</v>
      </c>
      <c r="J282" s="154" t="s">
        <v>588</v>
      </c>
      <c r="K282" s="154">
        <v>10027</v>
      </c>
      <c r="L282" s="154" t="s">
        <v>106</v>
      </c>
      <c r="M282" s="154">
        <v>44</v>
      </c>
      <c r="N282" s="154" t="s">
        <v>107</v>
      </c>
      <c r="O282" s="154" t="s">
        <v>763</v>
      </c>
      <c r="P282" s="154" t="s">
        <v>109</v>
      </c>
      <c r="Q282" s="154" t="s">
        <v>110</v>
      </c>
      <c r="R282" s="154" t="s">
        <v>111</v>
      </c>
      <c r="S282" s="154" t="s">
        <v>366</v>
      </c>
      <c r="T282" s="157">
        <v>45978</v>
      </c>
      <c r="U282" s="158" cm="1">
        <f t="array" ref="U282">[15]!CalculateINPC(B282,T282,-1)*F282</f>
        <v>18.075581700000001</v>
      </c>
      <c r="V282" s="158">
        <f t="shared" si="4"/>
        <v>29.323093917152104</v>
      </c>
    </row>
    <row r="283" spans="1:22">
      <c r="A283" s="154" t="s">
        <v>102</v>
      </c>
      <c r="B283" s="155">
        <v>44145</v>
      </c>
      <c r="C283" s="155">
        <v>44140</v>
      </c>
      <c r="D283" s="156">
        <v>47411.49</v>
      </c>
      <c r="E283" s="156">
        <v>16.490000000155</v>
      </c>
      <c r="F283" s="156">
        <v>16.490000000155</v>
      </c>
      <c r="G283" s="154">
        <v>98482</v>
      </c>
      <c r="H283" s="154" t="s">
        <v>727</v>
      </c>
      <c r="I283" s="154" t="s">
        <v>243</v>
      </c>
      <c r="J283" s="154" t="s">
        <v>244</v>
      </c>
      <c r="K283" s="154">
        <v>10027</v>
      </c>
      <c r="L283" s="154" t="s">
        <v>106</v>
      </c>
      <c r="M283" s="154">
        <v>44</v>
      </c>
      <c r="N283" s="154" t="s">
        <v>107</v>
      </c>
      <c r="O283" s="154" t="s">
        <v>764</v>
      </c>
      <c r="P283" s="154" t="s">
        <v>109</v>
      </c>
      <c r="Q283" s="154" t="s">
        <v>110</v>
      </c>
      <c r="R283" s="154" t="s">
        <v>117</v>
      </c>
      <c r="S283" s="154" t="s">
        <v>765</v>
      </c>
      <c r="T283" s="157">
        <v>45978</v>
      </c>
      <c r="U283" s="158" cm="1">
        <f t="array" ref="U283">[15]!CalculateINPC(B283,T283,-1)*F283</f>
        <v>22.196130342208633</v>
      </c>
      <c r="V283" s="158">
        <f t="shared" si="4"/>
        <v>62.716559303552707</v>
      </c>
    </row>
    <row r="284" spans="1:22">
      <c r="A284" s="154" t="s">
        <v>102</v>
      </c>
      <c r="B284" s="155">
        <v>45279</v>
      </c>
      <c r="C284" s="155">
        <v>45236</v>
      </c>
      <c r="D284" s="156">
        <v>274.35000000000002</v>
      </c>
      <c r="E284" s="156">
        <v>15.112499999999001</v>
      </c>
      <c r="F284" s="156">
        <v>15.112499999999001</v>
      </c>
      <c r="G284" s="154">
        <v>185702</v>
      </c>
      <c r="H284" s="154" t="s">
        <v>103</v>
      </c>
      <c r="I284" s="154" t="s">
        <v>460</v>
      </c>
      <c r="J284" s="154" t="s">
        <v>461</v>
      </c>
      <c r="K284" s="154">
        <v>10027</v>
      </c>
      <c r="L284" s="154" t="s">
        <v>106</v>
      </c>
      <c r="M284" s="154">
        <v>44</v>
      </c>
      <c r="N284" s="154" t="s">
        <v>107</v>
      </c>
      <c r="O284" s="154" t="s">
        <v>766</v>
      </c>
      <c r="P284" s="154" t="s">
        <v>109</v>
      </c>
      <c r="Q284" s="154" t="s">
        <v>110</v>
      </c>
      <c r="R284" s="154" t="s">
        <v>111</v>
      </c>
      <c r="S284" s="154" t="s">
        <v>551</v>
      </c>
      <c r="T284" s="157">
        <v>45978</v>
      </c>
      <c r="U284" s="158" cm="1">
        <f t="array" ref="U284">[15]!CalculateINPC(B284,T284,-1)*F284</f>
        <v>16.501088033623912</v>
      </c>
      <c r="V284" s="158">
        <f t="shared" si="4"/>
        <v>25.152219993812775</v>
      </c>
    </row>
    <row r="285" spans="1:22">
      <c r="A285" s="154" t="s">
        <v>102</v>
      </c>
      <c r="B285" s="155">
        <v>45562</v>
      </c>
      <c r="C285" s="155">
        <v>45560</v>
      </c>
      <c r="D285" s="156">
        <v>1369.79</v>
      </c>
      <c r="E285" s="156">
        <v>12.999999999998</v>
      </c>
      <c r="F285" s="156">
        <v>12.999999999998</v>
      </c>
      <c r="G285" s="154">
        <v>218569</v>
      </c>
      <c r="H285" s="154" t="s">
        <v>411</v>
      </c>
      <c r="I285" s="154" t="s">
        <v>742</v>
      </c>
      <c r="J285" s="154" t="s">
        <v>743</v>
      </c>
      <c r="K285" s="154">
        <v>10027</v>
      </c>
      <c r="L285" s="154" t="s">
        <v>106</v>
      </c>
      <c r="M285" s="154">
        <v>44</v>
      </c>
      <c r="N285" s="154" t="s">
        <v>107</v>
      </c>
      <c r="O285" s="154" t="s">
        <v>412</v>
      </c>
      <c r="P285" s="154" t="s">
        <v>109</v>
      </c>
      <c r="Q285" s="154" t="s">
        <v>110</v>
      </c>
      <c r="R285" s="154" t="s">
        <v>333</v>
      </c>
      <c r="S285" s="154" t="s">
        <v>413</v>
      </c>
      <c r="T285" s="157">
        <v>45978</v>
      </c>
      <c r="U285" s="158" cm="1">
        <f t="array" ref="U285">[15]!CalculateINPC(B285,T285,-1)*F285</f>
        <v>13.732191589997887</v>
      </c>
      <c r="V285" s="158">
        <f t="shared" si="4"/>
        <v>17.603994576159042</v>
      </c>
    </row>
    <row r="286" spans="1:22">
      <c r="A286" s="154" t="s">
        <v>102</v>
      </c>
      <c r="B286" s="155">
        <v>44012</v>
      </c>
      <c r="C286" s="155">
        <v>44012</v>
      </c>
      <c r="D286" s="156">
        <v>735.22</v>
      </c>
      <c r="E286" s="156">
        <v>12.499999999993999</v>
      </c>
      <c r="F286" s="156">
        <v>12.499999999993999</v>
      </c>
      <c r="G286" s="154">
        <v>90782</v>
      </c>
      <c r="H286" s="154" t="s">
        <v>567</v>
      </c>
      <c r="I286" s="154" t="s">
        <v>568</v>
      </c>
      <c r="J286" s="154" t="s">
        <v>569</v>
      </c>
      <c r="K286" s="154">
        <v>10027</v>
      </c>
      <c r="L286" s="154" t="s">
        <v>106</v>
      </c>
      <c r="M286" s="154">
        <v>44</v>
      </c>
      <c r="N286" s="154" t="s">
        <v>107</v>
      </c>
      <c r="O286" s="154" t="s">
        <v>767</v>
      </c>
      <c r="P286" s="154" t="s">
        <v>571</v>
      </c>
      <c r="Q286" s="154" t="s">
        <v>572</v>
      </c>
      <c r="R286" s="154" t="s">
        <v>573</v>
      </c>
      <c r="S286" s="154" t="s">
        <v>768</v>
      </c>
      <c r="T286" s="157">
        <v>45978</v>
      </c>
      <c r="U286" s="158" cm="1">
        <f t="array" ref="U286">[15]!CalculateINPC(B286,T286,-1)*F286</f>
        <v>17.31194012499169</v>
      </c>
      <c r="V286" s="158">
        <f t="shared" si="4"/>
        <v>52.380220262035948</v>
      </c>
    </row>
    <row r="287" spans="1:22">
      <c r="A287" s="154" t="s">
        <v>102</v>
      </c>
      <c r="B287" s="155">
        <v>45744</v>
      </c>
      <c r="C287" s="155">
        <v>45741</v>
      </c>
      <c r="D287" s="156">
        <v>863.6</v>
      </c>
      <c r="E287" s="156">
        <v>11.999999999999</v>
      </c>
      <c r="F287" s="156">
        <v>11.999999999999</v>
      </c>
      <c r="G287" s="154">
        <v>244168</v>
      </c>
      <c r="H287" s="154" t="s">
        <v>450</v>
      </c>
      <c r="I287" s="154" t="s">
        <v>742</v>
      </c>
      <c r="J287" s="154" t="s">
        <v>743</v>
      </c>
      <c r="K287" s="154">
        <v>10027</v>
      </c>
      <c r="L287" s="154" t="s">
        <v>106</v>
      </c>
      <c r="M287" s="154">
        <v>44</v>
      </c>
      <c r="N287" s="154" t="s">
        <v>107</v>
      </c>
      <c r="O287" s="154" t="s">
        <v>451</v>
      </c>
      <c r="P287" s="154" t="s">
        <v>109</v>
      </c>
      <c r="Q287" s="154" t="s">
        <v>110</v>
      </c>
      <c r="R287" s="154" t="s">
        <v>333</v>
      </c>
      <c r="S287" s="154" t="s">
        <v>452</v>
      </c>
      <c r="T287" s="157">
        <v>45978</v>
      </c>
      <c r="U287" s="158" cm="1">
        <f t="array" ref="U287">[15]!CalculateINPC(B287,T287,-1)*F287</f>
        <v>12.256482479998978</v>
      </c>
      <c r="V287" s="158">
        <f t="shared" si="4"/>
        <v>14.23129512539958</v>
      </c>
    </row>
    <row r="288" spans="1:22">
      <c r="A288" s="154" t="s">
        <v>102</v>
      </c>
      <c r="B288" s="155">
        <v>44823</v>
      </c>
      <c r="C288" s="155">
        <v>44805</v>
      </c>
      <c r="D288" s="156">
        <v>678293.05</v>
      </c>
      <c r="E288" s="156">
        <v>11.070000001778</v>
      </c>
      <c r="F288" s="156">
        <v>11.070000001778</v>
      </c>
      <c r="G288" s="154">
        <v>158957</v>
      </c>
      <c r="H288" s="154" t="s">
        <v>166</v>
      </c>
      <c r="I288" s="154" t="s">
        <v>528</v>
      </c>
      <c r="J288" s="154" t="s">
        <v>529</v>
      </c>
      <c r="K288" s="154">
        <v>10027</v>
      </c>
      <c r="L288" s="154" t="s">
        <v>106</v>
      </c>
      <c r="M288" s="154">
        <v>44</v>
      </c>
      <c r="N288" s="154" t="s">
        <v>107</v>
      </c>
      <c r="O288" s="154" t="s">
        <v>769</v>
      </c>
      <c r="P288" s="154" t="s">
        <v>109</v>
      </c>
      <c r="Q288" s="154" t="s">
        <v>110</v>
      </c>
      <c r="R288" s="154" t="s">
        <v>111</v>
      </c>
      <c r="S288" s="154" t="s">
        <v>770</v>
      </c>
      <c r="T288" s="157">
        <v>45978</v>
      </c>
      <c r="U288" s="158" cm="1">
        <f t="array" ref="U288">[15]!CalculateINPC(B288,T288,-1)*F288</f>
        <v>12.619082223226807</v>
      </c>
      <c r="V288" s="158">
        <f t="shared" si="4"/>
        <v>25.687147307683759</v>
      </c>
    </row>
    <row r="289" spans="1:22">
      <c r="A289" s="154" t="s">
        <v>102</v>
      </c>
      <c r="B289" s="155">
        <v>45126</v>
      </c>
      <c r="C289" s="155">
        <v>45078</v>
      </c>
      <c r="D289" s="156">
        <v>517.66</v>
      </c>
      <c r="E289" s="156">
        <v>9.3072413717490008</v>
      </c>
      <c r="F289" s="156">
        <v>9.3072413717490008</v>
      </c>
      <c r="G289" s="154">
        <v>175318</v>
      </c>
      <c r="H289" s="154" t="s">
        <v>103</v>
      </c>
      <c r="I289" s="154" t="s">
        <v>587</v>
      </c>
      <c r="J289" s="154" t="s">
        <v>588</v>
      </c>
      <c r="K289" s="154">
        <v>10027</v>
      </c>
      <c r="L289" s="154" t="s">
        <v>106</v>
      </c>
      <c r="M289" s="154">
        <v>44</v>
      </c>
      <c r="N289" s="154" t="s">
        <v>107</v>
      </c>
      <c r="O289" s="154" t="s">
        <v>771</v>
      </c>
      <c r="P289" s="154" t="s">
        <v>109</v>
      </c>
      <c r="Q289" s="154" t="s">
        <v>110</v>
      </c>
      <c r="R289" s="154" t="s">
        <v>111</v>
      </c>
      <c r="S289" s="154" t="s">
        <v>495</v>
      </c>
      <c r="T289" s="157">
        <v>45978</v>
      </c>
      <c r="U289" s="158" cm="1">
        <f t="array" ref="U289">[15]!CalculateINPC(B289,T289,-1)*F289</f>
        <v>10.207181342724772</v>
      </c>
      <c r="V289" s="158">
        <f t="shared" si="4"/>
        <v>17.317568363102364</v>
      </c>
    </row>
    <row r="290" spans="1:22">
      <c r="A290" s="154" t="s">
        <v>102</v>
      </c>
      <c r="B290" s="155">
        <v>45168</v>
      </c>
      <c r="C290" s="155">
        <v>45111</v>
      </c>
      <c r="D290" s="156">
        <v>84689.3</v>
      </c>
      <c r="E290" s="156">
        <v>6.9200000001679998</v>
      </c>
      <c r="F290" s="156">
        <v>6.9200000001679998</v>
      </c>
      <c r="G290" s="154">
        <v>178286</v>
      </c>
      <c r="H290" s="154" t="s">
        <v>629</v>
      </c>
      <c r="I290" s="154" t="s">
        <v>442</v>
      </c>
      <c r="J290" s="154" t="s">
        <v>443</v>
      </c>
      <c r="K290" s="154">
        <v>10027</v>
      </c>
      <c r="L290" s="154" t="s">
        <v>106</v>
      </c>
      <c r="M290" s="154">
        <v>44</v>
      </c>
      <c r="N290" s="154" t="s">
        <v>107</v>
      </c>
      <c r="O290" s="154" t="s">
        <v>772</v>
      </c>
      <c r="P290" s="154" t="s">
        <v>109</v>
      </c>
      <c r="Q290" s="154" t="s">
        <v>110</v>
      </c>
      <c r="R290" s="154" t="s">
        <v>130</v>
      </c>
      <c r="S290" s="154" t="s">
        <v>773</v>
      </c>
      <c r="T290" s="157">
        <v>45978</v>
      </c>
      <c r="U290" s="158" cm="1">
        <f t="array" ref="U290">[15]!CalculateINPC(B290,T290,-1)*F290</f>
        <v>7.5959506517844098</v>
      </c>
      <c r="V290" s="158">
        <f t="shared" si="4"/>
        <v>12.487590169204388</v>
      </c>
    </row>
    <row r="291" spans="1:22">
      <c r="A291" s="154" t="s">
        <v>102</v>
      </c>
      <c r="B291" s="155">
        <v>45614</v>
      </c>
      <c r="C291" s="155">
        <v>45597</v>
      </c>
      <c r="D291" s="156">
        <v>1725397.04</v>
      </c>
      <c r="E291" s="156">
        <v>6.7500000040190002</v>
      </c>
      <c r="F291" s="156">
        <v>6.7500000040190002</v>
      </c>
      <c r="G291" s="154">
        <v>224886</v>
      </c>
      <c r="H291" s="154" t="s">
        <v>166</v>
      </c>
      <c r="I291" s="154" t="s">
        <v>587</v>
      </c>
      <c r="J291" s="154" t="s">
        <v>588</v>
      </c>
      <c r="K291" s="154">
        <v>10027</v>
      </c>
      <c r="L291" s="154" t="s">
        <v>106</v>
      </c>
      <c r="M291" s="154">
        <v>44</v>
      </c>
      <c r="N291" s="154" t="s">
        <v>107</v>
      </c>
      <c r="O291" s="154" t="s">
        <v>751</v>
      </c>
      <c r="P291" s="154" t="s">
        <v>109</v>
      </c>
      <c r="Q291" s="154" t="s">
        <v>110</v>
      </c>
      <c r="R291" s="154" t="s">
        <v>111</v>
      </c>
      <c r="S291" s="154" t="s">
        <v>752</v>
      </c>
      <c r="T291" s="157">
        <v>45978</v>
      </c>
      <c r="U291" s="158" cm="1">
        <f t="array" ref="U291">[15]!CalculateINPC(B291,T291,-1)*F291</f>
        <v>7.0530905966994615</v>
      </c>
      <c r="V291" s="158">
        <f t="shared" si="4"/>
        <v>8.8006178429120645</v>
      </c>
    </row>
    <row r="292" spans="1:22">
      <c r="A292" s="154" t="s">
        <v>102</v>
      </c>
      <c r="B292" s="155">
        <v>45365</v>
      </c>
      <c r="C292" s="155">
        <v>45323</v>
      </c>
      <c r="D292" s="156">
        <v>3853.22</v>
      </c>
      <c r="E292" s="156">
        <v>5.0300000000100002</v>
      </c>
      <c r="F292" s="156">
        <v>5.0300000000100002</v>
      </c>
      <c r="G292" s="154">
        <v>193938</v>
      </c>
      <c r="H292" s="154" t="s">
        <v>774</v>
      </c>
      <c r="I292" s="154" t="s">
        <v>442</v>
      </c>
      <c r="J292" s="154" t="s">
        <v>443</v>
      </c>
      <c r="K292" s="154">
        <v>10027</v>
      </c>
      <c r="L292" s="154" t="s">
        <v>106</v>
      </c>
      <c r="M292" s="154">
        <v>44</v>
      </c>
      <c r="N292" s="154" t="s">
        <v>107</v>
      </c>
      <c r="O292" s="154" t="s">
        <v>775</v>
      </c>
      <c r="P292" s="154" t="s">
        <v>109</v>
      </c>
      <c r="Q292" s="154" t="s">
        <v>110</v>
      </c>
      <c r="R292" s="154" t="s">
        <v>130</v>
      </c>
      <c r="S292" s="154" t="s">
        <v>776</v>
      </c>
      <c r="T292" s="157">
        <v>45978</v>
      </c>
      <c r="U292" s="158" cm="1">
        <f t="array" ref="U292">[15]!CalculateINPC(B292,T292,-1)*F292</f>
        <v>5.3875415043107102</v>
      </c>
      <c r="V292" s="158">
        <f t="shared" si="4"/>
        <v>7.8629985085660588</v>
      </c>
    </row>
    <row r="293" spans="1:22">
      <c r="A293" s="154" t="s">
        <v>102</v>
      </c>
      <c r="B293" s="155">
        <v>45279</v>
      </c>
      <c r="C293" s="155">
        <v>45236</v>
      </c>
      <c r="D293" s="156">
        <v>88.5</v>
      </c>
      <c r="E293" s="156">
        <v>4.875</v>
      </c>
      <c r="F293" s="156">
        <v>4.875</v>
      </c>
      <c r="G293" s="154">
        <v>185701</v>
      </c>
      <c r="H293" s="154" t="s">
        <v>103</v>
      </c>
      <c r="I293" s="154" t="s">
        <v>587</v>
      </c>
      <c r="J293" s="154" t="s">
        <v>588</v>
      </c>
      <c r="K293" s="154">
        <v>10027</v>
      </c>
      <c r="L293" s="154" t="s">
        <v>106</v>
      </c>
      <c r="M293" s="154">
        <v>44</v>
      </c>
      <c r="N293" s="154" t="s">
        <v>107</v>
      </c>
      <c r="O293" s="154" t="s">
        <v>777</v>
      </c>
      <c r="P293" s="154" t="s">
        <v>109</v>
      </c>
      <c r="Q293" s="154" t="s">
        <v>110</v>
      </c>
      <c r="R293" s="154" t="s">
        <v>111</v>
      </c>
      <c r="S293" s="154" t="s">
        <v>551</v>
      </c>
      <c r="T293" s="157">
        <v>45978</v>
      </c>
      <c r="U293" s="158" cm="1">
        <f t="array" ref="U293">[15]!CalculateINPC(B293,T293,-1)*F293</f>
        <v>5.3229316237500006</v>
      </c>
      <c r="V293" s="158">
        <f t="shared" si="4"/>
        <v>8.1136193528433669</v>
      </c>
    </row>
    <row r="294" spans="1:22">
      <c r="A294" s="154" t="s">
        <v>102</v>
      </c>
      <c r="B294" s="155">
        <v>44813</v>
      </c>
      <c r="C294" s="155">
        <v>44805</v>
      </c>
      <c r="D294" s="156">
        <v>1635.88</v>
      </c>
      <c r="E294" s="156">
        <v>1.79</v>
      </c>
      <c r="F294" s="156">
        <v>1.79</v>
      </c>
      <c r="G294" s="154">
        <v>157154</v>
      </c>
      <c r="H294" s="154" t="s">
        <v>369</v>
      </c>
      <c r="I294" s="154" t="s">
        <v>370</v>
      </c>
      <c r="J294" s="154" t="s">
        <v>371</v>
      </c>
      <c r="K294" s="154">
        <v>10027</v>
      </c>
      <c r="L294" s="154" t="s">
        <v>106</v>
      </c>
      <c r="M294" s="154">
        <v>44</v>
      </c>
      <c r="N294" s="154" t="s">
        <v>107</v>
      </c>
      <c r="O294" s="154" t="s">
        <v>778</v>
      </c>
      <c r="P294" s="154" t="s">
        <v>109</v>
      </c>
      <c r="Q294" s="154" t="s">
        <v>110</v>
      </c>
      <c r="R294" s="154" t="s">
        <v>111</v>
      </c>
      <c r="S294" s="154" t="s">
        <v>779</v>
      </c>
      <c r="T294" s="157">
        <v>45978</v>
      </c>
      <c r="U294" s="158" cm="1">
        <f t="array" ref="U294">[15]!CalculateINPC(B294,T294,-1)*F294</f>
        <v>2.0404839364000003</v>
      </c>
      <c r="V294" s="158">
        <f t="shared" si="4"/>
        <v>4.1839489743047666</v>
      </c>
    </row>
    <row r="295" spans="1:22">
      <c r="A295" s="154" t="s">
        <v>102</v>
      </c>
      <c r="B295" s="155">
        <v>45155</v>
      </c>
      <c r="C295" s="155">
        <v>45109</v>
      </c>
      <c r="D295" s="156">
        <v>1413.96</v>
      </c>
      <c r="E295" s="156">
        <v>1.7414211020129999</v>
      </c>
      <c r="F295" s="156">
        <v>1.7414211020129999</v>
      </c>
      <c r="G295" s="154">
        <v>176946</v>
      </c>
      <c r="H295" s="154" t="s">
        <v>103</v>
      </c>
      <c r="I295" s="154" t="s">
        <v>460</v>
      </c>
      <c r="J295" s="154" t="s">
        <v>461</v>
      </c>
      <c r="K295" s="154">
        <v>10027</v>
      </c>
      <c r="L295" s="154" t="s">
        <v>106</v>
      </c>
      <c r="M295" s="154">
        <v>44</v>
      </c>
      <c r="N295" s="154" t="s">
        <v>107</v>
      </c>
      <c r="O295" s="154" t="s">
        <v>780</v>
      </c>
      <c r="P295" s="154" t="s">
        <v>109</v>
      </c>
      <c r="Q295" s="154" t="s">
        <v>110</v>
      </c>
      <c r="R295" s="154" t="s">
        <v>111</v>
      </c>
      <c r="S295" s="154" t="s">
        <v>741</v>
      </c>
      <c r="T295" s="157">
        <v>45978</v>
      </c>
      <c r="U295" s="158" cm="1">
        <f t="array" ref="U295">[15]!CalculateINPC(B295,T295,-1)*F295</f>
        <v>1.9115243864950342</v>
      </c>
      <c r="V295" s="158">
        <f t="shared" si="4"/>
        <v>3.1724220993746299</v>
      </c>
    </row>
    <row r="296" spans="1:22">
      <c r="A296" s="154" t="s">
        <v>102</v>
      </c>
      <c r="B296" s="155">
        <v>44973</v>
      </c>
      <c r="C296" s="155">
        <v>44960</v>
      </c>
      <c r="D296" s="156">
        <v>54164.47</v>
      </c>
      <c r="E296" s="156">
        <v>0.89999999997500002</v>
      </c>
      <c r="F296" s="156">
        <v>0.84464991531800004</v>
      </c>
      <c r="G296" s="154">
        <v>167204</v>
      </c>
      <c r="H296" s="154" t="s">
        <v>629</v>
      </c>
      <c r="I296" s="154" t="s">
        <v>442</v>
      </c>
      <c r="J296" s="154" t="s">
        <v>443</v>
      </c>
      <c r="K296" s="154">
        <v>10027</v>
      </c>
      <c r="L296" s="154" t="s">
        <v>106</v>
      </c>
      <c r="M296" s="154">
        <v>44</v>
      </c>
      <c r="N296" s="154" t="s">
        <v>107</v>
      </c>
      <c r="O296" s="154" t="s">
        <v>781</v>
      </c>
      <c r="P296" s="154" t="s">
        <v>109</v>
      </c>
      <c r="Q296" s="154" t="s">
        <v>110</v>
      </c>
      <c r="R296" s="154" t="s">
        <v>130</v>
      </c>
      <c r="S296" s="154" t="s">
        <v>782</v>
      </c>
      <c r="T296" s="157">
        <v>45978</v>
      </c>
      <c r="U296" s="158" cm="1">
        <f t="array" ref="U296">[15]!CalculateINPC(B296,T296,-1)*F296</f>
        <v>0.9468592024663115</v>
      </c>
      <c r="V296" s="158">
        <f t="shared" si="4"/>
        <v>1.7569872153469441</v>
      </c>
    </row>
    <row r="297" spans="1:22">
      <c r="A297" s="154" t="s">
        <v>102</v>
      </c>
      <c r="B297" s="155">
        <v>45155</v>
      </c>
      <c r="C297" s="155">
        <v>45109</v>
      </c>
      <c r="D297" s="156">
        <v>456.12</v>
      </c>
      <c r="E297" s="156">
        <v>0.56175351003600005</v>
      </c>
      <c r="F297" s="156">
        <v>0.56175351003600005</v>
      </c>
      <c r="G297" s="154">
        <v>176945</v>
      </c>
      <c r="H297" s="154" t="s">
        <v>103</v>
      </c>
      <c r="I297" s="154" t="s">
        <v>587</v>
      </c>
      <c r="J297" s="154" t="s">
        <v>588</v>
      </c>
      <c r="K297" s="154">
        <v>10027</v>
      </c>
      <c r="L297" s="154" t="s">
        <v>106</v>
      </c>
      <c r="M297" s="154">
        <v>44</v>
      </c>
      <c r="N297" s="154" t="s">
        <v>107</v>
      </c>
      <c r="O297" s="154" t="s">
        <v>783</v>
      </c>
      <c r="P297" s="154" t="s">
        <v>109</v>
      </c>
      <c r="Q297" s="154" t="s">
        <v>110</v>
      </c>
      <c r="R297" s="154" t="s">
        <v>111</v>
      </c>
      <c r="S297" s="154" t="s">
        <v>741</v>
      </c>
      <c r="T297" s="157">
        <v>45978</v>
      </c>
      <c r="U297" s="158" cm="1">
        <f t="array" ref="U297">[15]!CalculateINPC(B297,T297,-1)*F297</f>
        <v>0.61662600297637882</v>
      </c>
      <c r="V297" s="158">
        <f t="shared" si="4"/>
        <v>1.0233706526120705</v>
      </c>
    </row>
    <row r="298" spans="1:22">
      <c r="A298" s="154" t="s">
        <v>102</v>
      </c>
      <c r="B298" s="155">
        <v>45001</v>
      </c>
      <c r="C298" s="155">
        <v>44960</v>
      </c>
      <c r="D298" s="156">
        <v>2518.65</v>
      </c>
      <c r="E298" s="156">
        <v>4.1850035639999998E-2</v>
      </c>
      <c r="F298" s="156">
        <v>4.1850035639999998E-2</v>
      </c>
      <c r="G298" s="154">
        <v>167946</v>
      </c>
      <c r="H298" s="154" t="s">
        <v>103</v>
      </c>
      <c r="I298" s="154" t="s">
        <v>460</v>
      </c>
      <c r="J298" s="154" t="s">
        <v>461</v>
      </c>
      <c r="K298" s="154">
        <v>10027</v>
      </c>
      <c r="L298" s="154" t="s">
        <v>106</v>
      </c>
      <c r="M298" s="154">
        <v>44</v>
      </c>
      <c r="N298" s="154" t="s">
        <v>107</v>
      </c>
      <c r="O298" s="154" t="s">
        <v>784</v>
      </c>
      <c r="P298" s="154" t="s">
        <v>109</v>
      </c>
      <c r="Q298" s="154" t="s">
        <v>110</v>
      </c>
      <c r="R298" s="154" t="s">
        <v>111</v>
      </c>
      <c r="S298" s="154" t="s">
        <v>782</v>
      </c>
      <c r="T298" s="157">
        <v>45978</v>
      </c>
      <c r="U298" s="158" cm="1">
        <f t="array" ref="U298">[15]!CalculateINPC(B298,T298,-1)*F298</f>
        <v>4.6555773756963882E-2</v>
      </c>
      <c r="V298" s="158">
        <f t="shared" si="4"/>
        <v>8.5295364602391524E-2</v>
      </c>
    </row>
    <row r="299" spans="1:22">
      <c r="A299" s="154" t="s">
        <v>102</v>
      </c>
      <c r="B299" s="155">
        <v>45001</v>
      </c>
      <c r="C299" s="155">
        <v>44960</v>
      </c>
      <c r="D299" s="156">
        <v>812.47</v>
      </c>
      <c r="E299" s="156">
        <v>1.3500049017E-2</v>
      </c>
      <c r="F299" s="156">
        <v>1.3500049017E-2</v>
      </c>
      <c r="G299" s="154">
        <v>167945</v>
      </c>
      <c r="H299" s="154" t="s">
        <v>103</v>
      </c>
      <c r="I299" s="154" t="s">
        <v>587</v>
      </c>
      <c r="J299" s="154" t="s">
        <v>588</v>
      </c>
      <c r="K299" s="154">
        <v>10027</v>
      </c>
      <c r="L299" s="154" t="s">
        <v>106</v>
      </c>
      <c r="M299" s="154">
        <v>44</v>
      </c>
      <c r="N299" s="154" t="s">
        <v>107</v>
      </c>
      <c r="O299" s="154" t="s">
        <v>785</v>
      </c>
      <c r="P299" s="154" t="s">
        <v>109</v>
      </c>
      <c r="Q299" s="154" t="s">
        <v>110</v>
      </c>
      <c r="R299" s="154" t="s">
        <v>111</v>
      </c>
      <c r="S299" s="154" t="s">
        <v>782</v>
      </c>
      <c r="T299" s="157">
        <v>45978</v>
      </c>
      <c r="U299" s="158" cm="1">
        <f t="array" ref="U299">[15]!CalculateINPC(B299,T299,-1)*F299</f>
        <v>1.5018033273612159E-2</v>
      </c>
      <c r="V299" s="158">
        <f t="shared" si="4"/>
        <v>2.7514710213402637E-2</v>
      </c>
    </row>
    <row r="300" spans="1:22">
      <c r="A300" s="154" t="s">
        <v>786</v>
      </c>
      <c r="B300" s="155">
        <v>44817</v>
      </c>
      <c r="C300" s="155">
        <v>44798</v>
      </c>
      <c r="D300" s="156">
        <v>12600</v>
      </c>
      <c r="E300" s="156">
        <v>-254.54999999998799</v>
      </c>
      <c r="F300" s="156">
        <v>-254.54999999998799</v>
      </c>
      <c r="G300" s="154">
        <v>156928</v>
      </c>
      <c r="H300" s="154" t="s">
        <v>307</v>
      </c>
      <c r="I300" s="154" t="s">
        <v>232</v>
      </c>
      <c r="J300" s="154" t="s">
        <v>233</v>
      </c>
      <c r="K300" s="154">
        <v>10027</v>
      </c>
      <c r="L300" s="154" t="s">
        <v>106</v>
      </c>
      <c r="M300" s="154">
        <v>44</v>
      </c>
      <c r="N300" s="154" t="s">
        <v>107</v>
      </c>
      <c r="O300" s="154" t="s">
        <v>577</v>
      </c>
      <c r="P300" s="154" t="s">
        <v>109</v>
      </c>
      <c r="Q300" s="154" t="s">
        <v>110</v>
      </c>
      <c r="R300" s="154" t="s">
        <v>130</v>
      </c>
      <c r="S300" s="154" t="s">
        <v>578</v>
      </c>
      <c r="T300" s="157">
        <v>45978</v>
      </c>
      <c r="U300" s="158" cm="1">
        <f t="array" ref="U300">[15]!CalculateINPC(B300,T300,-1)*F300</f>
        <v>-290.17049497798632</v>
      </c>
      <c r="V300" s="158">
        <f t="shared" si="4"/>
        <v>-593.25364134412962</v>
      </c>
    </row>
    <row r="301" spans="1:22">
      <c r="A301" s="154" t="s">
        <v>786</v>
      </c>
      <c r="B301" s="155">
        <v>44823</v>
      </c>
      <c r="C301" s="155">
        <v>44798</v>
      </c>
      <c r="D301" s="156">
        <v>12600</v>
      </c>
      <c r="E301" s="156">
        <v>-254.54999999998799</v>
      </c>
      <c r="F301" s="156">
        <v>-254.54999999998799</v>
      </c>
      <c r="G301" s="154">
        <v>156928</v>
      </c>
      <c r="H301" s="154" t="s">
        <v>307</v>
      </c>
      <c r="I301" s="154" t="s">
        <v>232</v>
      </c>
      <c r="J301" s="154" t="s">
        <v>233</v>
      </c>
      <c r="K301" s="154">
        <v>10027</v>
      </c>
      <c r="L301" s="154" t="s">
        <v>106</v>
      </c>
      <c r="M301" s="154">
        <v>44</v>
      </c>
      <c r="N301" s="154" t="s">
        <v>107</v>
      </c>
      <c r="O301" s="154" t="s">
        <v>577</v>
      </c>
      <c r="P301" s="154" t="s">
        <v>109</v>
      </c>
      <c r="Q301" s="154" t="s">
        <v>110</v>
      </c>
      <c r="R301" s="154" t="s">
        <v>130</v>
      </c>
      <c r="S301" s="154" t="s">
        <v>578</v>
      </c>
      <c r="T301" s="157">
        <v>45978</v>
      </c>
      <c r="U301" s="158" cm="1">
        <f t="array" ref="U301">[15]!CalculateINPC(B301,T301,-1)*F301</f>
        <v>-290.17049497798632</v>
      </c>
      <c r="V301" s="158">
        <f t="shared" si="4"/>
        <v>-590.66516225116436</v>
      </c>
    </row>
    <row r="302" spans="1:22">
      <c r="A302" s="154" t="s">
        <v>102</v>
      </c>
      <c r="B302" s="155">
        <v>45811</v>
      </c>
      <c r="C302" s="155">
        <v>45793</v>
      </c>
      <c r="D302" s="159">
        <v>18582</v>
      </c>
      <c r="E302" s="159">
        <v>1175.99999999995</v>
      </c>
      <c r="F302" s="159">
        <v>1175.99999999995</v>
      </c>
      <c r="G302" s="154">
        <v>254480</v>
      </c>
      <c r="H302" s="154" t="s">
        <v>787</v>
      </c>
      <c r="I302" s="154" t="s">
        <v>533</v>
      </c>
      <c r="J302" s="154" t="s">
        <v>534</v>
      </c>
      <c r="K302" s="154">
        <v>10027</v>
      </c>
      <c r="L302" s="154" t="s">
        <v>106</v>
      </c>
      <c r="M302" s="154">
        <v>44</v>
      </c>
      <c r="N302" s="154" t="s">
        <v>107</v>
      </c>
      <c r="O302" s="154" t="s">
        <v>788</v>
      </c>
      <c r="P302" s="154" t="s">
        <v>109</v>
      </c>
      <c r="Q302" s="154" t="s">
        <v>110</v>
      </c>
      <c r="R302" s="154" t="s">
        <v>130</v>
      </c>
      <c r="S302" s="154" t="s">
        <v>789</v>
      </c>
      <c r="T302" s="157">
        <v>45978</v>
      </c>
      <c r="U302" s="158" cm="1">
        <f t="array" ref="U302">[15]!CalculateINPC(B302,T302,-1)*F302</f>
        <v>1185.1836427199496</v>
      </c>
      <c r="V302" s="158">
        <f t="shared" si="4"/>
        <v>1328.2027553270495</v>
      </c>
    </row>
    <row r="303" spans="1:22">
      <c r="A303" s="154" t="s">
        <v>102</v>
      </c>
      <c r="B303" s="155">
        <v>45811</v>
      </c>
      <c r="C303" s="155">
        <v>45778</v>
      </c>
      <c r="D303" s="159">
        <v>7330.27</v>
      </c>
      <c r="E303" s="159">
        <v>75.290000000036997</v>
      </c>
      <c r="F303" s="159">
        <v>75.290000000036997</v>
      </c>
      <c r="G303" s="154">
        <v>255141</v>
      </c>
      <c r="H303" s="154" t="s">
        <v>790</v>
      </c>
      <c r="I303" s="154" t="s">
        <v>342</v>
      </c>
      <c r="J303" s="154" t="s">
        <v>343</v>
      </c>
      <c r="K303" s="154">
        <v>10027</v>
      </c>
      <c r="L303" s="154" t="s">
        <v>106</v>
      </c>
      <c r="M303" s="154">
        <v>44</v>
      </c>
      <c r="N303" s="154" t="s">
        <v>107</v>
      </c>
      <c r="O303" s="154" t="s">
        <v>791</v>
      </c>
      <c r="P303" s="154" t="s">
        <v>109</v>
      </c>
      <c r="Q303" s="154" t="s">
        <v>110</v>
      </c>
      <c r="R303" s="154" t="s">
        <v>399</v>
      </c>
      <c r="S303" s="154" t="s">
        <v>792</v>
      </c>
      <c r="T303" s="157">
        <v>45978</v>
      </c>
      <c r="U303" s="158" cm="1">
        <f t="array" ref="U303">[15]!CalculateINPC(B303,T303,-1)*F303</f>
        <v>75.877956173837276</v>
      </c>
      <c r="V303" s="158">
        <f t="shared" si="4"/>
        <v>85.034341367880074</v>
      </c>
    </row>
    <row r="304" spans="1:22">
      <c r="A304" s="154" t="s">
        <v>102</v>
      </c>
      <c r="B304" s="155">
        <v>45812</v>
      </c>
      <c r="C304" s="155">
        <v>45806</v>
      </c>
      <c r="D304" s="159">
        <v>13800</v>
      </c>
      <c r="E304" s="159">
        <v>900.00000000003001</v>
      </c>
      <c r="F304" s="159">
        <v>900.00000000003001</v>
      </c>
      <c r="G304" s="154">
        <v>255285</v>
      </c>
      <c r="H304" s="154" t="s">
        <v>649</v>
      </c>
      <c r="I304" s="154" t="s">
        <v>232</v>
      </c>
      <c r="J304" s="154" t="s">
        <v>233</v>
      </c>
      <c r="K304" s="154">
        <v>10027</v>
      </c>
      <c r="L304" s="154" t="s">
        <v>106</v>
      </c>
      <c r="M304" s="154">
        <v>44</v>
      </c>
      <c r="N304" s="154" t="s">
        <v>107</v>
      </c>
      <c r="O304" s="154" t="s">
        <v>793</v>
      </c>
      <c r="P304" s="154" t="s">
        <v>109</v>
      </c>
      <c r="Q304" s="154" t="s">
        <v>110</v>
      </c>
      <c r="R304" s="154" t="s">
        <v>130</v>
      </c>
      <c r="S304" s="154" t="s">
        <v>794</v>
      </c>
      <c r="T304" s="157">
        <v>45978</v>
      </c>
      <c r="U304" s="158" cm="1">
        <f t="array" ref="U304">[15]!CalculateINPC(B304,T304,-1)*F304</f>
        <v>907.02829800003019</v>
      </c>
      <c r="V304" s="158">
        <f t="shared" si="4"/>
        <v>1015.7411690682355</v>
      </c>
    </row>
    <row r="305" spans="1:22">
      <c r="A305" s="154" t="s">
        <v>102</v>
      </c>
      <c r="B305" s="155">
        <v>45782</v>
      </c>
      <c r="C305" s="155">
        <v>45777</v>
      </c>
      <c r="D305" s="159">
        <v>744.8</v>
      </c>
      <c r="E305" s="159">
        <v>744.8</v>
      </c>
      <c r="F305" s="159">
        <v>744.8</v>
      </c>
      <c r="G305" s="154">
        <v>250821</v>
      </c>
      <c r="H305" s="154" t="s">
        <v>236</v>
      </c>
      <c r="I305" s="154" t="s">
        <v>237</v>
      </c>
      <c r="J305" s="154" t="s">
        <v>238</v>
      </c>
      <c r="K305" s="154">
        <v>10027</v>
      </c>
      <c r="L305" s="154" t="s">
        <v>106</v>
      </c>
      <c r="M305" s="154">
        <v>44</v>
      </c>
      <c r="N305" s="154" t="s">
        <v>107</v>
      </c>
      <c r="O305" s="154" t="s">
        <v>795</v>
      </c>
      <c r="P305" s="154" t="s">
        <v>109</v>
      </c>
      <c r="Q305" s="154" t="s">
        <v>110</v>
      </c>
      <c r="R305" s="154" t="s">
        <v>240</v>
      </c>
      <c r="S305" s="154" t="s">
        <v>796</v>
      </c>
      <c r="T305" s="157">
        <v>45978</v>
      </c>
      <c r="U305" s="158" cm="1">
        <f t="array" ref="U305">[15]!CalculateINPC(B305,T305,-1)*F305</f>
        <v>753.24381249600003</v>
      </c>
      <c r="V305" s="158">
        <f t="shared" si="4"/>
        <v>859.16285622793168</v>
      </c>
    </row>
    <row r="306" spans="1:22">
      <c r="A306" s="154" t="s">
        <v>102</v>
      </c>
      <c r="B306" s="155">
        <v>45817</v>
      </c>
      <c r="C306" s="155">
        <v>45811</v>
      </c>
      <c r="D306" s="159">
        <v>15025</v>
      </c>
      <c r="E306" s="159">
        <v>1999.9999999999311</v>
      </c>
      <c r="F306" s="159">
        <v>1999.9999999999311</v>
      </c>
      <c r="G306" s="154">
        <v>255692</v>
      </c>
      <c r="H306" s="154" t="s">
        <v>797</v>
      </c>
      <c r="I306" s="154" t="s">
        <v>706</v>
      </c>
      <c r="J306" s="154" t="s">
        <v>707</v>
      </c>
      <c r="K306" s="154">
        <v>10027</v>
      </c>
      <c r="L306" s="154" t="s">
        <v>106</v>
      </c>
      <c r="M306" s="154">
        <v>44</v>
      </c>
      <c r="N306" s="154" t="s">
        <v>107</v>
      </c>
      <c r="O306" s="154" t="s">
        <v>798</v>
      </c>
      <c r="P306" s="154" t="s">
        <v>109</v>
      </c>
      <c r="Q306" s="154" t="s">
        <v>110</v>
      </c>
      <c r="R306" s="154" t="s">
        <v>130</v>
      </c>
      <c r="S306" s="154" t="s">
        <v>799</v>
      </c>
      <c r="T306" s="157">
        <v>45978</v>
      </c>
      <c r="U306" s="158" cm="1">
        <f t="array" ref="U306">[15]!CalculateINPC(B306,T306,-1)*F306</f>
        <v>2015.6184399999304</v>
      </c>
      <c r="V306" s="158">
        <f t="shared" si="4"/>
        <v>2248.9924365573092</v>
      </c>
    </row>
    <row r="307" spans="1:22">
      <c r="A307" s="154" t="s">
        <v>102</v>
      </c>
      <c r="B307" s="155">
        <v>45789</v>
      </c>
      <c r="C307" s="155">
        <v>45783</v>
      </c>
      <c r="D307" s="159">
        <v>31007.96</v>
      </c>
      <c r="E307" s="159">
        <v>100.000000000149</v>
      </c>
      <c r="F307" s="159">
        <v>100.000000000149</v>
      </c>
      <c r="G307" s="154">
        <v>251784</v>
      </c>
      <c r="H307" s="154" t="s">
        <v>310</v>
      </c>
      <c r="I307" s="154" t="s">
        <v>271</v>
      </c>
      <c r="J307" s="154" t="s">
        <v>272</v>
      </c>
      <c r="K307" s="154">
        <v>10027</v>
      </c>
      <c r="L307" s="154" t="s">
        <v>106</v>
      </c>
      <c r="M307" s="154">
        <v>44</v>
      </c>
      <c r="N307" s="154" t="s">
        <v>107</v>
      </c>
      <c r="O307" s="154" t="s">
        <v>800</v>
      </c>
      <c r="P307" s="154" t="s">
        <v>109</v>
      </c>
      <c r="Q307" s="154" t="s">
        <v>110</v>
      </c>
      <c r="R307" s="154" t="s">
        <v>130</v>
      </c>
      <c r="S307" s="154" t="s">
        <v>801</v>
      </c>
      <c r="T307" s="157">
        <v>45978</v>
      </c>
      <c r="U307" s="158" cm="1">
        <f t="array" ref="U307">[15]!CalculateINPC(B307,T307,-1)*F307</f>
        <v>101.13370200015069</v>
      </c>
      <c r="V307" s="158">
        <f t="shared" si="4"/>
        <v>114.76785372264621</v>
      </c>
    </row>
    <row r="308" spans="1:22">
      <c r="A308" s="154" t="s">
        <v>102</v>
      </c>
      <c r="B308" s="155">
        <v>45797</v>
      </c>
      <c r="C308" s="155">
        <v>45790</v>
      </c>
      <c r="D308" s="159">
        <v>836.15</v>
      </c>
      <c r="E308" s="159">
        <v>715.549999999997</v>
      </c>
      <c r="F308" s="159">
        <v>715.549999999997</v>
      </c>
      <c r="G308" s="154">
        <v>252911</v>
      </c>
      <c r="H308" s="154" t="s">
        <v>559</v>
      </c>
      <c r="I308" s="154" t="s">
        <v>316</v>
      </c>
      <c r="J308" s="154" t="s">
        <v>317</v>
      </c>
      <c r="K308" s="154">
        <v>10027</v>
      </c>
      <c r="L308" s="154" t="s">
        <v>106</v>
      </c>
      <c r="M308" s="154">
        <v>44</v>
      </c>
      <c r="N308" s="154" t="s">
        <v>107</v>
      </c>
      <c r="O308" s="154" t="s">
        <v>802</v>
      </c>
      <c r="P308" s="154" t="s">
        <v>109</v>
      </c>
      <c r="Q308" s="154" t="s">
        <v>110</v>
      </c>
      <c r="R308" s="154" t="s">
        <v>333</v>
      </c>
      <c r="S308" s="154" t="s">
        <v>803</v>
      </c>
      <c r="T308" s="157">
        <v>45978</v>
      </c>
      <c r="U308" s="158" cm="1">
        <f t="array" ref="U308">[15]!CalculateINPC(B308,T308,-1)*F308</f>
        <v>723.66220466099696</v>
      </c>
      <c r="V308" s="158">
        <f t="shared" si="4"/>
        <v>816.44732700082113</v>
      </c>
    </row>
    <row r="309" spans="1:22">
      <c r="A309" s="154" t="s">
        <v>102</v>
      </c>
      <c r="B309" s="155">
        <v>45799</v>
      </c>
      <c r="C309" s="155">
        <v>45791</v>
      </c>
      <c r="D309" s="159">
        <v>63710</v>
      </c>
      <c r="E309" s="159">
        <v>80.000000000103</v>
      </c>
      <c r="F309" s="159">
        <v>80.000000000103</v>
      </c>
      <c r="G309" s="154">
        <v>253262</v>
      </c>
      <c r="H309" s="154" t="s">
        <v>225</v>
      </c>
      <c r="I309" s="154" t="s">
        <v>226</v>
      </c>
      <c r="J309" s="154" t="s">
        <v>227</v>
      </c>
      <c r="K309" s="154">
        <v>10027</v>
      </c>
      <c r="L309" s="154" t="s">
        <v>106</v>
      </c>
      <c r="M309" s="154">
        <v>44</v>
      </c>
      <c r="N309" s="154" t="s">
        <v>107</v>
      </c>
      <c r="O309" s="154" t="s">
        <v>804</v>
      </c>
      <c r="P309" s="154" t="s">
        <v>109</v>
      </c>
      <c r="Q309" s="154" t="s">
        <v>110</v>
      </c>
      <c r="R309" s="154" t="s">
        <v>130</v>
      </c>
      <c r="S309" s="154" t="s">
        <v>805</v>
      </c>
      <c r="T309" s="157">
        <v>45978</v>
      </c>
      <c r="U309" s="158" cm="1">
        <f t="array" ref="U309">[15]!CalculateINPC(B309,T309,-1)*F309</f>
        <v>80.906961600104168</v>
      </c>
      <c r="V309" s="158">
        <f t="shared" si="4"/>
        <v>91.14758238411217</v>
      </c>
    </row>
    <row r="310" spans="1:22">
      <c r="A310" s="154" t="s">
        <v>102</v>
      </c>
      <c r="B310" s="155">
        <v>45800</v>
      </c>
      <c r="C310" s="155">
        <v>45790</v>
      </c>
      <c r="D310" s="159">
        <v>1760</v>
      </c>
      <c r="E310" s="159">
        <v>319.99999999999699</v>
      </c>
      <c r="F310" s="159">
        <v>319.99999999999699</v>
      </c>
      <c r="G310" s="154">
        <v>253259</v>
      </c>
      <c r="H310" s="154" t="s">
        <v>298</v>
      </c>
      <c r="I310" s="154" t="s">
        <v>232</v>
      </c>
      <c r="J310" s="154" t="s">
        <v>233</v>
      </c>
      <c r="K310" s="154">
        <v>10027</v>
      </c>
      <c r="L310" s="154" t="s">
        <v>106</v>
      </c>
      <c r="M310" s="154">
        <v>44</v>
      </c>
      <c r="N310" s="154" t="s">
        <v>107</v>
      </c>
      <c r="O310" s="154" t="s">
        <v>806</v>
      </c>
      <c r="P310" s="154" t="s">
        <v>109</v>
      </c>
      <c r="Q310" s="154" t="s">
        <v>110</v>
      </c>
      <c r="R310" s="154" t="s">
        <v>130</v>
      </c>
      <c r="S310" s="154" t="s">
        <v>459</v>
      </c>
      <c r="T310" s="157">
        <v>45978</v>
      </c>
      <c r="U310" s="158" cm="1">
        <f t="array" ref="U310">[15]!CalculateINPC(B310,T310,-1)*F310</f>
        <v>323.62784639999694</v>
      </c>
      <c r="V310" s="158">
        <f t="shared" si="4"/>
        <v>364.32471668667449</v>
      </c>
    </row>
    <row r="311" spans="1:22">
      <c r="A311" s="154" t="s">
        <v>257</v>
      </c>
      <c r="B311" s="155">
        <v>45800</v>
      </c>
      <c r="C311" s="155">
        <v>45778</v>
      </c>
      <c r="D311" s="159">
        <v>58157.74</v>
      </c>
      <c r="E311" s="159">
        <v>663.48000000018101</v>
      </c>
      <c r="F311" s="159">
        <v>663.48000000018101</v>
      </c>
      <c r="G311" s="154">
        <v>253412</v>
      </c>
      <c r="H311" s="154" t="s">
        <v>258</v>
      </c>
      <c r="I311" s="154" t="s">
        <v>243</v>
      </c>
      <c r="J311" s="154" t="s">
        <v>244</v>
      </c>
      <c r="K311" s="154">
        <v>10027</v>
      </c>
      <c r="L311" s="154" t="s">
        <v>106</v>
      </c>
      <c r="M311" s="154">
        <v>44</v>
      </c>
      <c r="N311" s="154" t="s">
        <v>107</v>
      </c>
      <c r="O311" s="154" t="s">
        <v>259</v>
      </c>
      <c r="P311" s="154" t="s">
        <v>260</v>
      </c>
      <c r="Q311" s="154" t="s">
        <v>261</v>
      </c>
      <c r="R311" s="154" t="s">
        <v>262</v>
      </c>
      <c r="S311" s="154" t="s">
        <v>807</v>
      </c>
      <c r="T311" s="157">
        <v>45978</v>
      </c>
      <c r="U311" s="158" cm="1">
        <f t="array" ref="U311">[15]!CalculateINPC(B311,T311,-1)*F311</f>
        <v>671.00188602978312</v>
      </c>
      <c r="V311" s="158">
        <f t="shared" si="4"/>
        <v>755.38175946044691</v>
      </c>
    </row>
    <row r="312" spans="1:22">
      <c r="A312" s="154" t="s">
        <v>102</v>
      </c>
      <c r="B312" s="155">
        <v>45803</v>
      </c>
      <c r="C312" s="155">
        <v>45790</v>
      </c>
      <c r="D312" s="159">
        <v>3000</v>
      </c>
      <c r="E312" s="159">
        <v>36.140000000009998</v>
      </c>
      <c r="F312" s="159">
        <v>36.140000000009998</v>
      </c>
      <c r="G312" s="154">
        <v>253558</v>
      </c>
      <c r="H312" s="154" t="s">
        <v>808</v>
      </c>
      <c r="I312" s="154" t="s">
        <v>243</v>
      </c>
      <c r="J312" s="154" t="s">
        <v>244</v>
      </c>
      <c r="K312" s="154">
        <v>10027</v>
      </c>
      <c r="L312" s="154" t="s">
        <v>106</v>
      </c>
      <c r="M312" s="154">
        <v>44</v>
      </c>
      <c r="N312" s="154" t="s">
        <v>107</v>
      </c>
      <c r="O312" s="154" t="s">
        <v>809</v>
      </c>
      <c r="P312" s="154" t="s">
        <v>109</v>
      </c>
      <c r="Q312" s="154" t="s">
        <v>110</v>
      </c>
      <c r="R312" s="154" t="s">
        <v>130</v>
      </c>
      <c r="S312" s="154" t="s">
        <v>810</v>
      </c>
      <c r="T312" s="157">
        <v>45978</v>
      </c>
      <c r="U312" s="158" cm="1">
        <f t="array" ref="U312">[15]!CalculateINPC(B312,T312,-1)*F312</f>
        <v>36.549719902810111</v>
      </c>
      <c r="V312" s="158">
        <f t="shared" si="4"/>
        <v>41.056060797710721</v>
      </c>
    </row>
    <row r="313" spans="1:22">
      <c r="A313" s="154" t="s">
        <v>102</v>
      </c>
      <c r="B313" s="155">
        <v>45803</v>
      </c>
      <c r="C313" s="155">
        <v>45790</v>
      </c>
      <c r="D313" s="159">
        <v>23227.8</v>
      </c>
      <c r="E313" s="159">
        <v>490.10000000001401</v>
      </c>
      <c r="F313" s="159">
        <v>490.10000000001401</v>
      </c>
      <c r="G313" s="154">
        <v>253557</v>
      </c>
      <c r="H313" s="154" t="s">
        <v>808</v>
      </c>
      <c r="I313" s="154" t="s">
        <v>243</v>
      </c>
      <c r="J313" s="154" t="s">
        <v>244</v>
      </c>
      <c r="K313" s="154">
        <v>10027</v>
      </c>
      <c r="L313" s="154" t="s">
        <v>106</v>
      </c>
      <c r="M313" s="154">
        <v>44</v>
      </c>
      <c r="N313" s="154" t="s">
        <v>107</v>
      </c>
      <c r="O313" s="154" t="s">
        <v>811</v>
      </c>
      <c r="P313" s="154" t="s">
        <v>109</v>
      </c>
      <c r="Q313" s="154" t="s">
        <v>110</v>
      </c>
      <c r="R313" s="154" t="s">
        <v>130</v>
      </c>
      <c r="S313" s="154" t="s">
        <v>812</v>
      </c>
      <c r="T313" s="157">
        <v>45978</v>
      </c>
      <c r="U313" s="158" cm="1">
        <f t="array" ref="U313">[15]!CalculateINPC(B313,T313,-1)*F313</f>
        <v>495.65627350201419</v>
      </c>
      <c r="V313" s="158">
        <f t="shared" si="4"/>
        <v>556.7674431918382</v>
      </c>
    </row>
    <row r="314" spans="1:22">
      <c r="A314" s="154" t="s">
        <v>102</v>
      </c>
      <c r="B314" s="155">
        <v>45804</v>
      </c>
      <c r="C314" s="155">
        <v>45793</v>
      </c>
      <c r="D314" s="159">
        <v>16680</v>
      </c>
      <c r="E314" s="159">
        <v>144.00000000000199</v>
      </c>
      <c r="F314" s="159">
        <v>144.00000000000199</v>
      </c>
      <c r="G314" s="154">
        <v>253899</v>
      </c>
      <c r="H314" s="154" t="s">
        <v>813</v>
      </c>
      <c r="I314" s="154" t="s">
        <v>533</v>
      </c>
      <c r="J314" s="154" t="s">
        <v>534</v>
      </c>
      <c r="K314" s="154">
        <v>10027</v>
      </c>
      <c r="L314" s="154" t="s">
        <v>106</v>
      </c>
      <c r="M314" s="154">
        <v>44</v>
      </c>
      <c r="N314" s="154" t="s">
        <v>107</v>
      </c>
      <c r="O314" s="154" t="s">
        <v>814</v>
      </c>
      <c r="P314" s="154" t="s">
        <v>109</v>
      </c>
      <c r="Q314" s="154" t="s">
        <v>110</v>
      </c>
      <c r="R314" s="154" t="s">
        <v>130</v>
      </c>
      <c r="S314" s="154" t="s">
        <v>815</v>
      </c>
      <c r="T314" s="157">
        <v>45978</v>
      </c>
      <c r="U314" s="158" cm="1">
        <f t="array" ref="U314">[15]!CalculateINPC(B314,T314,-1)*F314</f>
        <v>145.63253088000201</v>
      </c>
      <c r="V314" s="158">
        <f t="shared" si="4"/>
        <v>163.46888952026995</v>
      </c>
    </row>
    <row r="315" spans="1:22">
      <c r="A315" s="154" t="s">
        <v>102</v>
      </c>
      <c r="B315" s="155">
        <v>45805</v>
      </c>
      <c r="C315" s="155">
        <v>45799</v>
      </c>
      <c r="D315" s="159">
        <v>9359.07</v>
      </c>
      <c r="E315" s="159">
        <v>368.59999999999502</v>
      </c>
      <c r="F315" s="159">
        <v>368.59999999999502</v>
      </c>
      <c r="G315" s="154">
        <v>254110</v>
      </c>
      <c r="H315" s="154" t="s">
        <v>649</v>
      </c>
      <c r="I315" s="154" t="s">
        <v>243</v>
      </c>
      <c r="J315" s="154" t="s">
        <v>244</v>
      </c>
      <c r="K315" s="154">
        <v>10027</v>
      </c>
      <c r="L315" s="154" t="s">
        <v>106</v>
      </c>
      <c r="M315" s="154">
        <v>44</v>
      </c>
      <c r="N315" s="154" t="s">
        <v>107</v>
      </c>
      <c r="O315" s="154" t="s">
        <v>816</v>
      </c>
      <c r="P315" s="154" t="s">
        <v>109</v>
      </c>
      <c r="Q315" s="154" t="s">
        <v>110</v>
      </c>
      <c r="R315" s="154" t="s">
        <v>240</v>
      </c>
      <c r="S315" s="154" t="s">
        <v>817</v>
      </c>
      <c r="T315" s="157">
        <v>45978</v>
      </c>
      <c r="U315" s="158" cm="1">
        <f t="array" ref="U315">[15]!CalculateINPC(B315,T315,-1)*F315</f>
        <v>372.77882557199496</v>
      </c>
      <c r="V315" s="158">
        <f t="shared" si="4"/>
        <v>418.1301091935461</v>
      </c>
    </row>
    <row r="316" spans="1:22">
      <c r="A316" s="154" t="s">
        <v>102</v>
      </c>
      <c r="B316" s="155">
        <v>45806</v>
      </c>
      <c r="C316" s="155">
        <v>45789</v>
      </c>
      <c r="D316" s="159">
        <v>132145.79999999999</v>
      </c>
      <c r="E316" s="159">
        <v>2.00000000012</v>
      </c>
      <c r="F316" s="159">
        <v>2.00000000012</v>
      </c>
      <c r="G316" s="154">
        <v>254289</v>
      </c>
      <c r="H316" s="154" t="s">
        <v>629</v>
      </c>
      <c r="I316" s="154" t="s">
        <v>442</v>
      </c>
      <c r="J316" s="154" t="s">
        <v>443</v>
      </c>
      <c r="K316" s="154">
        <v>10027</v>
      </c>
      <c r="L316" s="154" t="s">
        <v>106</v>
      </c>
      <c r="M316" s="154">
        <v>44</v>
      </c>
      <c r="N316" s="154" t="s">
        <v>107</v>
      </c>
      <c r="O316" s="154" t="s">
        <v>818</v>
      </c>
      <c r="P316" s="154" t="s">
        <v>109</v>
      </c>
      <c r="Q316" s="154" t="s">
        <v>110</v>
      </c>
      <c r="R316" s="154" t="s">
        <v>130</v>
      </c>
      <c r="S316" s="154" t="s">
        <v>819</v>
      </c>
      <c r="T316" s="157">
        <v>45978</v>
      </c>
      <c r="U316" s="158" cm="1">
        <f t="array" ref="U316">[15]!CalculateINPC(B316,T316,-1)*F316</f>
        <v>2.0226740401213603</v>
      </c>
      <c r="V316" s="158">
        <f t="shared" si="4"/>
        <v>2.2670943643429937</v>
      </c>
    </row>
  </sheetData>
  <autoFilter ref="A2:V316" xr:uid="{137CD34C-2D2C-4DC2-A8FE-E4A375CA1629}"/>
  <pageMargins left="0.17708333000000001" right="0" top="0.25" bottom="0.25" header="0.5" footer="0.5"/>
  <pageSetup paperSize="9" orientation="landscape"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73D67-7318-4302-B69D-06C45B52457A}">
  <sheetPr>
    <tabColor rgb="FFC00000"/>
  </sheetPr>
  <dimension ref="A1:M185"/>
  <sheetViews>
    <sheetView workbookViewId="0"/>
  </sheetViews>
  <sheetFormatPr defaultRowHeight="15"/>
  <cols>
    <col min="5" max="5" width="11.7109375" bestFit="1" customWidth="1"/>
    <col min="6" max="7" width="10.42578125" bestFit="1" customWidth="1"/>
    <col min="8" max="8" width="11.7109375" bestFit="1" customWidth="1"/>
    <col min="9" max="9" width="12.7109375" bestFit="1" customWidth="1"/>
  </cols>
  <sheetData>
    <row r="1" spans="1:13">
      <c r="A1" t="s">
        <v>851</v>
      </c>
    </row>
    <row r="2" spans="1:13">
      <c r="E2" s="33">
        <f>SUM(Table1[vl])</f>
        <v>5368354.2900000019</v>
      </c>
      <c r="F2" s="3"/>
      <c r="G2" s="177">
        <v>45978</v>
      </c>
      <c r="H2" s="33">
        <f>SUM(Table1[vl at inpc])</f>
        <v>6980384.1680034306</v>
      </c>
      <c r="I2" s="33">
        <f>SUM(Table1[vl at 30])</f>
        <v>20897906.773723874</v>
      </c>
    </row>
    <row r="3" spans="1:13">
      <c r="A3" t="s">
        <v>852</v>
      </c>
      <c r="B3" t="s">
        <v>853</v>
      </c>
      <c r="C3" t="s">
        <v>854</v>
      </c>
      <c r="D3" t="s">
        <v>855</v>
      </c>
      <c r="E3" t="s">
        <v>875</v>
      </c>
      <c r="F3" t="s">
        <v>869</v>
      </c>
      <c r="G3" t="s">
        <v>872</v>
      </c>
      <c r="H3" t="s">
        <v>873</v>
      </c>
      <c r="I3" t="s">
        <v>874</v>
      </c>
    </row>
    <row r="4" spans="1:13">
      <c r="A4" t="s">
        <v>120</v>
      </c>
      <c r="B4" s="30">
        <v>2012.3799300000001</v>
      </c>
      <c r="C4">
        <v>2019</v>
      </c>
      <c r="D4" t="s">
        <v>856</v>
      </c>
      <c r="E4" s="30">
        <f>Table1[[#This Row],[Despesas]]*1000</f>
        <v>2012379.9300000002</v>
      </c>
      <c r="F4" s="157">
        <v>43800</v>
      </c>
      <c r="G4" s="157">
        <f>$G$2</f>
        <v>45978</v>
      </c>
      <c r="H4" s="30" cm="1">
        <f t="array" ref="H4">[15]!CalculateINPC(Table1[[#This Row],[Coluna2]],Table1[[#This Row],[Coluna3]],-1)*Table1[[#This Row],[vl]]</f>
        <v>2822721.5182999242</v>
      </c>
      <c r="I4" s="30">
        <f>1.3^((Table1[[#This Row],[Coluna3]]-Table1[[#This Row],[Coluna2]])/360)*Table1[[#This Row],[vl]]</f>
        <v>9841635.1048065219</v>
      </c>
    </row>
    <row r="5" spans="1:13">
      <c r="A5" t="s">
        <v>105</v>
      </c>
      <c r="B5" s="30">
        <v>1474.48929</v>
      </c>
      <c r="C5">
        <v>2019</v>
      </c>
      <c r="D5" t="s">
        <v>856</v>
      </c>
      <c r="E5" s="30">
        <f>Table1[[#This Row],[Despesas]]*1000</f>
        <v>1474489.29</v>
      </c>
      <c r="F5" s="157">
        <v>43800</v>
      </c>
      <c r="G5" s="157">
        <f t="shared" ref="G5:G68" si="0">$G$2</f>
        <v>45978</v>
      </c>
      <c r="H5" s="30" cm="1">
        <f t="array" ref="H5">[15]!CalculateINPC(Table1[[#This Row],[Coluna2]],Table1[[#This Row],[Coluna3]],-1)*Table1[[#This Row],[vl]]</f>
        <v>2068234.0274511569</v>
      </c>
      <c r="I5" s="30">
        <f>1.3^((Table1[[#This Row],[Coluna3]]-Table1[[#This Row],[Coluna2]])/360)*Table1[[#This Row],[vl]]</f>
        <v>7211056.5911503807</v>
      </c>
    </row>
    <row r="6" spans="1:13">
      <c r="A6" t="s">
        <v>857</v>
      </c>
      <c r="B6" s="30">
        <v>917.57863999999995</v>
      </c>
      <c r="C6">
        <v>2025</v>
      </c>
      <c r="D6" t="s">
        <v>858</v>
      </c>
      <c r="E6" s="30">
        <f>Table1[[#This Row],[Despesas]]*1000</f>
        <v>917578.6399999999</v>
      </c>
      <c r="F6" s="157">
        <v>45901</v>
      </c>
      <c r="G6" s="157">
        <f t="shared" si="0"/>
        <v>45978</v>
      </c>
      <c r="H6" s="30" cm="1">
        <f t="array" ref="H6">[15]!CalculateINPC(Table1[[#This Row],[Coluna2]],Table1[[#This Row],[Coluna3]],-1)*Table1[[#This Row],[vl]]</f>
        <v>922626.54289959103</v>
      </c>
      <c r="I6" s="30">
        <f>1.3^((Table1[[#This Row],[Coluna3]]-Table1[[#This Row],[Coluna2]])/360)*Table1[[#This Row],[vl]]</f>
        <v>970542.39802355343</v>
      </c>
    </row>
    <row r="7" spans="1:13">
      <c r="A7" t="s">
        <v>105</v>
      </c>
      <c r="B7" s="30">
        <v>313.51781999999997</v>
      </c>
      <c r="C7">
        <v>2020</v>
      </c>
      <c r="D7" t="s">
        <v>859</v>
      </c>
      <c r="E7" s="30">
        <f>Table1[[#This Row],[Despesas]]*1000</f>
        <v>313517.81999999995</v>
      </c>
      <c r="F7" s="157">
        <v>43831</v>
      </c>
      <c r="G7" s="157">
        <f t="shared" si="0"/>
        <v>45978</v>
      </c>
      <c r="H7" s="30" cm="1">
        <f t="array" ref="H7">[15]!CalculateINPC(Table1[[#This Row],[Coluna2]],Table1[[#This Row],[Coluna3]],-1)*Table1[[#This Row],[vl]]</f>
        <v>434463.89039850718</v>
      </c>
      <c r="I7" s="30">
        <f>1.3^((Table1[[#This Row],[Coluna3]]-Table1[[#This Row],[Coluna2]])/360)*Table1[[#This Row],[vl]]</f>
        <v>1499021.0223622983</v>
      </c>
      <c r="L7" t="s">
        <v>859</v>
      </c>
      <c r="M7">
        <v>1</v>
      </c>
    </row>
    <row r="8" spans="1:13">
      <c r="A8" t="s">
        <v>127</v>
      </c>
      <c r="B8" s="30">
        <v>250</v>
      </c>
      <c r="C8">
        <v>2024</v>
      </c>
      <c r="D8" t="s">
        <v>860</v>
      </c>
      <c r="E8" s="30">
        <f>Table1[[#This Row],[Despesas]]*1000</f>
        <v>250000</v>
      </c>
      <c r="F8" s="157">
        <v>45505</v>
      </c>
      <c r="G8" s="157">
        <f t="shared" si="0"/>
        <v>45978</v>
      </c>
      <c r="H8" s="30" cm="1">
        <f t="array" ref="H8">[15]!CalculateINPC(Table1[[#This Row],[Coluna2]],Table1[[#This Row],[Coluna3]],-1)*Table1[[#This Row],[vl]]</f>
        <v>263711.02</v>
      </c>
      <c r="I8" s="30">
        <f>1.3^((Table1[[#This Row],[Coluna3]]-Table1[[#This Row],[Coluna2]])/360)*Table1[[#This Row],[vl]]</f>
        <v>352897.76936368586</v>
      </c>
      <c r="L8" t="s">
        <v>868</v>
      </c>
      <c r="M8">
        <v>2</v>
      </c>
    </row>
    <row r="9" spans="1:13">
      <c r="A9" t="s">
        <v>155</v>
      </c>
      <c r="B9" s="30">
        <v>78.001000000000005</v>
      </c>
      <c r="C9">
        <v>2023</v>
      </c>
      <c r="D9" t="s">
        <v>860</v>
      </c>
      <c r="E9" s="30">
        <f>Table1[[#This Row],[Despesas]]*1000</f>
        <v>78001</v>
      </c>
      <c r="F9" s="157">
        <v>45139</v>
      </c>
      <c r="G9" s="157">
        <f t="shared" si="0"/>
        <v>45978</v>
      </c>
      <c r="H9" s="30" cm="1">
        <f t="array" ref="H9">[15]!CalculateINPC(Table1[[#This Row],[Coluna2]],Table1[[#This Row],[Coluna3]],-1)*Table1[[#This Row],[vl]]</f>
        <v>85620.194620730006</v>
      </c>
      <c r="I9" s="30">
        <f>1.3^((Table1[[#This Row],[Coluna3]]-Table1[[#This Row],[Coluna2]])/360)*Table1[[#This Row],[vl]]</f>
        <v>143764.44207707953</v>
      </c>
      <c r="L9" t="s">
        <v>867</v>
      </c>
      <c r="M9">
        <v>3</v>
      </c>
    </row>
    <row r="10" spans="1:13">
      <c r="A10" t="s">
        <v>120</v>
      </c>
      <c r="B10" s="30">
        <v>48.604939999999999</v>
      </c>
      <c r="C10">
        <v>2022</v>
      </c>
      <c r="D10" t="s">
        <v>861</v>
      </c>
      <c r="E10" s="30">
        <f>Table1[[#This Row],[Despesas]]*1000</f>
        <v>48604.94</v>
      </c>
      <c r="F10" s="157">
        <v>44866</v>
      </c>
      <c r="G10" s="157">
        <f t="shared" si="0"/>
        <v>45978</v>
      </c>
      <c r="H10" s="30" cm="1">
        <f t="array" ref="H10">[15]!CalculateINPC(Table1[[#This Row],[Coluna2]],Table1[[#This Row],[Coluna3]],-1)*Table1[[#This Row],[vl]]</f>
        <v>55324.309516225207</v>
      </c>
      <c r="I10" s="30">
        <f>1.3^((Table1[[#This Row],[Coluna3]]-Table1[[#This Row],[Coluna2]])/360)*Table1[[#This Row],[vl]]</f>
        <v>109304.68229412823</v>
      </c>
      <c r="L10" t="s">
        <v>865</v>
      </c>
      <c r="M10">
        <v>4</v>
      </c>
    </row>
    <row r="11" spans="1:13">
      <c r="A11" t="s">
        <v>127</v>
      </c>
      <c r="B11" s="30">
        <v>42.863</v>
      </c>
      <c r="C11">
        <v>2020</v>
      </c>
      <c r="D11" t="s">
        <v>862</v>
      </c>
      <c r="E11" s="30">
        <f>Table1[[#This Row],[Despesas]]*1000</f>
        <v>42863</v>
      </c>
      <c r="F11" s="157">
        <v>43983</v>
      </c>
      <c r="G11" s="157">
        <f t="shared" si="0"/>
        <v>45978</v>
      </c>
      <c r="H11" s="30" cm="1">
        <f t="array" ref="H11">[15]!CalculateINPC(Table1[[#This Row],[Coluna2]],Table1[[#This Row],[Coluna3]],-1)*Table1[[#This Row],[vl]]</f>
        <v>59363.335166229997</v>
      </c>
      <c r="I11" s="30">
        <f>1.3^((Table1[[#This Row],[Coluna3]]-Table1[[#This Row],[Coluna2]])/360)*Table1[[#This Row],[vl]]</f>
        <v>183450.39094194968</v>
      </c>
      <c r="L11" t="s">
        <v>863</v>
      </c>
      <c r="M11">
        <v>5</v>
      </c>
    </row>
    <row r="12" spans="1:13">
      <c r="A12" t="s">
        <v>168</v>
      </c>
      <c r="B12" s="30">
        <v>20.008939999999999</v>
      </c>
      <c r="C12">
        <v>2020</v>
      </c>
      <c r="D12" t="s">
        <v>863</v>
      </c>
      <c r="E12" s="30">
        <f>Table1[[#This Row],[Despesas]]*1000</f>
        <v>20008.939999999999</v>
      </c>
      <c r="F12" s="157">
        <v>43952</v>
      </c>
      <c r="G12" s="157">
        <f t="shared" si="0"/>
        <v>45978</v>
      </c>
      <c r="H12" s="30" cm="1">
        <f t="array" ref="H12">[15]!CalculateINPC(Table1[[#This Row],[Coluna2]],Table1[[#This Row],[Coluna3]],-1)*Table1[[#This Row],[vl]]</f>
        <v>27642.190738569399</v>
      </c>
      <c r="I12" s="30">
        <f>1.3^((Table1[[#This Row],[Coluna3]]-Table1[[#This Row],[Coluna2]])/360)*Table1[[#This Row],[vl]]</f>
        <v>87593.513722077405</v>
      </c>
      <c r="L12" t="s">
        <v>862</v>
      </c>
      <c r="M12">
        <v>6</v>
      </c>
    </row>
    <row r="13" spans="1:13">
      <c r="A13" t="s">
        <v>190</v>
      </c>
      <c r="B13" s="30">
        <v>15</v>
      </c>
      <c r="C13">
        <v>2019</v>
      </c>
      <c r="D13" t="s">
        <v>861</v>
      </c>
      <c r="E13" s="30">
        <f>Table1[[#This Row],[Despesas]]*1000</f>
        <v>15000</v>
      </c>
      <c r="F13" s="157">
        <v>43770</v>
      </c>
      <c r="G13" s="157">
        <f t="shared" si="0"/>
        <v>45978</v>
      </c>
      <c r="H13" s="30" cm="1">
        <f t="array" ref="H13">[15]!CalculateINPC(Table1[[#This Row],[Coluna2]],Table1[[#This Row],[Coluna3]],-1)*Table1[[#This Row],[vl]]</f>
        <v>21153.79725</v>
      </c>
      <c r="I13" s="30">
        <f>1.3^((Table1[[#This Row],[Coluna3]]-Table1[[#This Row],[Coluna2]])/360)*Table1[[#This Row],[vl]]</f>
        <v>74979.720964577849</v>
      </c>
      <c r="L13" t="s">
        <v>864</v>
      </c>
      <c r="M13">
        <v>7</v>
      </c>
    </row>
    <row r="14" spans="1:13">
      <c r="A14" t="s">
        <v>115</v>
      </c>
      <c r="B14" s="30">
        <v>10.84773</v>
      </c>
      <c r="C14">
        <v>2022</v>
      </c>
      <c r="D14" t="s">
        <v>862</v>
      </c>
      <c r="E14" s="30">
        <f>Table1[[#This Row],[Despesas]]*1000</f>
        <v>10847.73</v>
      </c>
      <c r="F14" s="157">
        <v>44713</v>
      </c>
      <c r="G14" s="157">
        <f t="shared" si="0"/>
        <v>45978</v>
      </c>
      <c r="H14" s="30" cm="1">
        <f t="array" ref="H14">[15]!CalculateINPC(Table1[[#This Row],[Coluna2]],Table1[[#This Row],[Coluna3]],-1)*Table1[[#This Row],[vl]]</f>
        <v>12329.3820634401</v>
      </c>
      <c r="I14" s="30">
        <f>1.3^((Table1[[#This Row],[Coluna3]]-Table1[[#This Row],[Coluna2]])/360)*Table1[[#This Row],[vl]]</f>
        <v>27272.386731319431</v>
      </c>
      <c r="L14" t="s">
        <v>860</v>
      </c>
      <c r="M14">
        <v>8</v>
      </c>
    </row>
    <row r="15" spans="1:13">
      <c r="A15" t="s">
        <v>127</v>
      </c>
      <c r="B15" s="30">
        <v>10</v>
      </c>
      <c r="C15">
        <v>2019</v>
      </c>
      <c r="D15" t="s">
        <v>856</v>
      </c>
      <c r="E15" s="30">
        <f>Table1[[#This Row],[Despesas]]*1000</f>
        <v>10000</v>
      </c>
      <c r="F15" s="157">
        <v>43800</v>
      </c>
      <c r="G15" s="157">
        <f t="shared" si="0"/>
        <v>45978</v>
      </c>
      <c r="H15" s="30" cm="1">
        <f t="array" ref="H15">[15]!CalculateINPC(Table1[[#This Row],[Coluna2]],Table1[[#This Row],[Coluna3]],-1)*Table1[[#This Row],[vl]]</f>
        <v>14026.782300000001</v>
      </c>
      <c r="I15" s="30">
        <f>1.3^((Table1[[#This Row],[Coluna3]]-Table1[[#This Row],[Coluna2]])/360)*Table1[[#This Row],[vl]]</f>
        <v>48905.452484842266</v>
      </c>
      <c r="L15" t="s">
        <v>858</v>
      </c>
      <c r="M15">
        <v>9</v>
      </c>
    </row>
    <row r="16" spans="1:13">
      <c r="A16" t="s">
        <v>219</v>
      </c>
      <c r="B16" s="30">
        <v>5.6638500000000001</v>
      </c>
      <c r="C16">
        <v>2022</v>
      </c>
      <c r="D16" t="s">
        <v>860</v>
      </c>
      <c r="E16" s="30">
        <f>Table1[[#This Row],[Despesas]]*1000</f>
        <v>5663.85</v>
      </c>
      <c r="F16" s="157">
        <v>44774</v>
      </c>
      <c r="G16" s="157">
        <f t="shared" si="0"/>
        <v>45978</v>
      </c>
      <c r="H16" s="30" cm="1">
        <f t="array" ref="H16">[15]!CalculateINPC(Table1[[#This Row],[Coluna2]],Table1[[#This Row],[Coluna3]],-1)*Table1[[#This Row],[vl]]</f>
        <v>6436.4085419910007</v>
      </c>
      <c r="I16" s="30">
        <f>1.3^((Table1[[#This Row],[Coluna3]]-Table1[[#This Row],[Coluna2]])/360)*Table1[[#This Row],[vl]]</f>
        <v>13620.37154487845</v>
      </c>
      <c r="L16" t="s">
        <v>866</v>
      </c>
      <c r="M16">
        <v>10</v>
      </c>
    </row>
    <row r="17" spans="1:13">
      <c r="A17" t="s">
        <v>219</v>
      </c>
      <c r="B17" s="30">
        <v>5.6638500000000001</v>
      </c>
      <c r="C17">
        <v>2022</v>
      </c>
      <c r="D17" t="s">
        <v>858</v>
      </c>
      <c r="E17" s="30">
        <f>Table1[[#This Row],[Despesas]]*1000</f>
        <v>5663.85</v>
      </c>
      <c r="F17" s="157">
        <v>44805</v>
      </c>
      <c r="G17" s="157">
        <f t="shared" si="0"/>
        <v>45978</v>
      </c>
      <c r="H17" s="30" cm="1">
        <f t="array" ref="H17">[15]!CalculateINPC(Table1[[#This Row],[Coluna2]],Table1[[#This Row],[Coluna3]],-1)*Table1[[#This Row],[vl]]</f>
        <v>6456.421755966001</v>
      </c>
      <c r="I17" s="30">
        <f>1.3^((Table1[[#This Row],[Coluna3]]-Table1[[#This Row],[Coluna2]])/360)*Table1[[#This Row],[vl]]</f>
        <v>13316.103621081194</v>
      </c>
      <c r="L17" t="s">
        <v>861</v>
      </c>
      <c r="M17">
        <v>11</v>
      </c>
    </row>
    <row r="18" spans="1:13">
      <c r="A18" t="s">
        <v>115</v>
      </c>
      <c r="B18" s="30">
        <v>5.6326000000000001</v>
      </c>
      <c r="C18">
        <v>2022</v>
      </c>
      <c r="D18" t="s">
        <v>864</v>
      </c>
      <c r="E18" s="30">
        <f>Table1[[#This Row],[Despesas]]*1000</f>
        <v>5632.6</v>
      </c>
      <c r="F18" s="157">
        <v>44743</v>
      </c>
      <c r="G18" s="157">
        <f t="shared" si="0"/>
        <v>45978</v>
      </c>
      <c r="H18" s="30" cm="1">
        <f t="array" ref="H18">[15]!CalculateINPC(Table1[[#This Row],[Coluna2]],Table1[[#This Row],[Coluna3]],-1)*Table1[[#This Row],[vl]]</f>
        <v>6362.4859952179995</v>
      </c>
      <c r="I18" s="30">
        <f>1.3^((Table1[[#This Row],[Coluna3]]-Table1[[#This Row],[Coluna2]])/360)*Table1[[#This Row],[vl]]</f>
        <v>13854.725036475422</v>
      </c>
      <c r="L18" t="s">
        <v>856</v>
      </c>
      <c r="M18">
        <v>12</v>
      </c>
    </row>
    <row r="19" spans="1:13">
      <c r="A19" t="s">
        <v>244</v>
      </c>
      <c r="B19" s="30">
        <v>5.4194699999999996</v>
      </c>
      <c r="C19">
        <v>2025</v>
      </c>
      <c r="D19" t="s">
        <v>865</v>
      </c>
      <c r="E19" s="30">
        <f>Table1[[#This Row],[Despesas]]*1000</f>
        <v>5419.4699999999993</v>
      </c>
      <c r="F19" s="157">
        <v>45748</v>
      </c>
      <c r="G19" s="157">
        <f t="shared" si="0"/>
        <v>45978</v>
      </c>
      <c r="H19" s="30" cm="1">
        <f t="array" ref="H19">[15]!CalculateINPC(Table1[[#This Row],[Coluna2]],Table1[[#This Row],[Coluna3]],-1)*Table1[[#This Row],[vl]]</f>
        <v>5507.2166929646992</v>
      </c>
      <c r="I19" s="30">
        <f>1.3^((Table1[[#This Row],[Coluna3]]-Table1[[#This Row],[Coluna2]])/360)*Table1[[#This Row],[vl]]</f>
        <v>6408.4641375856409</v>
      </c>
    </row>
    <row r="20" spans="1:13">
      <c r="A20" t="s">
        <v>227</v>
      </c>
      <c r="B20" s="30">
        <v>5.28</v>
      </c>
      <c r="C20">
        <v>2022</v>
      </c>
      <c r="D20" t="s">
        <v>866</v>
      </c>
      <c r="E20" s="30">
        <f>Table1[[#This Row],[Despesas]]*1000</f>
        <v>5280</v>
      </c>
      <c r="F20" s="157">
        <v>44835</v>
      </c>
      <c r="G20" s="157">
        <f t="shared" si="0"/>
        <v>45978</v>
      </c>
      <c r="H20" s="30" cm="1">
        <f t="array" ref="H20">[15]!CalculateINPC(Table1[[#This Row],[Coluna2]],Table1[[#This Row],[Coluna3]],-1)*Table1[[#This Row],[vl]]</f>
        <v>6038.1793824000006</v>
      </c>
      <c r="I20" s="30">
        <f>1.3^((Table1[[#This Row],[Coluna3]]-Table1[[#This Row],[Coluna2]])/360)*Table1[[#This Row],[vl]]</f>
        <v>12145.183086627332</v>
      </c>
    </row>
    <row r="21" spans="1:13">
      <c r="A21" t="s">
        <v>227</v>
      </c>
      <c r="B21" s="30">
        <v>5.0999999999999996</v>
      </c>
      <c r="C21">
        <v>2023</v>
      </c>
      <c r="D21" t="s">
        <v>859</v>
      </c>
      <c r="E21" s="30">
        <f>Table1[[#This Row],[Despesas]]*1000</f>
        <v>5100</v>
      </c>
      <c r="F21" s="157">
        <v>44927</v>
      </c>
      <c r="G21" s="157">
        <f t="shared" si="0"/>
        <v>45978</v>
      </c>
      <c r="H21" s="30" cm="1">
        <f t="array" ref="H21">[15]!CalculateINPC(Table1[[#This Row],[Coluna2]],Table1[[#This Row],[Coluna3]],-1)*Table1[[#This Row],[vl]]</f>
        <v>5743.4404290000002</v>
      </c>
      <c r="I21" s="30">
        <f>1.3^((Table1[[#This Row],[Coluna3]]-Table1[[#This Row],[Coluna2]])/360)*Table1[[#This Row],[vl]]</f>
        <v>10970.374739006174</v>
      </c>
    </row>
    <row r="22" spans="1:13">
      <c r="A22" t="s">
        <v>233</v>
      </c>
      <c r="B22" s="30">
        <v>5.0999999999999996</v>
      </c>
      <c r="C22">
        <v>2022</v>
      </c>
      <c r="D22" t="s">
        <v>864</v>
      </c>
      <c r="E22" s="30">
        <f>Table1[[#This Row],[Despesas]]*1000</f>
        <v>5100</v>
      </c>
      <c r="F22" s="157">
        <v>44743</v>
      </c>
      <c r="G22" s="157">
        <f t="shared" si="0"/>
        <v>45978</v>
      </c>
      <c r="H22" s="30" cm="1">
        <f t="array" ref="H22">[15]!CalculateINPC(Table1[[#This Row],[Coluna2]],Table1[[#This Row],[Coluna3]],-1)*Table1[[#This Row],[vl]]</f>
        <v>5760.8703929999992</v>
      </c>
      <c r="I22" s="30">
        <f>1.3^((Table1[[#This Row],[Coluna3]]-Table1[[#This Row],[Coluna2]])/360)*Table1[[#This Row],[vl]]</f>
        <v>12544.668125914257</v>
      </c>
    </row>
    <row r="23" spans="1:13">
      <c r="A23" t="s">
        <v>238</v>
      </c>
      <c r="B23" s="30">
        <v>4.6653399999999996</v>
      </c>
      <c r="C23">
        <v>2025</v>
      </c>
      <c r="D23" t="s">
        <v>867</v>
      </c>
      <c r="E23" s="30">
        <f>Table1[[#This Row],[Despesas]]*1000</f>
        <v>4665.3399999999992</v>
      </c>
      <c r="F23" s="157">
        <v>45717</v>
      </c>
      <c r="G23" s="157">
        <f t="shared" si="0"/>
        <v>45978</v>
      </c>
      <c r="H23" s="30" cm="1">
        <f t="array" ref="H23">[15]!CalculateINPC(Table1[[#This Row],[Coluna2]],Table1[[#This Row],[Coluna3]],-1)*Table1[[#This Row],[vl]]</f>
        <v>4765.0548311035991</v>
      </c>
      <c r="I23" s="30">
        <f>1.3^((Table1[[#This Row],[Coluna3]]-Table1[[#This Row],[Coluna2]])/360)*Table1[[#This Row],[vl]]</f>
        <v>5642.7684587363092</v>
      </c>
    </row>
    <row r="24" spans="1:13">
      <c r="A24" t="s">
        <v>244</v>
      </c>
      <c r="B24" s="30">
        <v>4.5352300000000003</v>
      </c>
      <c r="C24">
        <v>2023</v>
      </c>
      <c r="D24" t="s">
        <v>861</v>
      </c>
      <c r="E24" s="30">
        <f>Table1[[#This Row],[Despesas]]*1000</f>
        <v>4535.2300000000005</v>
      </c>
      <c r="F24" s="157">
        <v>45231</v>
      </c>
      <c r="G24" s="157">
        <f t="shared" si="0"/>
        <v>45978</v>
      </c>
      <c r="H24" s="30" cm="1">
        <f t="array" ref="H24">[15]!CalculateINPC(Table1[[#This Row],[Coluna2]],Table1[[#This Row],[Coluna3]],-1)*Table1[[#This Row],[vl]]</f>
        <v>4956.8945058759009</v>
      </c>
      <c r="I24" s="30">
        <f>1.3^((Table1[[#This Row],[Coluna3]]-Table1[[#This Row],[Coluna2]])/360)*Table1[[#This Row],[vl]]</f>
        <v>7816.8499030122193</v>
      </c>
    </row>
    <row r="25" spans="1:13">
      <c r="A25" t="s">
        <v>155</v>
      </c>
      <c r="B25" s="30">
        <v>4.1100000000000003</v>
      </c>
      <c r="C25">
        <v>2023</v>
      </c>
      <c r="D25" t="s">
        <v>863</v>
      </c>
      <c r="E25" s="30">
        <f>Table1[[#This Row],[Despesas]]*1000</f>
        <v>4110</v>
      </c>
      <c r="F25" s="157">
        <v>45047</v>
      </c>
      <c r="G25" s="157">
        <f t="shared" si="0"/>
        <v>45978</v>
      </c>
      <c r="H25" s="30" cm="1">
        <f t="array" ref="H25">[15]!CalculateINPC(Table1[[#This Row],[Coluna2]],Table1[[#This Row],[Coluna3]],-1)*Table1[[#This Row],[vl]]</f>
        <v>4519.1133044999997</v>
      </c>
      <c r="I25" s="30">
        <f>1.3^((Table1[[#This Row],[Coluna3]]-Table1[[#This Row],[Coluna2]])/360)*Table1[[#This Row],[vl]]</f>
        <v>8100.5030768757124</v>
      </c>
    </row>
    <row r="26" spans="1:13">
      <c r="A26" t="s">
        <v>238</v>
      </c>
      <c r="B26" s="30">
        <v>3.9517000000000002</v>
      </c>
      <c r="C26">
        <v>2022</v>
      </c>
      <c r="D26" t="s">
        <v>858</v>
      </c>
      <c r="E26" s="30">
        <f>Table1[[#This Row],[Despesas]]*1000</f>
        <v>3951.7000000000003</v>
      </c>
      <c r="F26" s="157">
        <v>44805</v>
      </c>
      <c r="G26" s="157">
        <f t="shared" si="0"/>
        <v>45978</v>
      </c>
      <c r="H26" s="30" cm="1">
        <f t="array" ref="H26">[15]!CalculateINPC(Table1[[#This Row],[Coluna2]],Table1[[#This Row],[Coluna3]],-1)*Table1[[#This Row],[vl]]</f>
        <v>4504.6817717720005</v>
      </c>
      <c r="I26" s="30">
        <f>1.3^((Table1[[#This Row],[Coluna3]]-Table1[[#This Row],[Coluna2]])/360)*Table1[[#This Row],[vl]]</f>
        <v>9290.7203897395866</v>
      </c>
    </row>
    <row r="27" spans="1:13">
      <c r="A27" t="s">
        <v>238</v>
      </c>
      <c r="B27" s="30">
        <v>3.8893</v>
      </c>
      <c r="C27">
        <v>2025</v>
      </c>
      <c r="D27" t="s">
        <v>859</v>
      </c>
      <c r="E27" s="30">
        <f>Table1[[#This Row],[Despesas]]*1000</f>
        <v>3889.3</v>
      </c>
      <c r="F27" s="157">
        <v>45658</v>
      </c>
      <c r="G27" s="157">
        <f t="shared" si="0"/>
        <v>45978</v>
      </c>
      <c r="H27" s="30" cm="1">
        <f t="array" ref="H27">[15]!CalculateINPC(Table1[[#This Row],[Coluna2]],Table1[[#This Row],[Coluna3]],-1)*Table1[[#This Row],[vl]]</f>
        <v>4031.2211403950005</v>
      </c>
      <c r="I27" s="30">
        <f>1.3^((Table1[[#This Row],[Coluna3]]-Table1[[#This Row],[Coluna2]])/360)*Table1[[#This Row],[vl]]</f>
        <v>4910.8246083439617</v>
      </c>
    </row>
    <row r="28" spans="1:13">
      <c r="A28" t="s">
        <v>244</v>
      </c>
      <c r="B28" s="30">
        <v>3.85697</v>
      </c>
      <c r="C28">
        <v>2025</v>
      </c>
      <c r="D28" t="s">
        <v>859</v>
      </c>
      <c r="E28" s="30">
        <f>Table1[[#This Row],[Despesas]]*1000</f>
        <v>3856.97</v>
      </c>
      <c r="F28" s="157">
        <v>45658</v>
      </c>
      <c r="G28" s="157">
        <f t="shared" si="0"/>
        <v>45978</v>
      </c>
      <c r="H28" s="30" cm="1">
        <f t="array" ref="H28">[15]!CalculateINPC(Table1[[#This Row],[Coluna2]],Table1[[#This Row],[Coluna3]],-1)*Table1[[#This Row],[vl]]</f>
        <v>3997.7114138455004</v>
      </c>
      <c r="I28" s="30">
        <f>1.3^((Table1[[#This Row],[Coluna3]]-Table1[[#This Row],[Coluna2]])/360)*Table1[[#This Row],[vl]]</f>
        <v>4870.0031341486665</v>
      </c>
    </row>
    <row r="29" spans="1:13">
      <c r="A29" t="s">
        <v>155</v>
      </c>
      <c r="B29" s="30">
        <v>3.82498</v>
      </c>
      <c r="C29">
        <v>2023</v>
      </c>
      <c r="D29" t="s">
        <v>861</v>
      </c>
      <c r="E29" s="30">
        <f>Table1[[#This Row],[Despesas]]*1000</f>
        <v>3824.98</v>
      </c>
      <c r="F29" s="157">
        <v>45231</v>
      </c>
      <c r="G29" s="157">
        <f t="shared" si="0"/>
        <v>45978</v>
      </c>
      <c r="H29" s="30" cm="1">
        <f t="array" ref="H29">[15]!CalculateINPC(Table1[[#This Row],[Coluna2]],Table1[[#This Row],[Coluna3]],-1)*Table1[[#This Row],[vl]]</f>
        <v>4180.6087777434004</v>
      </c>
      <c r="I29" s="30">
        <f>1.3^((Table1[[#This Row],[Coluna3]]-Table1[[#This Row],[Coluna2]])/360)*Table1[[#This Row],[vl]]</f>
        <v>6592.6743609527357</v>
      </c>
    </row>
    <row r="30" spans="1:13">
      <c r="A30" t="s">
        <v>155</v>
      </c>
      <c r="B30" s="30">
        <v>3.42</v>
      </c>
      <c r="C30">
        <v>2022</v>
      </c>
      <c r="D30" t="s">
        <v>864</v>
      </c>
      <c r="E30" s="30">
        <f>Table1[[#This Row],[Despesas]]*1000</f>
        <v>3420</v>
      </c>
      <c r="F30" s="157">
        <v>44743</v>
      </c>
      <c r="G30" s="157">
        <f t="shared" si="0"/>
        <v>45978</v>
      </c>
      <c r="H30" s="30" cm="1">
        <f t="array" ref="H30">[15]!CalculateINPC(Table1[[#This Row],[Coluna2]],Table1[[#This Row],[Coluna3]],-1)*Table1[[#This Row],[vl]]</f>
        <v>3863.1719105999996</v>
      </c>
      <c r="I30" s="30">
        <f>1.3^((Table1[[#This Row],[Coluna3]]-Table1[[#This Row],[Coluna2]])/360)*Table1[[#This Row],[vl]]</f>
        <v>8412.3068609072088</v>
      </c>
    </row>
    <row r="31" spans="1:13">
      <c r="A31" t="s">
        <v>168</v>
      </c>
      <c r="B31" s="30">
        <v>3.4016999999999999</v>
      </c>
      <c r="C31">
        <v>2022</v>
      </c>
      <c r="D31" t="s">
        <v>861</v>
      </c>
      <c r="E31" s="30">
        <f>Table1[[#This Row],[Despesas]]*1000</f>
        <v>3401.7</v>
      </c>
      <c r="F31" s="157">
        <v>44866</v>
      </c>
      <c r="G31" s="157">
        <f t="shared" si="0"/>
        <v>45978</v>
      </c>
      <c r="H31" s="30" cm="1">
        <f t="array" ref="H31">[15]!CalculateINPC(Table1[[#This Row],[Coluna2]],Table1[[#This Row],[Coluna3]],-1)*Table1[[#This Row],[vl]]</f>
        <v>3871.9665877860002</v>
      </c>
      <c r="I31" s="30">
        <f>1.3^((Table1[[#This Row],[Coluna3]]-Table1[[#This Row],[Coluna2]])/360)*Table1[[#This Row],[vl]]</f>
        <v>7649.8754603942725</v>
      </c>
    </row>
    <row r="32" spans="1:13">
      <c r="A32" t="s">
        <v>272</v>
      </c>
      <c r="B32" s="30">
        <v>3.3525</v>
      </c>
      <c r="C32">
        <v>2022</v>
      </c>
      <c r="D32" t="s">
        <v>858</v>
      </c>
      <c r="E32" s="30">
        <f>Table1[[#This Row],[Despesas]]*1000</f>
        <v>3352.5</v>
      </c>
      <c r="F32" s="157">
        <v>44805</v>
      </c>
      <c r="G32" s="157">
        <f t="shared" si="0"/>
        <v>45978</v>
      </c>
      <c r="H32" s="30" cm="1">
        <f t="array" ref="H32">[15]!CalculateINPC(Table1[[#This Row],[Coluna2]],Table1[[#This Row],[Coluna3]],-1)*Table1[[#This Row],[vl]]</f>
        <v>3821.6326239</v>
      </c>
      <c r="I32" s="30">
        <f>1.3^((Table1[[#This Row],[Coluna3]]-Table1[[#This Row],[Coluna2]])/360)*Table1[[#This Row],[vl]]</f>
        <v>7881.9596899061071</v>
      </c>
    </row>
    <row r="33" spans="1:9">
      <c r="A33" t="s">
        <v>238</v>
      </c>
      <c r="B33" s="30">
        <v>3.0127000000000002</v>
      </c>
      <c r="C33">
        <v>2022</v>
      </c>
      <c r="D33" t="s">
        <v>861</v>
      </c>
      <c r="E33" s="30">
        <f>Table1[[#This Row],[Despesas]]*1000</f>
        <v>3012.7000000000003</v>
      </c>
      <c r="F33" s="157">
        <v>44866</v>
      </c>
      <c r="G33" s="157">
        <f t="shared" si="0"/>
        <v>45978</v>
      </c>
      <c r="H33" s="30" cm="1">
        <f t="array" ref="H33">[15]!CalculateINPC(Table1[[#This Row],[Coluna2]],Table1[[#This Row],[Coluna3]],-1)*Table1[[#This Row],[vl]]</f>
        <v>3429.1894461660004</v>
      </c>
      <c r="I33" s="30">
        <f>1.3^((Table1[[#This Row],[Coluna3]]-Table1[[#This Row],[Coluna2]])/360)*Table1[[#This Row],[vl]]</f>
        <v>6775.077108366354</v>
      </c>
    </row>
    <row r="34" spans="1:9">
      <c r="A34" t="s">
        <v>227</v>
      </c>
      <c r="B34" s="30">
        <v>3</v>
      </c>
      <c r="C34">
        <v>2022</v>
      </c>
      <c r="D34" t="s">
        <v>861</v>
      </c>
      <c r="E34" s="30">
        <f>Table1[[#This Row],[Despesas]]*1000</f>
        <v>3000</v>
      </c>
      <c r="F34" s="157">
        <v>44866</v>
      </c>
      <c r="G34" s="157">
        <f t="shared" si="0"/>
        <v>45978</v>
      </c>
      <c r="H34" s="30" cm="1">
        <f t="array" ref="H34">[15]!CalculateINPC(Table1[[#This Row],[Coluna2]],Table1[[#This Row],[Coluna3]],-1)*Table1[[#This Row],[vl]]</f>
        <v>3414.7337400000001</v>
      </c>
      <c r="I34" s="30">
        <f>1.3^((Table1[[#This Row],[Coluna3]]-Table1[[#This Row],[Coluna2]])/360)*Table1[[#This Row],[vl]]</f>
        <v>6746.5168536857509</v>
      </c>
    </row>
    <row r="35" spans="1:9">
      <c r="A35" t="s">
        <v>283</v>
      </c>
      <c r="B35" s="30">
        <v>2.9216600000000001</v>
      </c>
      <c r="C35">
        <v>2025</v>
      </c>
      <c r="D35" t="s">
        <v>867</v>
      </c>
      <c r="E35" s="30">
        <f>Table1[[#This Row],[Despesas]]*1000</f>
        <v>2921.6600000000003</v>
      </c>
      <c r="F35" s="157">
        <v>45717</v>
      </c>
      <c r="G35" s="157">
        <f t="shared" si="0"/>
        <v>45978</v>
      </c>
      <c r="H35" s="30" cm="1">
        <f t="array" ref="H35">[15]!CalculateINPC(Table1[[#This Row],[Coluna2]],Table1[[#This Row],[Coluna3]],-1)*Table1[[#This Row],[vl]]</f>
        <v>2984.1062168764001</v>
      </c>
      <c r="I35" s="30">
        <f>1.3^((Table1[[#This Row],[Coluna3]]-Table1[[#This Row],[Coluna2]])/360)*Table1[[#This Row],[vl]]</f>
        <v>3533.7726500429831</v>
      </c>
    </row>
    <row r="36" spans="1:9">
      <c r="A36" t="s">
        <v>244</v>
      </c>
      <c r="B36" s="30">
        <v>2.8177400000000001</v>
      </c>
      <c r="C36">
        <v>2024</v>
      </c>
      <c r="D36" t="s">
        <v>863</v>
      </c>
      <c r="E36" s="30">
        <f>Table1[[#This Row],[Despesas]]*1000</f>
        <v>2817.7400000000002</v>
      </c>
      <c r="F36" s="157">
        <v>45413</v>
      </c>
      <c r="G36" s="157">
        <f t="shared" si="0"/>
        <v>45978</v>
      </c>
      <c r="H36" s="30" cm="1">
        <f t="array" ref="H36">[15]!CalculateINPC(Table1[[#This Row],[Coluna2]],Table1[[#This Row],[Coluna3]],-1)*Table1[[#This Row],[vl]]</f>
        <v>3001.2002618374004</v>
      </c>
      <c r="I36" s="30">
        <f>1.3^((Table1[[#This Row],[Coluna3]]-Table1[[#This Row],[Coluna2]])/360)*Table1[[#This Row],[vl]]</f>
        <v>4253.3260739356047</v>
      </c>
    </row>
    <row r="37" spans="1:9">
      <c r="A37" t="s">
        <v>291</v>
      </c>
      <c r="B37" s="30">
        <v>2.79874</v>
      </c>
      <c r="C37">
        <v>2023</v>
      </c>
      <c r="D37" t="s">
        <v>862</v>
      </c>
      <c r="E37" s="30">
        <f>Table1[[#This Row],[Despesas]]*1000</f>
        <v>2798.74</v>
      </c>
      <c r="F37" s="157">
        <v>45078</v>
      </c>
      <c r="G37" s="157">
        <f t="shared" si="0"/>
        <v>45978</v>
      </c>
      <c r="H37" s="30" cm="1">
        <f t="array" ref="H37">[15]!CalculateINPC(Table1[[#This Row],[Coluna2]],Table1[[#This Row],[Coluna3]],-1)*Table1[[#This Row],[vl]]</f>
        <v>3066.2891326872</v>
      </c>
      <c r="I37" s="30">
        <f>1.3^((Table1[[#This Row],[Coluna3]]-Table1[[#This Row],[Coluna2]])/360)*Table1[[#This Row],[vl]]</f>
        <v>5392.882222018914</v>
      </c>
    </row>
    <row r="38" spans="1:9">
      <c r="A38" t="s">
        <v>317</v>
      </c>
      <c r="B38" s="30">
        <v>2.7249500000000002</v>
      </c>
      <c r="C38">
        <v>2025</v>
      </c>
      <c r="D38" t="s">
        <v>867</v>
      </c>
      <c r="E38" s="30">
        <f>Table1[[#This Row],[Despesas]]*1000</f>
        <v>2724.9500000000003</v>
      </c>
      <c r="F38" s="157">
        <v>45717</v>
      </c>
      <c r="G38" s="157">
        <f t="shared" si="0"/>
        <v>45978</v>
      </c>
      <c r="H38" s="30" cm="1">
        <f t="array" ref="H38">[15]!CalculateINPC(Table1[[#This Row],[Coluna2]],Table1[[#This Row],[Coluna3]],-1)*Table1[[#This Row],[vl]]</f>
        <v>2783.191827823</v>
      </c>
      <c r="I38" s="30">
        <f>1.3^((Table1[[#This Row],[Coluna3]]-Table1[[#This Row],[Coluna2]])/360)*Table1[[#This Row],[vl]]</f>
        <v>3295.8502299153997</v>
      </c>
    </row>
    <row r="39" spans="1:9">
      <c r="A39" t="s">
        <v>190</v>
      </c>
      <c r="B39" s="30">
        <v>2.68</v>
      </c>
      <c r="C39">
        <v>2023</v>
      </c>
      <c r="D39" t="s">
        <v>866</v>
      </c>
      <c r="E39" s="30">
        <f>Table1[[#This Row],[Despesas]]*1000</f>
        <v>2680</v>
      </c>
      <c r="F39" s="157">
        <v>45200</v>
      </c>
      <c r="G39" s="157">
        <f t="shared" si="0"/>
        <v>45978</v>
      </c>
      <c r="H39" s="30" cm="1">
        <f t="array" ref="H39">[15]!CalculateINPC(Table1[[#This Row],[Coluna2]],Table1[[#This Row],[Coluna3]],-1)*Table1[[#This Row],[vl]]</f>
        <v>2932.6881147999998</v>
      </c>
      <c r="I39" s="30">
        <f>1.3^((Table1[[#This Row],[Coluna3]]-Table1[[#This Row],[Coluna2]])/360)*Table1[[#This Row],[vl]]</f>
        <v>4724.7522306917563</v>
      </c>
    </row>
    <row r="40" spans="1:9">
      <c r="A40" t="s">
        <v>295</v>
      </c>
      <c r="B40" s="30">
        <v>2.68</v>
      </c>
      <c r="C40">
        <v>2024</v>
      </c>
      <c r="D40" t="s">
        <v>860</v>
      </c>
      <c r="E40" s="30">
        <f>Table1[[#This Row],[Despesas]]*1000</f>
        <v>2680</v>
      </c>
      <c r="F40" s="157">
        <v>45505</v>
      </c>
      <c r="G40" s="157">
        <f t="shared" si="0"/>
        <v>45978</v>
      </c>
      <c r="H40" s="30" cm="1">
        <f t="array" ref="H40">[15]!CalculateINPC(Table1[[#This Row],[Coluna2]],Table1[[#This Row],[Coluna3]],-1)*Table1[[#This Row],[vl]]</f>
        <v>2826.9821344000002</v>
      </c>
      <c r="I40" s="30">
        <f>1.3^((Table1[[#This Row],[Coluna3]]-Table1[[#This Row],[Coluna2]])/360)*Table1[[#This Row],[vl]]</f>
        <v>3783.0640875787121</v>
      </c>
    </row>
    <row r="41" spans="1:9">
      <c r="A41" t="s">
        <v>233</v>
      </c>
      <c r="B41" s="30">
        <v>2.66</v>
      </c>
      <c r="C41">
        <v>2025</v>
      </c>
      <c r="D41" t="s">
        <v>865</v>
      </c>
      <c r="E41" s="30">
        <f>Table1[[#This Row],[Despesas]]*1000</f>
        <v>2660</v>
      </c>
      <c r="F41" s="157">
        <v>45748</v>
      </c>
      <c r="G41" s="157">
        <f t="shared" si="0"/>
        <v>45978</v>
      </c>
      <c r="H41" s="30" cm="1">
        <f t="array" ref="H41">[15]!CalculateINPC(Table1[[#This Row],[Coluna2]],Table1[[#This Row],[Coluna3]],-1)*Table1[[#This Row],[vl]]</f>
        <v>2703.0680866000002</v>
      </c>
      <c r="I41" s="30">
        <f>1.3^((Table1[[#This Row],[Coluna3]]-Table1[[#This Row],[Coluna2]])/360)*Table1[[#This Row],[vl]]</f>
        <v>3145.4209740025881</v>
      </c>
    </row>
    <row r="42" spans="1:9">
      <c r="A42" t="s">
        <v>291</v>
      </c>
      <c r="B42" s="30">
        <v>2.5424699999999998</v>
      </c>
      <c r="C42">
        <v>2024</v>
      </c>
      <c r="D42" t="s">
        <v>860</v>
      </c>
      <c r="E42" s="30">
        <f>Table1[[#This Row],[Despesas]]*1000</f>
        <v>2542.4699999999998</v>
      </c>
      <c r="F42" s="157">
        <v>45505</v>
      </c>
      <c r="G42" s="157">
        <f t="shared" si="0"/>
        <v>45978</v>
      </c>
      <c r="H42" s="30" cm="1">
        <f t="array" ref="H42">[15]!CalculateINPC(Table1[[#This Row],[Coluna2]],Table1[[#This Row],[Coluna3]],-1)*Table1[[#This Row],[vl]]</f>
        <v>2681.9094280775998</v>
      </c>
      <c r="I42" s="30">
        <f>1.3^((Table1[[#This Row],[Coluna3]]-Table1[[#This Row],[Coluna2]])/360)*Table1[[#This Row],[vl]]</f>
        <v>3588.9279666963612</v>
      </c>
    </row>
    <row r="43" spans="1:9">
      <c r="A43" t="s">
        <v>238</v>
      </c>
      <c r="B43" s="30">
        <v>2.5138799999999999</v>
      </c>
      <c r="C43">
        <v>2024</v>
      </c>
      <c r="D43" t="s">
        <v>860</v>
      </c>
      <c r="E43" s="30">
        <f>Table1[[#This Row],[Despesas]]*1000</f>
        <v>2513.88</v>
      </c>
      <c r="F43" s="157">
        <v>45505</v>
      </c>
      <c r="G43" s="157">
        <f t="shared" si="0"/>
        <v>45978</v>
      </c>
      <c r="H43" s="30" cm="1">
        <f t="array" ref="H43">[15]!CalculateINPC(Table1[[#This Row],[Coluna2]],Table1[[#This Row],[Coluna3]],-1)*Table1[[#This Row],[vl]]</f>
        <v>2651.7514358304002</v>
      </c>
      <c r="I43" s="30">
        <f>1.3^((Table1[[#This Row],[Coluna3]]-Table1[[#This Row],[Coluna2]])/360)*Table1[[#This Row],[vl]]</f>
        <v>3548.5705777919302</v>
      </c>
    </row>
    <row r="44" spans="1:9">
      <c r="A44" t="s">
        <v>233</v>
      </c>
      <c r="B44" s="30">
        <v>2.4</v>
      </c>
      <c r="C44">
        <v>2023</v>
      </c>
      <c r="D44" t="s">
        <v>862</v>
      </c>
      <c r="E44" s="30">
        <f>Table1[[#This Row],[Despesas]]*1000</f>
        <v>2400</v>
      </c>
      <c r="F44" s="157">
        <v>45078</v>
      </c>
      <c r="G44" s="157">
        <f t="shared" si="0"/>
        <v>45978</v>
      </c>
      <c r="H44" s="30" cm="1">
        <f t="array" ref="H44">[15]!CalculateINPC(Table1[[#This Row],[Coluna2]],Table1[[#This Row],[Coluna3]],-1)*Table1[[#This Row],[vl]]</f>
        <v>2629.4310720000003</v>
      </c>
      <c r="I44" s="30">
        <f>1.3^((Table1[[#This Row],[Coluna3]]-Table1[[#This Row],[Coluna2]])/360)*Table1[[#This Row],[vl]]</f>
        <v>4624.5515242021038</v>
      </c>
    </row>
    <row r="45" spans="1:9">
      <c r="A45" t="s">
        <v>272</v>
      </c>
      <c r="B45" s="30">
        <v>2.32728</v>
      </c>
      <c r="C45">
        <v>2022</v>
      </c>
      <c r="D45" t="s">
        <v>860</v>
      </c>
      <c r="E45" s="30">
        <f>Table1[[#This Row],[Despesas]]*1000</f>
        <v>2327.2800000000002</v>
      </c>
      <c r="F45" s="157">
        <v>44774</v>
      </c>
      <c r="G45" s="157">
        <f t="shared" si="0"/>
        <v>45978</v>
      </c>
      <c r="H45" s="30" cm="1">
        <f t="array" ref="H45">[15]!CalculateINPC(Table1[[#This Row],[Coluna2]],Table1[[#This Row],[Coluna3]],-1)*Table1[[#This Row],[vl]]</f>
        <v>2644.7248552848</v>
      </c>
      <c r="I45" s="30">
        <f>1.3^((Table1[[#This Row],[Coluna3]]-Table1[[#This Row],[Coluna2]])/360)*Table1[[#This Row],[vl]]</f>
        <v>5596.6203711194185</v>
      </c>
    </row>
    <row r="46" spans="1:9">
      <c r="A46" t="s">
        <v>707</v>
      </c>
      <c r="B46" s="30">
        <v>2</v>
      </c>
      <c r="C46">
        <v>2025</v>
      </c>
      <c r="D46" t="s">
        <v>862</v>
      </c>
      <c r="E46" s="30">
        <f>Table1[[#This Row],[Despesas]]*1000</f>
        <v>2000</v>
      </c>
      <c r="F46" s="157">
        <v>45809</v>
      </c>
      <c r="G46" s="157">
        <f t="shared" si="0"/>
        <v>45978</v>
      </c>
      <c r="H46" s="30" cm="1">
        <f t="array" ref="H46">[15]!CalculateINPC(Table1[[#This Row],[Coluna2]],Table1[[#This Row],[Coluna3]],-1)*Table1[[#This Row],[vl]]</f>
        <v>2015.61844</v>
      </c>
      <c r="I46" s="30">
        <f>1.3^((Table1[[#This Row],[Coluna3]]-Table1[[#This Row],[Coluna2]])/360)*Table1[[#This Row],[vl]]</f>
        <v>2262.1430743078404</v>
      </c>
    </row>
    <row r="47" spans="1:9">
      <c r="A47" t="s">
        <v>317</v>
      </c>
      <c r="B47" s="30">
        <v>1.9260999999999999</v>
      </c>
      <c r="C47">
        <v>2019</v>
      </c>
      <c r="D47" t="s">
        <v>860</v>
      </c>
      <c r="E47" s="30">
        <f>Table1[[#This Row],[Despesas]]*1000</f>
        <v>1926.1</v>
      </c>
      <c r="F47" s="157">
        <v>43678</v>
      </c>
      <c r="G47" s="157">
        <f t="shared" si="0"/>
        <v>45978</v>
      </c>
      <c r="H47" s="30" cm="1">
        <f t="array" ref="H47">[15]!CalculateINPC(Table1[[#This Row],[Coluna2]],Table1[[#This Row],[Coluna3]],-1)*Table1[[#This Row],[vl]]</f>
        <v>2719.2743361299999</v>
      </c>
      <c r="I47" s="30">
        <f>1.3^((Table1[[#This Row],[Coluna3]]-Table1[[#This Row],[Coluna2]])/360)*Table1[[#This Row],[vl]]</f>
        <v>10295.566515732289</v>
      </c>
    </row>
    <row r="48" spans="1:9">
      <c r="A48" t="s">
        <v>283</v>
      </c>
      <c r="B48" s="30">
        <v>1.845</v>
      </c>
      <c r="C48">
        <v>2023</v>
      </c>
      <c r="D48" t="s">
        <v>865</v>
      </c>
      <c r="E48" s="30">
        <f>Table1[[#This Row],[Despesas]]*1000</f>
        <v>1845</v>
      </c>
      <c r="F48" s="157">
        <v>45017</v>
      </c>
      <c r="G48" s="157">
        <f t="shared" si="0"/>
        <v>45978</v>
      </c>
      <c r="H48" s="30" cm="1">
        <f t="array" ref="H48">[15]!CalculateINPC(Table1[[#This Row],[Coluna2]],Table1[[#This Row],[Coluna3]],-1)*Table1[[#This Row],[vl]]</f>
        <v>2039.4045319500001</v>
      </c>
      <c r="I48" s="30">
        <f>1.3^((Table1[[#This Row],[Coluna3]]-Table1[[#This Row],[Coluna2]])/360)*Table1[[#This Row],[vl]]</f>
        <v>3716.7368991656899</v>
      </c>
    </row>
    <row r="49" spans="1:9">
      <c r="A49" t="s">
        <v>238</v>
      </c>
      <c r="B49" s="30">
        <v>1.8065100000000001</v>
      </c>
      <c r="C49">
        <v>2020</v>
      </c>
      <c r="D49" t="s">
        <v>866</v>
      </c>
      <c r="E49" s="30">
        <f>Table1[[#This Row],[Despesas]]*1000</f>
        <v>1806.51</v>
      </c>
      <c r="F49" s="157">
        <v>44105</v>
      </c>
      <c r="G49" s="157">
        <f t="shared" si="0"/>
        <v>45978</v>
      </c>
      <c r="H49" s="30" cm="1">
        <f t="array" ref="H49">[15]!CalculateINPC(Table1[[#This Row],[Coluna2]],Table1[[#This Row],[Coluna3]],-1)*Table1[[#This Row],[vl]]</f>
        <v>2453.2664492232002</v>
      </c>
      <c r="I49" s="30">
        <f>1.3^((Table1[[#This Row],[Coluna3]]-Table1[[#This Row],[Coluna2]])/360)*Table1[[#This Row],[vl]]</f>
        <v>7073.9553011440876</v>
      </c>
    </row>
    <row r="50" spans="1:9">
      <c r="A50" t="s">
        <v>238</v>
      </c>
      <c r="B50" s="30">
        <v>1.7629999999999999</v>
      </c>
      <c r="C50">
        <v>2023</v>
      </c>
      <c r="D50" t="s">
        <v>863</v>
      </c>
      <c r="E50" s="30">
        <f>Table1[[#This Row],[Despesas]]*1000</f>
        <v>1763</v>
      </c>
      <c r="F50" s="157">
        <v>45047</v>
      </c>
      <c r="G50" s="157">
        <f t="shared" si="0"/>
        <v>45978</v>
      </c>
      <c r="H50" s="30" cm="1">
        <f t="array" ref="H50">[15]!CalculateINPC(Table1[[#This Row],[Coluna2]],Table1[[#This Row],[Coluna3]],-1)*Table1[[#This Row],[vl]]</f>
        <v>1938.49069485</v>
      </c>
      <c r="I50" s="30">
        <f>1.3^((Table1[[#This Row],[Coluna3]]-Table1[[#This Row],[Coluna2]])/360)*Table1[[#This Row],[vl]]</f>
        <v>3474.7413441683407</v>
      </c>
    </row>
    <row r="51" spans="1:9">
      <c r="A51" t="s">
        <v>120</v>
      </c>
      <c r="B51" s="30">
        <v>1.6543699999999999</v>
      </c>
      <c r="C51">
        <v>2022</v>
      </c>
      <c r="D51" t="s">
        <v>864</v>
      </c>
      <c r="E51" s="30">
        <f>Table1[[#This Row],[Despesas]]*1000</f>
        <v>1654.37</v>
      </c>
      <c r="F51" s="157">
        <v>44743</v>
      </c>
      <c r="G51" s="157">
        <f t="shared" si="0"/>
        <v>45978</v>
      </c>
      <c r="H51" s="30" cm="1">
        <f t="array" ref="H51">[15]!CalculateINPC(Table1[[#This Row],[Coluna2]],Table1[[#This Row],[Coluna3]],-1)*Table1[[#This Row],[vl]]</f>
        <v>1868.7472847190998</v>
      </c>
      <c r="I51" s="30">
        <f>1.3^((Table1[[#This Row],[Coluna3]]-Table1[[#This Row],[Coluna2]])/360)*Table1[[#This Row],[vl]]</f>
        <v>4069.3181583272094</v>
      </c>
    </row>
    <row r="52" spans="1:9">
      <c r="A52" t="s">
        <v>291</v>
      </c>
      <c r="B52" s="30">
        <v>1.6046800000000001</v>
      </c>
      <c r="C52">
        <v>2022</v>
      </c>
      <c r="D52" t="s">
        <v>860</v>
      </c>
      <c r="E52" s="30">
        <f>Table1[[#This Row],[Despesas]]*1000</f>
        <v>1604.68</v>
      </c>
      <c r="F52" s="157">
        <v>44774</v>
      </c>
      <c r="G52" s="157">
        <f t="shared" si="0"/>
        <v>45978</v>
      </c>
      <c r="H52" s="30" cm="1">
        <f t="array" ref="H52">[15]!CalculateINPC(Table1[[#This Row],[Coluna2]],Table1[[#This Row],[Coluna3]],-1)*Table1[[#This Row],[vl]]</f>
        <v>1823.5610157688</v>
      </c>
      <c r="I52" s="30">
        <f>1.3^((Table1[[#This Row],[Coluna3]]-Table1[[#This Row],[Coluna2]])/360)*Table1[[#This Row],[vl]]</f>
        <v>3858.9188998005861</v>
      </c>
    </row>
    <row r="53" spans="1:9">
      <c r="A53" t="s">
        <v>238</v>
      </c>
      <c r="B53" s="30">
        <v>1.5810999999999999</v>
      </c>
      <c r="C53">
        <v>2025</v>
      </c>
      <c r="D53" t="s">
        <v>862</v>
      </c>
      <c r="E53" s="30">
        <f>Table1[[#This Row],[Despesas]]*1000</f>
        <v>1581.1</v>
      </c>
      <c r="F53" s="157">
        <v>45809</v>
      </c>
      <c r="G53" s="157">
        <f t="shared" si="0"/>
        <v>45978</v>
      </c>
      <c r="H53" s="30" cm="1">
        <f t="array" ref="H53">[15]!CalculateINPC(Table1[[#This Row],[Coluna2]],Table1[[#This Row],[Coluna3]],-1)*Table1[[#This Row],[vl]]</f>
        <v>1593.4471577419997</v>
      </c>
      <c r="I53" s="30">
        <f>1.3^((Table1[[#This Row],[Coluna3]]-Table1[[#This Row],[Coluna2]])/360)*Table1[[#This Row],[vl]]</f>
        <v>1788.3372073940632</v>
      </c>
    </row>
    <row r="54" spans="1:9">
      <c r="A54" t="s">
        <v>244</v>
      </c>
      <c r="B54" s="30">
        <v>1.5583199999999999</v>
      </c>
      <c r="C54">
        <v>2025</v>
      </c>
      <c r="D54" t="s">
        <v>863</v>
      </c>
      <c r="E54" s="30">
        <f>Table1[[#This Row],[Despesas]]*1000</f>
        <v>1558.32</v>
      </c>
      <c r="F54" s="157">
        <v>45778</v>
      </c>
      <c r="G54" s="157">
        <f t="shared" si="0"/>
        <v>45978</v>
      </c>
      <c r="H54" s="30" cm="1">
        <f t="array" ref="H54">[15]!CalculateINPC(Table1[[#This Row],[Coluna2]],Table1[[#This Row],[Coluna3]],-1)*Table1[[#This Row],[vl]]</f>
        <v>1575.9867050063999</v>
      </c>
      <c r="I54" s="30">
        <f>1.3^((Table1[[#This Row],[Coluna3]]-Table1[[#This Row],[Coluna2]])/360)*Table1[[#This Row],[vl]]</f>
        <v>1802.8454865807621</v>
      </c>
    </row>
    <row r="55" spans="1:9">
      <c r="A55" t="s">
        <v>238</v>
      </c>
      <c r="B55" s="30">
        <v>1.43</v>
      </c>
      <c r="C55">
        <v>2023</v>
      </c>
      <c r="D55" t="s">
        <v>862</v>
      </c>
      <c r="E55" s="30">
        <f>Table1[[#This Row],[Despesas]]*1000</f>
        <v>1430</v>
      </c>
      <c r="F55" s="157">
        <v>45078</v>
      </c>
      <c r="G55" s="157">
        <f t="shared" si="0"/>
        <v>45978</v>
      </c>
      <c r="H55" s="30" cm="1">
        <f t="array" ref="H55">[15]!CalculateINPC(Table1[[#This Row],[Coluna2]],Table1[[#This Row],[Coluna3]],-1)*Table1[[#This Row],[vl]]</f>
        <v>1566.7026804000002</v>
      </c>
      <c r="I55" s="30">
        <f>1.3^((Table1[[#This Row],[Coluna3]]-Table1[[#This Row],[Coluna2]])/360)*Table1[[#This Row],[vl]]</f>
        <v>2755.4619498370866</v>
      </c>
    </row>
    <row r="56" spans="1:9">
      <c r="A56" t="s">
        <v>283</v>
      </c>
      <c r="B56" s="30">
        <v>1.2974699999999999</v>
      </c>
      <c r="C56">
        <v>2022</v>
      </c>
      <c r="D56" t="s">
        <v>864</v>
      </c>
      <c r="E56" s="30">
        <f>Table1[[#This Row],[Despesas]]*1000</f>
        <v>1297.4699999999998</v>
      </c>
      <c r="F56" s="157">
        <v>44743</v>
      </c>
      <c r="G56" s="157">
        <f t="shared" si="0"/>
        <v>45978</v>
      </c>
      <c r="H56" s="30" cm="1">
        <f t="array" ref="H56">[15]!CalculateINPC(Table1[[#This Row],[Coluna2]],Table1[[#This Row],[Coluna3]],-1)*Table1[[#This Row],[vl]]</f>
        <v>1465.5993154520997</v>
      </c>
      <c r="I56" s="30">
        <f>1.3^((Table1[[#This Row],[Coluna3]]-Table1[[#This Row],[Coluna2]])/360)*Table1[[#This Row],[vl]]</f>
        <v>3191.4373633980331</v>
      </c>
    </row>
    <row r="57" spans="1:9">
      <c r="A57" t="s">
        <v>190</v>
      </c>
      <c r="B57" s="30">
        <v>1.26</v>
      </c>
      <c r="C57">
        <v>2024</v>
      </c>
      <c r="D57" t="s">
        <v>858</v>
      </c>
      <c r="E57" s="30">
        <f>Table1[[#This Row],[Despesas]]*1000</f>
        <v>1260</v>
      </c>
      <c r="F57" s="157">
        <v>45536</v>
      </c>
      <c r="G57" s="157">
        <f t="shared" si="0"/>
        <v>45978</v>
      </c>
      <c r="H57" s="30" cm="1">
        <f t="array" ref="H57">[15]!CalculateINPC(Table1[[#This Row],[Coluna2]],Table1[[#This Row],[Coluna3]],-1)*Table1[[#This Row],[vl]]</f>
        <v>1330.9662618</v>
      </c>
      <c r="I57" s="30">
        <f>1.3^((Table1[[#This Row],[Coluna3]]-Table1[[#This Row],[Coluna2]])/360)*Table1[[#This Row],[vl]]</f>
        <v>1738.8721867841998</v>
      </c>
    </row>
    <row r="58" spans="1:9">
      <c r="A58" t="s">
        <v>343</v>
      </c>
      <c r="B58" s="30">
        <v>1.24282</v>
      </c>
      <c r="C58">
        <v>2022</v>
      </c>
      <c r="D58" t="s">
        <v>864</v>
      </c>
      <c r="E58" s="30">
        <f>Table1[[#This Row],[Despesas]]*1000</f>
        <v>1242.82</v>
      </c>
      <c r="F58" s="157">
        <v>44743</v>
      </c>
      <c r="G58" s="157">
        <f t="shared" si="0"/>
        <v>45978</v>
      </c>
      <c r="H58" s="30" cm="1">
        <f t="array" ref="H58">[15]!CalculateINPC(Table1[[#This Row],[Coluna2]],Table1[[#This Row],[Coluna3]],-1)*Table1[[#This Row],[vl]]</f>
        <v>1403.8676356525998</v>
      </c>
      <c r="I58" s="30">
        <f>1.3^((Table1[[#This Row],[Coluna3]]-Table1[[#This Row],[Coluna2]])/360)*Table1[[#This Row],[vl]]</f>
        <v>3057.0126353428936</v>
      </c>
    </row>
    <row r="59" spans="1:9">
      <c r="A59" t="s">
        <v>317</v>
      </c>
      <c r="B59" s="30">
        <v>1.2123299999999999</v>
      </c>
      <c r="C59">
        <v>2024</v>
      </c>
      <c r="D59" t="s">
        <v>858</v>
      </c>
      <c r="E59" s="30">
        <f>Table1[[#This Row],[Despesas]]*1000</f>
        <v>1212.33</v>
      </c>
      <c r="F59" s="157">
        <v>45536</v>
      </c>
      <c r="G59" s="157">
        <f t="shared" si="0"/>
        <v>45978</v>
      </c>
      <c r="H59" s="30" cm="1">
        <f t="array" ref="H59">[15]!CalculateINPC(Table1[[#This Row],[Coluna2]],Table1[[#This Row],[Coluna3]],-1)*Table1[[#This Row],[vl]]</f>
        <v>1280.6113715618999</v>
      </c>
      <c r="I59" s="30">
        <f>1.3^((Table1[[#This Row],[Coluna3]]-Table1[[#This Row],[Coluna2]])/360)*Table1[[#This Row],[vl]]</f>
        <v>1673.0848557175309</v>
      </c>
    </row>
    <row r="60" spans="1:9">
      <c r="A60" t="s">
        <v>233</v>
      </c>
      <c r="B60" s="30">
        <v>1.2</v>
      </c>
      <c r="C60">
        <v>2024</v>
      </c>
      <c r="D60" t="s">
        <v>865</v>
      </c>
      <c r="E60" s="30">
        <f>Table1[[#This Row],[Despesas]]*1000</f>
        <v>1200</v>
      </c>
      <c r="F60" s="157">
        <v>45383</v>
      </c>
      <c r="G60" s="157">
        <f t="shared" si="0"/>
        <v>45978</v>
      </c>
      <c r="H60" s="30" cm="1">
        <f t="array" ref="H60">[15]!CalculateINPC(Table1[[#This Row],[Coluna2]],Table1[[#This Row],[Coluna3]],-1)*Table1[[#This Row],[vl]]</f>
        <v>1282.8601919999999</v>
      </c>
      <c r="I60" s="30">
        <f>1.3^((Table1[[#This Row],[Coluna3]]-Table1[[#This Row],[Coluna2]])/360)*Table1[[#This Row],[vl]]</f>
        <v>1851.4171683670397</v>
      </c>
    </row>
    <row r="61" spans="1:9">
      <c r="A61" t="s">
        <v>155</v>
      </c>
      <c r="B61" s="30">
        <v>1.2</v>
      </c>
      <c r="C61">
        <v>2023</v>
      </c>
      <c r="D61" t="s">
        <v>862</v>
      </c>
      <c r="E61" s="30">
        <f>Table1[[#This Row],[Despesas]]*1000</f>
        <v>1200</v>
      </c>
      <c r="F61" s="157">
        <v>45078</v>
      </c>
      <c r="G61" s="157">
        <f t="shared" si="0"/>
        <v>45978</v>
      </c>
      <c r="H61" s="30" cm="1">
        <f t="array" ref="H61">[15]!CalculateINPC(Table1[[#This Row],[Coluna2]],Table1[[#This Row],[Coluna3]],-1)*Table1[[#This Row],[vl]]</f>
        <v>1314.7155360000002</v>
      </c>
      <c r="I61" s="30">
        <f>1.3^((Table1[[#This Row],[Coluna3]]-Table1[[#This Row],[Coluna2]])/360)*Table1[[#This Row],[vl]]</f>
        <v>2312.2757621010519</v>
      </c>
    </row>
    <row r="62" spans="1:9">
      <c r="A62" t="s">
        <v>534</v>
      </c>
      <c r="B62" s="30">
        <v>1.1759999999999999</v>
      </c>
      <c r="C62">
        <v>2025</v>
      </c>
      <c r="D62" t="s">
        <v>862</v>
      </c>
      <c r="E62" s="30">
        <f>Table1[[#This Row],[Despesas]]*1000</f>
        <v>1176</v>
      </c>
      <c r="F62" s="157">
        <v>45809</v>
      </c>
      <c r="G62" s="157">
        <f t="shared" si="0"/>
        <v>45978</v>
      </c>
      <c r="H62" s="30" cm="1">
        <f t="array" ref="H62">[15]!CalculateINPC(Table1[[#This Row],[Coluna2]],Table1[[#This Row],[Coluna3]],-1)*Table1[[#This Row],[vl]]</f>
        <v>1185.1836427199999</v>
      </c>
      <c r="I62" s="30">
        <f>1.3^((Table1[[#This Row],[Coluna3]]-Table1[[#This Row],[Coluna2]])/360)*Table1[[#This Row],[vl]]</f>
        <v>1330.1401276930101</v>
      </c>
    </row>
    <row r="63" spans="1:9">
      <c r="A63" t="s">
        <v>291</v>
      </c>
      <c r="B63" s="30">
        <v>1.05</v>
      </c>
      <c r="C63">
        <v>2023</v>
      </c>
      <c r="D63" t="s">
        <v>859</v>
      </c>
      <c r="E63" s="30">
        <f>Table1[[#This Row],[Despesas]]*1000</f>
        <v>1050</v>
      </c>
      <c r="F63" s="157">
        <v>44927</v>
      </c>
      <c r="G63" s="157">
        <f t="shared" si="0"/>
        <v>45978</v>
      </c>
      <c r="H63" s="30" cm="1">
        <f t="array" ref="H63">[15]!CalculateINPC(Table1[[#This Row],[Coluna2]],Table1[[#This Row],[Coluna3]],-1)*Table1[[#This Row],[vl]]</f>
        <v>1182.4730294999999</v>
      </c>
      <c r="I63" s="30">
        <f>1.3^((Table1[[#This Row],[Coluna3]]-Table1[[#This Row],[Coluna2]])/360)*Table1[[#This Row],[vl]]</f>
        <v>2258.6065639130361</v>
      </c>
    </row>
    <row r="64" spans="1:9">
      <c r="A64" t="s">
        <v>233</v>
      </c>
      <c r="B64" s="30">
        <v>1.04</v>
      </c>
      <c r="C64">
        <v>2023</v>
      </c>
      <c r="D64" t="s">
        <v>864</v>
      </c>
      <c r="E64" s="30">
        <f>Table1[[#This Row],[Despesas]]*1000</f>
        <v>1040</v>
      </c>
      <c r="F64" s="157">
        <v>45108</v>
      </c>
      <c r="G64" s="157">
        <f t="shared" si="0"/>
        <v>45978</v>
      </c>
      <c r="H64" s="30" cm="1">
        <f t="array" ref="H64">[15]!CalculateINPC(Table1[[#This Row],[Coluna2]],Table1[[#This Row],[Coluna3]],-1)*Table1[[#This Row],[vl]]</f>
        <v>1140.560148</v>
      </c>
      <c r="I64" s="30">
        <f>1.3^((Table1[[#This Row],[Coluna3]]-Table1[[#This Row],[Coluna2]])/360)*Table1[[#This Row],[vl]]</f>
        <v>1960.633598640904</v>
      </c>
    </row>
    <row r="65" spans="1:9">
      <c r="A65" t="s">
        <v>155</v>
      </c>
      <c r="B65" s="30">
        <v>0.96</v>
      </c>
      <c r="C65">
        <v>2019</v>
      </c>
      <c r="D65" t="s">
        <v>866</v>
      </c>
      <c r="E65" s="30">
        <f>Table1[[#This Row],[Despesas]]*1000</f>
        <v>960</v>
      </c>
      <c r="F65" s="157">
        <v>43739</v>
      </c>
      <c r="G65" s="157">
        <f t="shared" si="0"/>
        <v>45978</v>
      </c>
      <c r="H65" s="30" cm="1">
        <f t="array" ref="H65">[15]!CalculateINPC(Table1[[#This Row],[Coluna2]],Table1[[#This Row],[Coluna3]],-1)*Table1[[#This Row],[vl]]</f>
        <v>1354.3842528</v>
      </c>
      <c r="I65" s="30">
        <f>1.3^((Table1[[#This Row],[Coluna3]]-Table1[[#This Row],[Coluna2]])/360)*Table1[[#This Row],[vl]]</f>
        <v>4908.3506679936963</v>
      </c>
    </row>
    <row r="66" spans="1:9">
      <c r="A66" t="s">
        <v>105</v>
      </c>
      <c r="B66" s="30">
        <v>0.93493999999999999</v>
      </c>
      <c r="C66">
        <v>2022</v>
      </c>
      <c r="D66" t="s">
        <v>861</v>
      </c>
      <c r="E66" s="30">
        <f>Table1[[#This Row],[Despesas]]*1000</f>
        <v>934.93999999999994</v>
      </c>
      <c r="F66" s="157">
        <v>44866</v>
      </c>
      <c r="G66" s="157">
        <f t="shared" si="0"/>
        <v>45978</v>
      </c>
      <c r="H66" s="30" cm="1">
        <f t="array" ref="H66">[15]!CalculateINPC(Table1[[#This Row],[Coluna2]],Table1[[#This Row],[Coluna3]],-1)*Table1[[#This Row],[vl]]</f>
        <v>1064.1903876251999</v>
      </c>
      <c r="I66" s="30">
        <f>1.3^((Table1[[#This Row],[Coluna3]]-Table1[[#This Row],[Coluna2]])/360)*Table1[[#This Row],[vl]]</f>
        <v>2102.5294890616519</v>
      </c>
    </row>
    <row r="67" spans="1:9">
      <c r="A67" t="s">
        <v>388</v>
      </c>
      <c r="B67" s="30">
        <v>0.92249999999999999</v>
      </c>
      <c r="C67">
        <v>2023</v>
      </c>
      <c r="D67" t="s">
        <v>859</v>
      </c>
      <c r="E67" s="30">
        <f>Table1[[#This Row],[Despesas]]*1000</f>
        <v>922.5</v>
      </c>
      <c r="F67" s="157">
        <v>44927</v>
      </c>
      <c r="G67" s="157">
        <f t="shared" si="0"/>
        <v>45978</v>
      </c>
      <c r="H67" s="30" cm="1">
        <f t="array" ref="H67">[15]!CalculateINPC(Table1[[#This Row],[Coluna2]],Table1[[#This Row],[Coluna3]],-1)*Table1[[#This Row],[vl]]</f>
        <v>1038.8870187750001</v>
      </c>
      <c r="I67" s="30">
        <f>1.3^((Table1[[#This Row],[Coluna3]]-Table1[[#This Row],[Coluna2]])/360)*Table1[[#This Row],[vl]]</f>
        <v>1984.3471954378817</v>
      </c>
    </row>
    <row r="68" spans="1:9">
      <c r="A68" t="s">
        <v>388</v>
      </c>
      <c r="B68" s="30">
        <v>0.92249999999999999</v>
      </c>
      <c r="C68">
        <v>2023</v>
      </c>
      <c r="D68" t="s">
        <v>865</v>
      </c>
      <c r="E68" s="30">
        <f>Table1[[#This Row],[Despesas]]*1000</f>
        <v>922.5</v>
      </c>
      <c r="F68" s="157">
        <v>45017</v>
      </c>
      <c r="G68" s="157">
        <f t="shared" si="0"/>
        <v>45978</v>
      </c>
      <c r="H68" s="30" cm="1">
        <f t="array" ref="H68">[15]!CalculateINPC(Table1[[#This Row],[Coluna2]],Table1[[#This Row],[Coluna3]],-1)*Table1[[#This Row],[vl]]</f>
        <v>1019.702265975</v>
      </c>
      <c r="I68" s="30">
        <f>1.3^((Table1[[#This Row],[Coluna3]]-Table1[[#This Row],[Coluna2]])/360)*Table1[[#This Row],[vl]]</f>
        <v>1858.368449582845</v>
      </c>
    </row>
    <row r="69" spans="1:9">
      <c r="A69" t="s">
        <v>227</v>
      </c>
      <c r="B69" s="30">
        <v>0.9</v>
      </c>
      <c r="C69">
        <v>2023</v>
      </c>
      <c r="D69" t="s">
        <v>862</v>
      </c>
      <c r="E69" s="30">
        <f>Table1[[#This Row],[Despesas]]*1000</f>
        <v>900</v>
      </c>
      <c r="F69" s="157">
        <v>45078</v>
      </c>
      <c r="G69" s="157">
        <f t="shared" ref="G69:G132" si="1">$G$2</f>
        <v>45978</v>
      </c>
      <c r="H69" s="30" cm="1">
        <f t="array" ref="H69">[15]!CalculateINPC(Table1[[#This Row],[Coluna2]],Table1[[#This Row],[Coluna3]],-1)*Table1[[#This Row],[vl]]</f>
        <v>986.03665200000012</v>
      </c>
      <c r="I69" s="30">
        <f>1.3^((Table1[[#This Row],[Coluna3]]-Table1[[#This Row],[Coluna2]])/360)*Table1[[#This Row],[vl]]</f>
        <v>1734.2068215757888</v>
      </c>
    </row>
    <row r="70" spans="1:9">
      <c r="A70" t="s">
        <v>233</v>
      </c>
      <c r="B70" s="30">
        <v>0.9</v>
      </c>
      <c r="C70">
        <v>2025</v>
      </c>
      <c r="D70" t="s">
        <v>862</v>
      </c>
      <c r="E70" s="30">
        <f>Table1[[#This Row],[Despesas]]*1000</f>
        <v>900</v>
      </c>
      <c r="F70" s="157">
        <v>45809</v>
      </c>
      <c r="G70" s="157">
        <f t="shared" si="1"/>
        <v>45978</v>
      </c>
      <c r="H70" s="30" cm="1">
        <f t="array" ref="H70">[15]!CalculateINPC(Table1[[#This Row],[Coluna2]],Table1[[#This Row],[Coluna3]],-1)*Table1[[#This Row],[vl]]</f>
        <v>907.02829799999995</v>
      </c>
      <c r="I70" s="30">
        <f>1.3^((Table1[[#This Row],[Coluna3]]-Table1[[#This Row],[Coluna2]])/360)*Table1[[#This Row],[vl]]</f>
        <v>1017.9643834385281</v>
      </c>
    </row>
    <row r="71" spans="1:9">
      <c r="A71" t="s">
        <v>238</v>
      </c>
      <c r="B71" s="30">
        <v>0.9</v>
      </c>
      <c r="C71">
        <v>2021</v>
      </c>
      <c r="D71" t="s">
        <v>856</v>
      </c>
      <c r="E71" s="30">
        <f>Table1[[#This Row],[Despesas]]*1000</f>
        <v>900</v>
      </c>
      <c r="F71" s="157">
        <v>44531</v>
      </c>
      <c r="G71" s="157">
        <f t="shared" si="1"/>
        <v>45978</v>
      </c>
      <c r="H71" s="30" cm="1">
        <f t="array" ref="H71">[15]!CalculateINPC(Table1[[#This Row],[Coluna2]],Table1[[#This Row],[Coluna3]],-1)*Table1[[#This Row],[vl]]</f>
        <v>1081.514817</v>
      </c>
      <c r="I71" s="30">
        <f>1.3^((Table1[[#This Row],[Coluna3]]-Table1[[#This Row],[Coluna2]])/360)*Table1[[#This Row],[vl]]</f>
        <v>2583.6369312773527</v>
      </c>
    </row>
    <row r="72" spans="1:9">
      <c r="A72" t="s">
        <v>397</v>
      </c>
      <c r="B72" s="30">
        <v>0.88897000000000004</v>
      </c>
      <c r="C72">
        <v>2023</v>
      </c>
      <c r="D72" t="s">
        <v>866</v>
      </c>
      <c r="E72" s="30">
        <f>Table1[[#This Row],[Despesas]]*1000</f>
        <v>888.97</v>
      </c>
      <c r="F72" s="157">
        <v>45200</v>
      </c>
      <c r="G72" s="157">
        <f t="shared" si="1"/>
        <v>45978</v>
      </c>
      <c r="H72" s="30" cm="1">
        <f t="array" ref="H72">[15]!CalculateINPC(Table1[[#This Row],[Coluna2]],Table1[[#This Row],[Coluna3]],-1)*Table1[[#This Row],[vl]]</f>
        <v>972.78796769169992</v>
      </c>
      <c r="I72" s="30">
        <f>1.3^((Table1[[#This Row],[Coluna3]]-Table1[[#This Row],[Coluna2]])/360)*Table1[[#This Row],[vl]]</f>
        <v>1567.2249964619593</v>
      </c>
    </row>
    <row r="73" spans="1:9">
      <c r="A73" t="s">
        <v>244</v>
      </c>
      <c r="B73" s="30">
        <v>0.88746000000000003</v>
      </c>
      <c r="C73">
        <v>2024</v>
      </c>
      <c r="D73" t="s">
        <v>866</v>
      </c>
      <c r="E73" s="30">
        <f>Table1[[#This Row],[Despesas]]*1000</f>
        <v>887.46</v>
      </c>
      <c r="F73" s="157">
        <v>45566</v>
      </c>
      <c r="G73" s="157">
        <f t="shared" si="1"/>
        <v>45978</v>
      </c>
      <c r="H73" s="30" cm="1">
        <f t="array" ref="H73">[15]!CalculateINPC(Table1[[#This Row],[Coluna2]],Table1[[#This Row],[Coluna3]],-1)*Table1[[#This Row],[vl]]</f>
        <v>932.96538121080005</v>
      </c>
      <c r="I73" s="30">
        <f>1.3^((Table1[[#This Row],[Coluna3]]-Table1[[#This Row],[Coluna2]])/360)*Table1[[#This Row],[vl]]</f>
        <v>1198.2587913075154</v>
      </c>
    </row>
    <row r="74" spans="1:9">
      <c r="A74" t="s">
        <v>244</v>
      </c>
      <c r="B74" s="30">
        <v>0.80244000000000004</v>
      </c>
      <c r="C74">
        <v>2022</v>
      </c>
      <c r="D74" t="s">
        <v>862</v>
      </c>
      <c r="E74" s="30">
        <f>Table1[[#This Row],[Despesas]]*1000</f>
        <v>802.44</v>
      </c>
      <c r="F74" s="157">
        <v>44713</v>
      </c>
      <c r="G74" s="157">
        <f t="shared" si="1"/>
        <v>45978</v>
      </c>
      <c r="H74" s="30" cm="1">
        <f t="array" ref="H74">[15]!CalculateINPC(Table1[[#This Row],[Coluna2]],Table1[[#This Row],[Coluna3]],-1)*Table1[[#This Row],[vl]]</f>
        <v>912.04236674280014</v>
      </c>
      <c r="I74" s="30">
        <f>1.3^((Table1[[#This Row],[Coluna3]]-Table1[[#This Row],[Coluna2]])/360)*Table1[[#This Row],[vl]]</f>
        <v>2017.4224477084115</v>
      </c>
    </row>
    <row r="75" spans="1:9">
      <c r="A75" t="s">
        <v>238</v>
      </c>
      <c r="B75" s="30">
        <v>0.74480000000000002</v>
      </c>
      <c r="C75">
        <v>2025</v>
      </c>
      <c r="D75" t="s">
        <v>863</v>
      </c>
      <c r="E75" s="30">
        <f>Table1[[#This Row],[Despesas]]*1000</f>
        <v>744.80000000000007</v>
      </c>
      <c r="F75" s="157">
        <v>45778</v>
      </c>
      <c r="G75" s="157">
        <f t="shared" si="1"/>
        <v>45978</v>
      </c>
      <c r="H75" s="30" cm="1">
        <f t="array" ref="H75">[15]!CalculateINPC(Table1[[#This Row],[Coluna2]],Table1[[#This Row],[Coluna3]],-1)*Table1[[#This Row],[vl]]</f>
        <v>753.24381249600015</v>
      </c>
      <c r="I75" s="30">
        <f>1.3^((Table1[[#This Row],[Coluna3]]-Table1[[#This Row],[Coluna2]])/360)*Table1[[#This Row],[vl]]</f>
        <v>861.6711063230606</v>
      </c>
    </row>
    <row r="76" spans="1:9">
      <c r="A76" t="s">
        <v>443</v>
      </c>
      <c r="B76" s="30">
        <v>0.73284000000000005</v>
      </c>
      <c r="C76">
        <v>2023</v>
      </c>
      <c r="D76" t="s">
        <v>868</v>
      </c>
      <c r="E76" s="30">
        <f>Table1[[#This Row],[Despesas]]*1000</f>
        <v>732.84</v>
      </c>
      <c r="F76" s="157">
        <v>44958</v>
      </c>
      <c r="G76" s="157">
        <f t="shared" si="1"/>
        <v>45978</v>
      </c>
      <c r="H76" s="30" cm="1">
        <f t="array" ref="H76">[15]!CalculateINPC(Table1[[#This Row],[Coluna2]],Table1[[#This Row],[Coluna3]],-1)*Table1[[#This Row],[vl]]</f>
        <v>821.51940745079992</v>
      </c>
      <c r="I76" s="30">
        <f>1.3^((Table1[[#This Row],[Coluna3]]-Table1[[#This Row],[Coluna2]])/360)*Table1[[#This Row],[vl]]</f>
        <v>1541.16332028069</v>
      </c>
    </row>
    <row r="77" spans="1:9">
      <c r="A77" t="s">
        <v>317</v>
      </c>
      <c r="B77" s="30">
        <v>0.71555000000000002</v>
      </c>
      <c r="C77">
        <v>2025</v>
      </c>
      <c r="D77" t="s">
        <v>863</v>
      </c>
      <c r="E77" s="30">
        <f>Table1[[#This Row],[Despesas]]*1000</f>
        <v>715.55000000000007</v>
      </c>
      <c r="F77" s="157">
        <v>45778</v>
      </c>
      <c r="G77" s="157">
        <f t="shared" si="1"/>
        <v>45978</v>
      </c>
      <c r="H77" s="30" cm="1">
        <f t="array" ref="H77">[15]!CalculateINPC(Table1[[#This Row],[Coluna2]],Table1[[#This Row],[Coluna3]],-1)*Table1[[#This Row],[vl]]</f>
        <v>723.66220466100015</v>
      </c>
      <c r="I77" s="30">
        <f>1.3^((Table1[[#This Row],[Coluna3]]-Table1[[#This Row],[Coluna2]])/360)*Table1[[#This Row],[vl]]</f>
        <v>827.83131059273092</v>
      </c>
    </row>
    <row r="78" spans="1:9">
      <c r="A78" t="s">
        <v>317</v>
      </c>
      <c r="B78" s="30">
        <v>0.71553</v>
      </c>
      <c r="C78">
        <v>2025</v>
      </c>
      <c r="D78" t="s">
        <v>860</v>
      </c>
      <c r="E78" s="30">
        <f>Table1[[#This Row],[Despesas]]*1000</f>
        <v>715.53</v>
      </c>
      <c r="F78" s="157">
        <v>45870</v>
      </c>
      <c r="G78" s="157">
        <f t="shared" si="1"/>
        <v>45978</v>
      </c>
      <c r="H78" s="30" cm="1">
        <f t="array" ref="H78">[15]!CalculateINPC(Table1[[#This Row],[Coluna2]],Table1[[#This Row],[Coluna3]],-1)*Table1[[#This Row],[vl]]</f>
        <v>717.95511720780007</v>
      </c>
      <c r="I78" s="30">
        <f>1.3^((Table1[[#This Row],[Coluna3]]-Table1[[#This Row],[Coluna2]])/360)*Table1[[#This Row],[vl]]</f>
        <v>774.12457184761899</v>
      </c>
    </row>
    <row r="79" spans="1:9">
      <c r="A79" t="s">
        <v>397</v>
      </c>
      <c r="B79" s="30">
        <v>0.71006000000000002</v>
      </c>
      <c r="C79">
        <v>2025</v>
      </c>
      <c r="D79" t="s">
        <v>859</v>
      </c>
      <c r="E79" s="30">
        <f>Table1[[#This Row],[Despesas]]*1000</f>
        <v>710.06000000000006</v>
      </c>
      <c r="F79" s="157">
        <v>45658</v>
      </c>
      <c r="G79" s="157">
        <f t="shared" si="1"/>
        <v>45978</v>
      </c>
      <c r="H79" s="30" cm="1">
        <f t="array" ref="H79">[15]!CalculateINPC(Table1[[#This Row],[Coluna2]],Table1[[#This Row],[Coluna3]],-1)*Table1[[#This Row],[vl]]</f>
        <v>735.97019590900015</v>
      </c>
      <c r="I79" s="30">
        <f>1.3^((Table1[[#This Row],[Coluna3]]-Table1[[#This Row],[Coluna2]])/360)*Table1[[#This Row],[vl]]</f>
        <v>896.5572523077966</v>
      </c>
    </row>
    <row r="80" spans="1:9">
      <c r="A80" t="s">
        <v>454</v>
      </c>
      <c r="B80" s="30">
        <v>0.7</v>
      </c>
      <c r="C80">
        <v>2022</v>
      </c>
      <c r="D80" t="s">
        <v>862</v>
      </c>
      <c r="E80" s="30">
        <f>Table1[[#This Row],[Despesas]]*1000</f>
        <v>700</v>
      </c>
      <c r="F80" s="157">
        <v>44713</v>
      </c>
      <c r="G80" s="157">
        <f t="shared" si="1"/>
        <v>45978</v>
      </c>
      <c r="H80" s="30" cm="1">
        <f t="array" ref="H80">[15]!CalculateINPC(Table1[[#This Row],[Coluna2]],Table1[[#This Row],[Coluna3]],-1)*Table1[[#This Row],[vl]]</f>
        <v>795.61045899999999</v>
      </c>
      <c r="I80" s="30">
        <f>1.3^((Table1[[#This Row],[Coluna3]]-Table1[[#This Row],[Coluna2]])/360)*Table1[[#This Row],[vl]]</f>
        <v>1759.8770168434874</v>
      </c>
    </row>
    <row r="81" spans="1:9">
      <c r="A81" t="s">
        <v>155</v>
      </c>
      <c r="B81" s="30">
        <v>0.7</v>
      </c>
      <c r="C81">
        <v>2022</v>
      </c>
      <c r="D81" t="s">
        <v>858</v>
      </c>
      <c r="E81" s="30">
        <f>Table1[[#This Row],[Despesas]]*1000</f>
        <v>700</v>
      </c>
      <c r="F81" s="157">
        <v>44805</v>
      </c>
      <c r="G81" s="157">
        <f t="shared" si="1"/>
        <v>45978</v>
      </c>
      <c r="H81" s="30" cm="1">
        <f t="array" ref="H81">[15]!CalculateINPC(Table1[[#This Row],[Coluna2]],Table1[[#This Row],[Coluna3]],-1)*Table1[[#This Row],[vl]]</f>
        <v>797.954612</v>
      </c>
      <c r="I81" s="30">
        <f>1.3^((Table1[[#This Row],[Coluna3]]-Table1[[#This Row],[Coluna2]])/360)*Table1[[#This Row],[vl]]</f>
        <v>1645.7484811138777</v>
      </c>
    </row>
    <row r="82" spans="1:9">
      <c r="A82" t="s">
        <v>291</v>
      </c>
      <c r="B82" s="30">
        <v>0.64188000000000001</v>
      </c>
      <c r="C82">
        <v>2025</v>
      </c>
      <c r="D82" t="s">
        <v>858</v>
      </c>
      <c r="E82" s="30">
        <f>Table1[[#This Row],[Despesas]]*1000</f>
        <v>641.88</v>
      </c>
      <c r="F82" s="157">
        <v>45901</v>
      </c>
      <c r="G82" s="157">
        <f t="shared" si="1"/>
        <v>45978</v>
      </c>
      <c r="H82" s="30" cm="1">
        <f t="array" ref="H82">[15]!CalculateINPC(Table1[[#This Row],[Coluna2]],Table1[[#This Row],[Coluna3]],-1)*Table1[[#This Row],[vl]]</f>
        <v>645.41119370039996</v>
      </c>
      <c r="I82" s="30">
        <f>1.3^((Table1[[#This Row],[Coluna3]]-Table1[[#This Row],[Coluna2]])/360)*Table1[[#This Row],[vl]]</f>
        <v>678.9300963276113</v>
      </c>
    </row>
    <row r="83" spans="1:9">
      <c r="A83" t="s">
        <v>190</v>
      </c>
      <c r="B83" s="30">
        <v>0.63</v>
      </c>
      <c r="C83">
        <v>2023</v>
      </c>
      <c r="D83" t="s">
        <v>864</v>
      </c>
      <c r="E83" s="30">
        <f>Table1[[#This Row],[Despesas]]*1000</f>
        <v>630</v>
      </c>
      <c r="F83" s="157">
        <v>45108</v>
      </c>
      <c r="G83" s="157">
        <f t="shared" si="1"/>
        <v>45978</v>
      </c>
      <c r="H83" s="30" cm="1">
        <f t="array" ref="H83">[15]!CalculateINPC(Table1[[#This Row],[Coluna2]],Table1[[#This Row],[Coluna3]],-1)*Table1[[#This Row],[vl]]</f>
        <v>690.91624349999995</v>
      </c>
      <c r="I83" s="30">
        <f>1.3^((Table1[[#This Row],[Coluna3]]-Table1[[#This Row],[Coluna2]])/360)*Table1[[#This Row],[vl]]</f>
        <v>1187.6915068690091</v>
      </c>
    </row>
    <row r="84" spans="1:9">
      <c r="A84" t="s">
        <v>443</v>
      </c>
      <c r="B84" s="30">
        <v>0.62048000000000003</v>
      </c>
      <c r="C84">
        <v>2023</v>
      </c>
      <c r="D84" t="s">
        <v>862</v>
      </c>
      <c r="E84" s="30">
        <f>Table1[[#This Row],[Despesas]]*1000</f>
        <v>620.48</v>
      </c>
      <c r="F84" s="157">
        <v>45078</v>
      </c>
      <c r="G84" s="157">
        <f t="shared" si="1"/>
        <v>45978</v>
      </c>
      <c r="H84" s="30" cm="1">
        <f t="array" ref="H84">[15]!CalculateINPC(Table1[[#This Row],[Coluna2]],Table1[[#This Row],[Coluna3]],-1)*Table1[[#This Row],[vl]]</f>
        <v>679.79557981440007</v>
      </c>
      <c r="I84" s="30">
        <f>1.3^((Table1[[#This Row],[Coluna3]]-Table1[[#This Row],[Coluna2]])/360)*Table1[[#This Row],[vl]]</f>
        <v>1195.6007207237171</v>
      </c>
    </row>
    <row r="85" spans="1:9">
      <c r="A85" t="s">
        <v>233</v>
      </c>
      <c r="B85" s="30">
        <v>0.62</v>
      </c>
      <c r="C85">
        <v>2023</v>
      </c>
      <c r="D85" t="s">
        <v>860</v>
      </c>
      <c r="E85" s="30">
        <f>Table1[[#This Row],[Despesas]]*1000</f>
        <v>620</v>
      </c>
      <c r="F85" s="157">
        <v>45139</v>
      </c>
      <c r="G85" s="157">
        <f t="shared" si="1"/>
        <v>45978</v>
      </c>
      <c r="H85" s="30" cm="1">
        <f t="array" ref="H85">[15]!CalculateINPC(Table1[[#This Row],[Coluna2]],Table1[[#This Row],[Coluna3]],-1)*Table1[[#This Row],[vl]]</f>
        <v>680.56205260000002</v>
      </c>
      <c r="I85" s="30">
        <f>1.3^((Table1[[#This Row],[Coluna3]]-Table1[[#This Row],[Coluna2]])/360)*Table1[[#This Row],[vl]]</f>
        <v>1142.7283507620325</v>
      </c>
    </row>
    <row r="86" spans="1:9">
      <c r="A86" t="s">
        <v>233</v>
      </c>
      <c r="B86" s="30">
        <v>0.6</v>
      </c>
      <c r="C86">
        <v>2023</v>
      </c>
      <c r="D86" t="s">
        <v>858</v>
      </c>
      <c r="E86" s="30">
        <f>Table1[[#This Row],[Despesas]]*1000</f>
        <v>600</v>
      </c>
      <c r="F86" s="157">
        <v>45170</v>
      </c>
      <c r="G86" s="157">
        <f t="shared" si="1"/>
        <v>45978</v>
      </c>
      <c r="H86" s="30" cm="1">
        <f t="array" ref="H86">[15]!CalculateINPC(Table1[[#This Row],[Coluna2]],Table1[[#This Row],[Coluna3]],-1)*Table1[[#This Row],[vl]]</f>
        <v>657.29387999999994</v>
      </c>
      <c r="I86" s="30">
        <f>1.3^((Table1[[#This Row],[Coluna3]]-Table1[[#This Row],[Coluna2]])/360)*Table1[[#This Row],[vl]]</f>
        <v>1081.1620036437669</v>
      </c>
    </row>
    <row r="87" spans="1:9">
      <c r="A87" t="s">
        <v>238</v>
      </c>
      <c r="B87" s="30">
        <v>0.58120000000000005</v>
      </c>
      <c r="C87">
        <v>2021</v>
      </c>
      <c r="D87" t="s">
        <v>862</v>
      </c>
      <c r="E87" s="30">
        <f>Table1[[#This Row],[Despesas]]*1000</f>
        <v>581.20000000000005</v>
      </c>
      <c r="F87" s="157">
        <v>44348</v>
      </c>
      <c r="G87" s="157">
        <f t="shared" si="1"/>
        <v>45978</v>
      </c>
      <c r="H87" s="30" cm="1">
        <f t="array" ref="H87">[15]!CalculateINPC(Table1[[#This Row],[Coluna2]],Table1[[#This Row],[Coluna3]],-1)*Table1[[#This Row],[vl]]</f>
        <v>739.17655901199998</v>
      </c>
      <c r="I87" s="30">
        <f>1.3^((Table1[[#This Row],[Coluna3]]-Table1[[#This Row],[Coluna2]])/360)*Table1[[#This Row],[vl]]</f>
        <v>1906.4954982582201</v>
      </c>
    </row>
    <row r="88" spans="1:9">
      <c r="A88" t="s">
        <v>561</v>
      </c>
      <c r="B88" s="30">
        <v>0.54361999999999999</v>
      </c>
      <c r="C88">
        <v>2024</v>
      </c>
      <c r="D88" t="s">
        <v>858</v>
      </c>
      <c r="E88" s="30">
        <f>Table1[[#This Row],[Despesas]]*1000</f>
        <v>543.62</v>
      </c>
      <c r="F88" s="157">
        <v>45536</v>
      </c>
      <c r="G88" s="157">
        <f t="shared" si="1"/>
        <v>45978</v>
      </c>
      <c r="H88" s="30" cm="1">
        <f t="array" ref="H88">[15]!CalculateINPC(Table1[[#This Row],[Coluna2]],Table1[[#This Row],[Coluna3]],-1)*Table1[[#This Row],[vl]]</f>
        <v>574.2379993966</v>
      </c>
      <c r="I88" s="30">
        <f>1.3^((Table1[[#This Row],[Coluna3]]-Table1[[#This Row],[Coluna2]])/360)*Table1[[#This Row],[vl]]</f>
        <v>750.22674458700533</v>
      </c>
    </row>
    <row r="89" spans="1:9">
      <c r="A89" t="s">
        <v>233</v>
      </c>
      <c r="B89" s="30">
        <v>0.54</v>
      </c>
      <c r="C89">
        <v>2025</v>
      </c>
      <c r="D89" t="s">
        <v>860</v>
      </c>
      <c r="E89" s="30">
        <f>Table1[[#This Row],[Despesas]]*1000</f>
        <v>540</v>
      </c>
      <c r="F89" s="157">
        <v>45870</v>
      </c>
      <c r="G89" s="157">
        <f t="shared" si="1"/>
        <v>45978</v>
      </c>
      <c r="H89" s="30" cm="1">
        <f t="array" ref="H89">[15]!CalculateINPC(Table1[[#This Row],[Coluna2]],Table1[[#This Row],[Coluna3]],-1)*Table1[[#This Row],[vl]]</f>
        <v>541.83020040000008</v>
      </c>
      <c r="I89" s="30">
        <f>1.3^((Table1[[#This Row],[Coluna3]]-Table1[[#This Row],[Coluna2]])/360)*Table1[[#This Row],[vl]]</f>
        <v>584.22046426804502</v>
      </c>
    </row>
    <row r="90" spans="1:9">
      <c r="A90" t="s">
        <v>190</v>
      </c>
      <c r="B90" s="30">
        <v>0.54</v>
      </c>
      <c r="C90">
        <v>2025</v>
      </c>
      <c r="D90" t="s">
        <v>858</v>
      </c>
      <c r="E90" s="30">
        <f>Table1[[#This Row],[Despesas]]*1000</f>
        <v>540</v>
      </c>
      <c r="F90" s="157">
        <v>45901</v>
      </c>
      <c r="G90" s="157">
        <f t="shared" si="1"/>
        <v>45978</v>
      </c>
      <c r="H90" s="30" cm="1">
        <f t="array" ref="H90">[15]!CalculateINPC(Table1[[#This Row],[Coluna2]],Table1[[#This Row],[Coluna3]],-1)*Table1[[#This Row],[vl]]</f>
        <v>542.97071819999996</v>
      </c>
      <c r="I90" s="30">
        <f>1.3^((Table1[[#This Row],[Coluna3]]-Table1[[#This Row],[Coluna2]])/360)*Table1[[#This Row],[vl]]</f>
        <v>571.16945849210151</v>
      </c>
    </row>
    <row r="91" spans="1:9">
      <c r="A91" t="s">
        <v>244</v>
      </c>
      <c r="B91" s="30">
        <v>0.51036000000000004</v>
      </c>
      <c r="C91">
        <v>2025</v>
      </c>
      <c r="D91" t="s">
        <v>858</v>
      </c>
      <c r="E91" s="30">
        <f>Table1[[#This Row],[Despesas]]*1000</f>
        <v>510.36</v>
      </c>
      <c r="F91" s="157">
        <v>45901</v>
      </c>
      <c r="G91" s="157">
        <f t="shared" si="1"/>
        <v>45978</v>
      </c>
      <c r="H91" s="30" cm="1">
        <f t="array" ref="H91">[15]!CalculateINPC(Table1[[#This Row],[Coluna2]],Table1[[#This Row],[Coluna3]],-1)*Table1[[#This Row],[vl]]</f>
        <v>513.16765877880005</v>
      </c>
      <c r="I91" s="30">
        <f>1.3^((Table1[[#This Row],[Coluna3]]-Table1[[#This Row],[Coluna2]])/360)*Table1[[#This Row],[vl]]</f>
        <v>539.81860154820174</v>
      </c>
    </row>
    <row r="92" spans="1:9">
      <c r="A92" t="s">
        <v>397</v>
      </c>
      <c r="B92" s="30">
        <v>0.50378999999999996</v>
      </c>
      <c r="C92">
        <v>2025</v>
      </c>
      <c r="D92" t="s">
        <v>862</v>
      </c>
      <c r="E92" s="30">
        <f>Table1[[#This Row],[Despesas]]*1000</f>
        <v>503.78999999999996</v>
      </c>
      <c r="F92" s="157">
        <v>45809</v>
      </c>
      <c r="G92" s="157">
        <f t="shared" si="1"/>
        <v>45978</v>
      </c>
      <c r="H92" s="30" cm="1">
        <f t="array" ref="H92">[15]!CalculateINPC(Table1[[#This Row],[Coluna2]],Table1[[#This Row],[Coluna3]],-1)*Table1[[#This Row],[vl]]</f>
        <v>507.72420694379991</v>
      </c>
      <c r="I92" s="30">
        <f>1.3^((Table1[[#This Row],[Coluna3]]-Table1[[#This Row],[Coluna2]])/360)*Table1[[#This Row],[vl]]</f>
        <v>569.82252970277341</v>
      </c>
    </row>
    <row r="93" spans="1:9">
      <c r="A93" t="s">
        <v>127</v>
      </c>
      <c r="B93" s="30">
        <v>0.5</v>
      </c>
      <c r="C93">
        <v>2021</v>
      </c>
      <c r="D93" t="s">
        <v>860</v>
      </c>
      <c r="E93" s="30">
        <f>Table1[[#This Row],[Despesas]]*1000</f>
        <v>500</v>
      </c>
      <c r="F93" s="157">
        <v>44409</v>
      </c>
      <c r="G93" s="157">
        <f t="shared" si="1"/>
        <v>45978</v>
      </c>
      <c r="H93" s="30" cm="1">
        <f t="array" ref="H93">[15]!CalculateINPC(Table1[[#This Row],[Coluna2]],Table1[[#This Row],[Coluna3]],-1)*Table1[[#This Row],[vl]]</f>
        <v>625.73056500000007</v>
      </c>
      <c r="I93" s="30">
        <f>1.3^((Table1[[#This Row],[Coluna3]]-Table1[[#This Row],[Coluna2]])/360)*Table1[[#This Row],[vl]]</f>
        <v>1568.8199911013583</v>
      </c>
    </row>
    <row r="94" spans="1:9">
      <c r="A94" t="s">
        <v>283</v>
      </c>
      <c r="B94" s="30">
        <v>0.4803</v>
      </c>
      <c r="C94">
        <v>2020</v>
      </c>
      <c r="D94" t="s">
        <v>868</v>
      </c>
      <c r="E94" s="30">
        <f>Table1[[#This Row],[Despesas]]*1000</f>
        <v>480.3</v>
      </c>
      <c r="F94" s="157">
        <v>43862</v>
      </c>
      <c r="G94" s="157">
        <f t="shared" si="1"/>
        <v>45978</v>
      </c>
      <c r="H94" s="30" cm="1">
        <f t="array" ref="H94">[15]!CalculateINPC(Table1[[#This Row],[Coluna2]],Table1[[#This Row],[Coluna3]],-1)*Table1[[#This Row],[vl]]</f>
        <v>664.32414965399994</v>
      </c>
      <c r="I94" s="30">
        <f>1.3^((Table1[[#This Row],[Coluna3]]-Table1[[#This Row],[Coluna2]])/360)*Table1[[#This Row],[vl]]</f>
        <v>2245.1548022725924</v>
      </c>
    </row>
    <row r="95" spans="1:9">
      <c r="A95" t="s">
        <v>150</v>
      </c>
      <c r="B95" s="30">
        <v>0.47261999999999998</v>
      </c>
      <c r="C95">
        <v>2024</v>
      </c>
      <c r="D95" t="s">
        <v>861</v>
      </c>
      <c r="E95" s="30">
        <f>Table1[[#This Row],[Despesas]]*1000</f>
        <v>472.62</v>
      </c>
      <c r="F95" s="157">
        <v>45597</v>
      </c>
      <c r="G95" s="157">
        <f t="shared" si="1"/>
        <v>45978</v>
      </c>
      <c r="H95" s="30" cm="1">
        <f t="array" ref="H95">[15]!CalculateINPC(Table1[[#This Row],[Coluna2]],Table1[[#This Row],[Coluna3]],-1)*Table1[[#This Row],[vl]]</f>
        <v>493.84172975219997</v>
      </c>
      <c r="I95" s="30">
        <f>1.3^((Table1[[#This Row],[Coluna3]]-Table1[[#This Row],[Coluna2]])/360)*Table1[[#This Row],[vl]]</f>
        <v>623.8815517918124</v>
      </c>
    </row>
    <row r="96" spans="1:9">
      <c r="A96" t="s">
        <v>397</v>
      </c>
      <c r="B96" s="30">
        <v>0.45249</v>
      </c>
      <c r="C96">
        <v>2024</v>
      </c>
      <c r="D96" t="s">
        <v>867</v>
      </c>
      <c r="E96" s="30">
        <f>Table1[[#This Row],[Despesas]]*1000</f>
        <v>452.49</v>
      </c>
      <c r="F96" s="157">
        <v>45352</v>
      </c>
      <c r="G96" s="157">
        <f t="shared" si="1"/>
        <v>45978</v>
      </c>
      <c r="H96" s="30" cm="1">
        <f t="array" ref="H96">[15]!CalculateINPC(Table1[[#This Row],[Coluna2]],Table1[[#This Row],[Coluna3]],-1)*Table1[[#This Row],[vl]]</f>
        <v>484.65380820689995</v>
      </c>
      <c r="I96" s="30">
        <f>1.3^((Table1[[#This Row],[Coluna3]]-Table1[[#This Row],[Coluna2]])/360)*Table1[[#This Row],[vl]]</f>
        <v>714.07497781542668</v>
      </c>
    </row>
    <row r="97" spans="1:9">
      <c r="A97" t="s">
        <v>272</v>
      </c>
      <c r="B97" s="30">
        <v>0.45125999999999999</v>
      </c>
      <c r="C97">
        <v>2022</v>
      </c>
      <c r="D97" t="s">
        <v>862</v>
      </c>
      <c r="E97" s="30">
        <f>Table1[[#This Row],[Despesas]]*1000</f>
        <v>451.26</v>
      </c>
      <c r="F97" s="157">
        <v>44713</v>
      </c>
      <c r="G97" s="157">
        <f t="shared" si="1"/>
        <v>45978</v>
      </c>
      <c r="H97" s="30" cm="1">
        <f t="array" ref="H97">[15]!CalculateINPC(Table1[[#This Row],[Coluna2]],Table1[[#This Row],[Coluna3]],-1)*Table1[[#This Row],[vl]]</f>
        <v>512.89596532619998</v>
      </c>
      <c r="I97" s="30">
        <f>1.3^((Table1[[#This Row],[Coluna3]]-Table1[[#This Row],[Coluna2]])/360)*Table1[[#This Row],[vl]]</f>
        <v>1134.5172894582745</v>
      </c>
    </row>
    <row r="98" spans="1:9">
      <c r="A98" t="s">
        <v>190</v>
      </c>
      <c r="B98" s="30">
        <v>0.45</v>
      </c>
      <c r="C98">
        <v>2024</v>
      </c>
      <c r="D98" t="s">
        <v>866</v>
      </c>
      <c r="E98" s="30">
        <f>Table1[[#This Row],[Despesas]]*1000</f>
        <v>450</v>
      </c>
      <c r="F98" s="157">
        <v>45566</v>
      </c>
      <c r="G98" s="157">
        <f t="shared" si="1"/>
        <v>45978</v>
      </c>
      <c r="H98" s="30" cm="1">
        <f t="array" ref="H98">[15]!CalculateINPC(Table1[[#This Row],[Coluna2]],Table1[[#This Row],[Coluna3]],-1)*Table1[[#This Row],[vl]]</f>
        <v>473.07419099999998</v>
      </c>
      <c r="I98" s="30">
        <f>1.3^((Table1[[#This Row],[Coluna3]]-Table1[[#This Row],[Coluna2]])/360)*Table1[[#This Row],[vl]]</f>
        <v>607.59522241946888</v>
      </c>
    </row>
    <row r="99" spans="1:9">
      <c r="A99" t="s">
        <v>534</v>
      </c>
      <c r="B99" s="30">
        <v>0.44600000000000001</v>
      </c>
      <c r="C99">
        <v>2023</v>
      </c>
      <c r="D99" t="s">
        <v>866</v>
      </c>
      <c r="E99" s="30">
        <f>Table1[[#This Row],[Despesas]]*1000</f>
        <v>446</v>
      </c>
      <c r="F99" s="157">
        <v>45200</v>
      </c>
      <c r="G99" s="157">
        <f t="shared" si="1"/>
        <v>45978</v>
      </c>
      <c r="H99" s="30" cm="1">
        <f t="array" ref="H99">[15]!CalculateINPC(Table1[[#This Row],[Coluna2]],Table1[[#This Row],[Coluna3]],-1)*Table1[[#This Row],[vl]]</f>
        <v>488.05182805999999</v>
      </c>
      <c r="I99" s="30">
        <f>1.3^((Table1[[#This Row],[Coluna3]]-Table1[[#This Row],[Coluna2]])/360)*Table1[[#This Row],[vl]]</f>
        <v>786.28339361512076</v>
      </c>
    </row>
    <row r="100" spans="1:9">
      <c r="A100" t="s">
        <v>150</v>
      </c>
      <c r="B100" s="30">
        <v>0.4022</v>
      </c>
      <c r="C100">
        <v>2024</v>
      </c>
      <c r="D100" t="s">
        <v>866</v>
      </c>
      <c r="E100" s="30">
        <f>Table1[[#This Row],[Despesas]]*1000</f>
        <v>402.2</v>
      </c>
      <c r="F100" s="157">
        <v>45566</v>
      </c>
      <c r="G100" s="157">
        <f t="shared" si="1"/>
        <v>45978</v>
      </c>
      <c r="H100" s="30" cm="1">
        <f t="array" ref="H100">[15]!CalculateINPC(Table1[[#This Row],[Coluna2]],Table1[[#This Row],[Coluna3]],-1)*Table1[[#This Row],[vl]]</f>
        <v>422.82319915599999</v>
      </c>
      <c r="I100" s="30">
        <f>1.3^((Table1[[#This Row],[Coluna3]]-Table1[[#This Row],[Coluna2]])/360)*Table1[[#This Row],[vl]]</f>
        <v>543.05510768246756</v>
      </c>
    </row>
    <row r="101" spans="1:9">
      <c r="A101" t="s">
        <v>127</v>
      </c>
      <c r="B101" s="30">
        <v>0.4</v>
      </c>
      <c r="C101">
        <v>2021</v>
      </c>
      <c r="D101" t="s">
        <v>858</v>
      </c>
      <c r="E101" s="30">
        <f>Table1[[#This Row],[Despesas]]*1000</f>
        <v>400</v>
      </c>
      <c r="F101" s="157">
        <v>44440</v>
      </c>
      <c r="G101" s="157">
        <f t="shared" si="1"/>
        <v>45978</v>
      </c>
      <c r="H101" s="30" cm="1">
        <f t="array" ref="H101">[15]!CalculateINPC(Table1[[#This Row],[Coluna2]],Table1[[#This Row],[Coluna3]],-1)*Table1[[#This Row],[vl]]</f>
        <v>496.217376</v>
      </c>
      <c r="I101" s="30">
        <f>1.3^((Table1[[#This Row],[Coluna3]]-Table1[[#This Row],[Coluna2]])/360)*Table1[[#This Row],[vl]]</f>
        <v>1227.019071865755</v>
      </c>
    </row>
    <row r="102" spans="1:9">
      <c r="A102" t="s">
        <v>127</v>
      </c>
      <c r="B102" s="30">
        <v>0.4</v>
      </c>
      <c r="C102">
        <v>2021</v>
      </c>
      <c r="D102" t="s">
        <v>861</v>
      </c>
      <c r="E102" s="30">
        <f>Table1[[#This Row],[Despesas]]*1000</f>
        <v>400</v>
      </c>
      <c r="F102" s="157">
        <v>44501</v>
      </c>
      <c r="G102" s="157">
        <f t="shared" si="1"/>
        <v>45978</v>
      </c>
      <c r="H102" s="30" cm="1">
        <f t="array" ref="H102">[15]!CalculateINPC(Table1[[#This Row],[Coluna2]],Table1[[#This Row],[Coluna3]],-1)*Table1[[#This Row],[vl]]</f>
        <v>484.71076799999997</v>
      </c>
      <c r="I102" s="30">
        <f>1.3^((Table1[[#This Row],[Coluna3]]-Table1[[#This Row],[Coluna2]])/360)*Table1[[#This Row],[vl]]</f>
        <v>1173.6652471896064</v>
      </c>
    </row>
    <row r="103" spans="1:9">
      <c r="A103" t="s">
        <v>190</v>
      </c>
      <c r="B103" s="30">
        <v>0.35</v>
      </c>
      <c r="C103">
        <v>2025</v>
      </c>
      <c r="D103" t="s">
        <v>859</v>
      </c>
      <c r="E103" s="30">
        <f>Table1[[#This Row],[Despesas]]*1000</f>
        <v>350</v>
      </c>
      <c r="F103" s="157">
        <v>45658</v>
      </c>
      <c r="G103" s="157">
        <f t="shared" si="1"/>
        <v>45978</v>
      </c>
      <c r="H103" s="30" cm="1">
        <f t="array" ref="H103">[15]!CalculateINPC(Table1[[#This Row],[Coluna2]],Table1[[#This Row],[Coluna3]],-1)*Table1[[#This Row],[vl]]</f>
        <v>362.77155250000004</v>
      </c>
      <c r="I103" s="30">
        <f>1.3^((Table1[[#This Row],[Coluna3]]-Table1[[#This Row],[Coluna2]])/360)*Table1[[#This Row],[vl]]</f>
        <v>441.92749670130524</v>
      </c>
    </row>
    <row r="104" spans="1:9">
      <c r="A104" t="s">
        <v>127</v>
      </c>
      <c r="B104" s="30">
        <v>0.34789999999999999</v>
      </c>
      <c r="C104">
        <v>2021</v>
      </c>
      <c r="D104" t="s">
        <v>862</v>
      </c>
      <c r="E104" s="30">
        <f>Table1[[#This Row],[Despesas]]*1000</f>
        <v>347.9</v>
      </c>
      <c r="F104" s="157">
        <v>44348</v>
      </c>
      <c r="G104" s="157">
        <f t="shared" si="1"/>
        <v>45978</v>
      </c>
      <c r="H104" s="30" cm="1">
        <f t="array" ref="H104">[15]!CalculateINPC(Table1[[#This Row],[Coluna2]],Table1[[#This Row],[Coluna3]],-1)*Table1[[#This Row],[vl]]</f>
        <v>442.46305037899998</v>
      </c>
      <c r="I104" s="30">
        <f>1.3^((Table1[[#This Row],[Coluna3]]-Table1[[#This Row],[Coluna2]])/360)*Table1[[#This Row],[vl]]</f>
        <v>1141.2074739229777</v>
      </c>
    </row>
    <row r="105" spans="1:9">
      <c r="A105" t="s">
        <v>636</v>
      </c>
      <c r="B105" s="30">
        <v>0.34211999999999998</v>
      </c>
      <c r="C105">
        <v>2025</v>
      </c>
      <c r="D105" t="s">
        <v>867</v>
      </c>
      <c r="E105" s="30">
        <f>Table1[[#This Row],[Despesas]]*1000</f>
        <v>342.12</v>
      </c>
      <c r="F105" s="157">
        <v>45717</v>
      </c>
      <c r="G105" s="157">
        <f t="shared" si="1"/>
        <v>45978</v>
      </c>
      <c r="H105" s="30" cm="1">
        <f t="array" ref="H105">[15]!CalculateINPC(Table1[[#This Row],[Coluna2]],Table1[[#This Row],[Coluna3]],-1)*Table1[[#This Row],[vl]]</f>
        <v>349.43231550479999</v>
      </c>
      <c r="I105" s="30">
        <f>1.3^((Table1[[#This Row],[Coluna3]]-Table1[[#This Row],[Coluna2]])/360)*Table1[[#This Row],[vl]]</f>
        <v>413.79705339865188</v>
      </c>
    </row>
    <row r="106" spans="1:9">
      <c r="A106" t="s">
        <v>233</v>
      </c>
      <c r="B106" s="30">
        <v>0.32</v>
      </c>
      <c r="C106">
        <v>2025</v>
      </c>
      <c r="D106" t="s">
        <v>863</v>
      </c>
      <c r="E106" s="30">
        <f>Table1[[#This Row],[Despesas]]*1000</f>
        <v>320</v>
      </c>
      <c r="F106" s="157">
        <v>45778</v>
      </c>
      <c r="G106" s="157">
        <f t="shared" si="1"/>
        <v>45978</v>
      </c>
      <c r="H106" s="30" cm="1">
        <f t="array" ref="H106">[15]!CalculateINPC(Table1[[#This Row],[Coluna2]],Table1[[#This Row],[Coluna3]],-1)*Table1[[#This Row],[vl]]</f>
        <v>323.62784640000001</v>
      </c>
      <c r="I106" s="30">
        <f>1.3^((Table1[[#This Row],[Coluna3]]-Table1[[#This Row],[Coluna2]])/360)*Table1[[#This Row],[vl]]</f>
        <v>370.21314987027301</v>
      </c>
    </row>
    <row r="107" spans="1:9">
      <c r="A107" t="s">
        <v>534</v>
      </c>
      <c r="B107" s="30">
        <v>0.312</v>
      </c>
      <c r="C107">
        <v>2022</v>
      </c>
      <c r="D107" t="s">
        <v>862</v>
      </c>
      <c r="E107" s="30">
        <f>Table1[[#This Row],[Despesas]]*1000</f>
        <v>312</v>
      </c>
      <c r="F107" s="157">
        <v>44713</v>
      </c>
      <c r="G107" s="157">
        <f t="shared" si="1"/>
        <v>45978</v>
      </c>
      <c r="H107" s="30" cm="1">
        <f t="array" ref="H107">[15]!CalculateINPC(Table1[[#This Row],[Coluna2]],Table1[[#This Row],[Coluna3]],-1)*Table1[[#This Row],[vl]]</f>
        <v>354.61494744000004</v>
      </c>
      <c r="I107" s="30">
        <f>1.3^((Table1[[#This Row],[Coluna3]]-Table1[[#This Row],[Coluna2]])/360)*Table1[[#This Row],[vl]]</f>
        <v>784.40232750738289</v>
      </c>
    </row>
    <row r="108" spans="1:9">
      <c r="A108" t="s">
        <v>534</v>
      </c>
      <c r="B108" s="30">
        <v>0.30599999999999999</v>
      </c>
      <c r="C108">
        <v>2022</v>
      </c>
      <c r="D108" t="s">
        <v>860</v>
      </c>
      <c r="E108" s="30">
        <f>Table1[[#This Row],[Despesas]]*1000</f>
        <v>306</v>
      </c>
      <c r="F108" s="157">
        <v>44774</v>
      </c>
      <c r="G108" s="157">
        <f t="shared" si="1"/>
        <v>45978</v>
      </c>
      <c r="H108" s="30" cm="1">
        <f t="array" ref="H108">[15]!CalculateINPC(Table1[[#This Row],[Coluna2]],Table1[[#This Row],[Coluna3]],-1)*Table1[[#This Row],[vl]]</f>
        <v>347.73890796000001</v>
      </c>
      <c r="I108" s="30">
        <f>1.3^((Table1[[#This Row],[Coluna3]]-Table1[[#This Row],[Coluna2]])/360)*Table1[[#This Row],[vl]]</f>
        <v>735.86583202817963</v>
      </c>
    </row>
    <row r="109" spans="1:9">
      <c r="A109" t="s">
        <v>238</v>
      </c>
      <c r="B109" s="30">
        <v>0.3</v>
      </c>
      <c r="C109">
        <v>2023</v>
      </c>
      <c r="D109" t="s">
        <v>866</v>
      </c>
      <c r="E109" s="30">
        <f>Table1[[#This Row],[Despesas]]*1000</f>
        <v>300</v>
      </c>
      <c r="F109" s="157">
        <v>45200</v>
      </c>
      <c r="G109" s="157">
        <f t="shared" si="1"/>
        <v>45978</v>
      </c>
      <c r="H109" s="30" cm="1">
        <f t="array" ref="H109">[15]!CalculateINPC(Table1[[#This Row],[Coluna2]],Table1[[#This Row],[Coluna3]],-1)*Table1[[#This Row],[vl]]</f>
        <v>328.28598299999999</v>
      </c>
      <c r="I109" s="30">
        <f>1.3^((Table1[[#This Row],[Coluna3]]-Table1[[#This Row],[Coluna2]])/360)*Table1[[#This Row],[vl]]</f>
        <v>528.8901750774354</v>
      </c>
    </row>
    <row r="110" spans="1:9">
      <c r="A110" t="s">
        <v>244</v>
      </c>
      <c r="B110" s="30">
        <v>0.28584999999999999</v>
      </c>
      <c r="C110">
        <v>2020</v>
      </c>
      <c r="D110" t="s">
        <v>868</v>
      </c>
      <c r="E110" s="30">
        <f>Table1[[#This Row],[Despesas]]*1000</f>
        <v>285.84999999999997</v>
      </c>
      <c r="F110" s="157">
        <v>43862</v>
      </c>
      <c r="G110" s="157">
        <f t="shared" si="1"/>
        <v>45978</v>
      </c>
      <c r="H110" s="30" cm="1">
        <f t="array" ref="H110">[15]!CalculateINPC(Table1[[#This Row],[Coluna2]],Table1[[#This Row],[Coluna3]],-1)*Table1[[#This Row],[vl]]</f>
        <v>395.37176385299995</v>
      </c>
      <c r="I110" s="30">
        <f>1.3^((Table1[[#This Row],[Coluna3]]-Table1[[#This Row],[Coluna2]])/360)*Table1[[#This Row],[vl]]</f>
        <v>1336.2013329785975</v>
      </c>
    </row>
    <row r="111" spans="1:9">
      <c r="A111" t="s">
        <v>227</v>
      </c>
      <c r="B111" s="30">
        <v>0.28000000000000003</v>
      </c>
      <c r="C111">
        <v>2024</v>
      </c>
      <c r="D111" t="s">
        <v>866</v>
      </c>
      <c r="E111" s="30">
        <f>Table1[[#This Row],[Despesas]]*1000</f>
        <v>280</v>
      </c>
      <c r="F111" s="157">
        <v>45566</v>
      </c>
      <c r="G111" s="157">
        <f t="shared" si="1"/>
        <v>45978</v>
      </c>
      <c r="H111" s="30" cm="1">
        <f t="array" ref="H111">[15]!CalculateINPC(Table1[[#This Row],[Coluna2]],Table1[[#This Row],[Coluna3]],-1)*Table1[[#This Row],[vl]]</f>
        <v>294.35727439999999</v>
      </c>
      <c r="I111" s="30">
        <f>1.3^((Table1[[#This Row],[Coluna3]]-Table1[[#This Row],[Coluna2]])/360)*Table1[[#This Row],[vl]]</f>
        <v>378.05924950544733</v>
      </c>
    </row>
    <row r="112" spans="1:9">
      <c r="A112" t="s">
        <v>291</v>
      </c>
      <c r="B112" s="30">
        <v>0.27914</v>
      </c>
      <c r="C112">
        <v>2022</v>
      </c>
      <c r="D112" t="s">
        <v>865</v>
      </c>
      <c r="E112" s="30">
        <f>Table1[[#This Row],[Despesas]]*1000</f>
        <v>279.14</v>
      </c>
      <c r="F112" s="157">
        <v>44652</v>
      </c>
      <c r="G112" s="157">
        <f t="shared" si="1"/>
        <v>45978</v>
      </c>
      <c r="H112" s="30" cm="1">
        <f t="array" ref="H112">[15]!CalculateINPC(Table1[[#This Row],[Coluna2]],Table1[[#This Row],[Coluna3]],-1)*Table1[[#This Row],[vl]]</f>
        <v>322.00914602059999</v>
      </c>
      <c r="I112" s="30">
        <f>1.3^((Table1[[#This Row],[Coluna3]]-Table1[[#This Row],[Coluna2]])/360)*Table1[[#This Row],[vl]]</f>
        <v>733.69138872305996</v>
      </c>
    </row>
    <row r="113" spans="1:9">
      <c r="A113" t="s">
        <v>558</v>
      </c>
      <c r="B113" s="30">
        <v>0.27399000000000001</v>
      </c>
      <c r="C113">
        <v>2019</v>
      </c>
      <c r="D113" t="s">
        <v>860</v>
      </c>
      <c r="E113" s="30">
        <f>Table1[[#This Row],[Despesas]]*1000</f>
        <v>273.99</v>
      </c>
      <c r="F113" s="157">
        <v>43678</v>
      </c>
      <c r="G113" s="157">
        <f t="shared" si="1"/>
        <v>45978</v>
      </c>
      <c r="H113" s="30" cm="1">
        <f t="array" ref="H113">[15]!CalculateINPC(Table1[[#This Row],[Coluna2]],Table1[[#This Row],[Coluna3]],-1)*Table1[[#This Row],[vl]]</f>
        <v>386.81998616700002</v>
      </c>
      <c r="I113" s="30">
        <f>1.3^((Table1[[#This Row],[Coluna3]]-Table1[[#This Row],[Coluna2]])/360)*Table1[[#This Row],[vl]]</f>
        <v>1464.5564974017393</v>
      </c>
    </row>
    <row r="114" spans="1:9">
      <c r="A114" t="s">
        <v>561</v>
      </c>
      <c r="B114" s="30">
        <v>0.26051000000000002</v>
      </c>
      <c r="C114">
        <v>2023</v>
      </c>
      <c r="D114" t="s">
        <v>866</v>
      </c>
      <c r="E114" s="30">
        <f>Table1[[#This Row],[Despesas]]*1000</f>
        <v>260.51</v>
      </c>
      <c r="F114" s="157">
        <v>45200</v>
      </c>
      <c r="G114" s="157">
        <f t="shared" si="1"/>
        <v>45978</v>
      </c>
      <c r="H114" s="30" cm="1">
        <f t="array" ref="H114">[15]!CalculateINPC(Table1[[#This Row],[Coluna2]],Table1[[#This Row],[Coluna3]],-1)*Table1[[#This Row],[vl]]</f>
        <v>285.07260477109998</v>
      </c>
      <c r="I114" s="30">
        <f>1.3^((Table1[[#This Row],[Coluna3]]-Table1[[#This Row],[Coluna2]])/360)*Table1[[#This Row],[vl]]</f>
        <v>459.27059836474234</v>
      </c>
    </row>
    <row r="115" spans="1:9">
      <c r="A115" t="s">
        <v>233</v>
      </c>
      <c r="B115" s="30">
        <v>0.25455</v>
      </c>
      <c r="C115">
        <v>2022</v>
      </c>
      <c r="D115" t="s">
        <v>858</v>
      </c>
      <c r="E115" s="30">
        <f>Table1[[#This Row],[Despesas]]*1000</f>
        <v>254.55</v>
      </c>
      <c r="F115" s="157">
        <v>44805</v>
      </c>
      <c r="G115" s="157">
        <f t="shared" si="1"/>
        <v>45978</v>
      </c>
      <c r="H115" s="30" cm="1">
        <f t="array" ref="H115">[15]!CalculateINPC(Table1[[#This Row],[Coluna2]],Table1[[#This Row],[Coluna3]],-1)*Table1[[#This Row],[vl]]</f>
        <v>290.17049497800002</v>
      </c>
      <c r="I115" s="30">
        <f>1.3^((Table1[[#This Row],[Coluna3]]-Table1[[#This Row],[Coluna2]])/360)*Table1[[#This Row],[vl]]</f>
        <v>598.46467981076796</v>
      </c>
    </row>
    <row r="116" spans="1:9">
      <c r="A116" t="s">
        <v>238</v>
      </c>
      <c r="B116" s="30">
        <v>0.22</v>
      </c>
      <c r="C116">
        <v>2023</v>
      </c>
      <c r="D116" t="s">
        <v>864</v>
      </c>
      <c r="E116" s="30">
        <f>Table1[[#This Row],[Despesas]]*1000</f>
        <v>220</v>
      </c>
      <c r="F116" s="157">
        <v>45108</v>
      </c>
      <c r="G116" s="157">
        <f t="shared" si="1"/>
        <v>45978</v>
      </c>
      <c r="H116" s="30" cm="1">
        <f t="array" ref="H116">[15]!CalculateINPC(Table1[[#This Row],[Coluna2]],Table1[[#This Row],[Coluna3]],-1)*Table1[[#This Row],[vl]]</f>
        <v>241.27233899999999</v>
      </c>
      <c r="I116" s="30">
        <f>1.3^((Table1[[#This Row],[Coluna3]]-Table1[[#This Row],[Coluna2]])/360)*Table1[[#This Row],[vl]]</f>
        <v>414.74941509711425</v>
      </c>
    </row>
    <row r="117" spans="1:9">
      <c r="A117" t="s">
        <v>646</v>
      </c>
      <c r="B117" s="30">
        <v>0.2089</v>
      </c>
      <c r="C117">
        <v>2024</v>
      </c>
      <c r="D117" t="s">
        <v>858</v>
      </c>
      <c r="E117" s="30">
        <f>Table1[[#This Row],[Despesas]]*1000</f>
        <v>208.9</v>
      </c>
      <c r="F117" s="157">
        <v>45536</v>
      </c>
      <c r="G117" s="157">
        <f t="shared" si="1"/>
        <v>45978</v>
      </c>
      <c r="H117" s="30" cm="1">
        <f t="array" ref="H117">[15]!CalculateINPC(Table1[[#This Row],[Coluna2]],Table1[[#This Row],[Coluna3]],-1)*Table1[[#This Row],[vl]]</f>
        <v>220.66575562700001</v>
      </c>
      <c r="I117" s="30">
        <f>1.3^((Table1[[#This Row],[Coluna3]]-Table1[[#This Row],[Coluna2]])/360)*Table1[[#This Row],[vl]]</f>
        <v>288.29396811049156</v>
      </c>
    </row>
    <row r="118" spans="1:9">
      <c r="A118" t="s">
        <v>127</v>
      </c>
      <c r="B118" s="30">
        <v>0.2</v>
      </c>
      <c r="C118">
        <v>2021</v>
      </c>
      <c r="D118" t="s">
        <v>864</v>
      </c>
      <c r="E118" s="30">
        <f>Table1[[#This Row],[Despesas]]*1000</f>
        <v>200</v>
      </c>
      <c r="F118" s="157">
        <v>44378</v>
      </c>
      <c r="G118" s="157">
        <f t="shared" si="1"/>
        <v>45978</v>
      </c>
      <c r="H118" s="30" cm="1">
        <f t="array" ref="H118">[15]!CalculateINPC(Table1[[#This Row],[Coluna2]],Table1[[#This Row],[Coluna3]],-1)*Table1[[#This Row],[vl]]</f>
        <v>252.84509000000003</v>
      </c>
      <c r="I118" s="30">
        <f>1.3^((Table1[[#This Row],[Coluna3]]-Table1[[#This Row],[Coluna2]])/360)*Table1[[#This Row],[vl]]</f>
        <v>641.86677346082251</v>
      </c>
    </row>
    <row r="119" spans="1:9">
      <c r="A119" t="s">
        <v>272</v>
      </c>
      <c r="B119" s="30">
        <v>0.2</v>
      </c>
      <c r="C119">
        <v>2025</v>
      </c>
      <c r="D119" t="s">
        <v>858</v>
      </c>
      <c r="E119" s="30">
        <f>Table1[[#This Row],[Despesas]]*1000</f>
        <v>200</v>
      </c>
      <c r="F119" s="157">
        <v>45901</v>
      </c>
      <c r="G119" s="157">
        <f t="shared" si="1"/>
        <v>45978</v>
      </c>
      <c r="H119" s="30" cm="1">
        <f t="array" ref="H119">[15]!CalculateINPC(Table1[[#This Row],[Coluna2]],Table1[[#This Row],[Coluna3]],-1)*Table1[[#This Row],[vl]]</f>
        <v>201.100266</v>
      </c>
      <c r="I119" s="30">
        <f>1.3^((Table1[[#This Row],[Coluna3]]-Table1[[#This Row],[Coluna2]])/360)*Table1[[#This Row],[vl]]</f>
        <v>211.54424388596351</v>
      </c>
    </row>
    <row r="120" spans="1:9">
      <c r="A120" t="s">
        <v>295</v>
      </c>
      <c r="B120" s="30">
        <v>0.2</v>
      </c>
      <c r="C120">
        <v>2025</v>
      </c>
      <c r="D120" t="s">
        <v>860</v>
      </c>
      <c r="E120" s="30">
        <f>Table1[[#This Row],[Despesas]]*1000</f>
        <v>200</v>
      </c>
      <c r="F120" s="157">
        <v>45870</v>
      </c>
      <c r="G120" s="157">
        <f t="shared" si="1"/>
        <v>45978</v>
      </c>
      <c r="H120" s="30" cm="1">
        <f t="array" ref="H120">[15]!CalculateINPC(Table1[[#This Row],[Coluna2]],Table1[[#This Row],[Coluna3]],-1)*Table1[[#This Row],[vl]]</f>
        <v>200.677852</v>
      </c>
      <c r="I120" s="30">
        <f>1.3^((Table1[[#This Row],[Coluna3]]-Table1[[#This Row],[Coluna2]])/360)*Table1[[#This Row],[vl]]</f>
        <v>216.37794972890555</v>
      </c>
    </row>
    <row r="121" spans="1:9">
      <c r="A121" t="s">
        <v>238</v>
      </c>
      <c r="B121" s="30">
        <v>0.2</v>
      </c>
      <c r="C121">
        <v>2021</v>
      </c>
      <c r="D121" t="s">
        <v>867</v>
      </c>
      <c r="E121" s="30">
        <f>Table1[[#This Row],[Despesas]]*1000</f>
        <v>200</v>
      </c>
      <c r="F121" s="157">
        <v>44256</v>
      </c>
      <c r="G121" s="157">
        <f t="shared" si="1"/>
        <v>45978</v>
      </c>
      <c r="H121" s="30" cm="1">
        <f t="array" ref="H121">[15]!CalculateINPC(Table1[[#This Row],[Coluna2]],Table1[[#This Row],[Coluna3]],-1)*Table1[[#This Row],[vl]]</f>
        <v>259.99676399999998</v>
      </c>
      <c r="I121" s="30">
        <f>1.3^((Table1[[#This Row],[Coluna3]]-Table1[[#This Row],[Coluna2]])/360)*Table1[[#This Row],[vl]]</f>
        <v>701.55064922229201</v>
      </c>
    </row>
    <row r="122" spans="1:9">
      <c r="A122" t="s">
        <v>238</v>
      </c>
      <c r="B122" s="30">
        <v>0.2</v>
      </c>
      <c r="C122">
        <v>2022</v>
      </c>
      <c r="D122" t="s">
        <v>867</v>
      </c>
      <c r="E122" s="30">
        <f>Table1[[#This Row],[Despesas]]*1000</f>
        <v>200</v>
      </c>
      <c r="F122" s="157">
        <v>44621</v>
      </c>
      <c r="G122" s="157">
        <f t="shared" si="1"/>
        <v>45978</v>
      </c>
      <c r="H122" s="30" cm="1">
        <f t="array" ref="H122">[15]!CalculateINPC(Table1[[#This Row],[Coluna2]],Table1[[#This Row],[Coluna3]],-1)*Table1[[#This Row],[vl]]</f>
        <v>234.66045599999998</v>
      </c>
      <c r="I122" s="30">
        <f>1.3^((Table1[[#This Row],[Coluna3]]-Table1[[#This Row],[Coluna2]])/360)*Table1[[#This Row],[vl]]</f>
        <v>537.69145163277278</v>
      </c>
    </row>
    <row r="123" spans="1:9">
      <c r="A123" t="s">
        <v>238</v>
      </c>
      <c r="B123" s="30">
        <v>0.2</v>
      </c>
      <c r="C123">
        <v>2022</v>
      </c>
      <c r="D123" t="s">
        <v>864</v>
      </c>
      <c r="E123" s="30">
        <f>Table1[[#This Row],[Despesas]]*1000</f>
        <v>200</v>
      </c>
      <c r="F123" s="157">
        <v>44743</v>
      </c>
      <c r="G123" s="157">
        <f t="shared" si="1"/>
        <v>45978</v>
      </c>
      <c r="H123" s="30" cm="1">
        <f t="array" ref="H123">[15]!CalculateINPC(Table1[[#This Row],[Coluna2]],Table1[[#This Row],[Coluna3]],-1)*Table1[[#This Row],[vl]]</f>
        <v>225.91648599999999</v>
      </c>
      <c r="I123" s="30">
        <f>1.3^((Table1[[#This Row],[Coluna3]]-Table1[[#This Row],[Coluna2]])/360)*Table1[[#This Row],[vl]]</f>
        <v>491.94776964369635</v>
      </c>
    </row>
    <row r="124" spans="1:9">
      <c r="A124" t="s">
        <v>604</v>
      </c>
      <c r="B124" s="30">
        <v>0.18</v>
      </c>
      <c r="C124">
        <v>2020</v>
      </c>
      <c r="D124" t="s">
        <v>865</v>
      </c>
      <c r="E124" s="30">
        <f>Table1[[#This Row],[Despesas]]*1000</f>
        <v>180</v>
      </c>
      <c r="F124" s="157">
        <v>43922</v>
      </c>
      <c r="G124" s="157">
        <f t="shared" si="1"/>
        <v>45978</v>
      </c>
      <c r="H124" s="30" cm="1">
        <f t="array" ref="H124">[15]!CalculateINPC(Table1[[#This Row],[Coluna2]],Table1[[#This Row],[Coluna3]],-1)*Table1[[#This Row],[vl]]</f>
        <v>248.09673419999999</v>
      </c>
      <c r="I124" s="30">
        <f>1.3^((Table1[[#This Row],[Coluna3]]-Table1[[#This Row],[Coluna2]])/360)*Table1[[#This Row],[vl]]</f>
        <v>805.40746482943541</v>
      </c>
    </row>
    <row r="125" spans="1:9">
      <c r="A125" t="s">
        <v>238</v>
      </c>
      <c r="B125" s="30">
        <v>0.17</v>
      </c>
      <c r="C125">
        <v>2020</v>
      </c>
      <c r="D125" t="s">
        <v>856</v>
      </c>
      <c r="E125" s="30">
        <f>Table1[[#This Row],[Despesas]]*1000</f>
        <v>170</v>
      </c>
      <c r="F125" s="157">
        <v>44166</v>
      </c>
      <c r="G125" s="157">
        <f t="shared" si="1"/>
        <v>45978</v>
      </c>
      <c r="H125" s="30" cm="1">
        <f t="array" ref="H125">[15]!CalculateINPC(Table1[[#This Row],[Coluna2]],Table1[[#This Row],[Coluna3]],-1)*Table1[[#This Row],[vl]]</f>
        <v>226.67276909999998</v>
      </c>
      <c r="I125" s="30">
        <f>1.3^((Table1[[#This Row],[Coluna3]]-Table1[[#This Row],[Coluna2]])/360)*Table1[[#This Row],[vl]]</f>
        <v>636.74243609829819</v>
      </c>
    </row>
    <row r="126" spans="1:9">
      <c r="A126" t="s">
        <v>611</v>
      </c>
      <c r="B126" s="30">
        <v>0.16968</v>
      </c>
      <c r="C126">
        <v>2023</v>
      </c>
      <c r="D126" t="s">
        <v>858</v>
      </c>
      <c r="E126" s="30">
        <f>Table1[[#This Row],[Despesas]]*1000</f>
        <v>169.68</v>
      </c>
      <c r="F126" s="157">
        <v>45170</v>
      </c>
      <c r="G126" s="157">
        <f t="shared" si="1"/>
        <v>45978</v>
      </c>
      <c r="H126" s="30" cm="1">
        <f t="array" ref="H126">[15]!CalculateINPC(Table1[[#This Row],[Coluna2]],Table1[[#This Row],[Coluna3]],-1)*Table1[[#This Row],[vl]]</f>
        <v>185.882709264</v>
      </c>
      <c r="I126" s="30">
        <f>1.3^((Table1[[#This Row],[Coluna3]]-Table1[[#This Row],[Coluna2]])/360)*Table1[[#This Row],[vl]]</f>
        <v>305.75261463045729</v>
      </c>
    </row>
    <row r="127" spans="1:9">
      <c r="A127" t="s">
        <v>443</v>
      </c>
      <c r="B127" s="30">
        <v>0.16764000000000001</v>
      </c>
      <c r="C127">
        <v>2023</v>
      </c>
      <c r="D127" t="s">
        <v>864</v>
      </c>
      <c r="E127" s="30">
        <f>Table1[[#This Row],[Despesas]]*1000</f>
        <v>167.64000000000001</v>
      </c>
      <c r="F127" s="157">
        <v>45108</v>
      </c>
      <c r="G127" s="157">
        <f t="shared" si="1"/>
        <v>45978</v>
      </c>
      <c r="H127" s="30" cm="1">
        <f t="array" ref="H127">[15]!CalculateINPC(Table1[[#This Row],[Coluna2]],Table1[[#This Row],[Coluna3]],-1)*Table1[[#This Row],[vl]]</f>
        <v>183.849522318</v>
      </c>
      <c r="I127" s="30">
        <f>1.3^((Table1[[#This Row],[Coluna3]]-Table1[[#This Row],[Coluna2]])/360)*Table1[[#This Row],[vl]]</f>
        <v>316.03905430400113</v>
      </c>
    </row>
    <row r="128" spans="1:9">
      <c r="A128" t="s">
        <v>238</v>
      </c>
      <c r="B128" s="30">
        <v>0.16653999999999999</v>
      </c>
      <c r="C128">
        <v>2024</v>
      </c>
      <c r="D128" t="s">
        <v>858</v>
      </c>
      <c r="E128" s="30">
        <f>Table1[[#This Row],[Despesas]]*1000</f>
        <v>166.54</v>
      </c>
      <c r="F128" s="157">
        <v>45536</v>
      </c>
      <c r="G128" s="157">
        <f t="shared" si="1"/>
        <v>45978</v>
      </c>
      <c r="H128" s="30" cm="1">
        <f t="array" ref="H128">[15]!CalculateINPC(Table1[[#This Row],[Coluna2]],Table1[[#This Row],[Coluna3]],-1)*Table1[[#This Row],[vl]]</f>
        <v>175.91993749220001</v>
      </c>
      <c r="I128" s="30">
        <f>1.3^((Table1[[#This Row],[Coluna3]]-Table1[[#This Row],[Coluna2]])/360)*Table1[[#This Row],[vl]]</f>
        <v>229.83474125955607</v>
      </c>
    </row>
    <row r="129" spans="1:9">
      <c r="A129" t="s">
        <v>636</v>
      </c>
      <c r="B129" s="30">
        <v>0.16388</v>
      </c>
      <c r="C129">
        <v>2024</v>
      </c>
      <c r="D129" t="s">
        <v>858</v>
      </c>
      <c r="E129" s="30">
        <f>Table1[[#This Row],[Despesas]]*1000</f>
        <v>163.88</v>
      </c>
      <c r="F129" s="157">
        <v>45536</v>
      </c>
      <c r="G129" s="157">
        <f t="shared" si="1"/>
        <v>45978</v>
      </c>
      <c r="H129" s="30" cm="1">
        <f t="array" ref="H129">[15]!CalculateINPC(Table1[[#This Row],[Coluna2]],Table1[[#This Row],[Coluna3]],-1)*Table1[[#This Row],[vl]]</f>
        <v>173.1101198284</v>
      </c>
      <c r="I129" s="30">
        <f>1.3^((Table1[[#This Row],[Coluna3]]-Table1[[#This Row],[Coluna2]])/360)*Table1[[#This Row],[vl]]</f>
        <v>226.16378886523387</v>
      </c>
    </row>
    <row r="130" spans="1:9">
      <c r="A130" t="s">
        <v>227</v>
      </c>
      <c r="B130" s="30">
        <v>0.15</v>
      </c>
      <c r="C130">
        <v>2024</v>
      </c>
      <c r="D130" t="s">
        <v>862</v>
      </c>
      <c r="E130" s="30">
        <f>Table1[[#This Row],[Despesas]]*1000</f>
        <v>150</v>
      </c>
      <c r="F130" s="157">
        <v>45444</v>
      </c>
      <c r="G130" s="157">
        <f t="shared" si="1"/>
        <v>45978</v>
      </c>
      <c r="H130" s="30" cm="1">
        <f t="array" ref="H130">[15]!CalculateINPC(Table1[[#This Row],[Coluna2]],Table1[[#This Row],[Coluna3]],-1)*Table1[[#This Row],[vl]]</f>
        <v>159.03471599999997</v>
      </c>
      <c r="I130" s="30">
        <f>1.3^((Table1[[#This Row],[Coluna3]]-Table1[[#This Row],[Coluna2]])/360)*Table1[[#This Row],[vl]]</f>
        <v>221.36412122536251</v>
      </c>
    </row>
    <row r="131" spans="1:9">
      <c r="A131" t="s">
        <v>272</v>
      </c>
      <c r="B131" s="30">
        <v>0.15</v>
      </c>
      <c r="C131">
        <v>2023</v>
      </c>
      <c r="D131" t="s">
        <v>858</v>
      </c>
      <c r="E131" s="30">
        <f>Table1[[#This Row],[Despesas]]*1000</f>
        <v>150</v>
      </c>
      <c r="F131" s="157">
        <v>45170</v>
      </c>
      <c r="G131" s="157">
        <f t="shared" si="1"/>
        <v>45978</v>
      </c>
      <c r="H131" s="30" cm="1">
        <f t="array" ref="H131">[15]!CalculateINPC(Table1[[#This Row],[Coluna2]],Table1[[#This Row],[Coluna3]],-1)*Table1[[#This Row],[vl]]</f>
        <v>164.32346999999999</v>
      </c>
      <c r="I131" s="30">
        <f>1.3^((Table1[[#This Row],[Coluna3]]-Table1[[#This Row],[Coluna2]])/360)*Table1[[#This Row],[vl]]</f>
        <v>270.29050091094172</v>
      </c>
    </row>
    <row r="132" spans="1:9">
      <c r="A132" t="s">
        <v>534</v>
      </c>
      <c r="B132" s="30">
        <v>0.14399999999999999</v>
      </c>
      <c r="C132">
        <v>2025</v>
      </c>
      <c r="D132" t="s">
        <v>863</v>
      </c>
      <c r="E132" s="30">
        <f>Table1[[#This Row],[Despesas]]*1000</f>
        <v>144</v>
      </c>
      <c r="F132" s="157">
        <v>45778</v>
      </c>
      <c r="G132" s="157">
        <f t="shared" si="1"/>
        <v>45978</v>
      </c>
      <c r="H132" s="30" cm="1">
        <f t="array" ref="H132">[15]!CalculateINPC(Table1[[#This Row],[Coluna2]],Table1[[#This Row],[Coluna3]],-1)*Table1[[#This Row],[vl]]</f>
        <v>145.63253087999999</v>
      </c>
      <c r="I132" s="30">
        <f>1.3^((Table1[[#This Row],[Coluna3]]-Table1[[#This Row],[Coluna2]])/360)*Table1[[#This Row],[vl]]</f>
        <v>166.59591744162287</v>
      </c>
    </row>
    <row r="133" spans="1:9">
      <c r="A133" t="s">
        <v>272</v>
      </c>
      <c r="B133" s="30">
        <v>0.13500000000000001</v>
      </c>
      <c r="C133">
        <v>2023</v>
      </c>
      <c r="D133" t="s">
        <v>862</v>
      </c>
      <c r="E133" s="30">
        <f>Table1[[#This Row],[Despesas]]*1000</f>
        <v>135</v>
      </c>
      <c r="F133" s="157">
        <v>45078</v>
      </c>
      <c r="G133" s="157">
        <f t="shared" ref="G133:G185" si="2">$G$2</f>
        <v>45978</v>
      </c>
      <c r="H133" s="30" cm="1">
        <f t="array" ref="H133">[15]!CalculateINPC(Table1[[#This Row],[Coluna2]],Table1[[#This Row],[Coluna3]],-1)*Table1[[#This Row],[vl]]</f>
        <v>147.90549780000001</v>
      </c>
      <c r="I133" s="30">
        <f>1.3^((Table1[[#This Row],[Coluna3]]-Table1[[#This Row],[Coluna2]])/360)*Table1[[#This Row],[vl]]</f>
        <v>260.13102323636832</v>
      </c>
    </row>
    <row r="134" spans="1:9">
      <c r="A134" t="s">
        <v>244</v>
      </c>
      <c r="B134" s="30">
        <v>0.13486999999999999</v>
      </c>
      <c r="C134">
        <v>2024</v>
      </c>
      <c r="D134" t="s">
        <v>856</v>
      </c>
      <c r="E134" s="30">
        <f>Table1[[#This Row],[Despesas]]*1000</f>
        <v>134.86999999999998</v>
      </c>
      <c r="F134" s="157">
        <v>45627</v>
      </c>
      <c r="G134" s="157">
        <f t="shared" si="2"/>
        <v>45978</v>
      </c>
      <c r="H134" s="30" cm="1">
        <f t="array" ref="H134">[15]!CalculateINPC(Table1[[#This Row],[Coluna2]],Table1[[#This Row],[Coluna3]],-1)*Table1[[#This Row],[vl]]</f>
        <v>140.46247491289998</v>
      </c>
      <c r="I134" s="30">
        <f>1.3^((Table1[[#This Row],[Coluna3]]-Table1[[#This Row],[Coluna2]])/360)*Table1[[#This Row],[vl]]</f>
        <v>174.18474858078537</v>
      </c>
    </row>
    <row r="135" spans="1:9">
      <c r="A135" t="s">
        <v>150</v>
      </c>
      <c r="B135" s="30">
        <v>0.1333</v>
      </c>
      <c r="C135">
        <v>2022</v>
      </c>
      <c r="D135" t="s">
        <v>858</v>
      </c>
      <c r="E135" s="30">
        <f>Table1[[#This Row],[Despesas]]*1000</f>
        <v>133.30000000000001</v>
      </c>
      <c r="F135" s="157">
        <v>44805</v>
      </c>
      <c r="G135" s="157">
        <f t="shared" si="2"/>
        <v>45978</v>
      </c>
      <c r="H135" s="30" cm="1">
        <f t="array" ref="H135">[15]!CalculateINPC(Table1[[#This Row],[Coluna2]],Table1[[#This Row],[Coluna3]],-1)*Table1[[#This Row],[vl]]</f>
        <v>151.95335682800001</v>
      </c>
      <c r="I135" s="30">
        <f>1.3^((Table1[[#This Row],[Coluna3]]-Table1[[#This Row],[Coluna2]])/360)*Table1[[#This Row],[vl]]</f>
        <v>313.39753218925699</v>
      </c>
    </row>
    <row r="136" spans="1:9">
      <c r="A136" t="s">
        <v>244</v>
      </c>
      <c r="B136" s="30">
        <v>0.12967999999999999</v>
      </c>
      <c r="C136">
        <v>2023</v>
      </c>
      <c r="D136" t="s">
        <v>864</v>
      </c>
      <c r="E136" s="30">
        <f>Table1[[#This Row],[Despesas]]*1000</f>
        <v>129.67999999999998</v>
      </c>
      <c r="F136" s="157">
        <v>45108</v>
      </c>
      <c r="G136" s="157">
        <f t="shared" si="2"/>
        <v>45978</v>
      </c>
      <c r="H136" s="30" cm="1">
        <f t="array" ref="H136">[15]!CalculateINPC(Table1[[#This Row],[Coluna2]],Table1[[#This Row],[Coluna3]],-1)*Table1[[#This Row],[vl]]</f>
        <v>142.21907691599998</v>
      </c>
      <c r="I136" s="30">
        <f>1.3^((Table1[[#This Row],[Coluna3]]-Table1[[#This Row],[Coluna2]])/360)*Table1[[#This Row],[vl]]</f>
        <v>244.47592795360805</v>
      </c>
    </row>
    <row r="137" spans="1:9">
      <c r="A137" t="s">
        <v>636</v>
      </c>
      <c r="B137" s="30">
        <v>0.12540000000000001</v>
      </c>
      <c r="C137">
        <v>2025</v>
      </c>
      <c r="D137" t="s">
        <v>860</v>
      </c>
      <c r="E137" s="30">
        <f>Table1[[#This Row],[Despesas]]*1000</f>
        <v>125.4</v>
      </c>
      <c r="F137" s="157">
        <v>45870</v>
      </c>
      <c r="G137" s="157">
        <f t="shared" si="2"/>
        <v>45978</v>
      </c>
      <c r="H137" s="30" cm="1">
        <f t="array" ref="H137">[15]!CalculateINPC(Table1[[#This Row],[Coluna2]],Table1[[#This Row],[Coluna3]],-1)*Table1[[#This Row],[vl]]</f>
        <v>125.82501320400002</v>
      </c>
      <c r="I137" s="30">
        <f>1.3^((Table1[[#This Row],[Coluna3]]-Table1[[#This Row],[Coluna2]])/360)*Table1[[#This Row],[vl]]</f>
        <v>135.66897448002379</v>
      </c>
    </row>
    <row r="138" spans="1:9">
      <c r="A138" t="s">
        <v>190</v>
      </c>
      <c r="B138" s="30">
        <v>0.12</v>
      </c>
      <c r="C138">
        <v>2022</v>
      </c>
      <c r="D138" t="s">
        <v>862</v>
      </c>
      <c r="E138" s="30">
        <f>Table1[[#This Row],[Despesas]]*1000</f>
        <v>120</v>
      </c>
      <c r="F138" s="157">
        <v>44713</v>
      </c>
      <c r="G138" s="157">
        <f t="shared" si="2"/>
        <v>45978</v>
      </c>
      <c r="H138" s="30" cm="1">
        <f t="array" ref="H138">[15]!CalculateINPC(Table1[[#This Row],[Coluna2]],Table1[[#This Row],[Coluna3]],-1)*Table1[[#This Row],[vl]]</f>
        <v>136.39036440000001</v>
      </c>
      <c r="I138" s="30">
        <f>1.3^((Table1[[#This Row],[Coluna3]]-Table1[[#This Row],[Coluna2]])/360)*Table1[[#This Row],[vl]]</f>
        <v>301.69320288745496</v>
      </c>
    </row>
    <row r="139" spans="1:9">
      <c r="A139" t="s">
        <v>238</v>
      </c>
      <c r="B139" s="30">
        <v>0.12</v>
      </c>
      <c r="C139">
        <v>2020</v>
      </c>
      <c r="D139" t="s">
        <v>861</v>
      </c>
      <c r="E139" s="30">
        <f>Table1[[#This Row],[Despesas]]*1000</f>
        <v>120</v>
      </c>
      <c r="F139" s="157">
        <v>44136</v>
      </c>
      <c r="G139" s="157">
        <f t="shared" si="2"/>
        <v>45978</v>
      </c>
      <c r="H139" s="30" cm="1">
        <f t="array" ref="H139">[15]!CalculateINPC(Table1[[#This Row],[Coluna2]],Table1[[#This Row],[Coluna3]],-1)*Table1[[#This Row],[vl]]</f>
        <v>161.52429599999999</v>
      </c>
      <c r="I139" s="30">
        <f>1.3^((Table1[[#This Row],[Coluna3]]-Table1[[#This Row],[Coluna2]])/360)*Table1[[#This Row],[vl]]</f>
        <v>459.40043140086465</v>
      </c>
    </row>
    <row r="140" spans="1:9">
      <c r="A140" t="s">
        <v>244</v>
      </c>
      <c r="B140" s="30">
        <v>0.10593</v>
      </c>
      <c r="C140">
        <v>2024</v>
      </c>
      <c r="D140" t="s">
        <v>858</v>
      </c>
      <c r="E140" s="30">
        <f>Table1[[#This Row],[Despesas]]*1000</f>
        <v>105.92999999999999</v>
      </c>
      <c r="F140" s="157">
        <v>45536</v>
      </c>
      <c r="G140" s="157">
        <f t="shared" si="2"/>
        <v>45978</v>
      </c>
      <c r="H140" s="30" cm="1">
        <f t="array" ref="H140">[15]!CalculateINPC(Table1[[#This Row],[Coluna2]],Table1[[#This Row],[Coluna3]],-1)*Table1[[#This Row],[vl]]</f>
        <v>111.8962350099</v>
      </c>
      <c r="I140" s="30">
        <f>1.3^((Table1[[#This Row],[Coluna3]]-Table1[[#This Row],[Coluna2]])/360)*Table1[[#This Row],[vl]]</f>
        <v>146.18946884607166</v>
      </c>
    </row>
    <row r="141" spans="1:9">
      <c r="A141" t="s">
        <v>238</v>
      </c>
      <c r="B141" s="30">
        <v>0.10542</v>
      </c>
      <c r="C141">
        <v>2025</v>
      </c>
      <c r="D141" t="s">
        <v>860</v>
      </c>
      <c r="E141" s="30">
        <f>Table1[[#This Row],[Despesas]]*1000</f>
        <v>105.42</v>
      </c>
      <c r="F141" s="157">
        <v>45870</v>
      </c>
      <c r="G141" s="157">
        <f t="shared" si="2"/>
        <v>45978</v>
      </c>
      <c r="H141" s="30" cm="1">
        <f t="array" ref="H141">[15]!CalculateINPC(Table1[[#This Row],[Coluna2]],Table1[[#This Row],[Coluna3]],-1)*Table1[[#This Row],[vl]]</f>
        <v>105.77729578920001</v>
      </c>
      <c r="I141" s="30">
        <f>1.3^((Table1[[#This Row],[Coluna3]]-Table1[[#This Row],[Coluna2]])/360)*Table1[[#This Row],[vl]]</f>
        <v>114.05281730210612</v>
      </c>
    </row>
    <row r="142" spans="1:9">
      <c r="A142" t="s">
        <v>233</v>
      </c>
      <c r="B142" s="30">
        <v>0.1</v>
      </c>
      <c r="C142">
        <v>2024</v>
      </c>
      <c r="D142" t="s">
        <v>858</v>
      </c>
      <c r="E142" s="30">
        <f>Table1[[#This Row],[Despesas]]*1000</f>
        <v>100</v>
      </c>
      <c r="F142" s="157">
        <v>45536</v>
      </c>
      <c r="G142" s="157">
        <f t="shared" si="2"/>
        <v>45978</v>
      </c>
      <c r="H142" s="30" cm="1">
        <f t="array" ref="H142">[15]!CalculateINPC(Table1[[#This Row],[Coluna2]],Table1[[#This Row],[Coluna3]],-1)*Table1[[#This Row],[vl]]</f>
        <v>105.632243</v>
      </c>
      <c r="I142" s="30">
        <f>1.3^((Table1[[#This Row],[Coluna3]]-Table1[[#This Row],[Coluna2]])/360)*Table1[[#This Row],[vl]]</f>
        <v>138.00572910985713</v>
      </c>
    </row>
    <row r="143" spans="1:9">
      <c r="A143" t="s">
        <v>272</v>
      </c>
      <c r="B143" s="30">
        <v>0.1</v>
      </c>
      <c r="C143">
        <v>2025</v>
      </c>
      <c r="D143" t="s">
        <v>863</v>
      </c>
      <c r="E143" s="30">
        <f>Table1[[#This Row],[Despesas]]*1000</f>
        <v>100</v>
      </c>
      <c r="F143" s="157">
        <v>45778</v>
      </c>
      <c r="G143" s="157">
        <f t="shared" si="2"/>
        <v>45978</v>
      </c>
      <c r="H143" s="30" cm="1">
        <f t="array" ref="H143">[15]!CalculateINPC(Table1[[#This Row],[Coluna2]],Table1[[#This Row],[Coluna3]],-1)*Table1[[#This Row],[vl]]</f>
        <v>101.133702</v>
      </c>
      <c r="I143" s="30">
        <f>1.3^((Table1[[#This Row],[Coluna3]]-Table1[[#This Row],[Coluna2]])/360)*Table1[[#This Row],[vl]]</f>
        <v>115.69160933446032</v>
      </c>
    </row>
    <row r="144" spans="1:9">
      <c r="A144" t="s">
        <v>291</v>
      </c>
      <c r="B144" s="30">
        <v>0.1</v>
      </c>
      <c r="C144">
        <v>2023</v>
      </c>
      <c r="D144" t="s">
        <v>867</v>
      </c>
      <c r="E144" s="30">
        <f>Table1[[#This Row],[Despesas]]*1000</f>
        <v>100</v>
      </c>
      <c r="F144" s="157">
        <v>44986</v>
      </c>
      <c r="G144" s="157">
        <f t="shared" si="2"/>
        <v>45978</v>
      </c>
      <c r="H144" s="30" cm="1">
        <f t="array" ref="H144">[15]!CalculateINPC(Table1[[#This Row],[Coluna2]],Table1[[#This Row],[Coluna3]],-1)*Table1[[#This Row],[vl]]</f>
        <v>111.244287</v>
      </c>
      <c r="I144" s="30">
        <f>1.3^((Table1[[#This Row],[Coluna3]]-Table1[[#This Row],[Coluna2]])/360)*Table1[[#This Row],[vl]]</f>
        <v>206.05219129898558</v>
      </c>
    </row>
    <row r="145" spans="1:9">
      <c r="A145" t="s">
        <v>238</v>
      </c>
      <c r="B145" s="30">
        <v>0.1</v>
      </c>
      <c r="C145">
        <v>2025</v>
      </c>
      <c r="D145" t="s">
        <v>868</v>
      </c>
      <c r="E145" s="30">
        <f>Table1[[#This Row],[Despesas]]*1000</f>
        <v>100</v>
      </c>
      <c r="F145" s="157">
        <v>45689</v>
      </c>
      <c r="G145" s="157">
        <f t="shared" si="2"/>
        <v>45978</v>
      </c>
      <c r="H145" s="30" cm="1">
        <f t="array" ref="H145">[15]!CalculateINPC(Table1[[#This Row],[Coluna2]],Table1[[#This Row],[Coluna3]],-1)*Table1[[#This Row],[vl]]</f>
        <v>103.64901500000001</v>
      </c>
      <c r="I145" s="30">
        <f>1.3^((Table1[[#This Row],[Coluna3]]-Table1[[#This Row],[Coluna2]])/360)*Table1[[#This Row],[vl]]</f>
        <v>123.44434258827737</v>
      </c>
    </row>
    <row r="146" spans="1:9">
      <c r="A146" t="s">
        <v>238</v>
      </c>
      <c r="B146" s="30">
        <v>9.9599999999999994E-2</v>
      </c>
      <c r="C146">
        <v>2023</v>
      </c>
      <c r="D146" t="s">
        <v>867</v>
      </c>
      <c r="E146" s="30">
        <f>Table1[[#This Row],[Despesas]]*1000</f>
        <v>99.6</v>
      </c>
      <c r="F146" s="157">
        <v>44986</v>
      </c>
      <c r="G146" s="157">
        <f t="shared" si="2"/>
        <v>45978</v>
      </c>
      <c r="H146" s="30" cm="1">
        <f t="array" ref="H146">[15]!CalculateINPC(Table1[[#This Row],[Coluna2]],Table1[[#This Row],[Coluna3]],-1)*Table1[[#This Row],[vl]]</f>
        <v>110.79930985199999</v>
      </c>
      <c r="I146" s="30">
        <f>1.3^((Table1[[#This Row],[Coluna3]]-Table1[[#This Row],[Coluna2]])/360)*Table1[[#This Row],[vl]]</f>
        <v>205.22798253378963</v>
      </c>
    </row>
    <row r="147" spans="1:9">
      <c r="A147" t="s">
        <v>670</v>
      </c>
      <c r="B147" s="30">
        <v>9.8290000000000002E-2</v>
      </c>
      <c r="C147">
        <v>2023</v>
      </c>
      <c r="D147" t="s">
        <v>858</v>
      </c>
      <c r="E147" s="30">
        <f>Table1[[#This Row],[Despesas]]*1000</f>
        <v>98.29</v>
      </c>
      <c r="F147" s="157">
        <v>45170</v>
      </c>
      <c r="G147" s="157">
        <f t="shared" si="2"/>
        <v>45978</v>
      </c>
      <c r="H147" s="30" cm="1">
        <f t="array" ref="H147">[15]!CalculateINPC(Table1[[#This Row],[Coluna2]],Table1[[#This Row],[Coluna3]],-1)*Table1[[#This Row],[vl]]</f>
        <v>107.675692442</v>
      </c>
      <c r="I147" s="30">
        <f>1.3^((Table1[[#This Row],[Coluna3]]-Table1[[#This Row],[Coluna2]])/360)*Table1[[#This Row],[vl]]</f>
        <v>177.11235556357644</v>
      </c>
    </row>
    <row r="148" spans="1:9">
      <c r="A148" t="s">
        <v>443</v>
      </c>
      <c r="B148" s="30">
        <v>9.1020000000000004E-2</v>
      </c>
      <c r="C148">
        <v>2024</v>
      </c>
      <c r="D148" t="s">
        <v>868</v>
      </c>
      <c r="E148" s="30">
        <f>Table1[[#This Row],[Despesas]]*1000</f>
        <v>91.02000000000001</v>
      </c>
      <c r="F148" s="157">
        <v>45323</v>
      </c>
      <c r="G148" s="157">
        <f t="shared" si="2"/>
        <v>45978</v>
      </c>
      <c r="H148" s="30" cm="1">
        <f t="array" ref="H148">[15]!CalculateINPC(Table1[[#This Row],[Coluna2]],Table1[[#This Row],[Coluna3]],-1)*Table1[[#This Row],[vl]]</f>
        <v>98.27947212780002</v>
      </c>
      <c r="I148" s="30">
        <f>1.3^((Table1[[#This Row],[Coluna3]]-Table1[[#This Row],[Coluna2]])/360)*Table1[[#This Row],[vl]]</f>
        <v>146.7068629105878</v>
      </c>
    </row>
    <row r="149" spans="1:9">
      <c r="A149" t="s">
        <v>646</v>
      </c>
      <c r="B149" s="30">
        <v>8.9319999999999997E-2</v>
      </c>
      <c r="C149">
        <v>2019</v>
      </c>
      <c r="D149" t="s">
        <v>860</v>
      </c>
      <c r="E149" s="30">
        <f>Table1[[#This Row],[Despesas]]*1000</f>
        <v>89.32</v>
      </c>
      <c r="F149" s="157">
        <v>43678</v>
      </c>
      <c r="G149" s="157">
        <f t="shared" si="2"/>
        <v>45978</v>
      </c>
      <c r="H149" s="30" cm="1">
        <f t="array" ref="H149">[15]!CalculateINPC(Table1[[#This Row],[Coluna2]],Table1[[#This Row],[Coluna3]],-1)*Table1[[#This Row],[vl]]</f>
        <v>126.102270756</v>
      </c>
      <c r="I149" s="30">
        <f>1.3^((Table1[[#This Row],[Coluna3]]-Table1[[#This Row],[Coluna2]])/360)*Table1[[#This Row],[vl]]</f>
        <v>477.44146263704272</v>
      </c>
    </row>
    <row r="150" spans="1:9">
      <c r="A150" t="s">
        <v>168</v>
      </c>
      <c r="B150" s="30">
        <v>8.2699999999999996E-2</v>
      </c>
      <c r="C150">
        <v>2021</v>
      </c>
      <c r="D150" t="s">
        <v>864</v>
      </c>
      <c r="E150" s="30">
        <f>Table1[[#This Row],[Despesas]]*1000</f>
        <v>82.699999999999989</v>
      </c>
      <c r="F150" s="157">
        <v>44378</v>
      </c>
      <c r="G150" s="157">
        <f t="shared" si="2"/>
        <v>45978</v>
      </c>
      <c r="H150" s="30" cm="1">
        <f t="array" ref="H150">[15]!CalculateINPC(Table1[[#This Row],[Coluna2]],Table1[[#This Row],[Coluna3]],-1)*Table1[[#This Row],[vl]]</f>
        <v>104.55144471499999</v>
      </c>
      <c r="I150" s="30">
        <f>1.3^((Table1[[#This Row],[Coluna3]]-Table1[[#This Row],[Coluna2]])/360)*Table1[[#This Row],[vl]]</f>
        <v>265.41191082605008</v>
      </c>
    </row>
    <row r="151" spans="1:9">
      <c r="A151" t="s">
        <v>227</v>
      </c>
      <c r="B151" s="30">
        <v>0.08</v>
      </c>
      <c r="C151">
        <v>2025</v>
      </c>
      <c r="D151" t="s">
        <v>863</v>
      </c>
      <c r="E151" s="30">
        <f>Table1[[#This Row],[Despesas]]*1000</f>
        <v>80</v>
      </c>
      <c r="F151" s="157">
        <v>45778</v>
      </c>
      <c r="G151" s="157">
        <f t="shared" si="2"/>
        <v>45978</v>
      </c>
      <c r="H151" s="30" cm="1">
        <f t="array" ref="H151">[15]!CalculateINPC(Table1[[#This Row],[Coluna2]],Table1[[#This Row],[Coluna3]],-1)*Table1[[#This Row],[vl]]</f>
        <v>80.906961600000002</v>
      </c>
      <c r="I151" s="30">
        <f>1.3^((Table1[[#This Row],[Coluna3]]-Table1[[#This Row],[Coluna2]])/360)*Table1[[#This Row],[vl]]</f>
        <v>92.553287467568254</v>
      </c>
    </row>
    <row r="152" spans="1:9">
      <c r="A152" t="s">
        <v>233</v>
      </c>
      <c r="B152" s="30">
        <v>7.6499999999999999E-2</v>
      </c>
      <c r="C152">
        <v>2019</v>
      </c>
      <c r="D152" t="s">
        <v>858</v>
      </c>
      <c r="E152" s="30">
        <f>Table1[[#This Row],[Despesas]]*1000</f>
        <v>76.5</v>
      </c>
      <c r="F152" s="157">
        <v>43709</v>
      </c>
      <c r="G152" s="157">
        <f t="shared" si="2"/>
        <v>45978</v>
      </c>
      <c r="H152" s="30" cm="1">
        <f t="array" ref="H152">[15]!CalculateINPC(Table1[[#This Row],[Coluna2]],Table1[[#This Row],[Coluna3]],-1)*Table1[[#This Row],[vl]]</f>
        <v>107.87348843999999</v>
      </c>
      <c r="I152" s="30">
        <f>1.3^((Table1[[#This Row],[Coluna3]]-Table1[[#This Row],[Coluna2]])/360)*Table1[[#This Row],[vl]]</f>
        <v>399.78000031930588</v>
      </c>
    </row>
    <row r="153" spans="1:9">
      <c r="A153" t="s">
        <v>743</v>
      </c>
      <c r="B153" s="30">
        <v>7.5999999999999998E-2</v>
      </c>
      <c r="C153">
        <v>2025</v>
      </c>
      <c r="D153" t="s">
        <v>867</v>
      </c>
      <c r="E153" s="30">
        <f>Table1[[#This Row],[Despesas]]*1000</f>
        <v>76</v>
      </c>
      <c r="F153" s="157">
        <v>45717</v>
      </c>
      <c r="G153" s="157">
        <f t="shared" si="2"/>
        <v>45978</v>
      </c>
      <c r="H153" s="30" cm="1">
        <f t="array" ref="H153">[15]!CalculateINPC(Table1[[#This Row],[Coluna2]],Table1[[#This Row],[Coluna3]],-1)*Table1[[#This Row],[vl]]</f>
        <v>77.624389039999997</v>
      </c>
      <c r="I153" s="30">
        <f>1.3^((Table1[[#This Row],[Coluna3]]-Table1[[#This Row],[Coluna2]])/360)*Table1[[#This Row],[vl]]</f>
        <v>91.922647194836728</v>
      </c>
    </row>
    <row r="154" spans="1:9">
      <c r="A154" t="s">
        <v>343</v>
      </c>
      <c r="B154" s="30">
        <v>7.5289999999999996E-2</v>
      </c>
      <c r="C154">
        <v>2025</v>
      </c>
      <c r="D154" t="s">
        <v>862</v>
      </c>
      <c r="E154" s="30">
        <f>Table1[[#This Row],[Despesas]]*1000</f>
        <v>75.289999999999992</v>
      </c>
      <c r="F154" s="157">
        <v>45809</v>
      </c>
      <c r="G154" s="157">
        <f t="shared" si="2"/>
        <v>45978</v>
      </c>
      <c r="H154" s="30" cm="1">
        <f t="array" ref="H154">[15]!CalculateINPC(Table1[[#This Row],[Coluna2]],Table1[[#This Row],[Coluna3]],-1)*Table1[[#This Row],[vl]]</f>
        <v>75.877956173799987</v>
      </c>
      <c r="I154" s="30">
        <f>1.3^((Table1[[#This Row],[Coluna3]]-Table1[[#This Row],[Coluna2]])/360)*Table1[[#This Row],[vl]]</f>
        <v>85.158376032318643</v>
      </c>
    </row>
    <row r="155" spans="1:9">
      <c r="A155" t="s">
        <v>272</v>
      </c>
      <c r="B155" s="30">
        <v>7.4999999999999997E-2</v>
      </c>
      <c r="C155">
        <v>2025</v>
      </c>
      <c r="D155" t="s">
        <v>865</v>
      </c>
      <c r="E155" s="30">
        <f>Table1[[#This Row],[Despesas]]*1000</f>
        <v>75</v>
      </c>
      <c r="F155" s="157">
        <v>45748</v>
      </c>
      <c r="G155" s="157">
        <f t="shared" si="2"/>
        <v>45978</v>
      </c>
      <c r="H155" s="30" cm="1">
        <f t="array" ref="H155">[15]!CalculateINPC(Table1[[#This Row],[Coluna2]],Table1[[#This Row],[Coluna3]],-1)*Table1[[#This Row],[vl]]</f>
        <v>76.21432575</v>
      </c>
      <c r="I155" s="30">
        <f>1.3^((Table1[[#This Row],[Coluna3]]-Table1[[#This Row],[Coluna2]])/360)*Table1[[#This Row],[vl]]</f>
        <v>88.686681597817341</v>
      </c>
    </row>
    <row r="156" spans="1:9">
      <c r="A156" t="s">
        <v>238</v>
      </c>
      <c r="B156" s="30">
        <v>6.8049999999999999E-2</v>
      </c>
      <c r="C156">
        <v>2019</v>
      </c>
      <c r="D156" t="s">
        <v>864</v>
      </c>
      <c r="E156" s="30">
        <f>Table1[[#This Row],[Despesas]]*1000</f>
        <v>68.05</v>
      </c>
      <c r="F156" s="157">
        <v>43647</v>
      </c>
      <c r="G156" s="157">
        <f t="shared" si="2"/>
        <v>45978</v>
      </c>
      <c r="H156" s="30" cm="1">
        <f t="array" ref="H156">[15]!CalculateINPC(Table1[[#This Row],[Coluna2]],Table1[[#This Row],[Coluna3]],-1)*Table1[[#This Row],[vl]]</f>
        <v>96.169216102500002</v>
      </c>
      <c r="I156" s="30">
        <f>1.3^((Table1[[#This Row],[Coluna3]]-Table1[[#This Row],[Coluna2]])/360)*Table1[[#This Row],[vl]]</f>
        <v>372.05858987095365</v>
      </c>
    </row>
    <row r="157" spans="1:9">
      <c r="A157" t="s">
        <v>443</v>
      </c>
      <c r="B157" s="30">
        <v>6.6280000000000006E-2</v>
      </c>
      <c r="C157">
        <v>2024</v>
      </c>
      <c r="D157" t="s">
        <v>867</v>
      </c>
      <c r="E157" s="30">
        <f>Table1[[#This Row],[Despesas]]*1000</f>
        <v>66.28</v>
      </c>
      <c r="F157" s="157">
        <v>45352</v>
      </c>
      <c r="G157" s="157">
        <f t="shared" si="2"/>
        <v>45978</v>
      </c>
      <c r="H157" s="30" cm="1">
        <f t="array" ref="H157">[15]!CalculateINPC(Table1[[#This Row],[Coluna2]],Table1[[#This Row],[Coluna3]],-1)*Table1[[#This Row],[vl]]</f>
        <v>70.991302366799999</v>
      </c>
      <c r="I157" s="30">
        <f>1.3^((Table1[[#This Row],[Coluna3]]-Table1[[#This Row],[Coluna2]])/360)*Table1[[#This Row],[vl]]</f>
        <v>104.59654253045697</v>
      </c>
    </row>
    <row r="158" spans="1:9">
      <c r="A158" t="s">
        <v>558</v>
      </c>
      <c r="B158" s="30">
        <v>6.5000000000000002E-2</v>
      </c>
      <c r="C158">
        <v>2020</v>
      </c>
      <c r="D158" t="s">
        <v>868</v>
      </c>
      <c r="E158" s="30">
        <f>Table1[[#This Row],[Despesas]]*1000</f>
        <v>65</v>
      </c>
      <c r="F158" s="157">
        <v>43862</v>
      </c>
      <c r="G158" s="157">
        <f t="shared" si="2"/>
        <v>45978</v>
      </c>
      <c r="H158" s="30" cm="1">
        <f t="array" ref="H158">[15]!CalculateINPC(Table1[[#This Row],[Coluna2]],Table1[[#This Row],[Coluna3]],-1)*Table1[[#This Row],[vl]]</f>
        <v>89.904371699999999</v>
      </c>
      <c r="I158" s="30">
        <f>1.3^((Table1[[#This Row],[Coluna3]]-Table1[[#This Row],[Coluna2]])/360)*Table1[[#This Row],[vl]]</f>
        <v>303.84147855031961</v>
      </c>
    </row>
    <row r="159" spans="1:9">
      <c r="A159" t="s">
        <v>291</v>
      </c>
      <c r="B159" s="30">
        <v>6.3670000000000004E-2</v>
      </c>
      <c r="C159">
        <v>2022</v>
      </c>
      <c r="D159" t="s">
        <v>867</v>
      </c>
      <c r="E159" s="30">
        <f>Table1[[#This Row],[Despesas]]*1000</f>
        <v>63.67</v>
      </c>
      <c r="F159" s="157">
        <v>44621</v>
      </c>
      <c r="G159" s="157">
        <f t="shared" si="2"/>
        <v>45978</v>
      </c>
      <c r="H159" s="30" cm="1">
        <f t="array" ref="H159">[15]!CalculateINPC(Table1[[#This Row],[Coluna2]],Table1[[#This Row],[Coluna3]],-1)*Table1[[#This Row],[vl]]</f>
        <v>74.70415616759999</v>
      </c>
      <c r="I159" s="30">
        <f>1.3^((Table1[[#This Row],[Coluna3]]-Table1[[#This Row],[Coluna2]])/360)*Table1[[#This Row],[vl]]</f>
        <v>171.17407362729324</v>
      </c>
    </row>
    <row r="160" spans="1:9">
      <c r="A160" t="s">
        <v>190</v>
      </c>
      <c r="B160" s="30">
        <v>0.06</v>
      </c>
      <c r="C160">
        <v>2023</v>
      </c>
      <c r="D160" t="s">
        <v>859</v>
      </c>
      <c r="E160" s="30">
        <f>Table1[[#This Row],[Despesas]]*1000</f>
        <v>60</v>
      </c>
      <c r="F160" s="157">
        <v>44927</v>
      </c>
      <c r="G160" s="157">
        <f t="shared" si="2"/>
        <v>45978</v>
      </c>
      <c r="H160" s="30" cm="1">
        <f t="array" ref="H160">[15]!CalculateINPC(Table1[[#This Row],[Coluna2]],Table1[[#This Row],[Coluna3]],-1)*Table1[[#This Row],[vl]]</f>
        <v>67.569887399999999</v>
      </c>
      <c r="I160" s="30">
        <f>1.3^((Table1[[#This Row],[Coluna3]]-Table1[[#This Row],[Coluna2]])/360)*Table1[[#This Row],[vl]]</f>
        <v>129.06323222360206</v>
      </c>
    </row>
    <row r="161" spans="1:9">
      <c r="A161" t="s">
        <v>707</v>
      </c>
      <c r="B161" s="30">
        <v>0.06</v>
      </c>
      <c r="C161">
        <v>2025</v>
      </c>
      <c r="D161" t="s">
        <v>865</v>
      </c>
      <c r="E161" s="30">
        <f>Table1[[#This Row],[Despesas]]*1000</f>
        <v>60</v>
      </c>
      <c r="F161" s="157">
        <v>45748</v>
      </c>
      <c r="G161" s="157">
        <f t="shared" si="2"/>
        <v>45978</v>
      </c>
      <c r="H161" s="30" cm="1">
        <f t="array" ref="H161">[15]!CalculateINPC(Table1[[#This Row],[Coluna2]],Table1[[#This Row],[Coluna3]],-1)*Table1[[#This Row],[vl]]</f>
        <v>60.9714606</v>
      </c>
      <c r="I161" s="30">
        <f>1.3^((Table1[[#This Row],[Coluna3]]-Table1[[#This Row],[Coluna2]])/360)*Table1[[#This Row],[vl]]</f>
        <v>70.949345278253872</v>
      </c>
    </row>
    <row r="162" spans="1:9">
      <c r="A162" t="s">
        <v>604</v>
      </c>
      <c r="B162" s="30">
        <v>5.5E-2</v>
      </c>
      <c r="C162">
        <v>2022</v>
      </c>
      <c r="D162" t="s">
        <v>856</v>
      </c>
      <c r="E162" s="30">
        <f>Table1[[#This Row],[Despesas]]*1000</f>
        <v>55</v>
      </c>
      <c r="F162" s="157">
        <v>44896</v>
      </c>
      <c r="G162" s="157">
        <f t="shared" si="2"/>
        <v>45978</v>
      </c>
      <c r="H162" s="30" cm="1">
        <f t="array" ref="H162">[15]!CalculateINPC(Table1[[#This Row],[Coluna2]],Table1[[#This Row],[Coluna3]],-1)*Table1[[#This Row],[vl]]</f>
        <v>62.366486600000002</v>
      </c>
      <c r="I162" s="30">
        <f>1.3^((Table1[[#This Row],[Coluna3]]-Table1[[#This Row],[Coluna2]])/360)*Table1[[#This Row],[vl]]</f>
        <v>121.01125500993358</v>
      </c>
    </row>
    <row r="163" spans="1:9">
      <c r="A163" t="s">
        <v>233</v>
      </c>
      <c r="B163" s="30">
        <v>0.05</v>
      </c>
      <c r="C163">
        <v>2023</v>
      </c>
      <c r="D163" t="s">
        <v>865</v>
      </c>
      <c r="E163" s="30">
        <f>Table1[[#This Row],[Despesas]]*1000</f>
        <v>50</v>
      </c>
      <c r="F163" s="157">
        <v>45017</v>
      </c>
      <c r="G163" s="157">
        <f t="shared" si="2"/>
        <v>45978</v>
      </c>
      <c r="H163" s="30" cm="1">
        <f t="array" ref="H163">[15]!CalculateINPC(Table1[[#This Row],[Coluna2]],Table1[[#This Row],[Coluna3]],-1)*Table1[[#This Row],[vl]]</f>
        <v>55.268415500000003</v>
      </c>
      <c r="I163" s="30">
        <f>1.3^((Table1[[#This Row],[Coluna3]]-Table1[[#This Row],[Coluna2]])/360)*Table1[[#This Row],[vl]]</f>
        <v>100.72457721316232</v>
      </c>
    </row>
    <row r="164" spans="1:9">
      <c r="A164" t="s">
        <v>558</v>
      </c>
      <c r="B164" s="30">
        <v>4.8280000000000003E-2</v>
      </c>
      <c r="C164">
        <v>2023</v>
      </c>
      <c r="D164" t="s">
        <v>861</v>
      </c>
      <c r="E164" s="30">
        <f>Table1[[#This Row],[Despesas]]*1000</f>
        <v>48.28</v>
      </c>
      <c r="F164" s="157">
        <v>45231</v>
      </c>
      <c r="G164" s="157">
        <f t="shared" si="2"/>
        <v>45978</v>
      </c>
      <c r="H164" s="30" cm="1">
        <f t="array" ref="H164">[15]!CalculateINPC(Table1[[#This Row],[Coluna2]],Table1[[#This Row],[Coluna3]],-1)*Table1[[#This Row],[vl]]</f>
        <v>52.768848932400005</v>
      </c>
      <c r="I164" s="30">
        <f>1.3^((Table1[[#This Row],[Coluna3]]-Table1[[#This Row],[Coluna2]])/360)*Table1[[#This Row],[vl]]</f>
        <v>83.214635931899807</v>
      </c>
    </row>
    <row r="165" spans="1:9">
      <c r="A165" t="s">
        <v>233</v>
      </c>
      <c r="B165" s="30">
        <v>4.675E-2</v>
      </c>
      <c r="C165">
        <v>2019</v>
      </c>
      <c r="D165" t="s">
        <v>860</v>
      </c>
      <c r="E165" s="30">
        <f>Table1[[#This Row],[Despesas]]*1000</f>
        <v>46.75</v>
      </c>
      <c r="F165" s="157">
        <v>43678</v>
      </c>
      <c r="G165" s="157">
        <f t="shared" si="2"/>
        <v>45978</v>
      </c>
      <c r="H165" s="30" cm="1">
        <f t="array" ref="H165">[15]!CalculateINPC(Table1[[#This Row],[Coluna2]],Table1[[#This Row],[Coluna3]],-1)*Table1[[#This Row],[vl]]</f>
        <v>66.001804274999998</v>
      </c>
      <c r="I165" s="30">
        <f>1.3^((Table1[[#This Row],[Coluna3]]-Table1[[#This Row],[Coluna2]])/360)*Table1[[#This Row],[vl]]</f>
        <v>249.89239115855071</v>
      </c>
    </row>
    <row r="166" spans="1:9">
      <c r="A166" t="s">
        <v>646</v>
      </c>
      <c r="B166" s="30">
        <v>4.2799999999999998E-2</v>
      </c>
      <c r="C166">
        <v>2023</v>
      </c>
      <c r="D166" t="s">
        <v>858</v>
      </c>
      <c r="E166" s="30">
        <f>Table1[[#This Row],[Despesas]]*1000</f>
        <v>42.8</v>
      </c>
      <c r="F166" s="157">
        <v>45170</v>
      </c>
      <c r="G166" s="157">
        <f t="shared" si="2"/>
        <v>45978</v>
      </c>
      <c r="H166" s="30" cm="1">
        <f t="array" ref="H166">[15]!CalculateINPC(Table1[[#This Row],[Coluna2]],Table1[[#This Row],[Coluna3]],-1)*Table1[[#This Row],[vl]]</f>
        <v>46.886963439999995</v>
      </c>
      <c r="I166" s="30">
        <f>1.3^((Table1[[#This Row],[Coluna3]]-Table1[[#This Row],[Coluna2]])/360)*Table1[[#This Row],[vl]]</f>
        <v>77.122889593255366</v>
      </c>
    </row>
    <row r="167" spans="1:9">
      <c r="A167" t="s">
        <v>291</v>
      </c>
      <c r="B167" s="30">
        <v>4.0960000000000003E-2</v>
      </c>
      <c r="C167">
        <v>2023</v>
      </c>
      <c r="D167" t="s">
        <v>865</v>
      </c>
      <c r="E167" s="30">
        <f>Table1[[#This Row],[Despesas]]*1000</f>
        <v>40.96</v>
      </c>
      <c r="F167" s="157">
        <v>45017</v>
      </c>
      <c r="G167" s="157">
        <f t="shared" si="2"/>
        <v>45978</v>
      </c>
      <c r="H167" s="30" cm="1">
        <f t="array" ref="H167">[15]!CalculateINPC(Table1[[#This Row],[Coluna2]],Table1[[#This Row],[Coluna3]],-1)*Table1[[#This Row],[vl]]</f>
        <v>45.275885977600005</v>
      </c>
      <c r="I167" s="30">
        <f>1.3^((Table1[[#This Row],[Coluna3]]-Table1[[#This Row],[Coluna2]])/360)*Table1[[#This Row],[vl]]</f>
        <v>82.513573653022576</v>
      </c>
    </row>
    <row r="168" spans="1:9">
      <c r="A168" t="s">
        <v>244</v>
      </c>
      <c r="B168" s="30">
        <v>3.8359999999999998E-2</v>
      </c>
      <c r="C168">
        <v>2020</v>
      </c>
      <c r="D168" t="s">
        <v>867</v>
      </c>
      <c r="E168" s="30">
        <f>Table1[[#This Row],[Despesas]]*1000</f>
        <v>38.36</v>
      </c>
      <c r="F168" s="157">
        <v>43891</v>
      </c>
      <c r="G168" s="157">
        <f t="shared" si="2"/>
        <v>45978</v>
      </c>
      <c r="H168" s="30" cm="1">
        <f t="array" ref="H168">[15]!CalculateINPC(Table1[[#This Row],[Coluna2]],Table1[[#This Row],[Coluna3]],-1)*Table1[[#This Row],[vl]]</f>
        <v>52.967388647599996</v>
      </c>
      <c r="I168" s="30">
        <f>1.3^((Table1[[#This Row],[Coluna3]]-Table1[[#This Row],[Coluna2]])/360)*Table1[[#This Row],[vl]]</f>
        <v>175.56321795355021</v>
      </c>
    </row>
    <row r="169" spans="1:9">
      <c r="A169" t="s">
        <v>670</v>
      </c>
      <c r="B169" s="30">
        <v>3.8219999999999997E-2</v>
      </c>
      <c r="C169">
        <v>2023</v>
      </c>
      <c r="D169" t="s">
        <v>866</v>
      </c>
      <c r="E169" s="30">
        <f>Table1[[#This Row],[Despesas]]*1000</f>
        <v>38.22</v>
      </c>
      <c r="F169" s="157">
        <v>45200</v>
      </c>
      <c r="G169" s="157">
        <f t="shared" si="2"/>
        <v>45978</v>
      </c>
      <c r="H169" s="30" cm="1">
        <f t="array" ref="H169">[15]!CalculateINPC(Table1[[#This Row],[Coluna2]],Table1[[#This Row],[Coluna3]],-1)*Table1[[#This Row],[vl]]</f>
        <v>41.823634234199993</v>
      </c>
      <c r="I169" s="30">
        <f>1.3^((Table1[[#This Row],[Coluna3]]-Table1[[#This Row],[Coluna2]])/360)*Table1[[#This Row],[vl]]</f>
        <v>67.380608304865277</v>
      </c>
    </row>
    <row r="170" spans="1:9">
      <c r="A170" t="s">
        <v>558</v>
      </c>
      <c r="B170" s="30">
        <v>3.7960000000000001E-2</v>
      </c>
      <c r="C170">
        <v>2023</v>
      </c>
      <c r="D170" t="s">
        <v>860</v>
      </c>
      <c r="E170" s="30">
        <f>Table1[[#This Row],[Despesas]]*1000</f>
        <v>37.96</v>
      </c>
      <c r="F170" s="157">
        <v>45139</v>
      </c>
      <c r="G170" s="157">
        <f t="shared" si="2"/>
        <v>45978</v>
      </c>
      <c r="H170" s="30" cm="1">
        <f t="array" ref="H170">[15]!CalculateINPC(Table1[[#This Row],[Coluna2]],Table1[[#This Row],[Coluna3]],-1)*Table1[[#This Row],[vl]]</f>
        <v>41.6679605108</v>
      </c>
      <c r="I170" s="30">
        <f>1.3^((Table1[[#This Row],[Coluna3]]-Table1[[#This Row],[Coluna2]])/360)*Table1[[#This Row],[vl]]</f>
        <v>69.964464830527035</v>
      </c>
    </row>
    <row r="171" spans="1:9">
      <c r="A171" t="s">
        <v>558</v>
      </c>
      <c r="B171" s="30">
        <v>3.6760000000000001E-2</v>
      </c>
      <c r="C171">
        <v>2023</v>
      </c>
      <c r="D171" t="s">
        <v>864</v>
      </c>
      <c r="E171" s="30">
        <f>Table1[[#This Row],[Despesas]]*1000</f>
        <v>36.76</v>
      </c>
      <c r="F171" s="157">
        <v>45108</v>
      </c>
      <c r="G171" s="157">
        <f t="shared" si="2"/>
        <v>45978</v>
      </c>
      <c r="H171" s="30" cm="1">
        <f t="array" ref="H171">[15]!CalculateINPC(Table1[[#This Row],[Coluna2]],Table1[[#This Row],[Coluna3]],-1)*Table1[[#This Row],[vl]]</f>
        <v>40.314414461999995</v>
      </c>
      <c r="I171" s="30">
        <f>1.3^((Table1[[#This Row],[Coluna3]]-Table1[[#This Row],[Coluna2]])/360)*Table1[[#This Row],[vl]]</f>
        <v>69.300856813499635</v>
      </c>
    </row>
    <row r="172" spans="1:9">
      <c r="A172" t="s">
        <v>244</v>
      </c>
      <c r="B172" s="30">
        <v>3.6479999999999999E-2</v>
      </c>
      <c r="C172">
        <v>2024</v>
      </c>
      <c r="D172" t="s">
        <v>861</v>
      </c>
      <c r="E172" s="30">
        <f>Table1[[#This Row],[Despesas]]*1000</f>
        <v>36.479999999999997</v>
      </c>
      <c r="F172" s="157">
        <v>45597</v>
      </c>
      <c r="G172" s="157">
        <f t="shared" si="2"/>
        <v>45978</v>
      </c>
      <c r="H172" s="30" cm="1">
        <f t="array" ref="H172">[15]!CalculateINPC(Table1[[#This Row],[Coluna2]],Table1[[#This Row],[Coluna3]],-1)*Table1[[#This Row],[vl]]</f>
        <v>38.11803626879999</v>
      </c>
      <c r="I172" s="30">
        <f>1.3^((Table1[[#This Row],[Coluna3]]-Table1[[#This Row],[Coluna2]])/360)*Table1[[#This Row],[vl]]</f>
        <v>48.155387011479228</v>
      </c>
    </row>
    <row r="173" spans="1:9">
      <c r="A173" t="s">
        <v>343</v>
      </c>
      <c r="B173" s="30">
        <v>3.5000000000000003E-2</v>
      </c>
      <c r="C173">
        <v>2020</v>
      </c>
      <c r="D173" t="s">
        <v>868</v>
      </c>
      <c r="E173" s="30">
        <f>Table1[[#This Row],[Despesas]]*1000</f>
        <v>35</v>
      </c>
      <c r="F173" s="157">
        <v>43862</v>
      </c>
      <c r="G173" s="157">
        <f t="shared" si="2"/>
        <v>45978</v>
      </c>
      <c r="H173" s="30" cm="1">
        <f t="array" ref="H173">[15]!CalculateINPC(Table1[[#This Row],[Coluna2]],Table1[[#This Row],[Coluna3]],-1)*Table1[[#This Row],[vl]]</f>
        <v>48.410046299999998</v>
      </c>
      <c r="I173" s="30">
        <f>1.3^((Table1[[#This Row],[Coluna3]]-Table1[[#This Row],[Coluna2]])/360)*Table1[[#This Row],[vl]]</f>
        <v>163.60694998863363</v>
      </c>
    </row>
    <row r="174" spans="1:9">
      <c r="A174" t="s">
        <v>233</v>
      </c>
      <c r="B174" s="30">
        <v>0.03</v>
      </c>
      <c r="C174">
        <v>2022</v>
      </c>
      <c r="D174" t="s">
        <v>860</v>
      </c>
      <c r="E174" s="30">
        <f>Table1[[#This Row],[Despesas]]*1000</f>
        <v>30</v>
      </c>
      <c r="F174" s="157">
        <v>44774</v>
      </c>
      <c r="G174" s="157">
        <f t="shared" si="2"/>
        <v>45978</v>
      </c>
      <c r="H174" s="30" cm="1">
        <f t="array" ref="H174">[15]!CalculateINPC(Table1[[#This Row],[Coluna2]],Table1[[#This Row],[Coluna3]],-1)*Table1[[#This Row],[vl]]</f>
        <v>34.092049799999998</v>
      </c>
      <c r="I174" s="30">
        <f>1.3^((Table1[[#This Row],[Coluna3]]-Table1[[#This Row],[Coluna2]])/360)*Table1[[#This Row],[vl]]</f>
        <v>72.143709022370544</v>
      </c>
    </row>
    <row r="175" spans="1:9">
      <c r="A175" t="s">
        <v>646</v>
      </c>
      <c r="B175" s="30">
        <v>2.955E-2</v>
      </c>
      <c r="C175">
        <v>2025</v>
      </c>
      <c r="D175" t="s">
        <v>867</v>
      </c>
      <c r="E175" s="30">
        <f>Table1[[#This Row],[Despesas]]*1000</f>
        <v>29.55</v>
      </c>
      <c r="F175" s="157">
        <v>45717</v>
      </c>
      <c r="G175" s="157">
        <f t="shared" si="2"/>
        <v>45978</v>
      </c>
      <c r="H175" s="30" cm="1">
        <f t="array" ref="H175">[15]!CalculateINPC(Table1[[#This Row],[Coluna2]],Table1[[#This Row],[Coluna3]],-1)*Table1[[#This Row],[vl]]</f>
        <v>30.181588107</v>
      </c>
      <c r="I175" s="30">
        <f>1.3^((Table1[[#This Row],[Coluna3]]-Table1[[#This Row],[Coluna2]])/360)*Table1[[#This Row],[vl]]</f>
        <v>35.740976639571386</v>
      </c>
    </row>
    <row r="176" spans="1:9">
      <c r="A176" t="s">
        <v>291</v>
      </c>
      <c r="B176" s="30">
        <v>2.0480000000000002E-2</v>
      </c>
      <c r="C176">
        <v>2023</v>
      </c>
      <c r="D176" t="s">
        <v>863</v>
      </c>
      <c r="E176" s="30">
        <f>Table1[[#This Row],[Despesas]]*1000</f>
        <v>20.48</v>
      </c>
      <c r="F176" s="157">
        <v>45047</v>
      </c>
      <c r="G176" s="157">
        <f t="shared" si="2"/>
        <v>45978</v>
      </c>
      <c r="H176" s="30" cm="1">
        <f t="array" ref="H176">[15]!CalculateINPC(Table1[[#This Row],[Coluna2]],Table1[[#This Row],[Coluna3]],-1)*Table1[[#This Row],[vl]]</f>
        <v>22.518598655999998</v>
      </c>
      <c r="I176" s="30">
        <f>1.3^((Table1[[#This Row],[Coluna3]]-Table1[[#This Row],[Coluna2]])/360)*Table1[[#This Row],[vl]]</f>
        <v>40.364550611779705</v>
      </c>
    </row>
    <row r="177" spans="1:9">
      <c r="A177" t="s">
        <v>604</v>
      </c>
      <c r="B177" s="30">
        <v>1.8589999999999999E-2</v>
      </c>
      <c r="C177">
        <v>2019</v>
      </c>
      <c r="D177" t="s">
        <v>860</v>
      </c>
      <c r="E177" s="30">
        <f>Table1[[#This Row],[Despesas]]*1000</f>
        <v>18.59</v>
      </c>
      <c r="F177" s="157">
        <v>43678</v>
      </c>
      <c r="G177" s="157">
        <f t="shared" si="2"/>
        <v>45978</v>
      </c>
      <c r="H177" s="30" cm="1">
        <f t="array" ref="H177">[15]!CalculateINPC(Table1[[#This Row],[Coluna2]],Table1[[#This Row],[Coluna3]],-1)*Table1[[#This Row],[vl]]</f>
        <v>26.245423347000003</v>
      </c>
      <c r="I177" s="30">
        <f>1.3^((Table1[[#This Row],[Coluna3]]-Table1[[#This Row],[Coluna2]])/360)*Table1[[#This Row],[vl]]</f>
        <v>99.368974366576637</v>
      </c>
    </row>
    <row r="178" spans="1:9">
      <c r="A178" t="s">
        <v>244</v>
      </c>
      <c r="B178" s="30">
        <v>1.848E-2</v>
      </c>
      <c r="C178">
        <v>2019</v>
      </c>
      <c r="D178" t="s">
        <v>858</v>
      </c>
      <c r="E178" s="30">
        <f>Table1[[#This Row],[Despesas]]*1000</f>
        <v>18.48</v>
      </c>
      <c r="F178" s="157">
        <v>43709</v>
      </c>
      <c r="G178" s="157">
        <f t="shared" si="2"/>
        <v>45978</v>
      </c>
      <c r="H178" s="30" cm="1">
        <f t="array" ref="H178">[15]!CalculateINPC(Table1[[#This Row],[Coluna2]],Table1[[#This Row],[Coluna3]],-1)*Table1[[#This Row],[vl]]</f>
        <v>26.058850540799998</v>
      </c>
      <c r="I178" s="30">
        <f>1.3^((Table1[[#This Row],[Coluna3]]-Table1[[#This Row],[Coluna2]])/360)*Table1[[#This Row],[vl]]</f>
        <v>96.574305959487219</v>
      </c>
    </row>
    <row r="179" spans="1:9">
      <c r="A179" t="s">
        <v>244</v>
      </c>
      <c r="B179" s="30">
        <v>1.66E-2</v>
      </c>
      <c r="C179">
        <v>2020</v>
      </c>
      <c r="D179" t="s">
        <v>856</v>
      </c>
      <c r="E179" s="30">
        <f>Table1[[#This Row],[Despesas]]*1000</f>
        <v>16.600000000000001</v>
      </c>
      <c r="F179" s="157">
        <v>44166</v>
      </c>
      <c r="G179" s="157">
        <f t="shared" si="2"/>
        <v>45978</v>
      </c>
      <c r="H179" s="30" cm="1">
        <f t="array" ref="H179">[15]!CalculateINPC(Table1[[#This Row],[Coluna2]],Table1[[#This Row],[Coluna3]],-1)*Table1[[#This Row],[vl]]</f>
        <v>22.133929218000002</v>
      </c>
      <c r="I179" s="30">
        <f>1.3^((Table1[[#This Row],[Coluna3]]-Table1[[#This Row],[Coluna2]])/360)*Table1[[#This Row],[vl]]</f>
        <v>62.176026113127953</v>
      </c>
    </row>
    <row r="180" spans="1:9">
      <c r="A180" t="s">
        <v>244</v>
      </c>
      <c r="B180" s="30">
        <v>1.6490000000000001E-2</v>
      </c>
      <c r="C180">
        <v>2020</v>
      </c>
      <c r="D180" t="s">
        <v>861</v>
      </c>
      <c r="E180" s="30">
        <f>Table1[[#This Row],[Despesas]]*1000</f>
        <v>16.490000000000002</v>
      </c>
      <c r="F180" s="157">
        <v>44136</v>
      </c>
      <c r="G180" s="157">
        <f t="shared" si="2"/>
        <v>45978</v>
      </c>
      <c r="H180" s="30" cm="1">
        <f t="array" ref="H180">[15]!CalculateINPC(Table1[[#This Row],[Coluna2]],Table1[[#This Row],[Coluna3]],-1)*Table1[[#This Row],[vl]]</f>
        <v>22.196130342</v>
      </c>
      <c r="I180" s="30">
        <f>1.3^((Table1[[#This Row],[Coluna3]]-Table1[[#This Row],[Coluna2]])/360)*Table1[[#This Row],[vl]]</f>
        <v>63.12927594833549</v>
      </c>
    </row>
    <row r="181" spans="1:9">
      <c r="A181" t="s">
        <v>534</v>
      </c>
      <c r="B181" s="30">
        <v>1.44E-2</v>
      </c>
      <c r="C181">
        <v>2025</v>
      </c>
      <c r="D181" t="s">
        <v>860</v>
      </c>
      <c r="E181" s="30">
        <f>Table1[[#This Row],[Despesas]]*1000</f>
        <v>14.4</v>
      </c>
      <c r="F181" s="157">
        <v>45870</v>
      </c>
      <c r="G181" s="157">
        <f t="shared" si="2"/>
        <v>45978</v>
      </c>
      <c r="H181" s="30" cm="1">
        <f t="array" ref="H181">[15]!CalculateINPC(Table1[[#This Row],[Coluna2]],Table1[[#This Row],[Coluna3]],-1)*Table1[[#This Row],[vl]]</f>
        <v>14.448805344000002</v>
      </c>
      <c r="I181" s="30">
        <f>1.3^((Table1[[#This Row],[Coluna3]]-Table1[[#This Row],[Coluna2]])/360)*Table1[[#This Row],[vl]]</f>
        <v>15.5792123804812</v>
      </c>
    </row>
    <row r="182" spans="1:9">
      <c r="A182" t="s">
        <v>743</v>
      </c>
      <c r="B182" s="30">
        <v>1.2999999999999999E-2</v>
      </c>
      <c r="C182">
        <v>2024</v>
      </c>
      <c r="D182" t="s">
        <v>858</v>
      </c>
      <c r="E182" s="30">
        <f>Table1[[#This Row],[Despesas]]*1000</f>
        <v>13</v>
      </c>
      <c r="F182" s="157">
        <v>45536</v>
      </c>
      <c r="G182" s="157">
        <f t="shared" si="2"/>
        <v>45978</v>
      </c>
      <c r="H182" s="30" cm="1">
        <f t="array" ref="H182">[15]!CalculateINPC(Table1[[#This Row],[Coluna2]],Table1[[#This Row],[Coluna3]],-1)*Table1[[#This Row],[vl]]</f>
        <v>13.732191590000001</v>
      </c>
      <c r="I182" s="30">
        <f>1.3^((Table1[[#This Row],[Coluna3]]-Table1[[#This Row],[Coluna2]])/360)*Table1[[#This Row],[vl]]</f>
        <v>17.940744784281428</v>
      </c>
    </row>
    <row r="183" spans="1:9">
      <c r="A183" t="s">
        <v>105</v>
      </c>
      <c r="B183" s="30">
        <v>1.2500000000000001E-2</v>
      </c>
      <c r="C183">
        <v>2020</v>
      </c>
      <c r="D183" t="s">
        <v>862</v>
      </c>
      <c r="E183" s="30">
        <f>Table1[[#This Row],[Despesas]]*1000</f>
        <v>12.5</v>
      </c>
      <c r="F183" s="157">
        <v>43983</v>
      </c>
      <c r="G183" s="157">
        <f t="shared" si="2"/>
        <v>45978</v>
      </c>
      <c r="H183" s="30" cm="1">
        <f t="array" ref="H183">[15]!CalculateINPC(Table1[[#This Row],[Coluna2]],Table1[[#This Row],[Coluna3]],-1)*Table1[[#This Row],[vl]]</f>
        <v>17.311940125</v>
      </c>
      <c r="I183" s="30">
        <f>1.3^((Table1[[#This Row],[Coluna3]]-Table1[[#This Row],[Coluna2]])/360)*Table1[[#This Row],[vl]]</f>
        <v>53.499052487562025</v>
      </c>
    </row>
    <row r="184" spans="1:9">
      <c r="A184" t="s">
        <v>443</v>
      </c>
      <c r="B184" s="30">
        <v>6.9199999999999999E-3</v>
      </c>
      <c r="C184">
        <v>2023</v>
      </c>
      <c r="D184" t="s">
        <v>860</v>
      </c>
      <c r="E184" s="30">
        <f>Table1[[#This Row],[Despesas]]*1000</f>
        <v>6.92</v>
      </c>
      <c r="F184" s="157">
        <v>45139</v>
      </c>
      <c r="G184" s="157">
        <f t="shared" si="2"/>
        <v>45978</v>
      </c>
      <c r="H184" s="30" cm="1">
        <f t="array" ref="H184">[15]!CalculateINPC(Table1[[#This Row],[Coluna2]],Table1[[#This Row],[Coluna3]],-1)*Table1[[#This Row],[vl]]</f>
        <v>7.5959506515999999</v>
      </c>
      <c r="I184" s="30">
        <f>1.3^((Table1[[#This Row],[Coluna3]]-Table1[[#This Row],[Coluna2]])/360)*Table1[[#This Row],[vl]]</f>
        <v>12.754322882698816</v>
      </c>
    </row>
    <row r="185" spans="1:9">
      <c r="A185" t="s">
        <v>443</v>
      </c>
      <c r="B185" s="30">
        <v>2E-3</v>
      </c>
      <c r="C185">
        <v>2025</v>
      </c>
      <c r="D185" t="s">
        <v>863</v>
      </c>
      <c r="E185" s="30">
        <f>Table1[[#This Row],[Despesas]]*1000</f>
        <v>2</v>
      </c>
      <c r="F185" s="157">
        <v>45778</v>
      </c>
      <c r="G185" s="157">
        <f t="shared" si="2"/>
        <v>45978</v>
      </c>
      <c r="H185" s="30" cm="1">
        <f t="array" ref="H185">[15]!CalculateINPC(Table1[[#This Row],[Coluna2]],Table1[[#This Row],[Coluna3]],-1)*Table1[[#This Row],[vl]]</f>
        <v>2.0226740400000001</v>
      </c>
      <c r="I185" s="30">
        <f>1.3^((Table1[[#This Row],[Coluna3]]-Table1[[#This Row],[Coluna2]])/360)*Table1[[#This Row],[vl]]</f>
        <v>2.3138321866892064</v>
      </c>
    </row>
  </sheetData>
  <phoneticPr fontId="18"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DEF04-E741-4880-9956-D6437450DB71}">
  <dimension ref="A2:H45"/>
  <sheetViews>
    <sheetView workbookViewId="0"/>
  </sheetViews>
  <sheetFormatPr defaultRowHeight="15"/>
  <cols>
    <col min="1" max="1" width="54" bestFit="1" customWidth="1"/>
    <col min="2" max="2" width="20.140625" bestFit="1" customWidth="1"/>
    <col min="3" max="4" width="13.28515625" bestFit="1" customWidth="1"/>
    <col min="5" max="6" width="13.28515625" customWidth="1"/>
    <col min="7" max="7" width="57" bestFit="1" customWidth="1"/>
    <col min="8" max="8" width="16" bestFit="1" customWidth="1"/>
  </cols>
  <sheetData>
    <row r="2" spans="1:8">
      <c r="A2" t="s">
        <v>1399</v>
      </c>
      <c r="G2" t="s">
        <v>1400</v>
      </c>
    </row>
    <row r="3" spans="1:8">
      <c r="A3" s="206" t="s">
        <v>1396</v>
      </c>
      <c r="B3" s="206" t="s">
        <v>1403</v>
      </c>
      <c r="G3" s="206" t="s">
        <v>1397</v>
      </c>
      <c r="H3" t="s">
        <v>1396</v>
      </c>
    </row>
    <row r="4" spans="1:8">
      <c r="A4" s="206" t="s">
        <v>1397</v>
      </c>
      <c r="B4" t="s">
        <v>1401</v>
      </c>
      <c r="C4" t="s">
        <v>1402</v>
      </c>
      <c r="D4" t="s">
        <v>1398</v>
      </c>
      <c r="G4" s="207" t="s">
        <v>115</v>
      </c>
      <c r="H4" s="205">
        <v>1485369.8599999985</v>
      </c>
    </row>
    <row r="5" spans="1:8">
      <c r="A5" s="207" t="s">
        <v>120</v>
      </c>
      <c r="B5" s="205">
        <v>50259.31</v>
      </c>
      <c r="C5" s="205">
        <v>2012379.9300000004</v>
      </c>
      <c r="D5" s="205">
        <v>2062639.2400000005</v>
      </c>
      <c r="E5" s="205"/>
      <c r="F5" s="205"/>
      <c r="G5" s="207" t="s">
        <v>966</v>
      </c>
      <c r="H5" s="205">
        <v>516131.47000000015</v>
      </c>
    </row>
    <row r="6" spans="1:8">
      <c r="A6" s="207" t="s">
        <v>105</v>
      </c>
      <c r="B6" s="205">
        <v>934.94</v>
      </c>
      <c r="C6" s="205">
        <v>1474221.79</v>
      </c>
      <c r="D6" s="205">
        <v>1475156.73</v>
      </c>
      <c r="E6" s="205"/>
      <c r="F6" s="205"/>
      <c r="G6" s="207" t="s">
        <v>150</v>
      </c>
      <c r="H6" s="205">
        <v>90251.78</v>
      </c>
    </row>
    <row r="7" spans="1:8">
      <c r="A7" s="207" t="s">
        <v>857</v>
      </c>
      <c r="B7" s="205">
        <v>917578.64</v>
      </c>
      <c r="C7" s="205"/>
      <c r="D7" s="205">
        <v>917578.64</v>
      </c>
      <c r="E7" s="205"/>
      <c r="F7" s="205"/>
      <c r="G7" s="207" t="s">
        <v>120</v>
      </c>
      <c r="H7" s="205">
        <v>81021.239999999991</v>
      </c>
    </row>
    <row r="8" spans="1:8">
      <c r="A8" s="207" t="s">
        <v>127</v>
      </c>
      <c r="B8" s="205">
        <v>303653.64</v>
      </c>
      <c r="C8" s="205"/>
      <c r="D8" s="205">
        <v>303653.64</v>
      </c>
      <c r="E8" s="205"/>
      <c r="F8" s="205"/>
      <c r="G8" s="207" t="s">
        <v>190</v>
      </c>
      <c r="H8" s="205">
        <v>12028.46999999999</v>
      </c>
    </row>
    <row r="9" spans="1:8">
      <c r="A9" s="207" t="s">
        <v>155</v>
      </c>
      <c r="B9" s="205">
        <v>89553.665512752035</v>
      </c>
      <c r="C9" s="205"/>
      <c r="D9" s="205">
        <v>89553.665512752035</v>
      </c>
      <c r="E9" s="205"/>
      <c r="F9" s="205"/>
      <c r="G9" s="207" t="s">
        <v>227</v>
      </c>
      <c r="H9" s="205">
        <v>11460.000000000015</v>
      </c>
    </row>
    <row r="10" spans="1:8">
      <c r="A10" s="207" t="s">
        <v>168</v>
      </c>
      <c r="B10" s="205">
        <v>3484.3999999999996</v>
      </c>
      <c r="C10" s="205">
        <v>24758</v>
      </c>
      <c r="D10" s="205">
        <v>28242.400000000001</v>
      </c>
      <c r="E10" s="205"/>
      <c r="F10" s="205"/>
      <c r="G10" s="207" t="s">
        <v>127</v>
      </c>
      <c r="H10" s="205">
        <v>10000</v>
      </c>
    </row>
    <row r="11" spans="1:8">
      <c r="A11" s="207" t="s">
        <v>238</v>
      </c>
      <c r="B11" s="205">
        <v>27569.219999999998</v>
      </c>
      <c r="C11" s="205"/>
      <c r="D11" s="205">
        <v>27569.219999999998</v>
      </c>
      <c r="E11" s="205"/>
      <c r="F11" s="205"/>
      <c r="G11" s="207" t="s">
        <v>707</v>
      </c>
      <c r="H11" s="205">
        <v>9210.0000000000109</v>
      </c>
    </row>
    <row r="12" spans="1:8">
      <c r="A12" s="207" t="s">
        <v>244</v>
      </c>
      <c r="B12" s="205">
        <v>21550.570000000575</v>
      </c>
      <c r="C12" s="205"/>
      <c r="D12" s="205">
        <v>21550.570000000575</v>
      </c>
      <c r="E12" s="205"/>
      <c r="F12" s="205"/>
      <c r="G12" s="207" t="s">
        <v>1171</v>
      </c>
      <c r="H12" s="205">
        <v>3139.68</v>
      </c>
    </row>
    <row r="13" spans="1:8">
      <c r="A13" s="207" t="s">
        <v>190</v>
      </c>
      <c r="B13" s="205">
        <v>19225.004663606243</v>
      </c>
      <c r="C13" s="205"/>
      <c r="D13" s="205">
        <v>19225.004663606243</v>
      </c>
      <c r="E13" s="205"/>
      <c r="F13" s="205"/>
      <c r="G13" s="207" t="s">
        <v>1161</v>
      </c>
      <c r="H13" s="205">
        <v>2328.38</v>
      </c>
    </row>
    <row r="14" spans="1:8">
      <c r="A14" s="207" t="s">
        <v>115</v>
      </c>
      <c r="B14" s="205">
        <v>16480.329999999994</v>
      </c>
      <c r="C14" s="205"/>
      <c r="D14" s="205">
        <v>16480.329999999994</v>
      </c>
      <c r="E14" s="205"/>
      <c r="F14" s="205"/>
      <c r="G14" s="207" t="s">
        <v>1008</v>
      </c>
      <c r="H14" s="205">
        <v>1976.1200000000003</v>
      </c>
    </row>
    <row r="15" spans="1:8">
      <c r="A15" s="207" t="s">
        <v>233</v>
      </c>
      <c r="B15" s="205">
        <v>15937.800000000048</v>
      </c>
      <c r="C15" s="205"/>
      <c r="D15" s="205">
        <v>15937.800000000048</v>
      </c>
      <c r="E15" s="205"/>
      <c r="F15" s="205"/>
      <c r="G15" s="207" t="s">
        <v>283</v>
      </c>
      <c r="H15" s="205">
        <v>1554.8399999999997</v>
      </c>
    </row>
    <row r="16" spans="1:8">
      <c r="A16" s="207" t="s">
        <v>227</v>
      </c>
      <c r="B16" s="205">
        <v>14789.999999999782</v>
      </c>
      <c r="C16" s="205"/>
      <c r="D16" s="205">
        <v>14789.999999999782</v>
      </c>
      <c r="E16" s="205"/>
      <c r="F16" s="205"/>
      <c r="G16" s="207" t="s">
        <v>317</v>
      </c>
      <c r="H16" s="205">
        <v>800.66999999993538</v>
      </c>
    </row>
    <row r="17" spans="1:8">
      <c r="A17" s="207" t="s">
        <v>219</v>
      </c>
      <c r="B17" s="205">
        <v>11327.7</v>
      </c>
      <c r="C17" s="205"/>
      <c r="D17" s="205">
        <v>11327.7</v>
      </c>
      <c r="E17" s="205"/>
      <c r="F17" s="205"/>
      <c r="G17" s="207" t="s">
        <v>244</v>
      </c>
      <c r="H17" s="205">
        <v>643.36999999999898</v>
      </c>
    </row>
    <row r="18" spans="1:8">
      <c r="A18" s="207" t="s">
        <v>291</v>
      </c>
      <c r="B18" s="205">
        <v>9142.0199999995384</v>
      </c>
      <c r="C18" s="205"/>
      <c r="D18" s="205">
        <v>9142.0199999995384</v>
      </c>
      <c r="E18" s="205"/>
      <c r="F18" s="205"/>
      <c r="G18" s="207" t="s">
        <v>921</v>
      </c>
      <c r="H18" s="205">
        <v>432.69323400000007</v>
      </c>
    </row>
    <row r="19" spans="1:8">
      <c r="A19" s="207" t="s">
        <v>317</v>
      </c>
      <c r="B19" s="205">
        <v>7294.4599999999818</v>
      </c>
      <c r="C19" s="205"/>
      <c r="D19" s="205">
        <v>7294.4599999999818</v>
      </c>
      <c r="E19" s="205"/>
      <c r="F19" s="205"/>
      <c r="G19" s="207" t="s">
        <v>561</v>
      </c>
      <c r="H19" s="205">
        <v>311.21000000021797</v>
      </c>
    </row>
    <row r="20" spans="1:8">
      <c r="A20" s="207" t="s">
        <v>272</v>
      </c>
      <c r="B20" s="205">
        <v>6791.0400000003328</v>
      </c>
      <c r="C20" s="205"/>
      <c r="D20" s="205">
        <v>6791.0400000003328</v>
      </c>
      <c r="E20" s="205"/>
      <c r="F20" s="205"/>
      <c r="G20" s="207" t="s">
        <v>1188</v>
      </c>
      <c r="H20" s="205">
        <v>182.24</v>
      </c>
    </row>
    <row r="21" spans="1:8">
      <c r="A21" s="207" t="s">
        <v>283</v>
      </c>
      <c r="B21" s="205">
        <v>6544.4299999999967</v>
      </c>
      <c r="C21" s="205"/>
      <c r="D21" s="205">
        <v>6544.4299999999967</v>
      </c>
      <c r="E21" s="205"/>
      <c r="F21" s="205"/>
      <c r="G21" s="207" t="s">
        <v>636</v>
      </c>
      <c r="H21" s="205">
        <v>147.79999999992094</v>
      </c>
    </row>
    <row r="22" spans="1:8">
      <c r="A22" s="207" t="s">
        <v>295</v>
      </c>
      <c r="B22" s="205">
        <v>2880</v>
      </c>
      <c r="C22" s="205"/>
      <c r="D22" s="205">
        <v>2880</v>
      </c>
      <c r="E22" s="205"/>
      <c r="F22" s="205"/>
      <c r="G22" s="207" t="s">
        <v>461</v>
      </c>
      <c r="H22" s="205">
        <v>94.349999999995987</v>
      </c>
    </row>
    <row r="23" spans="1:8">
      <c r="A23" s="207" t="s">
        <v>461</v>
      </c>
      <c r="B23" s="205">
        <v>2820.8610066911847</v>
      </c>
      <c r="C23" s="205"/>
      <c r="D23" s="205">
        <v>2820.8610066911847</v>
      </c>
      <c r="E23" s="205"/>
      <c r="F23" s="205"/>
      <c r="G23" s="207" t="s">
        <v>981</v>
      </c>
      <c r="H23" s="205">
        <v>76.909427000000008</v>
      </c>
    </row>
    <row r="24" spans="1:8">
      <c r="A24" s="207" t="s">
        <v>397</v>
      </c>
      <c r="B24" s="205">
        <v>2555.3100000000941</v>
      </c>
      <c r="C24" s="205"/>
      <c r="D24" s="205">
        <v>2555.3100000000941</v>
      </c>
      <c r="E24" s="205"/>
      <c r="F24" s="205"/>
      <c r="G24" s="207" t="s">
        <v>646</v>
      </c>
      <c r="H24" s="205">
        <v>60.059999999909017</v>
      </c>
    </row>
    <row r="25" spans="1:8">
      <c r="A25" s="207" t="s">
        <v>534</v>
      </c>
      <c r="B25" s="205">
        <v>2398.399999999946</v>
      </c>
      <c r="C25" s="205"/>
      <c r="D25" s="205">
        <v>2398.399999999946</v>
      </c>
      <c r="E25" s="205"/>
      <c r="F25" s="205"/>
      <c r="G25" s="207" t="s">
        <v>588</v>
      </c>
      <c r="H25" s="205">
        <v>32.230000000000011</v>
      </c>
    </row>
    <row r="26" spans="1:8">
      <c r="A26" s="207" t="s">
        <v>371</v>
      </c>
      <c r="B26" s="205">
        <v>2189.580000000024</v>
      </c>
      <c r="C26" s="205"/>
      <c r="D26" s="205">
        <v>2189.580000000024</v>
      </c>
      <c r="E26" s="205"/>
      <c r="F26" s="205"/>
      <c r="G26" s="207" t="s">
        <v>1398</v>
      </c>
      <c r="H26" s="205">
        <v>2227253.3726609983</v>
      </c>
    </row>
    <row r="27" spans="1:8">
      <c r="A27" s="207" t="s">
        <v>707</v>
      </c>
      <c r="B27" s="205">
        <v>2059.9999999999723</v>
      </c>
      <c r="C27" s="205"/>
      <c r="D27" s="205">
        <v>2059.9999999999723</v>
      </c>
      <c r="E27" s="205"/>
      <c r="F27" s="205"/>
    </row>
    <row r="28" spans="1:8">
      <c r="A28" s="207" t="s">
        <v>388</v>
      </c>
      <c r="B28" s="205">
        <v>1845</v>
      </c>
      <c r="C28" s="205"/>
      <c r="D28" s="205">
        <v>1845</v>
      </c>
      <c r="E28" s="205"/>
      <c r="F28" s="205"/>
    </row>
    <row r="29" spans="1:8">
      <c r="A29" s="207" t="s">
        <v>443</v>
      </c>
      <c r="B29" s="205">
        <v>1641.0637641461728</v>
      </c>
      <c r="C29" s="205"/>
      <c r="D29" s="205">
        <v>1641.0637641461728</v>
      </c>
      <c r="E29" s="205"/>
      <c r="F29" s="205"/>
    </row>
    <row r="30" spans="1:8">
      <c r="A30" s="207" t="s">
        <v>895</v>
      </c>
      <c r="B30" s="205">
        <v>1581.1</v>
      </c>
      <c r="C30" s="205"/>
      <c r="D30" s="205">
        <v>1581.1</v>
      </c>
      <c r="E30" s="205"/>
      <c r="F30" s="205"/>
    </row>
    <row r="31" spans="1:8">
      <c r="A31" s="207" t="s">
        <v>343</v>
      </c>
      <c r="B31" s="205">
        <v>1353.1100000000311</v>
      </c>
      <c r="C31" s="205"/>
      <c r="D31" s="205">
        <v>1353.1100000000311</v>
      </c>
      <c r="E31" s="205"/>
      <c r="F31" s="205"/>
    </row>
    <row r="32" spans="1:8">
      <c r="A32" s="207" t="s">
        <v>150</v>
      </c>
      <c r="B32" s="205">
        <v>1008.12</v>
      </c>
      <c r="C32" s="205"/>
      <c r="D32" s="205">
        <v>1008.12</v>
      </c>
      <c r="E32" s="205"/>
      <c r="F32" s="205"/>
    </row>
    <row r="33" spans="1:6">
      <c r="A33" s="207" t="s">
        <v>529</v>
      </c>
      <c r="B33" s="205">
        <v>955.8300000078309</v>
      </c>
      <c r="C33" s="205"/>
      <c r="D33" s="205">
        <v>955.8300000078309</v>
      </c>
      <c r="E33" s="205"/>
      <c r="F33" s="205"/>
    </row>
    <row r="34" spans="1:6">
      <c r="A34" s="207" t="s">
        <v>588</v>
      </c>
      <c r="B34" s="205">
        <v>910.62402492452691</v>
      </c>
      <c r="C34" s="205"/>
      <c r="D34" s="205">
        <v>910.62402492452691</v>
      </c>
      <c r="E34" s="205"/>
      <c r="F34" s="205"/>
    </row>
    <row r="35" spans="1:6">
      <c r="A35" s="207" t="s">
        <v>561</v>
      </c>
      <c r="B35" s="205">
        <v>804.12999999997601</v>
      </c>
      <c r="C35" s="205"/>
      <c r="D35" s="205">
        <v>804.12999999997601</v>
      </c>
      <c r="E35" s="205"/>
      <c r="F35" s="205"/>
    </row>
    <row r="36" spans="1:6">
      <c r="A36" s="207" t="s">
        <v>454</v>
      </c>
      <c r="B36" s="205">
        <v>700</v>
      </c>
      <c r="C36" s="205"/>
      <c r="D36" s="205">
        <v>700</v>
      </c>
      <c r="E36" s="205"/>
      <c r="F36" s="205"/>
    </row>
    <row r="37" spans="1:6">
      <c r="A37" s="207" t="s">
        <v>636</v>
      </c>
      <c r="B37" s="205">
        <v>631.400000000006</v>
      </c>
      <c r="C37" s="205"/>
      <c r="D37" s="205">
        <v>631.400000000006</v>
      </c>
      <c r="E37" s="205"/>
      <c r="F37" s="205"/>
    </row>
    <row r="38" spans="1:6">
      <c r="A38" s="207" t="s">
        <v>558</v>
      </c>
      <c r="B38" s="205">
        <v>461.98999999980902</v>
      </c>
      <c r="C38" s="205"/>
      <c r="D38" s="205">
        <v>461.98999999980902</v>
      </c>
      <c r="E38" s="205"/>
      <c r="F38" s="205"/>
    </row>
    <row r="39" spans="1:6">
      <c r="A39" s="207" t="s">
        <v>569</v>
      </c>
      <c r="B39" s="205">
        <v>399.53999999999303</v>
      </c>
      <c r="C39" s="205"/>
      <c r="D39" s="205">
        <v>399.53999999999303</v>
      </c>
      <c r="E39" s="205"/>
      <c r="F39" s="205"/>
    </row>
    <row r="40" spans="1:6">
      <c r="A40" s="207" t="s">
        <v>646</v>
      </c>
      <c r="B40" s="205">
        <v>370.57000000001301</v>
      </c>
      <c r="C40" s="205"/>
      <c r="D40" s="205">
        <v>370.57000000001301</v>
      </c>
      <c r="E40" s="205"/>
      <c r="F40" s="205"/>
    </row>
    <row r="41" spans="1:6">
      <c r="A41" s="207" t="s">
        <v>604</v>
      </c>
      <c r="B41" s="205">
        <v>253.58999999997698</v>
      </c>
      <c r="C41" s="205"/>
      <c r="D41" s="205">
        <v>253.58999999997698</v>
      </c>
      <c r="E41" s="205"/>
      <c r="F41" s="205"/>
    </row>
    <row r="42" spans="1:6">
      <c r="A42" s="207" t="s">
        <v>611</v>
      </c>
      <c r="B42" s="205">
        <v>169.67999999999901</v>
      </c>
      <c r="C42" s="205"/>
      <c r="D42" s="205">
        <v>169.67999999999901</v>
      </c>
      <c r="E42" s="205"/>
      <c r="F42" s="205"/>
    </row>
    <row r="43" spans="1:6">
      <c r="A43" s="207" t="s">
        <v>670</v>
      </c>
      <c r="B43" s="205">
        <v>136.510000000155</v>
      </c>
      <c r="C43" s="205"/>
      <c r="D43" s="205">
        <v>136.510000000155</v>
      </c>
      <c r="E43" s="205"/>
      <c r="F43" s="205"/>
    </row>
    <row r="44" spans="1:6">
      <c r="A44" s="207" t="s">
        <v>743</v>
      </c>
      <c r="B44" s="205">
        <v>89.000000000001009</v>
      </c>
      <c r="C44" s="205"/>
      <c r="D44" s="205">
        <v>89.000000000001009</v>
      </c>
      <c r="E44" s="205"/>
      <c r="F44" s="205"/>
    </row>
    <row r="45" spans="1:6">
      <c r="A45" s="207" t="s">
        <v>1398</v>
      </c>
      <c r="B45" s="205">
        <v>1550332.5789721282</v>
      </c>
      <c r="C45" s="205">
        <v>3511359.7200000007</v>
      </c>
      <c r="D45" s="205">
        <v>5061692.2989721298</v>
      </c>
      <c r="E45" s="205"/>
      <c r="F45" s="205"/>
    </row>
  </sheetData>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141A4-D593-4D8D-8FE6-CE44FAB4461C}">
  <dimension ref="B1:Y335"/>
  <sheetViews>
    <sheetView workbookViewId="0"/>
  </sheetViews>
  <sheetFormatPr defaultRowHeight="15"/>
  <cols>
    <col min="2" max="13" width="15.7109375" customWidth="1"/>
    <col min="14" max="14" width="58.140625" customWidth="1"/>
    <col min="15" max="15" width="15.7109375" customWidth="1"/>
    <col min="16" max="16" width="17.5703125" customWidth="1"/>
    <col min="17" max="19" width="15.7109375" customWidth="1"/>
    <col min="20" max="20" width="35.42578125" customWidth="1"/>
    <col min="21" max="21" width="87.7109375" customWidth="1"/>
    <col min="22" max="25" width="15.7109375" customWidth="1"/>
  </cols>
  <sheetData>
    <row r="1" spans="2:25">
      <c r="C1" t="s">
        <v>1401</v>
      </c>
      <c r="H1" s="185">
        <f>SUMIF($C$6:$C$335,$C$1,$H$6:$H$335)</f>
        <v>1550332.5789721282</v>
      </c>
      <c r="J1" s="185">
        <f>SUMIF($C$6:$C$335,$C$1,$J$6:$J$335)</f>
        <v>1629995.1239613367</v>
      </c>
      <c r="K1" s="185">
        <f>SUMIF($C$6:$C$335,$C$1,$K$6:$K$335)</f>
        <v>2473972.9522273829</v>
      </c>
      <c r="L1" s="185">
        <f>SUMIF($C$6:$C$335,$C$1,$L$6:$L$335)</f>
        <v>1773514.322617925</v>
      </c>
    </row>
    <row r="2" spans="2:25">
      <c r="C2" t="s">
        <v>1402</v>
      </c>
      <c r="H2" s="185">
        <f>SUMIF($C$6:$C$335,$C$2,$H$6:$H$335)</f>
        <v>3511359.7200000007</v>
      </c>
      <c r="J2" s="185">
        <f>SUMIF($C$6:$C$335,$C$2,$J$6:$J$335)</f>
        <v>4924783.3085081363</v>
      </c>
      <c r="K2" s="185">
        <f>SUMIF($C$6:$C$335,$C$2,$K$6:$K$335)</f>
        <v>23729062.820419244</v>
      </c>
      <c r="L2" s="185">
        <f>SUMIF($C$6:$C$335,$C$2,$L$6:$L$335)</f>
        <v>5972086.0882059541</v>
      </c>
    </row>
    <row r="4" spans="2:25">
      <c r="B4" s="182">
        <f>Contrato!$C$2</f>
        <v>45978</v>
      </c>
      <c r="H4" s="185">
        <f>SUM(H6:H335)</f>
        <v>5061692.2989721308</v>
      </c>
      <c r="I4" s="181"/>
      <c r="J4" s="185">
        <f t="shared" ref="J4:K4" si="0">SUM(J6:J335)</f>
        <v>6554778.4324694714</v>
      </c>
      <c r="K4" s="181">
        <f t="shared" si="0"/>
        <v>26203035.772646625</v>
      </c>
      <c r="L4" s="181">
        <f t="shared" ref="L4" si="1">SUM(L6:L335)</f>
        <v>7745600.4108238788</v>
      </c>
    </row>
    <row r="5" spans="2:25">
      <c r="B5" s="151" t="s">
        <v>81</v>
      </c>
      <c r="C5" s="151" t="s">
        <v>70</v>
      </c>
      <c r="D5" s="151" t="s">
        <v>82</v>
      </c>
      <c r="E5" s="151" t="s">
        <v>83</v>
      </c>
      <c r="F5" s="151" t="s">
        <v>84</v>
      </c>
      <c r="G5" s="151" t="s">
        <v>85</v>
      </c>
      <c r="H5" s="151" t="s">
        <v>86</v>
      </c>
      <c r="I5" s="183" t="s">
        <v>1371</v>
      </c>
      <c r="J5" s="183" t="s">
        <v>1372</v>
      </c>
      <c r="K5" s="183" t="s">
        <v>1373</v>
      </c>
      <c r="L5" s="183" t="s">
        <v>1404</v>
      </c>
      <c r="M5" s="151" t="s">
        <v>87</v>
      </c>
      <c r="N5" s="151" t="s">
        <v>88</v>
      </c>
      <c r="O5" s="151" t="s">
        <v>89</v>
      </c>
      <c r="P5" s="151" t="s">
        <v>90</v>
      </c>
      <c r="Q5" s="151" t="s">
        <v>91</v>
      </c>
      <c r="R5" s="151" t="s">
        <v>92</v>
      </c>
      <c r="S5" s="151" t="s">
        <v>93</v>
      </c>
      <c r="T5" s="151" t="s">
        <v>94</v>
      </c>
      <c r="U5" s="151" t="s">
        <v>95</v>
      </c>
      <c r="V5" s="151" t="s">
        <v>96</v>
      </c>
      <c r="W5" s="151" t="s">
        <v>97</v>
      </c>
      <c r="X5" s="151" t="s">
        <v>98</v>
      </c>
      <c r="Y5" s="151" t="s">
        <v>99</v>
      </c>
    </row>
    <row r="6" spans="2:25">
      <c r="B6" s="154" t="s">
        <v>102</v>
      </c>
      <c r="C6" s="154" t="s">
        <v>1401</v>
      </c>
      <c r="D6" s="155">
        <v>45078</v>
      </c>
      <c r="E6" s="155">
        <v>45071</v>
      </c>
      <c r="F6" s="159">
        <v>800</v>
      </c>
      <c r="G6" s="159">
        <v>800</v>
      </c>
      <c r="H6" s="159">
        <v>800</v>
      </c>
      <c r="I6" s="184">
        <f>$B$4</f>
        <v>45978</v>
      </c>
      <c r="J6" s="159" cm="1">
        <f t="array" ref="J6">[15]!CalculateINPC(D6,I6,-1)*H6</f>
        <v>876.47702400000003</v>
      </c>
      <c r="K6" s="159">
        <f>J6*1.3^((I6-D6)/360)</f>
        <v>1688.8804821947183</v>
      </c>
      <c r="L6" s="159" cm="1">
        <f t="array" ref="L6">[15]!CalculateDICetip(D6,I6,1)*H6</f>
        <v>1069.4550080000001</v>
      </c>
      <c r="M6" s="154">
        <v>174426</v>
      </c>
      <c r="N6" s="154" t="s">
        <v>236</v>
      </c>
      <c r="O6" s="154" t="s">
        <v>237</v>
      </c>
      <c r="P6" s="154" t="s">
        <v>238</v>
      </c>
      <c r="Q6" s="154">
        <v>10027</v>
      </c>
      <c r="R6" s="154" t="s">
        <v>106</v>
      </c>
      <c r="S6" s="154">
        <v>44</v>
      </c>
      <c r="T6" s="154" t="s">
        <v>107</v>
      </c>
      <c r="U6" s="154" t="s">
        <v>425</v>
      </c>
      <c r="V6" s="154" t="s">
        <v>109</v>
      </c>
      <c r="W6" s="154" t="s">
        <v>110</v>
      </c>
      <c r="X6" s="154" t="s">
        <v>240</v>
      </c>
      <c r="Y6" s="154" t="s">
        <v>426</v>
      </c>
    </row>
    <row r="7" spans="2:25">
      <c r="B7" s="154" t="s">
        <v>102</v>
      </c>
      <c r="C7" s="154" t="s">
        <v>1401</v>
      </c>
      <c r="D7" s="155">
        <v>45078</v>
      </c>
      <c r="E7" s="155">
        <v>45057</v>
      </c>
      <c r="F7" s="159">
        <v>100</v>
      </c>
      <c r="G7" s="159">
        <v>100</v>
      </c>
      <c r="H7" s="159">
        <v>100</v>
      </c>
      <c r="I7" s="184">
        <f t="shared" ref="I7:I70" si="2">$B$4</f>
        <v>45978</v>
      </c>
      <c r="J7" s="159" cm="1">
        <f t="array" ref="J7">[15]!CalculateINPC(D7,I7,-1)*H7</f>
        <v>109.559628</v>
      </c>
      <c r="K7" s="159">
        <f t="shared" ref="K7:K70" si="3">J7*1.3^((I7-D7)/360)</f>
        <v>211.11006027433979</v>
      </c>
      <c r="L7" s="159" cm="1">
        <f t="array" ref="L7">[15]!CalculateDICetip(D7,I7,1)*H7</f>
        <v>133.68187600000002</v>
      </c>
      <c r="M7" s="154">
        <v>174392</v>
      </c>
      <c r="N7" s="154" t="s">
        <v>236</v>
      </c>
      <c r="O7" s="154" t="s">
        <v>237</v>
      </c>
      <c r="P7" s="154" t="s">
        <v>238</v>
      </c>
      <c r="Q7" s="154">
        <v>10027</v>
      </c>
      <c r="R7" s="154" t="s">
        <v>106</v>
      </c>
      <c r="S7" s="154">
        <v>44</v>
      </c>
      <c r="T7" s="154" t="s">
        <v>107</v>
      </c>
      <c r="U7" s="154" t="s">
        <v>652</v>
      </c>
      <c r="V7" s="154" t="s">
        <v>109</v>
      </c>
      <c r="W7" s="154" t="s">
        <v>110</v>
      </c>
      <c r="X7" s="154" t="s">
        <v>240</v>
      </c>
      <c r="Y7" s="154" t="s">
        <v>653</v>
      </c>
    </row>
    <row r="8" spans="2:25">
      <c r="B8" s="154" t="s">
        <v>102</v>
      </c>
      <c r="C8" s="154" t="s">
        <v>1401</v>
      </c>
      <c r="D8" s="155">
        <v>44743</v>
      </c>
      <c r="E8" s="155">
        <v>44743</v>
      </c>
      <c r="F8" s="159">
        <v>1297.47</v>
      </c>
      <c r="G8" s="159">
        <v>1297.47</v>
      </c>
      <c r="H8" s="159">
        <v>1297.47</v>
      </c>
      <c r="I8" s="184">
        <f t="shared" si="2"/>
        <v>45978</v>
      </c>
      <c r="J8" s="159" cm="1">
        <f t="array" ref="J8">[15]!CalculateINPC(D8,I8,-1)*H8</f>
        <v>1465.5993154521</v>
      </c>
      <c r="K8" s="159">
        <f t="shared" si="3"/>
        <v>3604.9915721399439</v>
      </c>
      <c r="L8" s="159" cm="1">
        <f t="array" ref="L8">[15]!CalculateDICetip(D8,I8,1)*H8</f>
        <v>1948.5230209778999</v>
      </c>
      <c r="M8" s="154">
        <v>152297</v>
      </c>
      <c r="N8" s="154" t="s">
        <v>335</v>
      </c>
      <c r="O8" s="154" t="s">
        <v>282</v>
      </c>
      <c r="P8" s="154" t="s">
        <v>283</v>
      </c>
      <c r="Q8" s="154">
        <v>10027</v>
      </c>
      <c r="R8" s="154" t="s">
        <v>106</v>
      </c>
      <c r="S8" s="154">
        <v>44</v>
      </c>
      <c r="T8" s="154" t="s">
        <v>107</v>
      </c>
      <c r="U8" s="154" t="s">
        <v>336</v>
      </c>
      <c r="V8" s="154" t="s">
        <v>109</v>
      </c>
      <c r="W8" s="154" t="s">
        <v>110</v>
      </c>
      <c r="X8" s="154" t="s">
        <v>111</v>
      </c>
      <c r="Y8" s="154" t="s">
        <v>337</v>
      </c>
    </row>
    <row r="9" spans="2:25">
      <c r="B9" s="154" t="s">
        <v>102</v>
      </c>
      <c r="C9" s="154" t="s">
        <v>1401</v>
      </c>
      <c r="D9" s="155">
        <v>44805</v>
      </c>
      <c r="E9" s="155">
        <v>44799</v>
      </c>
      <c r="F9" s="159">
        <v>66.650000000000006</v>
      </c>
      <c r="G9" s="159">
        <v>66.650000000000006</v>
      </c>
      <c r="H9" s="159">
        <v>66.650000000000006</v>
      </c>
      <c r="I9" s="184">
        <f t="shared" si="2"/>
        <v>45978</v>
      </c>
      <c r="J9" s="159" cm="1">
        <f t="array" ref="J9">[15]!CalculateINPC(D9,I9,-1)*H9</f>
        <v>75.976678414000006</v>
      </c>
      <c r="K9" s="159">
        <f t="shared" si="3"/>
        <v>178.62643299988292</v>
      </c>
      <c r="L9" s="159" cm="1">
        <f t="array" ref="L9">[15]!CalculateDICetip(D9,I9,1)*H9</f>
        <v>97.923785598500004</v>
      </c>
      <c r="M9" s="154">
        <v>156817</v>
      </c>
      <c r="N9" s="154" t="s">
        <v>258</v>
      </c>
      <c r="O9" s="154" t="s">
        <v>149</v>
      </c>
      <c r="P9" s="154" t="s">
        <v>150</v>
      </c>
      <c r="Q9" s="154">
        <v>10027</v>
      </c>
      <c r="R9" s="154" t="s">
        <v>106</v>
      </c>
      <c r="S9" s="154">
        <v>44</v>
      </c>
      <c r="T9" s="154" t="s">
        <v>107</v>
      </c>
      <c r="U9" s="154" t="s">
        <v>693</v>
      </c>
      <c r="V9" s="154" t="s">
        <v>109</v>
      </c>
      <c r="W9" s="154" t="s">
        <v>110</v>
      </c>
      <c r="X9" s="154" t="s">
        <v>117</v>
      </c>
      <c r="Y9" s="154" t="s">
        <v>694</v>
      </c>
    </row>
    <row r="10" spans="2:25">
      <c r="B10" s="154" t="s">
        <v>102</v>
      </c>
      <c r="C10" s="154" t="s">
        <v>1401</v>
      </c>
      <c r="D10" s="155">
        <v>45901</v>
      </c>
      <c r="E10" s="155">
        <v>45883</v>
      </c>
      <c r="F10" s="159">
        <v>3000</v>
      </c>
      <c r="G10" s="159">
        <v>73.179999999990002</v>
      </c>
      <c r="H10" s="159">
        <v>73.179999999990002</v>
      </c>
      <c r="I10" s="184">
        <f t="shared" si="2"/>
        <v>45978</v>
      </c>
      <c r="J10" s="159" cm="1">
        <f t="array" ref="J10">[15]!CalculateINPC(D10,I10,-1)*H10</f>
        <v>73.582587329389952</v>
      </c>
      <c r="K10" s="159">
        <f t="shared" si="3"/>
        <v>77.829863998843379</v>
      </c>
      <c r="L10" s="159" cm="1">
        <f t="array" ref="L10">[15]!CalculateDICetip(D10,I10,1)*H10</f>
        <v>75.432321599389681</v>
      </c>
      <c r="M10" s="154">
        <v>268132</v>
      </c>
      <c r="N10" s="154" t="s">
        <v>808</v>
      </c>
      <c r="O10" s="154" t="s">
        <v>290</v>
      </c>
      <c r="P10" s="154" t="s">
        <v>291</v>
      </c>
      <c r="Q10" s="154">
        <v>10027</v>
      </c>
      <c r="R10" s="154" t="s">
        <v>106</v>
      </c>
      <c r="S10" s="154">
        <v>44</v>
      </c>
      <c r="T10" s="154" t="s">
        <v>107</v>
      </c>
      <c r="U10" s="154" t="s">
        <v>879</v>
      </c>
      <c r="V10" s="154" t="s">
        <v>109</v>
      </c>
      <c r="W10" s="154" t="s">
        <v>110</v>
      </c>
      <c r="X10" s="154" t="s">
        <v>130</v>
      </c>
      <c r="Y10" s="154" t="s">
        <v>880</v>
      </c>
    </row>
    <row r="11" spans="2:25">
      <c r="B11" s="154" t="s">
        <v>102</v>
      </c>
      <c r="C11" s="154" t="s">
        <v>1401</v>
      </c>
      <c r="D11" s="155">
        <v>43923</v>
      </c>
      <c r="E11" s="155">
        <v>43902</v>
      </c>
      <c r="F11" s="159">
        <v>5500</v>
      </c>
      <c r="G11" s="159">
        <v>179.99999999998499</v>
      </c>
      <c r="H11" s="159">
        <v>179.99999999998499</v>
      </c>
      <c r="I11" s="184">
        <f t="shared" si="2"/>
        <v>45978</v>
      </c>
      <c r="J11" s="159" cm="1">
        <f t="array" ref="J11">[15]!CalculateINPC(D11,I11,-1)*H11</f>
        <v>248.09673419997929</v>
      </c>
      <c r="K11" s="159">
        <f t="shared" si="3"/>
        <v>1109.2966043946944</v>
      </c>
      <c r="L11" s="159" cm="1">
        <f t="array" ref="L11">[15]!CalculateDICetip(D11,I11,1)*H11</f>
        <v>302.66890379997477</v>
      </c>
      <c r="M11" s="154">
        <v>87902</v>
      </c>
      <c r="N11" s="154" t="s">
        <v>602</v>
      </c>
      <c r="O11" s="154" t="s">
        <v>603</v>
      </c>
      <c r="P11" s="154" t="s">
        <v>604</v>
      </c>
      <c r="Q11" s="154">
        <v>10027</v>
      </c>
      <c r="R11" s="154" t="s">
        <v>106</v>
      </c>
      <c r="S11" s="154">
        <v>44</v>
      </c>
      <c r="T11" s="154" t="s">
        <v>107</v>
      </c>
      <c r="U11" s="154" t="s">
        <v>605</v>
      </c>
      <c r="V11" s="154" t="s">
        <v>109</v>
      </c>
      <c r="W11" s="154" t="s">
        <v>110</v>
      </c>
      <c r="X11" s="154" t="s">
        <v>130</v>
      </c>
      <c r="Y11" s="154" t="s">
        <v>606</v>
      </c>
    </row>
    <row r="12" spans="2:25">
      <c r="B12" s="154" t="s">
        <v>102</v>
      </c>
      <c r="C12" s="154" t="s">
        <v>1401</v>
      </c>
      <c r="D12" s="155">
        <v>44806</v>
      </c>
      <c r="E12" s="155">
        <v>44803</v>
      </c>
      <c r="F12" s="159">
        <v>5663.85</v>
      </c>
      <c r="G12" s="159">
        <v>5663.85</v>
      </c>
      <c r="H12" s="159">
        <v>5663.85</v>
      </c>
      <c r="I12" s="184">
        <f t="shared" si="2"/>
        <v>45978</v>
      </c>
      <c r="J12" s="159" cm="1">
        <f t="array" ref="J12">[15]!CalculateINPC(D12,I12,-1)*H12</f>
        <v>6456.421755966001</v>
      </c>
      <c r="K12" s="159">
        <f t="shared" si="3"/>
        <v>15168.436083833623</v>
      </c>
      <c r="L12" s="159" cm="1">
        <f t="array" ref="L12">[15]!CalculateDICetip(D12,I12,1)*H12</f>
        <v>8317.2407061780013</v>
      </c>
      <c r="M12" s="154">
        <v>156908</v>
      </c>
      <c r="N12" s="154" t="s">
        <v>217</v>
      </c>
      <c r="O12" s="154" t="s">
        <v>218</v>
      </c>
      <c r="P12" s="154" t="s">
        <v>219</v>
      </c>
      <c r="Q12" s="154">
        <v>10027</v>
      </c>
      <c r="R12" s="154" t="s">
        <v>106</v>
      </c>
      <c r="S12" s="154">
        <v>44</v>
      </c>
      <c r="T12" s="154" t="s">
        <v>107</v>
      </c>
      <c r="U12" s="154" t="s">
        <v>220</v>
      </c>
      <c r="V12" s="154" t="s">
        <v>109</v>
      </c>
      <c r="W12" s="154" t="s">
        <v>110</v>
      </c>
      <c r="X12" s="154" t="s">
        <v>221</v>
      </c>
      <c r="Y12" s="154" t="s">
        <v>222</v>
      </c>
    </row>
    <row r="13" spans="2:25">
      <c r="B13" s="154" t="s">
        <v>102</v>
      </c>
      <c r="C13" s="154" t="s">
        <v>1401</v>
      </c>
      <c r="D13" s="155">
        <v>44806</v>
      </c>
      <c r="E13" s="155">
        <v>44799</v>
      </c>
      <c r="F13" s="159">
        <v>66.650000000000006</v>
      </c>
      <c r="G13" s="159">
        <v>66.650000000000006</v>
      </c>
      <c r="H13" s="159">
        <v>66.650000000000006</v>
      </c>
      <c r="I13" s="184">
        <f t="shared" si="2"/>
        <v>45978</v>
      </c>
      <c r="J13" s="159" cm="1">
        <f t="array" ref="J13">[15]!CalculateINPC(D13,I13,-1)*H13</f>
        <v>75.976678414000006</v>
      </c>
      <c r="K13" s="159">
        <f t="shared" si="3"/>
        <v>178.49629933481836</v>
      </c>
      <c r="L13" s="159" cm="1">
        <f t="array" ref="L13">[15]!CalculateDICetip(D13,I13,1)*H13</f>
        <v>97.874077362000008</v>
      </c>
      <c r="M13" s="154">
        <v>156899</v>
      </c>
      <c r="N13" s="154" t="s">
        <v>258</v>
      </c>
      <c r="O13" s="154" t="s">
        <v>149</v>
      </c>
      <c r="P13" s="154" t="s">
        <v>150</v>
      </c>
      <c r="Q13" s="154">
        <v>10027</v>
      </c>
      <c r="R13" s="154" t="s">
        <v>106</v>
      </c>
      <c r="S13" s="154">
        <v>44</v>
      </c>
      <c r="T13" s="154" t="s">
        <v>107</v>
      </c>
      <c r="U13" s="154" t="s">
        <v>695</v>
      </c>
      <c r="V13" s="154" t="s">
        <v>109</v>
      </c>
      <c r="W13" s="154" t="s">
        <v>110</v>
      </c>
      <c r="X13" s="154" t="s">
        <v>117</v>
      </c>
      <c r="Y13" s="154" t="s">
        <v>696</v>
      </c>
    </row>
    <row r="14" spans="2:25">
      <c r="B14" s="154" t="s">
        <v>102</v>
      </c>
      <c r="C14" s="154" t="s">
        <v>1401</v>
      </c>
      <c r="D14" s="155">
        <v>45902</v>
      </c>
      <c r="E14" s="155">
        <v>45883</v>
      </c>
      <c r="F14" s="159">
        <v>50695.199999999997</v>
      </c>
      <c r="G14" s="159">
        <v>568.69999999979098</v>
      </c>
      <c r="H14" s="159">
        <v>568.69999999979098</v>
      </c>
      <c r="I14" s="184">
        <f t="shared" si="2"/>
        <v>45978</v>
      </c>
      <c r="J14" s="159" cm="1">
        <f t="array" ref="J14">[15]!CalculateINPC(D14,I14,-1)*H14</f>
        <v>571.82860637078977</v>
      </c>
      <c r="K14" s="159">
        <f t="shared" si="3"/>
        <v>604.3946137659816</v>
      </c>
      <c r="L14" s="159" cm="1">
        <f t="array" ref="L14">[15]!CalculateDICetip(D14,I14,1)*H14</f>
        <v>585.88035306878464</v>
      </c>
      <c r="M14" s="154">
        <v>268144</v>
      </c>
      <c r="N14" s="154" t="s">
        <v>808</v>
      </c>
      <c r="O14" s="154" t="s">
        <v>290</v>
      </c>
      <c r="P14" s="154" t="s">
        <v>291</v>
      </c>
      <c r="Q14" s="154">
        <v>10027</v>
      </c>
      <c r="R14" s="154" t="s">
        <v>106</v>
      </c>
      <c r="S14" s="154">
        <v>44</v>
      </c>
      <c r="T14" s="154" t="s">
        <v>107</v>
      </c>
      <c r="U14" s="154" t="s">
        <v>881</v>
      </c>
      <c r="V14" s="154" t="s">
        <v>109</v>
      </c>
      <c r="W14" s="154" t="s">
        <v>110</v>
      </c>
      <c r="X14" s="154" t="s">
        <v>130</v>
      </c>
      <c r="Y14" s="154" t="s">
        <v>882</v>
      </c>
    </row>
    <row r="15" spans="2:25">
      <c r="B15" s="154" t="s">
        <v>102</v>
      </c>
      <c r="C15" s="154" t="s">
        <v>1401</v>
      </c>
      <c r="D15" s="155">
        <v>45811</v>
      </c>
      <c r="E15" s="155">
        <v>45793</v>
      </c>
      <c r="F15" s="159">
        <v>18582</v>
      </c>
      <c r="G15" s="159">
        <v>1175.99999999995</v>
      </c>
      <c r="H15" s="159">
        <v>1175.99999999995</v>
      </c>
      <c r="I15" s="184">
        <f t="shared" si="2"/>
        <v>45978</v>
      </c>
      <c r="J15" s="159" cm="1">
        <f t="array" ref="J15">[15]!CalculateINPC(D15,I15,-1)*H15</f>
        <v>1185.1836427199496</v>
      </c>
      <c r="K15" s="159">
        <f t="shared" si="3"/>
        <v>1338.5749828480048</v>
      </c>
      <c r="L15" s="159" cm="1">
        <f t="array" ref="L15">[15]!CalculateDICetip(D15,I15,1)*H15</f>
        <v>1254.8948176799465</v>
      </c>
      <c r="M15" s="154">
        <v>254480</v>
      </c>
      <c r="N15" s="154" t="s">
        <v>787</v>
      </c>
      <c r="O15" s="154" t="s">
        <v>533</v>
      </c>
      <c r="P15" s="154" t="s">
        <v>534</v>
      </c>
      <c r="Q15" s="154">
        <v>10027</v>
      </c>
      <c r="R15" s="154" t="s">
        <v>106</v>
      </c>
      <c r="S15" s="154">
        <v>44</v>
      </c>
      <c r="T15" s="154" t="s">
        <v>107</v>
      </c>
      <c r="U15" s="154" t="s">
        <v>788</v>
      </c>
      <c r="V15" s="154" t="s">
        <v>109</v>
      </c>
      <c r="W15" s="154" t="s">
        <v>110</v>
      </c>
      <c r="X15" s="154" t="s">
        <v>130</v>
      </c>
      <c r="Y15" s="154" t="s">
        <v>789</v>
      </c>
    </row>
    <row r="16" spans="2:25">
      <c r="B16" s="154" t="s">
        <v>102</v>
      </c>
      <c r="C16" s="154" t="s">
        <v>1401</v>
      </c>
      <c r="D16" s="155">
        <v>45811</v>
      </c>
      <c r="E16" s="155">
        <v>45778</v>
      </c>
      <c r="F16" s="159">
        <v>7330.27</v>
      </c>
      <c r="G16" s="159">
        <v>75.290000000036997</v>
      </c>
      <c r="H16" s="159">
        <v>75.290000000036997</v>
      </c>
      <c r="I16" s="184">
        <f t="shared" si="2"/>
        <v>45978</v>
      </c>
      <c r="J16" s="159" cm="1">
        <f t="array" ref="J16">[15]!CalculateINPC(D16,I16,-1)*H16</f>
        <v>75.877956173837276</v>
      </c>
      <c r="K16" s="159">
        <f t="shared" si="3"/>
        <v>85.698393247176938</v>
      </c>
      <c r="L16" s="159" cm="1">
        <f t="array" ref="L16">[15]!CalculateDICetip(D16,I16,1)*H16</f>
        <v>80.341012604739475</v>
      </c>
      <c r="M16" s="154">
        <v>255141</v>
      </c>
      <c r="N16" s="154" t="s">
        <v>790</v>
      </c>
      <c r="O16" s="154" t="s">
        <v>342</v>
      </c>
      <c r="P16" s="154" t="s">
        <v>343</v>
      </c>
      <c r="Q16" s="154">
        <v>10027</v>
      </c>
      <c r="R16" s="154" t="s">
        <v>106</v>
      </c>
      <c r="S16" s="154">
        <v>44</v>
      </c>
      <c r="T16" s="154" t="s">
        <v>107</v>
      </c>
      <c r="U16" s="154" t="s">
        <v>791</v>
      </c>
      <c r="V16" s="154" t="s">
        <v>109</v>
      </c>
      <c r="W16" s="154" t="s">
        <v>110</v>
      </c>
      <c r="X16" s="154" t="s">
        <v>399</v>
      </c>
      <c r="Y16" s="154" t="s">
        <v>792</v>
      </c>
    </row>
    <row r="17" spans="2:25">
      <c r="B17" s="154" t="s">
        <v>102</v>
      </c>
      <c r="C17" s="154" t="s">
        <v>1401</v>
      </c>
      <c r="D17" s="155">
        <v>45110</v>
      </c>
      <c r="E17" s="155">
        <v>45082</v>
      </c>
      <c r="F17" s="159">
        <v>86989.25</v>
      </c>
      <c r="G17" s="159">
        <v>130.18999999962799</v>
      </c>
      <c r="H17" s="159">
        <v>130.18999999962799</v>
      </c>
      <c r="I17" s="184">
        <f t="shared" si="2"/>
        <v>45978</v>
      </c>
      <c r="J17" s="159" cm="1">
        <f t="array" ref="J17">[15]!CalculateINPC(D17,I17,-1)*H17</f>
        <v>142.778390065092</v>
      </c>
      <c r="K17" s="159">
        <f t="shared" si="3"/>
        <v>268.7772854632949</v>
      </c>
      <c r="L17" s="159" cm="1">
        <f t="array" ref="L17">[15]!CalculateDICetip(D17,I17,1)*H17</f>
        <v>172.19453935460797</v>
      </c>
      <c r="M17" s="154">
        <v>176020</v>
      </c>
      <c r="N17" s="154" t="s">
        <v>629</v>
      </c>
      <c r="O17" s="154" t="s">
        <v>442</v>
      </c>
      <c r="P17" s="154" t="s">
        <v>443</v>
      </c>
      <c r="Q17" s="154">
        <v>10027</v>
      </c>
      <c r="R17" s="154" t="s">
        <v>106</v>
      </c>
      <c r="S17" s="154">
        <v>44</v>
      </c>
      <c r="T17" s="154" t="s">
        <v>107</v>
      </c>
      <c r="U17" s="154" t="s">
        <v>630</v>
      </c>
      <c r="V17" s="154" t="s">
        <v>109</v>
      </c>
      <c r="W17" s="154" t="s">
        <v>110</v>
      </c>
      <c r="X17" s="154" t="s">
        <v>130</v>
      </c>
      <c r="Y17" s="154" t="s">
        <v>631</v>
      </c>
    </row>
    <row r="18" spans="2:25">
      <c r="B18" s="154" t="s">
        <v>102</v>
      </c>
      <c r="C18" s="154" t="s">
        <v>1401</v>
      </c>
      <c r="D18" s="155">
        <v>45903</v>
      </c>
      <c r="E18" s="155">
        <v>45896</v>
      </c>
      <c r="F18" s="159">
        <v>50700</v>
      </c>
      <c r="G18" s="159">
        <v>539.99999999977194</v>
      </c>
      <c r="H18" s="159">
        <v>539.99999999977194</v>
      </c>
      <c r="I18" s="184">
        <f t="shared" si="2"/>
        <v>45978</v>
      </c>
      <c r="J18" s="159" cm="1">
        <f t="array" ref="J18">[15]!CalculateINPC(D18,I18,-1)*H18</f>
        <v>542.97071819977066</v>
      </c>
      <c r="K18" s="159">
        <f t="shared" si="3"/>
        <v>573.47515520327295</v>
      </c>
      <c r="L18" s="159" cm="1">
        <f t="array" ref="L18">[15]!CalculateDICetip(D18,I18,1)*H18</f>
        <v>556.00679339976523</v>
      </c>
      <c r="M18" s="154">
        <v>268202</v>
      </c>
      <c r="N18" s="154" t="s">
        <v>883</v>
      </c>
      <c r="O18" s="154" t="s">
        <v>189</v>
      </c>
      <c r="P18" s="154" t="s">
        <v>190</v>
      </c>
      <c r="Q18" s="154">
        <v>10027</v>
      </c>
      <c r="R18" s="154" t="s">
        <v>106</v>
      </c>
      <c r="S18" s="154">
        <v>44</v>
      </c>
      <c r="T18" s="154" t="s">
        <v>107</v>
      </c>
      <c r="U18" s="154" t="s">
        <v>884</v>
      </c>
      <c r="V18" s="154" t="s">
        <v>109</v>
      </c>
      <c r="W18" s="154" t="s">
        <v>110</v>
      </c>
      <c r="X18" s="154" t="s">
        <v>130</v>
      </c>
      <c r="Y18" s="154" t="s">
        <v>885</v>
      </c>
    </row>
    <row r="19" spans="2:25">
      <c r="B19" s="154" t="s">
        <v>102</v>
      </c>
      <c r="C19" s="154" t="s">
        <v>1401</v>
      </c>
      <c r="D19" s="155">
        <v>44259</v>
      </c>
      <c r="E19" s="155">
        <v>44249</v>
      </c>
      <c r="F19" s="159">
        <v>200</v>
      </c>
      <c r="G19" s="159">
        <v>200</v>
      </c>
      <c r="H19" s="159">
        <v>200</v>
      </c>
      <c r="I19" s="184">
        <f t="shared" si="2"/>
        <v>45978</v>
      </c>
      <c r="J19" s="159" cm="1">
        <f t="array" ref="J19">[15]!CalculateINPC(D19,I19,-1)*H19</f>
        <v>259.99676399999998</v>
      </c>
      <c r="K19" s="159">
        <f t="shared" si="3"/>
        <v>910.01269286461809</v>
      </c>
      <c r="L19" s="159" cm="1">
        <f t="array" ref="L19">[15]!CalculateDICetip(D19,I19,1)*H19</f>
        <v>329.62167999999997</v>
      </c>
      <c r="M19" s="154">
        <v>104957</v>
      </c>
      <c r="N19" s="154" t="s">
        <v>236</v>
      </c>
      <c r="O19" s="154" t="s">
        <v>237</v>
      </c>
      <c r="P19" s="154" t="s">
        <v>238</v>
      </c>
      <c r="Q19" s="154">
        <v>10027</v>
      </c>
      <c r="R19" s="154" t="s">
        <v>106</v>
      </c>
      <c r="S19" s="154">
        <v>44</v>
      </c>
      <c r="T19" s="154" t="s">
        <v>107</v>
      </c>
      <c r="U19" s="154" t="s">
        <v>593</v>
      </c>
      <c r="V19" s="154" t="s">
        <v>109</v>
      </c>
      <c r="W19" s="154" t="s">
        <v>110</v>
      </c>
      <c r="X19" s="154" t="s">
        <v>240</v>
      </c>
      <c r="Y19" s="154" t="s">
        <v>594</v>
      </c>
    </row>
    <row r="20" spans="2:25">
      <c r="B20" s="154" t="s">
        <v>102</v>
      </c>
      <c r="C20" s="154" t="s">
        <v>1401</v>
      </c>
      <c r="D20" s="155">
        <v>45812</v>
      </c>
      <c r="E20" s="155">
        <v>45806</v>
      </c>
      <c r="F20" s="159">
        <v>13800</v>
      </c>
      <c r="G20" s="159">
        <v>900.00000000003001</v>
      </c>
      <c r="H20" s="159">
        <v>900.00000000003001</v>
      </c>
      <c r="I20" s="184">
        <f t="shared" si="2"/>
        <v>45978</v>
      </c>
      <c r="J20" s="159" cm="1">
        <f t="array" ref="J20">[15]!CalculateINPC(D20,I20,-1)*H20</f>
        <v>907.02829800003019</v>
      </c>
      <c r="K20" s="159">
        <f t="shared" si="3"/>
        <v>1023.6733153205465</v>
      </c>
      <c r="L20" s="159" cm="1">
        <f t="array" ref="L20">[15]!CalculateDICetip(D20,I20,1)*H20</f>
        <v>959.85781200003214</v>
      </c>
      <c r="M20" s="154">
        <v>255285</v>
      </c>
      <c r="N20" s="154" t="s">
        <v>649</v>
      </c>
      <c r="O20" s="154" t="s">
        <v>232</v>
      </c>
      <c r="P20" s="154" t="s">
        <v>233</v>
      </c>
      <c r="Q20" s="154">
        <v>10027</v>
      </c>
      <c r="R20" s="154" t="s">
        <v>106</v>
      </c>
      <c r="S20" s="154">
        <v>44</v>
      </c>
      <c r="T20" s="154" t="s">
        <v>107</v>
      </c>
      <c r="U20" s="154" t="s">
        <v>793</v>
      </c>
      <c r="V20" s="154" t="s">
        <v>109</v>
      </c>
      <c r="W20" s="154" t="s">
        <v>110</v>
      </c>
      <c r="X20" s="154" t="s">
        <v>130</v>
      </c>
      <c r="Y20" s="154" t="s">
        <v>794</v>
      </c>
    </row>
    <row r="21" spans="2:25">
      <c r="B21" s="154" t="s">
        <v>102</v>
      </c>
      <c r="C21" s="154" t="s">
        <v>1401</v>
      </c>
      <c r="D21" s="155">
        <v>45111</v>
      </c>
      <c r="E21" s="155">
        <v>45098</v>
      </c>
      <c r="F21" s="159">
        <v>30765</v>
      </c>
      <c r="G21" s="159">
        <v>630.00000000004002</v>
      </c>
      <c r="H21" s="159">
        <v>630.00000000004002</v>
      </c>
      <c r="I21" s="184">
        <f t="shared" si="2"/>
        <v>45978</v>
      </c>
      <c r="J21" s="159" cm="1">
        <f t="array" ref="J21">[15]!CalculateINPC(D21,I21,-1)*H21</f>
        <v>690.91624350004383</v>
      </c>
      <c r="K21" s="159">
        <f t="shared" si="3"/>
        <v>1299.6876033408214</v>
      </c>
      <c r="L21" s="159" cm="1">
        <f t="array" ref="L21">[15]!CalculateDICetip(D21,I21,1)*H21</f>
        <v>832.8404007000529</v>
      </c>
      <c r="M21" s="154">
        <v>176220</v>
      </c>
      <c r="N21" s="154" t="s">
        <v>483</v>
      </c>
      <c r="O21" s="154" t="s">
        <v>189</v>
      </c>
      <c r="P21" s="154" t="s">
        <v>190</v>
      </c>
      <c r="Q21" s="154">
        <v>10027</v>
      </c>
      <c r="R21" s="154" t="s">
        <v>106</v>
      </c>
      <c r="S21" s="154">
        <v>44</v>
      </c>
      <c r="T21" s="154" t="s">
        <v>107</v>
      </c>
      <c r="U21" s="154" t="s">
        <v>484</v>
      </c>
      <c r="V21" s="154" t="s">
        <v>109</v>
      </c>
      <c r="W21" s="154" t="s">
        <v>110</v>
      </c>
      <c r="X21" s="154" t="s">
        <v>130</v>
      </c>
      <c r="Y21" s="154" t="s">
        <v>485</v>
      </c>
    </row>
    <row r="22" spans="2:25">
      <c r="B22" s="154" t="s">
        <v>102</v>
      </c>
      <c r="C22" s="154" t="s">
        <v>1401</v>
      </c>
      <c r="D22" s="155">
        <v>45142</v>
      </c>
      <c r="E22" s="155">
        <v>45139</v>
      </c>
      <c r="F22" s="159">
        <v>37250</v>
      </c>
      <c r="G22" s="159">
        <v>37.959999999830004</v>
      </c>
      <c r="H22" s="159">
        <v>37.959999999830004</v>
      </c>
      <c r="I22" s="184">
        <f t="shared" si="2"/>
        <v>45978</v>
      </c>
      <c r="J22" s="159" cm="1">
        <f t="array" ref="J22">[15]!CalculateINPC(D22,I22,-1)*H22</f>
        <v>41.667960510613398</v>
      </c>
      <c r="K22" s="159">
        <f t="shared" si="3"/>
        <v>76.630918085612237</v>
      </c>
      <c r="L22" s="159" cm="1">
        <f t="array" ref="L22">[15]!CalculateDICetip(D22,I22,1)*H22</f>
        <v>49.600177010577873</v>
      </c>
      <c r="M22" s="154">
        <v>178654</v>
      </c>
      <c r="N22" s="154" t="s">
        <v>668</v>
      </c>
      <c r="O22" s="154" t="s">
        <v>557</v>
      </c>
      <c r="P22" s="154" t="s">
        <v>558</v>
      </c>
      <c r="Q22" s="154">
        <v>10027</v>
      </c>
      <c r="R22" s="154" t="s">
        <v>106</v>
      </c>
      <c r="S22" s="154">
        <v>44</v>
      </c>
      <c r="T22" s="154" t="s">
        <v>107</v>
      </c>
      <c r="U22" s="154" t="s">
        <v>732</v>
      </c>
      <c r="V22" s="154" t="s">
        <v>109</v>
      </c>
      <c r="W22" s="154" t="s">
        <v>110</v>
      </c>
      <c r="X22" s="154" t="s">
        <v>130</v>
      </c>
      <c r="Y22" s="154" t="s">
        <v>733</v>
      </c>
    </row>
    <row r="23" spans="2:25">
      <c r="B23" s="154" t="s">
        <v>102</v>
      </c>
      <c r="C23" s="154" t="s">
        <v>1401</v>
      </c>
      <c r="D23" s="155">
        <v>45873</v>
      </c>
      <c r="E23" s="155">
        <v>45863</v>
      </c>
      <c r="F23" s="159">
        <v>4192.2</v>
      </c>
      <c r="G23" s="159">
        <v>14.39999999998</v>
      </c>
      <c r="H23" s="159">
        <v>14.39999999998</v>
      </c>
      <c r="I23" s="184">
        <f t="shared" si="2"/>
        <v>45978</v>
      </c>
      <c r="J23" s="159" cm="1">
        <f t="array" ref="J23">[15]!CalculateINPC(D23,I23,-1)*H23</f>
        <v>14.448805343979933</v>
      </c>
      <c r="K23" s="159">
        <f t="shared" si="3"/>
        <v>15.597874367115967</v>
      </c>
      <c r="L23" s="159" cm="1">
        <f t="array" ref="L23">[15]!CalculateDICetip(D23,I23,1)*H23</f>
        <v>15.007724927979154</v>
      </c>
      <c r="M23" s="154">
        <v>263376</v>
      </c>
      <c r="N23" s="154" t="s">
        <v>813</v>
      </c>
      <c r="O23" s="154" t="s">
        <v>533</v>
      </c>
      <c r="P23" s="154" t="s">
        <v>534</v>
      </c>
      <c r="Q23" s="154">
        <v>10027</v>
      </c>
      <c r="R23" s="154" t="s">
        <v>106</v>
      </c>
      <c r="S23" s="154">
        <v>44</v>
      </c>
      <c r="T23" s="154" t="s">
        <v>107</v>
      </c>
      <c r="U23" s="154" t="s">
        <v>886</v>
      </c>
      <c r="V23" s="154" t="s">
        <v>109</v>
      </c>
      <c r="W23" s="154" t="s">
        <v>110</v>
      </c>
      <c r="X23" s="154" t="s">
        <v>130</v>
      </c>
      <c r="Y23" s="154" t="s">
        <v>887</v>
      </c>
    </row>
    <row r="24" spans="2:25">
      <c r="B24" s="154" t="s">
        <v>102</v>
      </c>
      <c r="C24" s="154" t="s">
        <v>1401</v>
      </c>
      <c r="D24" s="155">
        <v>44656</v>
      </c>
      <c r="E24" s="155">
        <v>44644</v>
      </c>
      <c r="F24" s="159">
        <v>12226.31</v>
      </c>
      <c r="G24" s="159">
        <v>279.13999999998998</v>
      </c>
      <c r="H24" s="159">
        <v>279.13999999998998</v>
      </c>
      <c r="I24" s="184">
        <f t="shared" si="2"/>
        <v>45978</v>
      </c>
      <c r="J24" s="159" cm="1">
        <f t="array" ref="J24">[15]!CalculateINPC(D24,I24,-1)*H24</f>
        <v>322.00914602058845</v>
      </c>
      <c r="K24" s="159">
        <f t="shared" si="3"/>
        <v>843.90491747217141</v>
      </c>
      <c r="L24" s="159" cm="1">
        <f t="array" ref="L24">[15]!CalculateDICetip(D24,I24,1)*H24</f>
        <v>431.03859214758455</v>
      </c>
      <c r="M24" s="154">
        <v>147480</v>
      </c>
      <c r="N24" s="154" t="s">
        <v>217</v>
      </c>
      <c r="O24" s="154" t="s">
        <v>290</v>
      </c>
      <c r="P24" s="154" t="s">
        <v>291</v>
      </c>
      <c r="Q24" s="154">
        <v>10027</v>
      </c>
      <c r="R24" s="154" t="s">
        <v>106</v>
      </c>
      <c r="S24" s="154">
        <v>44</v>
      </c>
      <c r="T24" s="154" t="s">
        <v>107</v>
      </c>
      <c r="U24" s="154" t="s">
        <v>555</v>
      </c>
      <c r="V24" s="154" t="s">
        <v>109</v>
      </c>
      <c r="W24" s="154" t="s">
        <v>110</v>
      </c>
      <c r="X24" s="154" t="s">
        <v>117</v>
      </c>
      <c r="Y24" s="154" t="s">
        <v>556</v>
      </c>
    </row>
    <row r="25" spans="2:25">
      <c r="B25" s="154" t="s">
        <v>102</v>
      </c>
      <c r="C25" s="154" t="s">
        <v>1401</v>
      </c>
      <c r="D25" s="155">
        <v>45021</v>
      </c>
      <c r="E25" s="155">
        <v>45007</v>
      </c>
      <c r="F25" s="159">
        <v>2900</v>
      </c>
      <c r="G25" s="159">
        <v>49.999999999986002</v>
      </c>
      <c r="H25" s="159">
        <v>49.999999999986002</v>
      </c>
      <c r="I25" s="184">
        <f t="shared" si="2"/>
        <v>45978</v>
      </c>
      <c r="J25" s="159" cm="1">
        <f t="array" ref="J25">[15]!CalculateINPC(D25,I25,-1)*H25</f>
        <v>55.268415499984528</v>
      </c>
      <c r="K25" s="159">
        <f t="shared" si="3"/>
        <v>111.01366110838859</v>
      </c>
      <c r="L25" s="159" cm="1">
        <f t="array" ref="L25">[15]!CalculateDICetip(D25,I25,1)*H25</f>
        <v>68.143124999980927</v>
      </c>
      <c r="M25" s="154">
        <v>171165</v>
      </c>
      <c r="N25" s="154" t="s">
        <v>307</v>
      </c>
      <c r="O25" s="154" t="s">
        <v>232</v>
      </c>
      <c r="P25" s="154" t="s">
        <v>233</v>
      </c>
      <c r="Q25" s="154">
        <v>10027</v>
      </c>
      <c r="R25" s="154" t="s">
        <v>106</v>
      </c>
      <c r="S25" s="154">
        <v>44</v>
      </c>
      <c r="T25" s="154" t="s">
        <v>107</v>
      </c>
      <c r="U25" s="154" t="s">
        <v>720</v>
      </c>
      <c r="V25" s="154" t="s">
        <v>109</v>
      </c>
      <c r="W25" s="154" t="s">
        <v>110</v>
      </c>
      <c r="X25" s="154" t="s">
        <v>130</v>
      </c>
      <c r="Y25" s="154" t="s">
        <v>665</v>
      </c>
    </row>
    <row r="26" spans="2:25">
      <c r="B26" s="154" t="s">
        <v>102</v>
      </c>
      <c r="C26" s="154" t="s">
        <v>1401</v>
      </c>
      <c r="D26" s="155">
        <v>45782</v>
      </c>
      <c r="E26" s="155">
        <v>45777</v>
      </c>
      <c r="F26" s="159">
        <v>744.8</v>
      </c>
      <c r="G26" s="159">
        <v>744.8</v>
      </c>
      <c r="H26" s="159">
        <v>744.8</v>
      </c>
      <c r="I26" s="184">
        <f t="shared" si="2"/>
        <v>45978</v>
      </c>
      <c r="J26" s="159" cm="1">
        <f t="array" ref="J26">[15]!CalculateINPC(D26,I26,-1)*H26</f>
        <v>753.24381249600003</v>
      </c>
      <c r="K26" s="159">
        <f t="shared" si="3"/>
        <v>868.90320271224493</v>
      </c>
      <c r="L26" s="159" cm="1">
        <f t="array" ref="L26">[15]!CalculateDICetip(D26,I26,1)*H26</f>
        <v>803.83126902399988</v>
      </c>
      <c r="M26" s="154">
        <v>250821</v>
      </c>
      <c r="N26" s="154" t="s">
        <v>236</v>
      </c>
      <c r="O26" s="154" t="s">
        <v>237</v>
      </c>
      <c r="P26" s="154" t="s">
        <v>238</v>
      </c>
      <c r="Q26" s="154">
        <v>10027</v>
      </c>
      <c r="R26" s="154" t="s">
        <v>106</v>
      </c>
      <c r="S26" s="154">
        <v>44</v>
      </c>
      <c r="T26" s="154" t="s">
        <v>107</v>
      </c>
      <c r="U26" s="154" t="s">
        <v>795</v>
      </c>
      <c r="V26" s="154" t="s">
        <v>109</v>
      </c>
      <c r="W26" s="154" t="s">
        <v>110</v>
      </c>
      <c r="X26" s="154" t="s">
        <v>240</v>
      </c>
      <c r="Y26" s="154" t="s">
        <v>796</v>
      </c>
    </row>
    <row r="27" spans="2:25">
      <c r="B27" s="154" t="s">
        <v>102</v>
      </c>
      <c r="C27" s="154" t="s">
        <v>1401</v>
      </c>
      <c r="D27" s="155">
        <v>45082</v>
      </c>
      <c r="E27" s="155">
        <v>45063</v>
      </c>
      <c r="F27" s="159">
        <v>500</v>
      </c>
      <c r="G27" s="159">
        <v>500</v>
      </c>
      <c r="H27" s="159">
        <v>500</v>
      </c>
      <c r="I27" s="184">
        <f t="shared" si="2"/>
        <v>45978</v>
      </c>
      <c r="J27" s="159" cm="1">
        <f t="array" ref="J27">[15]!CalculateINPC(D27,I27,-1)*H27</f>
        <v>547.79813999999999</v>
      </c>
      <c r="K27" s="159">
        <f t="shared" si="3"/>
        <v>1052.4776857015199</v>
      </c>
      <c r="L27" s="159" cm="1">
        <f t="array" ref="L27">[15]!CalculateDICetip(D27,I27,1)*H27</f>
        <v>667.73095000000001</v>
      </c>
      <c r="M27" s="154">
        <v>174769</v>
      </c>
      <c r="N27" s="154" t="s">
        <v>236</v>
      </c>
      <c r="O27" s="154" t="s">
        <v>237</v>
      </c>
      <c r="P27" s="154" t="s">
        <v>238</v>
      </c>
      <c r="Q27" s="154">
        <v>10027</v>
      </c>
      <c r="R27" s="154" t="s">
        <v>106</v>
      </c>
      <c r="S27" s="154">
        <v>44</v>
      </c>
      <c r="T27" s="154" t="s">
        <v>107</v>
      </c>
      <c r="U27" s="154" t="s">
        <v>503</v>
      </c>
      <c r="V27" s="154" t="s">
        <v>109</v>
      </c>
      <c r="W27" s="154" t="s">
        <v>110</v>
      </c>
      <c r="X27" s="154" t="s">
        <v>240</v>
      </c>
      <c r="Y27" s="154" t="s">
        <v>504</v>
      </c>
    </row>
    <row r="28" spans="2:25">
      <c r="B28" s="154" t="s">
        <v>102</v>
      </c>
      <c r="C28" s="154" t="s">
        <v>1401</v>
      </c>
      <c r="D28" s="155">
        <v>45082</v>
      </c>
      <c r="E28" s="155">
        <v>45069</v>
      </c>
      <c r="F28" s="159">
        <v>3210</v>
      </c>
      <c r="G28" s="159">
        <v>2400.0000000000032</v>
      </c>
      <c r="H28" s="159">
        <v>2400.0000000000032</v>
      </c>
      <c r="I28" s="184">
        <f t="shared" si="2"/>
        <v>45978</v>
      </c>
      <c r="J28" s="159" cm="1">
        <f t="array" ref="J28">[15]!CalculateINPC(D28,I28,-1)*H28</f>
        <v>2629.4310720000035</v>
      </c>
      <c r="K28" s="159">
        <f t="shared" si="3"/>
        <v>5051.8928913673026</v>
      </c>
      <c r="L28" s="159" cm="1">
        <f t="array" ref="L28">[15]!CalculateDICetip(D28,I28,1)*H28</f>
        <v>3205.1085600000047</v>
      </c>
      <c r="M28" s="154">
        <v>174696</v>
      </c>
      <c r="N28" s="154" t="s">
        <v>307</v>
      </c>
      <c r="O28" s="154" t="s">
        <v>232</v>
      </c>
      <c r="P28" s="154" t="s">
        <v>233</v>
      </c>
      <c r="Q28" s="154">
        <v>10027</v>
      </c>
      <c r="R28" s="154" t="s">
        <v>106</v>
      </c>
      <c r="S28" s="154">
        <v>44</v>
      </c>
      <c r="T28" s="154" t="s">
        <v>107</v>
      </c>
      <c r="U28" s="154" t="s">
        <v>308</v>
      </c>
      <c r="V28" s="154" t="s">
        <v>109</v>
      </c>
      <c r="W28" s="154" t="s">
        <v>110</v>
      </c>
      <c r="X28" s="154" t="s">
        <v>130</v>
      </c>
      <c r="Y28" s="154" t="s">
        <v>309</v>
      </c>
    </row>
    <row r="29" spans="2:25">
      <c r="B29" s="154" t="s">
        <v>102</v>
      </c>
      <c r="C29" s="154" t="s">
        <v>1401</v>
      </c>
      <c r="D29" s="155">
        <v>44747</v>
      </c>
      <c r="E29" s="155">
        <v>44746</v>
      </c>
      <c r="F29" s="159">
        <v>200</v>
      </c>
      <c r="G29" s="159">
        <v>200</v>
      </c>
      <c r="H29" s="159">
        <v>200</v>
      </c>
      <c r="I29" s="184">
        <f t="shared" si="2"/>
        <v>45978</v>
      </c>
      <c r="J29" s="159" cm="1">
        <f t="array" ref="J29">[15]!CalculateINPC(D29,I29,-1)*H29</f>
        <v>225.91648599999999</v>
      </c>
      <c r="K29" s="159">
        <f t="shared" si="3"/>
        <v>554.07797534298686</v>
      </c>
      <c r="L29" s="159" cm="1">
        <f t="array" ref="L29">[15]!CalculateDICetip(D29,I29,1)*H29</f>
        <v>300.06295799999998</v>
      </c>
      <c r="M29" s="154">
        <v>152373</v>
      </c>
      <c r="N29" s="154" t="s">
        <v>236</v>
      </c>
      <c r="O29" s="154" t="s">
        <v>237</v>
      </c>
      <c r="P29" s="154" t="s">
        <v>238</v>
      </c>
      <c r="Q29" s="154">
        <v>10027</v>
      </c>
      <c r="R29" s="154" t="s">
        <v>106</v>
      </c>
      <c r="S29" s="154">
        <v>44</v>
      </c>
      <c r="T29" s="154" t="s">
        <v>107</v>
      </c>
      <c r="U29" s="154" t="s">
        <v>595</v>
      </c>
      <c r="V29" s="154" t="s">
        <v>109</v>
      </c>
      <c r="W29" s="154" t="s">
        <v>110</v>
      </c>
      <c r="X29" s="154" t="s">
        <v>399</v>
      </c>
      <c r="Y29" s="154" t="s">
        <v>596</v>
      </c>
    </row>
    <row r="30" spans="2:25">
      <c r="B30" s="154" t="s">
        <v>102</v>
      </c>
      <c r="C30" s="154" t="s">
        <v>1401</v>
      </c>
      <c r="D30" s="155">
        <v>44778</v>
      </c>
      <c r="E30" s="155">
        <v>44750</v>
      </c>
      <c r="F30" s="159">
        <v>37170</v>
      </c>
      <c r="G30" s="159">
        <v>2327.2800000000202</v>
      </c>
      <c r="H30" s="159">
        <v>2327.2800000000202</v>
      </c>
      <c r="I30" s="184">
        <f t="shared" si="2"/>
        <v>45978</v>
      </c>
      <c r="J30" s="159" cm="1">
        <f t="array" ref="J30">[15]!CalculateINPC(D30,I30,-1)*H30</f>
        <v>2644.7248552848228</v>
      </c>
      <c r="K30" s="159">
        <f t="shared" si="3"/>
        <v>6341.4952447137339</v>
      </c>
      <c r="L30" s="159" cm="1">
        <f t="array" ref="L30">[15]!CalculateDICetip(D30,I30,1)*H30</f>
        <v>3452.4423350304301</v>
      </c>
      <c r="M30" s="154">
        <v>155649</v>
      </c>
      <c r="N30" s="154" t="s">
        <v>310</v>
      </c>
      <c r="O30" s="154" t="s">
        <v>271</v>
      </c>
      <c r="P30" s="154" t="s">
        <v>272</v>
      </c>
      <c r="Q30" s="154">
        <v>10027</v>
      </c>
      <c r="R30" s="154" t="s">
        <v>106</v>
      </c>
      <c r="S30" s="154">
        <v>44</v>
      </c>
      <c r="T30" s="154" t="s">
        <v>107</v>
      </c>
      <c r="U30" s="154" t="s">
        <v>311</v>
      </c>
      <c r="V30" s="154" t="s">
        <v>109</v>
      </c>
      <c r="W30" s="154" t="s">
        <v>110</v>
      </c>
      <c r="X30" s="154" t="s">
        <v>130</v>
      </c>
      <c r="Y30" s="154" t="s">
        <v>312</v>
      </c>
    </row>
    <row r="31" spans="2:25">
      <c r="B31" s="154" t="s">
        <v>102</v>
      </c>
      <c r="C31" s="154" t="s">
        <v>1401</v>
      </c>
      <c r="D31" s="155">
        <v>43713</v>
      </c>
      <c r="E31" s="155">
        <v>43709</v>
      </c>
      <c r="F31" s="159">
        <v>3010.84</v>
      </c>
      <c r="G31" s="159">
        <v>76.500000000005002</v>
      </c>
      <c r="H31" s="159">
        <v>76.500000000005002</v>
      </c>
      <c r="I31" s="184">
        <f t="shared" si="2"/>
        <v>45978</v>
      </c>
      <c r="J31" s="159" cm="1">
        <f t="array" ref="J31">[15]!CalculateINPC(D31,I31,-1)*H31</f>
        <v>107.87348844000705</v>
      </c>
      <c r="K31" s="159">
        <f t="shared" si="3"/>
        <v>562.09317863659624</v>
      </c>
      <c r="L31" s="159" cm="1">
        <f t="array" ref="L31">[15]!CalculateDICetip(D31,I31,1)*H31</f>
        <v>132.08532916500863</v>
      </c>
      <c r="M31" s="154">
        <v>78244</v>
      </c>
      <c r="N31" s="154" t="s">
        <v>217</v>
      </c>
      <c r="O31" s="154" t="s">
        <v>232</v>
      </c>
      <c r="P31" s="154" t="s">
        <v>233</v>
      </c>
      <c r="Q31" s="154">
        <v>10027</v>
      </c>
      <c r="R31" s="154" t="s">
        <v>106</v>
      </c>
      <c r="S31" s="154">
        <v>44</v>
      </c>
      <c r="T31" s="154" t="s">
        <v>107</v>
      </c>
      <c r="U31" s="154" t="s">
        <v>680</v>
      </c>
      <c r="V31" s="154" t="s">
        <v>109</v>
      </c>
      <c r="W31" s="154" t="s">
        <v>110</v>
      </c>
      <c r="X31" s="154" t="s">
        <v>117</v>
      </c>
      <c r="Y31" s="154" t="s">
        <v>681</v>
      </c>
    </row>
    <row r="32" spans="2:25">
      <c r="B32" s="154" t="s">
        <v>102</v>
      </c>
      <c r="C32" s="154" t="s">
        <v>1401</v>
      </c>
      <c r="D32" s="155">
        <v>44809</v>
      </c>
      <c r="E32" s="155">
        <v>44797</v>
      </c>
      <c r="F32" s="159">
        <v>43226</v>
      </c>
      <c r="G32" s="159">
        <v>3352.500000000055</v>
      </c>
      <c r="H32" s="159">
        <v>3352.500000000055</v>
      </c>
      <c r="I32" s="184">
        <f t="shared" si="2"/>
        <v>45978</v>
      </c>
      <c r="J32" s="159" cm="1">
        <f t="array" ref="J32">[15]!CalculateINPC(D32,I32,-1)*H32</f>
        <v>3821.6326239000628</v>
      </c>
      <c r="K32" s="159">
        <f t="shared" si="3"/>
        <v>8958.7686462187448</v>
      </c>
      <c r="L32" s="159" cm="1">
        <f t="array" ref="L32">[15]!CalculateDICetip(D32,I32,1)*H32</f>
        <v>4920.5743461000811</v>
      </c>
      <c r="M32" s="154">
        <v>156775</v>
      </c>
      <c r="N32" s="154" t="s">
        <v>270</v>
      </c>
      <c r="O32" s="154" t="s">
        <v>271</v>
      </c>
      <c r="P32" s="154" t="s">
        <v>272</v>
      </c>
      <c r="Q32" s="154">
        <v>10027</v>
      </c>
      <c r="R32" s="154" t="s">
        <v>106</v>
      </c>
      <c r="S32" s="154">
        <v>44</v>
      </c>
      <c r="T32" s="154" t="s">
        <v>107</v>
      </c>
      <c r="U32" s="154" t="s">
        <v>273</v>
      </c>
      <c r="V32" s="154" t="s">
        <v>109</v>
      </c>
      <c r="W32" s="154" t="s">
        <v>110</v>
      </c>
      <c r="X32" s="154" t="s">
        <v>130</v>
      </c>
      <c r="Y32" s="154" t="s">
        <v>274</v>
      </c>
    </row>
    <row r="33" spans="2:25">
      <c r="B33" s="154" t="s">
        <v>102</v>
      </c>
      <c r="C33" s="154" t="s">
        <v>1401</v>
      </c>
      <c r="D33" s="155">
        <v>44809</v>
      </c>
      <c r="E33" s="155">
        <v>44797</v>
      </c>
      <c r="F33" s="159">
        <v>27620</v>
      </c>
      <c r="G33" s="159">
        <v>699.99999999998704</v>
      </c>
      <c r="H33" s="159">
        <v>699.99999999998704</v>
      </c>
      <c r="I33" s="184">
        <f t="shared" si="2"/>
        <v>45978</v>
      </c>
      <c r="J33" s="159" cm="1">
        <f t="array" ref="J33">[15]!CalculateINPC(D33,I33,-1)*H33</f>
        <v>797.95461199998522</v>
      </c>
      <c r="K33" s="159">
        <f t="shared" si="3"/>
        <v>1870.5855488002692</v>
      </c>
      <c r="L33" s="159" cm="1">
        <f t="array" ref="L33">[15]!CalculateDICetip(D33,I33,1)*H33</f>
        <v>1027.4129879999809</v>
      </c>
      <c r="M33" s="154">
        <v>156869</v>
      </c>
      <c r="N33" s="154" t="s">
        <v>457</v>
      </c>
      <c r="O33" s="154" t="s">
        <v>154</v>
      </c>
      <c r="P33" s="154" t="s">
        <v>155</v>
      </c>
      <c r="Q33" s="154">
        <v>10027</v>
      </c>
      <c r="R33" s="154" t="s">
        <v>106</v>
      </c>
      <c r="S33" s="154">
        <v>44</v>
      </c>
      <c r="T33" s="154" t="s">
        <v>107</v>
      </c>
      <c r="U33" s="154" t="s">
        <v>458</v>
      </c>
      <c r="V33" s="154" t="s">
        <v>109</v>
      </c>
      <c r="W33" s="154" t="s">
        <v>110</v>
      </c>
      <c r="X33" s="154" t="s">
        <v>130</v>
      </c>
      <c r="Y33" s="154" t="s">
        <v>459</v>
      </c>
    </row>
    <row r="34" spans="2:25">
      <c r="B34" s="154" t="s">
        <v>102</v>
      </c>
      <c r="C34" s="154" t="s">
        <v>1401</v>
      </c>
      <c r="D34" s="155">
        <v>45204</v>
      </c>
      <c r="E34" s="155">
        <v>45201</v>
      </c>
      <c r="F34" s="159">
        <v>35000</v>
      </c>
      <c r="G34" s="159">
        <v>38.22</v>
      </c>
      <c r="H34" s="159">
        <v>38.22</v>
      </c>
      <c r="I34" s="184">
        <f t="shared" si="2"/>
        <v>45978</v>
      </c>
      <c r="J34" s="159" cm="1">
        <f t="array" ref="J34">[15]!CalculateINPC(D34,I34,-1)*H34</f>
        <v>41.823634234199993</v>
      </c>
      <c r="K34" s="159">
        <f t="shared" si="3"/>
        <v>73.519065023028944</v>
      </c>
      <c r="L34" s="159" cm="1">
        <f t="array" ref="L34">[15]!CalculateDICetip(D34,I34,1)*H34</f>
        <v>48.906746179199999</v>
      </c>
      <c r="M34" s="154">
        <v>183103</v>
      </c>
      <c r="N34" s="154" t="s">
        <v>668</v>
      </c>
      <c r="O34" s="154" t="s">
        <v>669</v>
      </c>
      <c r="P34" s="154" t="s">
        <v>670</v>
      </c>
      <c r="Q34" s="154">
        <v>10027</v>
      </c>
      <c r="R34" s="154" t="s">
        <v>106</v>
      </c>
      <c r="S34" s="154">
        <v>44</v>
      </c>
      <c r="T34" s="154" t="s">
        <v>107</v>
      </c>
      <c r="U34" s="154" t="s">
        <v>730</v>
      </c>
      <c r="V34" s="154" t="s">
        <v>109</v>
      </c>
      <c r="W34" s="154" t="s">
        <v>110</v>
      </c>
      <c r="X34" s="154" t="s">
        <v>130</v>
      </c>
      <c r="Y34" s="154" t="s">
        <v>731</v>
      </c>
    </row>
    <row r="35" spans="2:25">
      <c r="B35" s="154" t="s">
        <v>102</v>
      </c>
      <c r="C35" s="154" t="s">
        <v>1401</v>
      </c>
      <c r="D35" s="155">
        <v>45083</v>
      </c>
      <c r="E35" s="155">
        <v>45078</v>
      </c>
      <c r="F35" s="159">
        <v>7700</v>
      </c>
      <c r="G35" s="159">
        <v>60.000000000017003</v>
      </c>
      <c r="H35" s="159">
        <v>60.000000000017003</v>
      </c>
      <c r="I35" s="184">
        <f t="shared" si="2"/>
        <v>45978</v>
      </c>
      <c r="J35" s="159" cm="1">
        <f t="array" ref="J35">[15]!CalculateINPC(D35,I35,-1)*H35</f>
        <v>65.735776800018641</v>
      </c>
      <c r="K35" s="159">
        <f t="shared" si="3"/>
        <v>126.20531163853342</v>
      </c>
      <c r="L35" s="159" cm="1">
        <f t="array" ref="L35">[15]!CalculateDICetip(D35,I35,1)*H35</f>
        <v>80.087039400022704</v>
      </c>
      <c r="M35" s="154">
        <v>174887</v>
      </c>
      <c r="N35" s="154" t="s">
        <v>457</v>
      </c>
      <c r="O35" s="154" t="s">
        <v>271</v>
      </c>
      <c r="P35" s="154" t="s">
        <v>272</v>
      </c>
      <c r="Q35" s="154">
        <v>10027</v>
      </c>
      <c r="R35" s="154" t="s">
        <v>106</v>
      </c>
      <c r="S35" s="154">
        <v>44</v>
      </c>
      <c r="T35" s="154" t="s">
        <v>107</v>
      </c>
      <c r="U35" s="154" t="s">
        <v>712</v>
      </c>
      <c r="V35" s="154" t="s">
        <v>109</v>
      </c>
      <c r="W35" s="154" t="s">
        <v>110</v>
      </c>
      <c r="X35" s="154" t="s">
        <v>130</v>
      </c>
      <c r="Y35" s="154" t="s">
        <v>350</v>
      </c>
    </row>
    <row r="36" spans="2:25">
      <c r="B36" s="154" t="s">
        <v>102</v>
      </c>
      <c r="C36" s="154" t="s">
        <v>1401</v>
      </c>
      <c r="D36" s="155">
        <v>45083</v>
      </c>
      <c r="E36" s="155">
        <v>45079</v>
      </c>
      <c r="F36" s="159">
        <v>500</v>
      </c>
      <c r="G36" s="159">
        <v>250</v>
      </c>
      <c r="H36" s="159">
        <v>250</v>
      </c>
      <c r="I36" s="184">
        <f t="shared" si="2"/>
        <v>45978</v>
      </c>
      <c r="J36" s="159" cm="1">
        <f t="array" ref="J36">[15]!CalculateINPC(D36,I36,-1)*H36</f>
        <v>273.89906999999999</v>
      </c>
      <c r="K36" s="159">
        <f t="shared" si="3"/>
        <v>525.85546516040677</v>
      </c>
      <c r="L36" s="159" cm="1">
        <f t="array" ref="L36">[15]!CalculateDICetip(D36,I36,1)*H36</f>
        <v>333.69599750000003</v>
      </c>
      <c r="M36" s="154">
        <v>174903</v>
      </c>
      <c r="N36" s="154" t="s">
        <v>579</v>
      </c>
      <c r="O36" s="154" t="s">
        <v>226</v>
      </c>
      <c r="P36" s="154" t="s">
        <v>227</v>
      </c>
      <c r="Q36" s="154">
        <v>10027</v>
      </c>
      <c r="R36" s="154" t="s">
        <v>106</v>
      </c>
      <c r="S36" s="154">
        <v>44</v>
      </c>
      <c r="T36" s="154" t="s">
        <v>107</v>
      </c>
      <c r="U36" s="154" t="s">
        <v>580</v>
      </c>
      <c r="V36" s="154" t="s">
        <v>109</v>
      </c>
      <c r="W36" s="154" t="s">
        <v>110</v>
      </c>
      <c r="X36" s="154" t="s">
        <v>362</v>
      </c>
      <c r="Y36" s="154" t="s">
        <v>581</v>
      </c>
    </row>
    <row r="37" spans="2:25">
      <c r="B37" s="154" t="s">
        <v>102</v>
      </c>
      <c r="C37" s="154" t="s">
        <v>1401</v>
      </c>
      <c r="D37" s="155">
        <v>45113</v>
      </c>
      <c r="E37" s="155">
        <v>45110</v>
      </c>
      <c r="F37" s="159">
        <v>38250</v>
      </c>
      <c r="G37" s="159">
        <v>36.759999999847999</v>
      </c>
      <c r="H37" s="159">
        <v>36.759999999847999</v>
      </c>
      <c r="I37" s="184">
        <f t="shared" si="2"/>
        <v>45978</v>
      </c>
      <c r="J37" s="159" cm="1">
        <f t="array" ref="J37">[15]!CalculateINPC(D37,I37,-1)*H37</f>
        <v>40.314414461833302</v>
      </c>
      <c r="K37" s="159">
        <f t="shared" si="3"/>
        <v>75.725284074286733</v>
      </c>
      <c r="L37" s="159" cm="1">
        <f t="array" ref="L37">[15]!CalculateDICetip(D37,I37,1)*H37</f>
        <v>48.546252195799262</v>
      </c>
      <c r="M37" s="154">
        <v>176587</v>
      </c>
      <c r="N37" s="154" t="s">
        <v>668</v>
      </c>
      <c r="O37" s="154" t="s">
        <v>557</v>
      </c>
      <c r="P37" s="154" t="s">
        <v>558</v>
      </c>
      <c r="Q37" s="154">
        <v>10027</v>
      </c>
      <c r="R37" s="154" t="s">
        <v>106</v>
      </c>
      <c r="S37" s="154">
        <v>44</v>
      </c>
      <c r="T37" s="154" t="s">
        <v>107</v>
      </c>
      <c r="U37" s="154" t="s">
        <v>736</v>
      </c>
      <c r="V37" s="154" t="s">
        <v>109</v>
      </c>
      <c r="W37" s="154" t="s">
        <v>110</v>
      </c>
      <c r="X37" s="154" t="s">
        <v>130</v>
      </c>
      <c r="Y37" s="154" t="s">
        <v>737</v>
      </c>
    </row>
    <row r="38" spans="2:25">
      <c r="B38" s="154" t="s">
        <v>102</v>
      </c>
      <c r="C38" s="154" t="s">
        <v>1401</v>
      </c>
      <c r="D38" s="155">
        <v>45875</v>
      </c>
      <c r="E38" s="155">
        <v>45839</v>
      </c>
      <c r="F38" s="159">
        <v>21930</v>
      </c>
      <c r="G38" s="159">
        <v>540.00000000008902</v>
      </c>
      <c r="H38" s="159">
        <v>540.00000000008902</v>
      </c>
      <c r="I38" s="184">
        <f t="shared" si="2"/>
        <v>45978</v>
      </c>
      <c r="J38" s="159" cm="1">
        <f t="array" ref="J38">[15]!CalculateINPC(D38,I38,-1)*H38</f>
        <v>541.83020040008932</v>
      </c>
      <c r="K38" s="159">
        <f t="shared" si="3"/>
        <v>584.06834213437492</v>
      </c>
      <c r="L38" s="159" cm="1">
        <f t="array" ref="L38">[15]!CalculateDICetip(D38,I38,1)*H38</f>
        <v>562.16965140009268</v>
      </c>
      <c r="M38" s="154">
        <v>263377</v>
      </c>
      <c r="N38" s="154" t="s">
        <v>883</v>
      </c>
      <c r="O38" s="154" t="s">
        <v>232</v>
      </c>
      <c r="P38" s="154" t="s">
        <v>233</v>
      </c>
      <c r="Q38" s="154">
        <v>10027</v>
      </c>
      <c r="R38" s="154" t="s">
        <v>106</v>
      </c>
      <c r="S38" s="154">
        <v>44</v>
      </c>
      <c r="T38" s="154" t="s">
        <v>107</v>
      </c>
      <c r="U38" s="154" t="s">
        <v>888</v>
      </c>
      <c r="V38" s="154" t="s">
        <v>109</v>
      </c>
      <c r="W38" s="154" t="s">
        <v>110</v>
      </c>
      <c r="X38" s="154" t="s">
        <v>130</v>
      </c>
      <c r="Y38" s="154" t="s">
        <v>889</v>
      </c>
    </row>
    <row r="39" spans="2:25">
      <c r="B39" s="154" t="s">
        <v>102</v>
      </c>
      <c r="C39" s="154" t="s">
        <v>1401</v>
      </c>
      <c r="D39" s="155">
        <v>45175</v>
      </c>
      <c r="E39" s="155">
        <v>45170</v>
      </c>
      <c r="F39" s="159">
        <v>39250</v>
      </c>
      <c r="G39" s="159">
        <v>98.290000000155004</v>
      </c>
      <c r="H39" s="159">
        <v>98.290000000155004</v>
      </c>
      <c r="I39" s="184">
        <f t="shared" si="2"/>
        <v>45978</v>
      </c>
      <c r="J39" s="159" cm="1">
        <f t="array" ref="J39">[15]!CalculateINPC(D39,I39,-1)*H39</f>
        <v>107.6756924421698</v>
      </c>
      <c r="K39" s="159">
        <f t="shared" si="3"/>
        <v>193.31904934804777</v>
      </c>
      <c r="L39" s="159" cm="1">
        <f t="array" ref="L39">[15]!CalculateDICetip(D39,I39,1)*H39</f>
        <v>126.98995363710027</v>
      </c>
      <c r="M39" s="154">
        <v>180942</v>
      </c>
      <c r="N39" s="154" t="s">
        <v>668</v>
      </c>
      <c r="O39" s="154" t="s">
        <v>669</v>
      </c>
      <c r="P39" s="154" t="s">
        <v>670</v>
      </c>
      <c r="Q39" s="154">
        <v>10027</v>
      </c>
      <c r="R39" s="154" t="s">
        <v>106</v>
      </c>
      <c r="S39" s="154">
        <v>44</v>
      </c>
      <c r="T39" s="154" t="s">
        <v>107</v>
      </c>
      <c r="U39" s="154" t="s">
        <v>671</v>
      </c>
      <c r="V39" s="154" t="s">
        <v>109</v>
      </c>
      <c r="W39" s="154" t="s">
        <v>110</v>
      </c>
      <c r="X39" s="154" t="s">
        <v>130</v>
      </c>
      <c r="Y39" s="154" t="s">
        <v>672</v>
      </c>
    </row>
    <row r="40" spans="2:25">
      <c r="B40" s="154" t="s">
        <v>102</v>
      </c>
      <c r="C40" s="154" t="s">
        <v>1401</v>
      </c>
      <c r="D40" s="155">
        <v>45175</v>
      </c>
      <c r="E40" s="155">
        <v>45170</v>
      </c>
      <c r="F40" s="159">
        <v>6915</v>
      </c>
      <c r="G40" s="159">
        <v>149.99999999999099</v>
      </c>
      <c r="H40" s="159">
        <v>149.99999999999099</v>
      </c>
      <c r="I40" s="184">
        <f t="shared" si="2"/>
        <v>45978</v>
      </c>
      <c r="J40" s="159" cm="1">
        <f t="array" ref="J40">[15]!CalculateINPC(D40,I40,-1)*H40</f>
        <v>164.32346999999012</v>
      </c>
      <c r="K40" s="159">
        <f t="shared" si="3"/>
        <v>295.02347545182312</v>
      </c>
      <c r="L40" s="159" cm="1">
        <f t="array" ref="L40">[15]!CalculateDICetip(D40,I40,1)*H40</f>
        <v>193.79889149998837</v>
      </c>
      <c r="M40" s="154">
        <v>181067</v>
      </c>
      <c r="N40" s="154" t="s">
        <v>457</v>
      </c>
      <c r="O40" s="154" t="s">
        <v>271</v>
      </c>
      <c r="P40" s="154" t="s">
        <v>272</v>
      </c>
      <c r="Q40" s="154">
        <v>10027</v>
      </c>
      <c r="R40" s="154" t="s">
        <v>106</v>
      </c>
      <c r="S40" s="154">
        <v>44</v>
      </c>
      <c r="T40" s="154" t="s">
        <v>107</v>
      </c>
      <c r="U40" s="154" t="s">
        <v>624</v>
      </c>
      <c r="V40" s="154" t="s">
        <v>109</v>
      </c>
      <c r="W40" s="154" t="s">
        <v>110</v>
      </c>
      <c r="X40" s="154" t="s">
        <v>130</v>
      </c>
      <c r="Y40" s="154" t="s">
        <v>625</v>
      </c>
    </row>
    <row r="41" spans="2:25">
      <c r="B41" s="154" t="s">
        <v>257</v>
      </c>
      <c r="C41" s="154" t="s">
        <v>1401</v>
      </c>
      <c r="D41" s="155">
        <v>45632</v>
      </c>
      <c r="E41" s="155">
        <v>45627</v>
      </c>
      <c r="F41" s="159">
        <v>49871.14</v>
      </c>
      <c r="G41" s="159">
        <v>61.150000000205999</v>
      </c>
      <c r="H41" s="159">
        <v>61.150000000205999</v>
      </c>
      <c r="I41" s="184">
        <f t="shared" si="2"/>
        <v>45978</v>
      </c>
      <c r="J41" s="159" cm="1">
        <f t="array" ref="J41">[15]!CalculateINPC(D41,I41,-1)*H41</f>
        <v>63.68562572071454</v>
      </c>
      <c r="K41" s="159">
        <f t="shared" si="3"/>
        <v>81.950883899979274</v>
      </c>
      <c r="L41" s="159" cm="1">
        <f t="array" ref="L41">[15]!CalculateDICetip(D41,I41,1)*H41</f>
        <v>69.248781826233269</v>
      </c>
      <c r="M41" s="154">
        <v>227609</v>
      </c>
      <c r="N41" s="154" t="s">
        <v>258</v>
      </c>
      <c r="O41" s="154" t="s">
        <v>243</v>
      </c>
      <c r="P41" s="154" t="s">
        <v>244</v>
      </c>
      <c r="Q41" s="154">
        <v>10027</v>
      </c>
      <c r="R41" s="154" t="s">
        <v>106</v>
      </c>
      <c r="S41" s="154">
        <v>44</v>
      </c>
      <c r="T41" s="154" t="s">
        <v>107</v>
      </c>
      <c r="U41" s="154" t="s">
        <v>703</v>
      </c>
      <c r="V41" s="154" t="s">
        <v>260</v>
      </c>
      <c r="W41" s="154" t="s">
        <v>261</v>
      </c>
      <c r="X41" s="154" t="s">
        <v>262</v>
      </c>
      <c r="Y41" s="154" t="s">
        <v>704</v>
      </c>
    </row>
    <row r="42" spans="2:25">
      <c r="B42" s="154" t="s">
        <v>102</v>
      </c>
      <c r="C42" s="154" t="s">
        <v>1401</v>
      </c>
      <c r="D42" s="155">
        <v>45358</v>
      </c>
      <c r="E42" s="155">
        <v>45330</v>
      </c>
      <c r="F42" s="159">
        <v>107622.6</v>
      </c>
      <c r="G42" s="159">
        <v>61.250000000158003</v>
      </c>
      <c r="H42" s="159">
        <v>61.250000000158003</v>
      </c>
      <c r="I42" s="184">
        <f t="shared" si="2"/>
        <v>45978</v>
      </c>
      <c r="J42" s="159" cm="1">
        <f t="array" ref="J42">[15]!CalculateINPC(D42,I42,-1)*H42</f>
        <v>65.603760862669233</v>
      </c>
      <c r="K42" s="159">
        <f t="shared" si="3"/>
        <v>103.07765035210163</v>
      </c>
      <c r="L42" s="159" cm="1">
        <f t="array" ref="L42">[15]!CalculateDICetip(D42,I42,1)*H42</f>
        <v>74.867495675193126</v>
      </c>
      <c r="M42" s="154">
        <v>193477</v>
      </c>
      <c r="N42" s="154" t="s">
        <v>629</v>
      </c>
      <c r="O42" s="154" t="s">
        <v>442</v>
      </c>
      <c r="P42" s="154" t="s">
        <v>443</v>
      </c>
      <c r="Q42" s="154">
        <v>10027</v>
      </c>
      <c r="R42" s="154" t="s">
        <v>106</v>
      </c>
      <c r="S42" s="154">
        <v>44</v>
      </c>
      <c r="T42" s="154" t="s">
        <v>107</v>
      </c>
      <c r="U42" s="154" t="s">
        <v>701</v>
      </c>
      <c r="V42" s="154" t="s">
        <v>109</v>
      </c>
      <c r="W42" s="154" t="s">
        <v>110</v>
      </c>
      <c r="X42" s="154" t="s">
        <v>130</v>
      </c>
      <c r="Y42" s="154" t="s">
        <v>702</v>
      </c>
    </row>
    <row r="43" spans="2:25">
      <c r="B43" s="154" t="s">
        <v>102</v>
      </c>
      <c r="C43" s="154" t="s">
        <v>1401</v>
      </c>
      <c r="D43" s="155">
        <v>44719</v>
      </c>
      <c r="E43" s="155">
        <v>44714</v>
      </c>
      <c r="F43" s="159">
        <v>5856.19</v>
      </c>
      <c r="G43" s="159">
        <v>802.44000000002802</v>
      </c>
      <c r="H43" s="159">
        <v>802.44000000002802</v>
      </c>
      <c r="I43" s="184">
        <f t="shared" si="2"/>
        <v>45978</v>
      </c>
      <c r="J43" s="159" cm="1">
        <f t="array" ref="J43">[15]!CalculateINPC(D43,I43,-1)*H43</f>
        <v>912.04236674283186</v>
      </c>
      <c r="K43" s="159">
        <f t="shared" si="3"/>
        <v>2282.9701687820971</v>
      </c>
      <c r="L43" s="159" cm="1">
        <f t="array" ref="L43">[15]!CalculateDICetip(D43,I43,1)*H43</f>
        <v>1215.0296760672425</v>
      </c>
      <c r="M43" s="154">
        <v>151019</v>
      </c>
      <c r="N43" s="154" t="s">
        <v>422</v>
      </c>
      <c r="O43" s="154" t="s">
        <v>243</v>
      </c>
      <c r="P43" s="154" t="s">
        <v>244</v>
      </c>
      <c r="Q43" s="154">
        <v>10027</v>
      </c>
      <c r="R43" s="154" t="s">
        <v>106</v>
      </c>
      <c r="S43" s="154">
        <v>44</v>
      </c>
      <c r="T43" s="154" t="s">
        <v>107</v>
      </c>
      <c r="U43" s="154" t="s">
        <v>423</v>
      </c>
      <c r="V43" s="154" t="s">
        <v>109</v>
      </c>
      <c r="W43" s="154" t="s">
        <v>110</v>
      </c>
      <c r="X43" s="154" t="s">
        <v>173</v>
      </c>
      <c r="Y43" s="154" t="s">
        <v>424</v>
      </c>
    </row>
    <row r="44" spans="2:25">
      <c r="B44" s="154" t="s">
        <v>102</v>
      </c>
      <c r="C44" s="154" t="s">
        <v>1401</v>
      </c>
      <c r="D44" s="155">
        <v>45084</v>
      </c>
      <c r="E44" s="155">
        <v>45082</v>
      </c>
      <c r="F44" s="159">
        <v>12160</v>
      </c>
      <c r="G44" s="159">
        <v>74.999999999942006</v>
      </c>
      <c r="H44" s="159">
        <v>74.999999999942006</v>
      </c>
      <c r="I44" s="184">
        <f t="shared" si="2"/>
        <v>45978</v>
      </c>
      <c r="J44" s="159" cm="1">
        <f t="array" ref="J44">[15]!CalculateINPC(D44,I44,-1)*H44</f>
        <v>82.169720999936473</v>
      </c>
      <c r="K44" s="159">
        <f t="shared" si="3"/>
        <v>157.64171003086267</v>
      </c>
      <c r="L44" s="159" cm="1">
        <f t="array" ref="L44">[15]!CalculateDICetip(D44,I44,1)*H44</f>
        <v>100.05798224992263</v>
      </c>
      <c r="M44" s="154">
        <v>174897</v>
      </c>
      <c r="N44" s="154" t="s">
        <v>270</v>
      </c>
      <c r="O44" s="154" t="s">
        <v>271</v>
      </c>
      <c r="P44" s="154" t="s">
        <v>272</v>
      </c>
      <c r="Q44" s="154">
        <v>10027</v>
      </c>
      <c r="R44" s="154" t="s">
        <v>106</v>
      </c>
      <c r="S44" s="154">
        <v>44</v>
      </c>
      <c r="T44" s="154" t="s">
        <v>107</v>
      </c>
      <c r="U44" s="154" t="s">
        <v>687</v>
      </c>
      <c r="V44" s="154" t="s">
        <v>109</v>
      </c>
      <c r="W44" s="154" t="s">
        <v>110</v>
      </c>
      <c r="X44" s="154" t="s">
        <v>130</v>
      </c>
      <c r="Y44" s="154" t="s">
        <v>688</v>
      </c>
    </row>
    <row r="45" spans="2:25">
      <c r="B45" s="154" t="s">
        <v>102</v>
      </c>
      <c r="C45" s="154" t="s">
        <v>1401</v>
      </c>
      <c r="D45" s="155">
        <v>45114</v>
      </c>
      <c r="E45" s="155">
        <v>45110</v>
      </c>
      <c r="F45" s="159">
        <v>2100</v>
      </c>
      <c r="G45" s="159">
        <v>1040.00000000001</v>
      </c>
      <c r="H45" s="159">
        <v>1040.00000000001</v>
      </c>
      <c r="I45" s="184">
        <f t="shared" si="2"/>
        <v>45978</v>
      </c>
      <c r="J45" s="159" cm="1">
        <f t="array" ref="J45">[15]!CalculateINPC(D45,I45,-1)*H45</f>
        <v>1140.5601480000109</v>
      </c>
      <c r="K45" s="159">
        <f t="shared" si="3"/>
        <v>2140.8302783932681</v>
      </c>
      <c r="L45" s="159" cm="1">
        <f t="array" ref="L45">[15]!CalculateDICetip(D45,I45,1)*H45</f>
        <v>1372.7549888000133</v>
      </c>
      <c r="M45" s="154">
        <v>176844</v>
      </c>
      <c r="N45" s="154" t="s">
        <v>298</v>
      </c>
      <c r="O45" s="154" t="s">
        <v>232</v>
      </c>
      <c r="P45" s="154" t="s">
        <v>233</v>
      </c>
      <c r="Q45" s="154">
        <v>10027</v>
      </c>
      <c r="R45" s="154" t="s">
        <v>106</v>
      </c>
      <c r="S45" s="154">
        <v>44</v>
      </c>
      <c r="T45" s="154" t="s">
        <v>107</v>
      </c>
      <c r="U45" s="154" t="s">
        <v>361</v>
      </c>
      <c r="V45" s="154" t="s">
        <v>109</v>
      </c>
      <c r="W45" s="154" t="s">
        <v>110</v>
      </c>
      <c r="X45" s="154" t="s">
        <v>362</v>
      </c>
      <c r="Y45" s="154" t="s">
        <v>363</v>
      </c>
    </row>
    <row r="46" spans="2:25">
      <c r="B46" s="154" t="s">
        <v>102</v>
      </c>
      <c r="C46" s="154" t="s">
        <v>1401</v>
      </c>
      <c r="D46" s="155">
        <v>45114</v>
      </c>
      <c r="E46" s="155">
        <v>45108</v>
      </c>
      <c r="F46" s="159">
        <v>574.95000000000005</v>
      </c>
      <c r="G46" s="159">
        <v>53.57</v>
      </c>
      <c r="H46" s="159">
        <v>53.57</v>
      </c>
      <c r="I46" s="184">
        <f t="shared" si="2"/>
        <v>45978</v>
      </c>
      <c r="J46" s="159" cm="1">
        <f t="array" ref="J46">[15]!CalculateINPC(D46,I46,-1)*H46</f>
        <v>58.749814546499998</v>
      </c>
      <c r="K46" s="159">
        <f t="shared" si="3"/>
        <v>110.27334424377526</v>
      </c>
      <c r="L46" s="159" cm="1">
        <f t="array" ref="L46">[15]!CalculateDICetip(D46,I46,1)*H46</f>
        <v>70.7100814904</v>
      </c>
      <c r="M46" s="154">
        <v>176711</v>
      </c>
      <c r="N46" s="154" t="s">
        <v>369</v>
      </c>
      <c r="O46" s="154" t="s">
        <v>370</v>
      </c>
      <c r="P46" s="154" t="s">
        <v>371</v>
      </c>
      <c r="Q46" s="154">
        <v>10027</v>
      </c>
      <c r="R46" s="154" t="s">
        <v>106</v>
      </c>
      <c r="S46" s="154">
        <v>44</v>
      </c>
      <c r="T46" s="154" t="s">
        <v>107</v>
      </c>
      <c r="U46" s="154" t="s">
        <v>716</v>
      </c>
      <c r="V46" s="154" t="s">
        <v>109</v>
      </c>
      <c r="W46" s="154" t="s">
        <v>110</v>
      </c>
      <c r="X46" s="154" t="s">
        <v>111</v>
      </c>
      <c r="Y46" s="154" t="s">
        <v>717</v>
      </c>
    </row>
    <row r="47" spans="2:25">
      <c r="B47" s="154" t="s">
        <v>102</v>
      </c>
      <c r="C47" s="154" t="s">
        <v>1401</v>
      </c>
      <c r="D47" s="155">
        <v>45145</v>
      </c>
      <c r="E47" s="155">
        <v>45141</v>
      </c>
      <c r="F47" s="159">
        <v>43026</v>
      </c>
      <c r="G47" s="159">
        <v>43026</v>
      </c>
      <c r="H47" s="159">
        <v>43026</v>
      </c>
      <c r="I47" s="184">
        <f t="shared" si="2"/>
        <v>45978</v>
      </c>
      <c r="J47" s="159" cm="1">
        <f t="array" ref="J47">[15]!CalculateINPC(D47,I47,-1)*H47</f>
        <v>47228.811088980001</v>
      </c>
      <c r="K47" s="159">
        <f t="shared" si="3"/>
        <v>86668.098831599767</v>
      </c>
      <c r="L47" s="159" cm="1">
        <f t="array" ref="L47">[15]!CalculateDICetip(D47,I47,1)*H47</f>
        <v>56192.076903060006</v>
      </c>
      <c r="M47" s="154">
        <v>178651</v>
      </c>
      <c r="N47" s="154" t="s">
        <v>153</v>
      </c>
      <c r="O47" s="154" t="s">
        <v>154</v>
      </c>
      <c r="P47" s="154" t="s">
        <v>155</v>
      </c>
      <c r="Q47" s="154">
        <v>10027</v>
      </c>
      <c r="R47" s="154" t="s">
        <v>106</v>
      </c>
      <c r="S47" s="154">
        <v>44</v>
      </c>
      <c r="T47" s="154" t="s">
        <v>107</v>
      </c>
      <c r="U47" s="154" t="s">
        <v>156</v>
      </c>
      <c r="V47" s="154" t="s">
        <v>157</v>
      </c>
      <c r="W47" s="154" t="s">
        <v>158</v>
      </c>
      <c r="X47" s="154" t="s">
        <v>159</v>
      </c>
      <c r="Y47" s="154" t="s">
        <v>160</v>
      </c>
    </row>
    <row r="48" spans="2:25">
      <c r="B48" s="154" t="s">
        <v>102</v>
      </c>
      <c r="C48" s="154" t="s">
        <v>1401</v>
      </c>
      <c r="D48" s="155">
        <v>45511</v>
      </c>
      <c r="E48" s="155">
        <v>45510</v>
      </c>
      <c r="F48" s="159">
        <v>2680</v>
      </c>
      <c r="G48" s="159">
        <v>2680</v>
      </c>
      <c r="H48" s="159">
        <v>2680</v>
      </c>
      <c r="I48" s="184">
        <f t="shared" si="2"/>
        <v>45978</v>
      </c>
      <c r="J48" s="159" cm="1">
        <f t="array" ref="J48">[15]!CalculateINPC(D48,I48,-1)*H48</f>
        <v>2826.9821344000002</v>
      </c>
      <c r="K48" s="159">
        <f t="shared" si="3"/>
        <v>3973.1312558294835</v>
      </c>
      <c r="L48" s="159" cm="1">
        <f t="array" ref="L48">[15]!CalculateDICetip(D48,I48,1)*H48</f>
        <v>3140.5248483999999</v>
      </c>
      <c r="M48" s="154">
        <v>204435</v>
      </c>
      <c r="N48" s="154" t="s">
        <v>236</v>
      </c>
      <c r="O48" s="154" t="s">
        <v>294</v>
      </c>
      <c r="P48" s="154" t="s">
        <v>295</v>
      </c>
      <c r="Q48" s="154">
        <v>10027</v>
      </c>
      <c r="R48" s="154" t="s">
        <v>106</v>
      </c>
      <c r="S48" s="154">
        <v>44</v>
      </c>
      <c r="T48" s="154" t="s">
        <v>107</v>
      </c>
      <c r="U48" s="154" t="s">
        <v>296</v>
      </c>
      <c r="V48" s="154" t="s">
        <v>109</v>
      </c>
      <c r="W48" s="154" t="s">
        <v>110</v>
      </c>
      <c r="X48" s="154" t="s">
        <v>173</v>
      </c>
      <c r="Y48" s="154" t="s">
        <v>297</v>
      </c>
    </row>
    <row r="49" spans="2:25">
      <c r="B49" s="154" t="s">
        <v>102</v>
      </c>
      <c r="C49" s="154" t="s">
        <v>1401</v>
      </c>
      <c r="D49" s="155">
        <v>44841</v>
      </c>
      <c r="E49" s="155">
        <v>44833</v>
      </c>
      <c r="F49" s="159">
        <v>7540</v>
      </c>
      <c r="G49" s="159">
        <v>5280.0000000000009</v>
      </c>
      <c r="H49" s="159">
        <v>5280.0000000000009</v>
      </c>
      <c r="I49" s="184">
        <f t="shared" si="2"/>
        <v>45978</v>
      </c>
      <c r="J49" s="159" cm="1">
        <f t="array" ref="J49">[15]!CalculateINPC(D49,I49,-1)*H49</f>
        <v>6038.1793824000015</v>
      </c>
      <c r="K49" s="159">
        <f t="shared" si="3"/>
        <v>13828.56446546601</v>
      </c>
      <c r="L49" s="159" cm="1">
        <f t="array" ref="L49">[15]!CalculateDICetip(D49,I49,1)*H49</f>
        <v>7659.6534960000008</v>
      </c>
      <c r="M49" s="154">
        <v>159501</v>
      </c>
      <c r="N49" s="154" t="s">
        <v>225</v>
      </c>
      <c r="O49" s="154" t="s">
        <v>226</v>
      </c>
      <c r="P49" s="154" t="s">
        <v>227</v>
      </c>
      <c r="Q49" s="154">
        <v>10027</v>
      </c>
      <c r="R49" s="154" t="s">
        <v>106</v>
      </c>
      <c r="S49" s="154">
        <v>44</v>
      </c>
      <c r="T49" s="154" t="s">
        <v>107</v>
      </c>
      <c r="U49" s="154" t="s">
        <v>228</v>
      </c>
      <c r="V49" s="154" t="s">
        <v>109</v>
      </c>
      <c r="W49" s="154" t="s">
        <v>110</v>
      </c>
      <c r="X49" s="154" t="s">
        <v>130</v>
      </c>
      <c r="Y49" s="154" t="s">
        <v>229</v>
      </c>
    </row>
    <row r="50" spans="2:25">
      <c r="B50" s="154" t="s">
        <v>102</v>
      </c>
      <c r="C50" s="154" t="s">
        <v>1401</v>
      </c>
      <c r="D50" s="155">
        <v>45237</v>
      </c>
      <c r="E50" s="155">
        <v>45232</v>
      </c>
      <c r="F50" s="159">
        <v>46750</v>
      </c>
      <c r="G50" s="159">
        <v>48.280000000127998</v>
      </c>
      <c r="H50" s="159">
        <v>48.280000000127998</v>
      </c>
      <c r="I50" s="184">
        <f t="shared" si="2"/>
        <v>45978</v>
      </c>
      <c r="J50" s="159" cm="1">
        <f t="array" ref="J50">[15]!CalculateINPC(D50,I50,-1)*H50</f>
        <v>52.768848932539903</v>
      </c>
      <c r="K50" s="159">
        <f t="shared" si="3"/>
        <v>90.554705187658016</v>
      </c>
      <c r="L50" s="159" cm="1">
        <f t="array" ref="L50">[15]!CalculateDICetip(D50,I50,1)*H50</f>
        <v>61.17158945056218</v>
      </c>
      <c r="M50" s="154">
        <v>185060</v>
      </c>
      <c r="N50" s="154" t="s">
        <v>668</v>
      </c>
      <c r="O50" s="154" t="s">
        <v>557</v>
      </c>
      <c r="P50" s="154" t="s">
        <v>558</v>
      </c>
      <c r="Q50" s="154">
        <v>10027</v>
      </c>
      <c r="R50" s="154" t="s">
        <v>106</v>
      </c>
      <c r="S50" s="154">
        <v>44</v>
      </c>
      <c r="T50" s="154" t="s">
        <v>107</v>
      </c>
      <c r="U50" s="154" t="s">
        <v>721</v>
      </c>
      <c r="V50" s="154" t="s">
        <v>109</v>
      </c>
      <c r="W50" s="154" t="s">
        <v>110</v>
      </c>
      <c r="X50" s="154" t="s">
        <v>130</v>
      </c>
      <c r="Y50" s="154" t="s">
        <v>722</v>
      </c>
    </row>
    <row r="51" spans="2:25">
      <c r="B51" s="154" t="s">
        <v>102</v>
      </c>
      <c r="C51" s="154" t="s">
        <v>1401</v>
      </c>
      <c r="D51" s="155">
        <v>44902</v>
      </c>
      <c r="E51" s="155">
        <v>44889</v>
      </c>
      <c r="F51" s="159">
        <v>9570</v>
      </c>
      <c r="G51" s="159">
        <v>54.999999999985</v>
      </c>
      <c r="H51" s="159">
        <v>54.999999999985</v>
      </c>
      <c r="I51" s="184">
        <f t="shared" si="2"/>
        <v>45978</v>
      </c>
      <c r="J51" s="159" cm="1">
        <f t="array" ref="J51">[15]!CalculateINPC(D51,I51,-1)*H51</f>
        <v>62.366486599982991</v>
      </c>
      <c r="K51" s="159">
        <f t="shared" si="3"/>
        <v>136.62032009913571</v>
      </c>
      <c r="L51" s="159" cm="1">
        <f t="array" ref="L51">[15]!CalculateDICetip(D51,I51,1)*H51</f>
        <v>78.183904149978673</v>
      </c>
      <c r="M51" s="154">
        <v>162778</v>
      </c>
      <c r="N51" s="154" t="s">
        <v>602</v>
      </c>
      <c r="O51" s="154" t="s">
        <v>603</v>
      </c>
      <c r="P51" s="154" t="s">
        <v>604</v>
      </c>
      <c r="Q51" s="154">
        <v>10027</v>
      </c>
      <c r="R51" s="154" t="s">
        <v>106</v>
      </c>
      <c r="S51" s="154">
        <v>44</v>
      </c>
      <c r="T51" s="154" t="s">
        <v>107</v>
      </c>
      <c r="U51" s="154" t="s">
        <v>714</v>
      </c>
      <c r="V51" s="154" t="s">
        <v>109</v>
      </c>
      <c r="W51" s="154" t="s">
        <v>110</v>
      </c>
      <c r="X51" s="154" t="s">
        <v>130</v>
      </c>
      <c r="Y51" s="154" t="s">
        <v>715</v>
      </c>
    </row>
    <row r="52" spans="2:25">
      <c r="B52" s="154" t="s">
        <v>102</v>
      </c>
      <c r="C52" s="154" t="s">
        <v>1401</v>
      </c>
      <c r="D52" s="155">
        <v>45054</v>
      </c>
      <c r="E52" s="155">
        <v>45049</v>
      </c>
      <c r="F52" s="159">
        <v>31340</v>
      </c>
      <c r="G52" s="159">
        <v>1025.0000000000671</v>
      </c>
      <c r="H52" s="159">
        <v>1025.0000000000671</v>
      </c>
      <c r="I52" s="184">
        <f t="shared" si="2"/>
        <v>45978</v>
      </c>
      <c r="J52" s="159" cm="1">
        <f t="array" ref="J52">[15]!CalculateINPC(D52,I52,-1)*H52</f>
        <v>1127.0294737500737</v>
      </c>
      <c r="K52" s="159">
        <f t="shared" si="3"/>
        <v>2209.9878090438701</v>
      </c>
      <c r="L52" s="159" cm="1">
        <f t="array" ref="L52">[15]!CalculateDICetip(D52,I52,1)*H52</f>
        <v>1382.8199560000905</v>
      </c>
      <c r="M52" s="154">
        <v>173128</v>
      </c>
      <c r="N52" s="154" t="s">
        <v>270</v>
      </c>
      <c r="O52" s="154" t="s">
        <v>154</v>
      </c>
      <c r="P52" s="154" t="s">
        <v>155</v>
      </c>
      <c r="Q52" s="154">
        <v>10027</v>
      </c>
      <c r="R52" s="154" t="s">
        <v>106</v>
      </c>
      <c r="S52" s="154">
        <v>44</v>
      </c>
      <c r="T52" s="154" t="s">
        <v>107</v>
      </c>
      <c r="U52" s="154" t="s">
        <v>367</v>
      </c>
      <c r="V52" s="154" t="s">
        <v>109</v>
      </c>
      <c r="W52" s="154" t="s">
        <v>110</v>
      </c>
      <c r="X52" s="154" t="s">
        <v>130</v>
      </c>
      <c r="Y52" s="154" t="s">
        <v>368</v>
      </c>
    </row>
    <row r="53" spans="2:25">
      <c r="B53" s="154" t="s">
        <v>102</v>
      </c>
      <c r="C53" s="154" t="s">
        <v>1401</v>
      </c>
      <c r="D53" s="155">
        <v>45054</v>
      </c>
      <c r="E53" s="155">
        <v>45049</v>
      </c>
      <c r="F53" s="159">
        <v>3920</v>
      </c>
      <c r="G53" s="159">
        <v>1210.0000000000191</v>
      </c>
      <c r="H53" s="159">
        <v>1210.0000000000191</v>
      </c>
      <c r="I53" s="184">
        <f t="shared" si="2"/>
        <v>45978</v>
      </c>
      <c r="J53" s="159" cm="1">
        <f t="array" ref="J53">[15]!CalculateINPC(D53,I53,-1)*H53</f>
        <v>1330.4445495000209</v>
      </c>
      <c r="K53" s="159">
        <f t="shared" si="3"/>
        <v>2608.863657505317</v>
      </c>
      <c r="L53" s="159" cm="1">
        <f t="array" ref="L53">[15]!CalculateDICetip(D53,I53,1)*H53</f>
        <v>1632.4020944000258</v>
      </c>
      <c r="M53" s="154">
        <v>173126</v>
      </c>
      <c r="N53" s="154" t="s">
        <v>346</v>
      </c>
      <c r="O53" s="154" t="s">
        <v>154</v>
      </c>
      <c r="P53" s="154" t="s">
        <v>155</v>
      </c>
      <c r="Q53" s="154">
        <v>10027</v>
      </c>
      <c r="R53" s="154" t="s">
        <v>106</v>
      </c>
      <c r="S53" s="154">
        <v>44</v>
      </c>
      <c r="T53" s="154" t="s">
        <v>107</v>
      </c>
      <c r="U53" s="154" t="s">
        <v>347</v>
      </c>
      <c r="V53" s="154" t="s">
        <v>109</v>
      </c>
      <c r="W53" s="154" t="s">
        <v>110</v>
      </c>
      <c r="X53" s="154" t="s">
        <v>130</v>
      </c>
      <c r="Y53" s="154" t="s">
        <v>348</v>
      </c>
    </row>
    <row r="54" spans="2:25">
      <c r="B54" s="154" t="s">
        <v>102</v>
      </c>
      <c r="C54" s="154" t="s">
        <v>1401</v>
      </c>
      <c r="D54" s="155">
        <v>45054</v>
      </c>
      <c r="E54" s="155">
        <v>45048</v>
      </c>
      <c r="F54" s="159">
        <v>77775</v>
      </c>
      <c r="G54" s="159">
        <v>1874.999999999952</v>
      </c>
      <c r="H54" s="159">
        <v>1759.6875602699649</v>
      </c>
      <c r="I54" s="184">
        <f t="shared" si="2"/>
        <v>45978</v>
      </c>
      <c r="J54" s="159" cm="1">
        <f t="array" ref="J54">[15]!CalculateINPC(D54,I54,-1)*H54</f>
        <v>1934.8485317224195</v>
      </c>
      <c r="K54" s="159">
        <f t="shared" si="3"/>
        <v>3794.0371277292861</v>
      </c>
      <c r="L54" s="159" cm="1">
        <f t="array" ref="L54">[15]!CalculateDICetip(D54,I54,1)*H54</f>
        <v>2373.981536259766</v>
      </c>
      <c r="M54" s="154">
        <v>173122</v>
      </c>
      <c r="N54" s="154" t="s">
        <v>212</v>
      </c>
      <c r="O54" s="154" t="s">
        <v>154</v>
      </c>
      <c r="P54" s="154" t="s">
        <v>155</v>
      </c>
      <c r="Q54" s="154">
        <v>10027</v>
      </c>
      <c r="R54" s="154" t="s">
        <v>106</v>
      </c>
      <c r="S54" s="154">
        <v>44</v>
      </c>
      <c r="T54" s="154" t="s">
        <v>107</v>
      </c>
      <c r="U54" s="154" t="s">
        <v>320</v>
      </c>
      <c r="V54" s="154" t="s">
        <v>109</v>
      </c>
      <c r="W54" s="154" t="s">
        <v>110</v>
      </c>
      <c r="X54" s="154" t="s">
        <v>130</v>
      </c>
      <c r="Y54" s="154" t="s">
        <v>321</v>
      </c>
    </row>
    <row r="55" spans="2:25">
      <c r="B55" s="154" t="s">
        <v>102</v>
      </c>
      <c r="C55" s="154" t="s">
        <v>1401</v>
      </c>
      <c r="D55" s="155">
        <v>43654</v>
      </c>
      <c r="E55" s="155">
        <v>43634</v>
      </c>
      <c r="F55" s="159">
        <v>68.05</v>
      </c>
      <c r="G55" s="159">
        <v>68.05</v>
      </c>
      <c r="H55" s="159">
        <v>68.05</v>
      </c>
      <c r="I55" s="184">
        <f t="shared" si="2"/>
        <v>45978</v>
      </c>
      <c r="J55" s="159" cm="1">
        <f t="array" ref="J55">[15]!CalculateINPC(D55,I55,-1)*H55</f>
        <v>96.169216102500002</v>
      </c>
      <c r="K55" s="159">
        <f t="shared" si="3"/>
        <v>523.12288205173707</v>
      </c>
      <c r="L55" s="159" cm="1">
        <f t="array" ref="L55">[15]!CalculateDICetip(D55,I55,1)*H55</f>
        <v>118.690384698</v>
      </c>
      <c r="M55" s="154">
        <v>75532</v>
      </c>
      <c r="N55" s="154" t="s">
        <v>315</v>
      </c>
      <c r="O55" s="154" t="s">
        <v>237</v>
      </c>
      <c r="P55" s="154" t="s">
        <v>238</v>
      </c>
      <c r="Q55" s="154">
        <v>10027</v>
      </c>
      <c r="R55" s="154" t="s">
        <v>106</v>
      </c>
      <c r="S55" s="154">
        <v>44</v>
      </c>
      <c r="T55" s="154" t="s">
        <v>107</v>
      </c>
      <c r="U55" s="154" t="s">
        <v>691</v>
      </c>
      <c r="V55" s="154" t="s">
        <v>109</v>
      </c>
      <c r="W55" s="154" t="s">
        <v>110</v>
      </c>
      <c r="X55" s="154" t="s">
        <v>240</v>
      </c>
      <c r="Y55" s="154" t="s">
        <v>692</v>
      </c>
    </row>
    <row r="56" spans="2:25">
      <c r="B56" s="154" t="s">
        <v>102</v>
      </c>
      <c r="C56" s="154" t="s">
        <v>1401</v>
      </c>
      <c r="D56" s="155">
        <v>44750</v>
      </c>
      <c r="E56" s="155">
        <v>44743</v>
      </c>
      <c r="F56" s="159">
        <v>11000</v>
      </c>
      <c r="G56" s="159">
        <v>269.99999999994998</v>
      </c>
      <c r="H56" s="159">
        <v>269.99999999994998</v>
      </c>
      <c r="I56" s="184">
        <f t="shared" si="2"/>
        <v>45978</v>
      </c>
      <c r="J56" s="159" cm="1">
        <f t="array" ref="J56">[15]!CalculateINPC(D56,I56,-1)*H56</f>
        <v>304.98725609994347</v>
      </c>
      <c r="K56" s="159">
        <f t="shared" si="3"/>
        <v>746.3716377912034</v>
      </c>
      <c r="L56" s="159" cm="1">
        <f t="array" ref="L56">[15]!CalculateDICetip(D56,I56,1)*H56</f>
        <v>404.48965139992509</v>
      </c>
      <c r="M56" s="154">
        <v>153084</v>
      </c>
      <c r="N56" s="154" t="s">
        <v>564</v>
      </c>
      <c r="O56" s="154" t="s">
        <v>154</v>
      </c>
      <c r="P56" s="154" t="s">
        <v>155</v>
      </c>
      <c r="Q56" s="154">
        <v>10027</v>
      </c>
      <c r="R56" s="154" t="s">
        <v>106</v>
      </c>
      <c r="S56" s="154">
        <v>44</v>
      </c>
      <c r="T56" s="154" t="s">
        <v>107</v>
      </c>
      <c r="U56" s="154" t="s">
        <v>565</v>
      </c>
      <c r="V56" s="154" t="s">
        <v>109</v>
      </c>
      <c r="W56" s="154" t="s">
        <v>110</v>
      </c>
      <c r="X56" s="154" t="s">
        <v>130</v>
      </c>
      <c r="Y56" s="154" t="s">
        <v>566</v>
      </c>
    </row>
    <row r="57" spans="2:25">
      <c r="B57" s="154" t="s">
        <v>102</v>
      </c>
      <c r="C57" s="154" t="s">
        <v>1401</v>
      </c>
      <c r="D57" s="155">
        <v>45146</v>
      </c>
      <c r="E57" s="155">
        <v>45139</v>
      </c>
      <c r="F57" s="159">
        <v>1209.48</v>
      </c>
      <c r="G57" s="159">
        <v>61.899999999998997</v>
      </c>
      <c r="H57" s="159">
        <v>61.899999999998997</v>
      </c>
      <c r="I57" s="184">
        <f t="shared" si="2"/>
        <v>45978</v>
      </c>
      <c r="J57" s="159" cm="1">
        <f t="array" ref="J57">[15]!CalculateINPC(D57,I57,-1)*H57</f>
        <v>67.946437186998892</v>
      </c>
      <c r="K57" s="159">
        <f t="shared" si="3"/>
        <v>124.59552280073602</v>
      </c>
      <c r="L57" s="159" cm="1">
        <f t="array" ref="L57">[15]!CalculateDICetip(D57,I57,1)*H57</f>
        <v>80.801951129998699</v>
      </c>
      <c r="M57" s="154">
        <v>178713</v>
      </c>
      <c r="N57" s="154" t="s">
        <v>369</v>
      </c>
      <c r="O57" s="154" t="s">
        <v>370</v>
      </c>
      <c r="P57" s="154" t="s">
        <v>371</v>
      </c>
      <c r="Q57" s="154">
        <v>10027</v>
      </c>
      <c r="R57" s="154" t="s">
        <v>106</v>
      </c>
      <c r="S57" s="154">
        <v>44</v>
      </c>
      <c r="T57" s="154" t="s">
        <v>107</v>
      </c>
      <c r="U57" s="154" t="s">
        <v>699</v>
      </c>
      <c r="V57" s="154" t="s">
        <v>109</v>
      </c>
      <c r="W57" s="154" t="s">
        <v>110</v>
      </c>
      <c r="X57" s="154" t="s">
        <v>111</v>
      </c>
      <c r="Y57" s="154" t="s">
        <v>700</v>
      </c>
    </row>
    <row r="58" spans="2:25">
      <c r="B58" s="154" t="s">
        <v>102</v>
      </c>
      <c r="C58" s="154" t="s">
        <v>1401</v>
      </c>
      <c r="D58" s="155">
        <v>45146</v>
      </c>
      <c r="E58" s="155">
        <v>45139</v>
      </c>
      <c r="F58" s="159">
        <v>9900</v>
      </c>
      <c r="G58" s="159">
        <v>9900</v>
      </c>
      <c r="H58" s="159">
        <v>9291.15</v>
      </c>
      <c r="I58" s="184">
        <f t="shared" si="2"/>
        <v>45978</v>
      </c>
      <c r="J58" s="159" cm="1">
        <f t="array" ref="J58">[15]!CalculateINPC(D58,I58,-1)*H58</f>
        <v>10198.716314539499</v>
      </c>
      <c r="K58" s="159">
        <f t="shared" si="3"/>
        <v>18701.707458321118</v>
      </c>
      <c r="L58" s="159" cm="1">
        <f t="array" ref="L58">[15]!CalculateDICetip(D58,I58,1)*H58</f>
        <v>12128.320650105001</v>
      </c>
      <c r="M58" s="154">
        <v>178767</v>
      </c>
      <c r="N58" s="154" t="s">
        <v>212</v>
      </c>
      <c r="O58" s="154" t="s">
        <v>154</v>
      </c>
      <c r="P58" s="154" t="s">
        <v>155</v>
      </c>
      <c r="Q58" s="154">
        <v>10027</v>
      </c>
      <c r="R58" s="154" t="s">
        <v>106</v>
      </c>
      <c r="S58" s="154">
        <v>44</v>
      </c>
      <c r="T58" s="154" t="s">
        <v>107</v>
      </c>
      <c r="U58" s="154" t="s">
        <v>213</v>
      </c>
      <c r="V58" s="154" t="s">
        <v>109</v>
      </c>
      <c r="W58" s="154" t="s">
        <v>110</v>
      </c>
      <c r="X58" s="154" t="s">
        <v>130</v>
      </c>
      <c r="Y58" s="154" t="s">
        <v>214</v>
      </c>
    </row>
    <row r="59" spans="2:25">
      <c r="B59" s="154" t="s">
        <v>102</v>
      </c>
      <c r="C59" s="154" t="s">
        <v>1401</v>
      </c>
      <c r="D59" s="155">
        <v>43991</v>
      </c>
      <c r="E59" s="155">
        <v>43927</v>
      </c>
      <c r="F59" s="159">
        <v>42863</v>
      </c>
      <c r="G59" s="159">
        <v>42863</v>
      </c>
      <c r="H59" s="159">
        <v>42005.74</v>
      </c>
      <c r="I59" s="184">
        <f t="shared" si="2"/>
        <v>45978</v>
      </c>
      <c r="J59" s="159" cm="1">
        <f t="array" ref="J59">[15]!CalculateINPC(D59,I59,-1)*H59</f>
        <v>58176.068462905394</v>
      </c>
      <c r="K59" s="159">
        <f t="shared" si="3"/>
        <v>247541.70115076809</v>
      </c>
      <c r="L59" s="159" cm="1">
        <f t="array" ref="L59">[15]!CalculateDICetip(D59,I59,1)*H59</f>
        <v>70228.203322926594</v>
      </c>
      <c r="M59" s="154">
        <v>89682</v>
      </c>
      <c r="N59" s="154" t="s">
        <v>161</v>
      </c>
      <c r="O59" s="154" t="s">
        <v>126</v>
      </c>
      <c r="P59" s="154" t="s">
        <v>127</v>
      </c>
      <c r="Q59" s="154">
        <v>10027</v>
      </c>
      <c r="R59" s="154" t="s">
        <v>106</v>
      </c>
      <c r="S59" s="154">
        <v>44</v>
      </c>
      <c r="T59" s="154" t="s">
        <v>107</v>
      </c>
      <c r="U59" s="154" t="s">
        <v>162</v>
      </c>
      <c r="V59" s="154" t="s">
        <v>109</v>
      </c>
      <c r="W59" s="154" t="s">
        <v>110</v>
      </c>
      <c r="X59" s="154" t="s">
        <v>130</v>
      </c>
      <c r="Y59" s="154" t="s">
        <v>163</v>
      </c>
    </row>
    <row r="60" spans="2:25">
      <c r="B60" s="154" t="s">
        <v>102</v>
      </c>
      <c r="C60" s="154" t="s">
        <v>1401</v>
      </c>
      <c r="D60" s="155">
        <v>45817</v>
      </c>
      <c r="E60" s="155">
        <v>45811</v>
      </c>
      <c r="F60" s="159">
        <v>15025</v>
      </c>
      <c r="G60" s="159">
        <v>1999.9999999999311</v>
      </c>
      <c r="H60" s="159">
        <v>1999.9999999999311</v>
      </c>
      <c r="I60" s="184">
        <f t="shared" si="2"/>
        <v>45978</v>
      </c>
      <c r="J60" s="159" cm="1">
        <f t="array" ref="J60">[15]!CalculateINPC(D60,I60,-1)*H60</f>
        <v>2015.6184399999304</v>
      </c>
      <c r="K60" s="159">
        <f t="shared" si="3"/>
        <v>2266.5553132727209</v>
      </c>
      <c r="L60" s="159" cm="1">
        <f t="array" ref="L60">[15]!CalculateDICetip(D60,I60,1)*H60</f>
        <v>2129.5486199999268</v>
      </c>
      <c r="M60" s="154">
        <v>255692</v>
      </c>
      <c r="N60" s="154" t="s">
        <v>797</v>
      </c>
      <c r="O60" s="154" t="s">
        <v>706</v>
      </c>
      <c r="P60" s="154" t="s">
        <v>707</v>
      </c>
      <c r="Q60" s="154">
        <v>10027</v>
      </c>
      <c r="R60" s="154" t="s">
        <v>106</v>
      </c>
      <c r="S60" s="154">
        <v>44</v>
      </c>
      <c r="T60" s="154" t="s">
        <v>107</v>
      </c>
      <c r="U60" s="154" t="s">
        <v>798</v>
      </c>
      <c r="V60" s="154" t="s">
        <v>109</v>
      </c>
      <c r="W60" s="154" t="s">
        <v>110</v>
      </c>
      <c r="X60" s="154" t="s">
        <v>130</v>
      </c>
      <c r="Y60" s="154" t="s">
        <v>799</v>
      </c>
    </row>
    <row r="61" spans="2:25">
      <c r="B61" s="154" t="s">
        <v>102</v>
      </c>
      <c r="C61" s="154" t="s">
        <v>1401</v>
      </c>
      <c r="D61" s="155">
        <v>45147</v>
      </c>
      <c r="E61" s="155">
        <v>45139</v>
      </c>
      <c r="F61" s="159">
        <v>13325</v>
      </c>
      <c r="G61" s="159">
        <v>10075.000000000004</v>
      </c>
      <c r="H61" s="159">
        <v>9455.3856097561002</v>
      </c>
      <c r="I61" s="184">
        <f t="shared" si="2"/>
        <v>45978</v>
      </c>
      <c r="J61" s="159" cm="1">
        <f t="array" ref="J61">[15]!CalculateINPC(D61,I61,-1)*H61</f>
        <v>10378.994578548571</v>
      </c>
      <c r="K61" s="159">
        <f t="shared" si="3"/>
        <v>19018.423909543049</v>
      </c>
      <c r="L61" s="159" cm="1">
        <f t="array" ref="L61">[15]!CalculateDICetip(D61,I61,1)*H61</f>
        <v>12336.658133379247</v>
      </c>
      <c r="M61" s="154">
        <v>178823</v>
      </c>
      <c r="N61" s="154" t="s">
        <v>209</v>
      </c>
      <c r="O61" s="154" t="s">
        <v>154</v>
      </c>
      <c r="P61" s="154" t="s">
        <v>155</v>
      </c>
      <c r="Q61" s="154">
        <v>10027</v>
      </c>
      <c r="R61" s="154" t="s">
        <v>106</v>
      </c>
      <c r="S61" s="154">
        <v>44</v>
      </c>
      <c r="T61" s="154" t="s">
        <v>107</v>
      </c>
      <c r="U61" s="154" t="s">
        <v>210</v>
      </c>
      <c r="V61" s="154" t="s">
        <v>137</v>
      </c>
      <c r="W61" s="154" t="s">
        <v>138</v>
      </c>
      <c r="X61" s="154" t="s">
        <v>130</v>
      </c>
      <c r="Y61" s="154" t="s">
        <v>211</v>
      </c>
    </row>
    <row r="62" spans="2:25">
      <c r="B62" s="154" t="s">
        <v>102</v>
      </c>
      <c r="C62" s="154" t="s">
        <v>1401</v>
      </c>
      <c r="D62" s="155">
        <v>45147</v>
      </c>
      <c r="E62" s="155">
        <v>45139</v>
      </c>
      <c r="F62" s="159">
        <v>3600</v>
      </c>
      <c r="G62" s="159">
        <v>1099.99999999998</v>
      </c>
      <c r="H62" s="159">
        <v>1032.349999999981</v>
      </c>
      <c r="I62" s="184">
        <f t="shared" si="2"/>
        <v>45978</v>
      </c>
      <c r="J62" s="159" cm="1">
        <f t="array" ref="J62">[15]!CalculateINPC(D62,I62,-1)*H62</f>
        <v>1133.1907016154792</v>
      </c>
      <c r="K62" s="159">
        <f t="shared" si="3"/>
        <v>2076.453645926224</v>
      </c>
      <c r="L62" s="159" cm="1">
        <f t="array" ref="L62">[15]!CalculateDICetip(D62,I62,1)*H62</f>
        <v>1346.9306858149753</v>
      </c>
      <c r="M62" s="154">
        <v>178825</v>
      </c>
      <c r="N62" s="154" t="s">
        <v>364</v>
      </c>
      <c r="O62" s="154" t="s">
        <v>154</v>
      </c>
      <c r="P62" s="154" t="s">
        <v>155</v>
      </c>
      <c r="Q62" s="154">
        <v>10027</v>
      </c>
      <c r="R62" s="154" t="s">
        <v>106</v>
      </c>
      <c r="S62" s="154">
        <v>44</v>
      </c>
      <c r="T62" s="154" t="s">
        <v>107</v>
      </c>
      <c r="U62" s="154" t="s">
        <v>365</v>
      </c>
      <c r="V62" s="154" t="s">
        <v>109</v>
      </c>
      <c r="W62" s="154" t="s">
        <v>110</v>
      </c>
      <c r="X62" s="154" t="s">
        <v>130</v>
      </c>
      <c r="Y62" s="154" t="s">
        <v>366</v>
      </c>
    </row>
    <row r="63" spans="2:25">
      <c r="B63" s="154" t="s">
        <v>102</v>
      </c>
      <c r="C63" s="154" t="s">
        <v>1401</v>
      </c>
      <c r="D63" s="155">
        <v>45147</v>
      </c>
      <c r="E63" s="155">
        <v>45141</v>
      </c>
      <c r="F63" s="159">
        <v>13900</v>
      </c>
      <c r="G63" s="159">
        <v>13900</v>
      </c>
      <c r="H63" s="159">
        <v>13045.15</v>
      </c>
      <c r="I63" s="184">
        <f t="shared" si="2"/>
        <v>45978</v>
      </c>
      <c r="J63" s="159" cm="1">
        <f t="array" ref="J63">[15]!CalculateINPC(D63,I63,-1)*H63</f>
        <v>14319.4097749595</v>
      </c>
      <c r="K63" s="159">
        <f t="shared" si="3"/>
        <v>26238.823343977314</v>
      </c>
      <c r="L63" s="159" cm="1">
        <f t="array" ref="L63">[15]!CalculateDICetip(D63,I63,1)*H63</f>
        <v>17020.305938934998</v>
      </c>
      <c r="M63" s="154">
        <v>178820</v>
      </c>
      <c r="N63" s="154" t="s">
        <v>193</v>
      </c>
      <c r="O63" s="154" t="s">
        <v>154</v>
      </c>
      <c r="P63" s="154" t="s">
        <v>155</v>
      </c>
      <c r="Q63" s="154">
        <v>10027</v>
      </c>
      <c r="R63" s="154" t="s">
        <v>106</v>
      </c>
      <c r="S63" s="154">
        <v>44</v>
      </c>
      <c r="T63" s="154" t="s">
        <v>107</v>
      </c>
      <c r="U63" s="154" t="s">
        <v>194</v>
      </c>
      <c r="V63" s="154" t="s">
        <v>109</v>
      </c>
      <c r="W63" s="154" t="s">
        <v>110</v>
      </c>
      <c r="X63" s="154" t="s">
        <v>130</v>
      </c>
      <c r="Y63" s="154" t="s">
        <v>195</v>
      </c>
    </row>
    <row r="64" spans="2:25">
      <c r="B64" s="154" t="s">
        <v>102</v>
      </c>
      <c r="C64" s="154" t="s">
        <v>1401</v>
      </c>
      <c r="D64" s="155">
        <v>44813</v>
      </c>
      <c r="E64" s="155">
        <v>44805</v>
      </c>
      <c r="F64" s="159">
        <v>1635.88</v>
      </c>
      <c r="G64" s="159">
        <v>1.79</v>
      </c>
      <c r="H64" s="159">
        <v>1.79</v>
      </c>
      <c r="I64" s="184">
        <f t="shared" si="2"/>
        <v>45978</v>
      </c>
      <c r="J64" s="159" cm="1">
        <f t="array" ref="J64">[15]!CalculateINPC(D64,I64,-1)*H64</f>
        <v>2.0404839364000003</v>
      </c>
      <c r="K64" s="159">
        <f t="shared" si="3"/>
        <v>4.7694305434559405</v>
      </c>
      <c r="L64" s="159" cm="1">
        <f t="array" ref="L64">[15]!CalculateDICetip(D64,I64,1)*H64</f>
        <v>2.6232428878</v>
      </c>
      <c r="M64" s="154">
        <v>157154</v>
      </c>
      <c r="N64" s="154" t="s">
        <v>369</v>
      </c>
      <c r="O64" s="154" t="s">
        <v>370</v>
      </c>
      <c r="P64" s="154" t="s">
        <v>371</v>
      </c>
      <c r="Q64" s="154">
        <v>10027</v>
      </c>
      <c r="R64" s="154" t="s">
        <v>106</v>
      </c>
      <c r="S64" s="154">
        <v>44</v>
      </c>
      <c r="T64" s="154" t="s">
        <v>107</v>
      </c>
      <c r="U64" s="154" t="s">
        <v>778</v>
      </c>
      <c r="V64" s="154" t="s">
        <v>109</v>
      </c>
      <c r="W64" s="154" t="s">
        <v>110</v>
      </c>
      <c r="X64" s="154" t="s">
        <v>111</v>
      </c>
      <c r="Y64" s="154" t="s">
        <v>779</v>
      </c>
    </row>
    <row r="65" spans="2:25">
      <c r="B65" s="154" t="s">
        <v>102</v>
      </c>
      <c r="C65" s="154" t="s">
        <v>1401</v>
      </c>
      <c r="D65" s="155">
        <v>45909</v>
      </c>
      <c r="E65" s="155">
        <v>45901</v>
      </c>
      <c r="F65" s="159">
        <v>40328.230000000003</v>
      </c>
      <c r="G65" s="159">
        <v>200.00000000012699</v>
      </c>
      <c r="H65" s="159">
        <v>200.00000000012699</v>
      </c>
      <c r="I65" s="184">
        <f t="shared" si="2"/>
        <v>45978</v>
      </c>
      <c r="J65" s="159" cm="1">
        <f t="array" ref="J65">[15]!CalculateINPC(D65,I65,-1)*H65</f>
        <v>201.10026600012768</v>
      </c>
      <c r="K65" s="159">
        <f t="shared" si="3"/>
        <v>211.47147164016545</v>
      </c>
      <c r="L65" s="159" cm="1">
        <f t="array" ref="L65">[15]!CalculateDICetip(D65,I65,1)*H65</f>
        <v>205.47494600013047</v>
      </c>
      <c r="M65" s="154">
        <v>269876</v>
      </c>
      <c r="N65" s="154" t="s">
        <v>310</v>
      </c>
      <c r="O65" s="154" t="s">
        <v>271</v>
      </c>
      <c r="P65" s="154" t="s">
        <v>272</v>
      </c>
      <c r="Q65" s="154">
        <v>10027</v>
      </c>
      <c r="R65" s="154" t="s">
        <v>106</v>
      </c>
      <c r="S65" s="154">
        <v>44</v>
      </c>
      <c r="T65" s="154" t="s">
        <v>107</v>
      </c>
      <c r="U65" s="154" t="s">
        <v>890</v>
      </c>
      <c r="V65" s="154" t="s">
        <v>109</v>
      </c>
      <c r="W65" s="154" t="s">
        <v>110</v>
      </c>
      <c r="X65" s="154" t="s">
        <v>130</v>
      </c>
      <c r="Y65" s="154" t="s">
        <v>891</v>
      </c>
    </row>
    <row r="66" spans="2:25">
      <c r="B66" s="154" t="s">
        <v>102</v>
      </c>
      <c r="C66" s="154" t="s">
        <v>1401</v>
      </c>
      <c r="D66" s="155">
        <v>45635</v>
      </c>
      <c r="E66" s="155">
        <v>45629</v>
      </c>
      <c r="F66" s="159">
        <v>1396.28</v>
      </c>
      <c r="G66" s="159">
        <v>73.719999999997995</v>
      </c>
      <c r="H66" s="159">
        <v>73.719999999997995</v>
      </c>
      <c r="I66" s="184">
        <f t="shared" si="2"/>
        <v>45978</v>
      </c>
      <c r="J66" s="159" cm="1">
        <f t="array" ref="J66">[15]!CalculateINPC(D66,I66,-1)*H66</f>
        <v>76.776849192397918</v>
      </c>
      <c r="K66" s="159">
        <f t="shared" si="3"/>
        <v>98.580945533983254</v>
      </c>
      <c r="L66" s="159" cm="1">
        <f t="array" ref="L66">[15]!CalculateDICetip(D66,I66,1)*H66</f>
        <v>83.448555635997735</v>
      </c>
      <c r="M66" s="154">
        <v>227981</v>
      </c>
      <c r="N66" s="154" t="s">
        <v>539</v>
      </c>
      <c r="O66" s="154" t="s">
        <v>243</v>
      </c>
      <c r="P66" s="154" t="s">
        <v>244</v>
      </c>
      <c r="Q66" s="154">
        <v>10027</v>
      </c>
      <c r="R66" s="154" t="s">
        <v>106</v>
      </c>
      <c r="S66" s="154">
        <v>44</v>
      </c>
      <c r="T66" s="154" t="s">
        <v>107</v>
      </c>
      <c r="U66" s="154" t="s">
        <v>689</v>
      </c>
      <c r="V66" s="154" t="s">
        <v>109</v>
      </c>
      <c r="W66" s="154" t="s">
        <v>110</v>
      </c>
      <c r="X66" s="154" t="s">
        <v>240</v>
      </c>
      <c r="Y66" s="154" t="s">
        <v>690</v>
      </c>
    </row>
    <row r="67" spans="2:25">
      <c r="B67" s="154" t="s">
        <v>102</v>
      </c>
      <c r="C67" s="154" t="s">
        <v>1401</v>
      </c>
      <c r="D67" s="155">
        <v>43840</v>
      </c>
      <c r="E67" s="155">
        <v>43797</v>
      </c>
      <c r="F67" s="159">
        <v>200</v>
      </c>
      <c r="G67" s="159">
        <v>200</v>
      </c>
      <c r="H67" s="159">
        <v>229.71</v>
      </c>
      <c r="I67" s="184">
        <f t="shared" si="2"/>
        <v>45978</v>
      </c>
      <c r="J67" s="159" cm="1">
        <f t="array" ref="J67">[15]!CalculateINPC(D67,I67,-1)*H67</f>
        <v>318.32544722160003</v>
      </c>
      <c r="K67" s="159">
        <f t="shared" si="3"/>
        <v>1512.0573614206426</v>
      </c>
      <c r="L67" s="159" cm="1">
        <f t="array" ref="L67">[15]!CalculateDICetip(D67,I67,1)*H67</f>
        <v>389.82093892559999</v>
      </c>
      <c r="M67" s="154">
        <v>82926</v>
      </c>
      <c r="N67" s="154" t="s">
        <v>369</v>
      </c>
      <c r="O67" s="154" t="s">
        <v>370</v>
      </c>
      <c r="P67" s="154" t="s">
        <v>371</v>
      </c>
      <c r="Q67" s="154">
        <v>10027</v>
      </c>
      <c r="R67" s="154" t="s">
        <v>106</v>
      </c>
      <c r="S67" s="154">
        <v>44</v>
      </c>
      <c r="T67" s="154" t="s">
        <v>107</v>
      </c>
      <c r="U67" s="154" t="s">
        <v>584</v>
      </c>
      <c r="V67" s="154" t="s">
        <v>109</v>
      </c>
      <c r="W67" s="154" t="s">
        <v>110</v>
      </c>
      <c r="X67" s="154" t="s">
        <v>111</v>
      </c>
      <c r="Y67" s="154" t="s">
        <v>208</v>
      </c>
    </row>
    <row r="68" spans="2:25">
      <c r="B68" s="154" t="s">
        <v>102</v>
      </c>
      <c r="C68" s="154" t="s">
        <v>1401</v>
      </c>
      <c r="D68" s="155">
        <v>43900</v>
      </c>
      <c r="E68" s="155">
        <v>43896</v>
      </c>
      <c r="F68" s="159">
        <v>18394.04</v>
      </c>
      <c r="G68" s="159">
        <v>38.359999999982001</v>
      </c>
      <c r="H68" s="159">
        <v>38.359999999982001</v>
      </c>
      <c r="I68" s="184">
        <f t="shared" si="2"/>
        <v>45978</v>
      </c>
      <c r="J68" s="159" cm="1">
        <f t="array" ref="J68">[15]!CalculateINPC(D68,I68,-1)*H68</f>
        <v>52.967388647575149</v>
      </c>
      <c r="K68" s="159">
        <f t="shared" si="3"/>
        <v>240.83239938193154</v>
      </c>
      <c r="L68" s="159" cm="1">
        <f t="array" ref="L68">[15]!CalculateDICetip(D68,I68,1)*H68</f>
        <v>64.66693240276966</v>
      </c>
      <c r="M68" s="154">
        <v>86892</v>
      </c>
      <c r="N68" s="154" t="s">
        <v>727</v>
      </c>
      <c r="O68" s="154" t="s">
        <v>243</v>
      </c>
      <c r="P68" s="154" t="s">
        <v>244</v>
      </c>
      <c r="Q68" s="154">
        <v>10027</v>
      </c>
      <c r="R68" s="154" t="s">
        <v>106</v>
      </c>
      <c r="S68" s="154">
        <v>44</v>
      </c>
      <c r="T68" s="154" t="s">
        <v>107</v>
      </c>
      <c r="U68" s="154" t="s">
        <v>728</v>
      </c>
      <c r="V68" s="154" t="s">
        <v>109</v>
      </c>
      <c r="W68" s="154" t="s">
        <v>110</v>
      </c>
      <c r="X68" s="154" t="s">
        <v>117</v>
      </c>
      <c r="Y68" s="154" t="s">
        <v>729</v>
      </c>
    </row>
    <row r="69" spans="2:25">
      <c r="B69" s="154" t="s">
        <v>102</v>
      </c>
      <c r="C69" s="154" t="s">
        <v>1401</v>
      </c>
      <c r="D69" s="155">
        <v>44630</v>
      </c>
      <c r="E69" s="155">
        <v>44629</v>
      </c>
      <c r="F69" s="159">
        <v>8896.17</v>
      </c>
      <c r="G69" s="159">
        <v>63.670000000035998</v>
      </c>
      <c r="H69" s="159">
        <v>63.670000000035998</v>
      </c>
      <c r="I69" s="184">
        <f t="shared" si="2"/>
        <v>45978</v>
      </c>
      <c r="J69" s="159" cm="1">
        <f t="array" ref="J69">[15]!CalculateINPC(D69,I69,-1)*H69</f>
        <v>74.704156167642225</v>
      </c>
      <c r="K69" s="159">
        <f t="shared" si="3"/>
        <v>199.5259177085795</v>
      </c>
      <c r="L69" s="159" cm="1">
        <f t="array" ref="L69">[15]!CalculateDICetip(D69,I69,1)*H69</f>
        <v>99.076323520556016</v>
      </c>
      <c r="M69" s="154">
        <v>146412</v>
      </c>
      <c r="N69" s="154" t="s">
        <v>258</v>
      </c>
      <c r="O69" s="154" t="s">
        <v>290</v>
      </c>
      <c r="P69" s="154" t="s">
        <v>291</v>
      </c>
      <c r="Q69" s="154">
        <v>10027</v>
      </c>
      <c r="R69" s="154" t="s">
        <v>106</v>
      </c>
      <c r="S69" s="154">
        <v>44</v>
      </c>
      <c r="T69" s="154" t="s">
        <v>107</v>
      </c>
      <c r="U69" s="154" t="s">
        <v>697</v>
      </c>
      <c r="V69" s="154" t="s">
        <v>109</v>
      </c>
      <c r="W69" s="154" t="s">
        <v>110</v>
      </c>
      <c r="X69" s="154" t="s">
        <v>117</v>
      </c>
      <c r="Y69" s="154" t="s">
        <v>698</v>
      </c>
    </row>
    <row r="70" spans="2:25">
      <c r="B70" s="154" t="s">
        <v>102</v>
      </c>
      <c r="C70" s="154" t="s">
        <v>1401</v>
      </c>
      <c r="D70" s="155">
        <v>45026</v>
      </c>
      <c r="E70" s="155">
        <v>45021</v>
      </c>
      <c r="F70" s="159">
        <v>76078.710000000006</v>
      </c>
      <c r="G70" s="159">
        <v>40.959999999685998</v>
      </c>
      <c r="H70" s="159">
        <v>40.959999999685998</v>
      </c>
      <c r="I70" s="184">
        <f t="shared" si="2"/>
        <v>45978</v>
      </c>
      <c r="J70" s="159" cm="1">
        <f t="array" ref="J70">[15]!CalculateINPC(D70,I70,-1)*H70</f>
        <v>45.275885977252912</v>
      </c>
      <c r="K70" s="159">
        <f t="shared" si="3"/>
        <v>90.611604874263591</v>
      </c>
      <c r="L70" s="159" cm="1">
        <f t="array" ref="L70">[15]!CalculateDICetip(D70,I70,1)*H70</f>
        <v>55.766188441172488</v>
      </c>
      <c r="M70" s="154">
        <v>171331</v>
      </c>
      <c r="N70" s="154" t="s">
        <v>258</v>
      </c>
      <c r="O70" s="154" t="s">
        <v>290</v>
      </c>
      <c r="P70" s="154" t="s">
        <v>291</v>
      </c>
      <c r="Q70" s="154">
        <v>10027</v>
      </c>
      <c r="R70" s="154" t="s">
        <v>106</v>
      </c>
      <c r="S70" s="154">
        <v>44</v>
      </c>
      <c r="T70" s="154" t="s">
        <v>107</v>
      </c>
      <c r="U70" s="154" t="s">
        <v>724</v>
      </c>
      <c r="V70" s="154" t="s">
        <v>109</v>
      </c>
      <c r="W70" s="154" t="s">
        <v>110</v>
      </c>
      <c r="X70" s="154" t="s">
        <v>117</v>
      </c>
      <c r="Y70" s="154" t="s">
        <v>725</v>
      </c>
    </row>
    <row r="71" spans="2:25">
      <c r="B71" s="154" t="s">
        <v>257</v>
      </c>
      <c r="C71" s="154" t="s">
        <v>1401</v>
      </c>
      <c r="D71" s="155">
        <v>45757</v>
      </c>
      <c r="E71" s="155">
        <v>45748</v>
      </c>
      <c r="F71" s="159">
        <v>90474.95</v>
      </c>
      <c r="G71" s="159">
        <v>3945.0700000000152</v>
      </c>
      <c r="H71" s="159">
        <v>3945.0700000000152</v>
      </c>
      <c r="I71" s="184">
        <f t="shared" ref="I71:I134" si="4">$B$4</f>
        <v>45978</v>
      </c>
      <c r="J71" s="159" cm="1">
        <f t="array" ref="J71">[15]!CalculateINPC(D71,I71,-1)*H71</f>
        <v>4008.9446678207155</v>
      </c>
      <c r="K71" s="159">
        <f t="shared" ref="K71:K134" si="5">J71*1.3^((I71-D71)/360)</f>
        <v>4709.5414112495118</v>
      </c>
      <c r="L71" s="159" cm="1">
        <f t="array" ref="L71">[15]!CalculateDICetip(D71,I71,1)*H71</f>
        <v>4289.1679607089163</v>
      </c>
      <c r="M71" s="154">
        <v>245772</v>
      </c>
      <c r="N71" s="154" t="s">
        <v>258</v>
      </c>
      <c r="O71" s="154" t="s">
        <v>243</v>
      </c>
      <c r="P71" s="154" t="s">
        <v>244</v>
      </c>
      <c r="Q71" s="154">
        <v>10027</v>
      </c>
      <c r="R71" s="154" t="s">
        <v>106</v>
      </c>
      <c r="S71" s="154">
        <v>44</v>
      </c>
      <c r="T71" s="154" t="s">
        <v>107</v>
      </c>
      <c r="U71" s="154" t="s">
        <v>259</v>
      </c>
      <c r="V71" s="154" t="s">
        <v>260</v>
      </c>
      <c r="W71" s="154" t="s">
        <v>261</v>
      </c>
      <c r="X71" s="154" t="s">
        <v>262</v>
      </c>
      <c r="Y71" s="154" t="s">
        <v>263</v>
      </c>
    </row>
    <row r="72" spans="2:25">
      <c r="B72" s="154" t="s">
        <v>102</v>
      </c>
      <c r="C72" s="154" t="s">
        <v>1401</v>
      </c>
      <c r="D72" s="155">
        <v>45757</v>
      </c>
      <c r="E72" s="155">
        <v>45748</v>
      </c>
      <c r="F72" s="159">
        <v>13665</v>
      </c>
      <c r="G72" s="159">
        <v>60.000000000040998</v>
      </c>
      <c r="H72" s="159">
        <v>60.000000000040998</v>
      </c>
      <c r="I72" s="184">
        <f t="shared" si="4"/>
        <v>45978</v>
      </c>
      <c r="J72" s="159" cm="1">
        <f t="array" ref="J72">[15]!CalculateINPC(D72,I72,-1)*H72</f>
        <v>60.971460600041659</v>
      </c>
      <c r="K72" s="159">
        <f t="shared" si="5"/>
        <v>71.626735311455221</v>
      </c>
      <c r="L72" s="159" cm="1">
        <f t="array" ref="L72">[15]!CalculateDICetip(D72,I72,1)*H72</f>
        <v>65.233336200044576</v>
      </c>
      <c r="M72" s="154">
        <v>245757</v>
      </c>
      <c r="N72" s="154" t="s">
        <v>705</v>
      </c>
      <c r="O72" s="154" t="s">
        <v>706</v>
      </c>
      <c r="P72" s="154" t="s">
        <v>707</v>
      </c>
      <c r="Q72" s="154">
        <v>10027</v>
      </c>
      <c r="R72" s="154" t="s">
        <v>106</v>
      </c>
      <c r="S72" s="154">
        <v>44</v>
      </c>
      <c r="T72" s="154" t="s">
        <v>107</v>
      </c>
      <c r="U72" s="154" t="s">
        <v>708</v>
      </c>
      <c r="V72" s="154" t="s">
        <v>109</v>
      </c>
      <c r="W72" s="154" t="s">
        <v>110</v>
      </c>
      <c r="X72" s="154" t="s">
        <v>130</v>
      </c>
      <c r="Y72" s="154" t="s">
        <v>709</v>
      </c>
    </row>
    <row r="73" spans="2:25">
      <c r="B73" s="154" t="s">
        <v>102</v>
      </c>
      <c r="C73" s="154" t="s">
        <v>1401</v>
      </c>
      <c r="D73" s="155">
        <v>45757</v>
      </c>
      <c r="E73" s="155">
        <v>45749</v>
      </c>
      <c r="F73" s="159">
        <v>17450</v>
      </c>
      <c r="G73" s="159">
        <v>74.999999999983004</v>
      </c>
      <c r="H73" s="159">
        <v>74.999999999983004</v>
      </c>
      <c r="I73" s="184">
        <f t="shared" si="4"/>
        <v>45978</v>
      </c>
      <c r="J73" s="159" cm="1">
        <f t="array" ref="J73">[15]!CalculateINPC(D73,I73,-1)*H73</f>
        <v>76.214325749982734</v>
      </c>
      <c r="K73" s="159">
        <f t="shared" si="5"/>
        <v>89.53341913923758</v>
      </c>
      <c r="L73" s="159" cm="1">
        <f t="array" ref="L73">[15]!CalculateDICetip(D73,I73,1)*H73</f>
        <v>81.541670249981522</v>
      </c>
      <c r="M73" s="154">
        <v>245760</v>
      </c>
      <c r="N73" s="154" t="s">
        <v>684</v>
      </c>
      <c r="O73" s="154" t="s">
        <v>271</v>
      </c>
      <c r="P73" s="154" t="s">
        <v>272</v>
      </c>
      <c r="Q73" s="154">
        <v>10027</v>
      </c>
      <c r="R73" s="154" t="s">
        <v>106</v>
      </c>
      <c r="S73" s="154">
        <v>44</v>
      </c>
      <c r="T73" s="154" t="s">
        <v>107</v>
      </c>
      <c r="U73" s="154" t="s">
        <v>685</v>
      </c>
      <c r="V73" s="154" t="s">
        <v>109</v>
      </c>
      <c r="W73" s="154" t="s">
        <v>110</v>
      </c>
      <c r="X73" s="154" t="s">
        <v>130</v>
      </c>
      <c r="Y73" s="154" t="s">
        <v>686</v>
      </c>
    </row>
    <row r="74" spans="2:25">
      <c r="B74" s="154" t="s">
        <v>102</v>
      </c>
      <c r="C74" s="154" t="s">
        <v>1401</v>
      </c>
      <c r="D74" s="155">
        <v>44722</v>
      </c>
      <c r="E74" s="155">
        <v>44719</v>
      </c>
      <c r="F74" s="159">
        <v>778.56</v>
      </c>
      <c r="G74" s="159">
        <v>778.56</v>
      </c>
      <c r="H74" s="159">
        <v>778.56</v>
      </c>
      <c r="I74" s="184">
        <f t="shared" si="4"/>
        <v>45978</v>
      </c>
      <c r="J74" s="159" cm="1">
        <f t="array" ref="J74">[15]!CalculateINPC(D74,I74,-1)*H74</f>
        <v>884.90068422720003</v>
      </c>
      <c r="K74" s="159">
        <f t="shared" si="5"/>
        <v>2210.1931406237991</v>
      </c>
      <c r="L74" s="159" cm="1">
        <f t="array" ref="L74">[15]!CalculateDICetip(D74,I74,1)*H74</f>
        <v>1177.2008215199999</v>
      </c>
      <c r="M74" s="154">
        <v>151248</v>
      </c>
      <c r="N74" s="154" t="s">
        <v>175</v>
      </c>
      <c r="O74" s="154" t="s">
        <v>114</v>
      </c>
      <c r="P74" s="154" t="s">
        <v>115</v>
      </c>
      <c r="Q74" s="154">
        <v>10027</v>
      </c>
      <c r="R74" s="154" t="s">
        <v>106</v>
      </c>
      <c r="S74" s="154">
        <v>44</v>
      </c>
      <c r="T74" s="154" t="s">
        <v>107</v>
      </c>
      <c r="U74" s="154" t="s">
        <v>182</v>
      </c>
      <c r="V74" s="154" t="s">
        <v>109</v>
      </c>
      <c r="W74" s="154" t="s">
        <v>110</v>
      </c>
      <c r="X74" s="154" t="s">
        <v>117</v>
      </c>
      <c r="Y74" s="154" t="s">
        <v>183</v>
      </c>
    </row>
    <row r="75" spans="2:25">
      <c r="B75" s="154" t="s">
        <v>102</v>
      </c>
      <c r="C75" s="154" t="s">
        <v>1401</v>
      </c>
      <c r="D75" s="155">
        <v>44722</v>
      </c>
      <c r="E75" s="155">
        <v>44720</v>
      </c>
      <c r="F75" s="159">
        <v>3977.25</v>
      </c>
      <c r="G75" s="159">
        <v>3977.25</v>
      </c>
      <c r="H75" s="159">
        <v>3977.25</v>
      </c>
      <c r="I75" s="184">
        <f t="shared" si="4"/>
        <v>45978</v>
      </c>
      <c r="J75" s="159" cm="1">
        <f t="array" ref="J75">[15]!CalculateINPC(D75,I75,-1)*H75</f>
        <v>4520.4881400825006</v>
      </c>
      <c r="K75" s="159">
        <f t="shared" si="5"/>
        <v>11290.704208469489</v>
      </c>
      <c r="L75" s="159" cm="1">
        <f t="array" ref="L75">[15]!CalculateDICetip(D75,I75,1)*H75</f>
        <v>6013.6944710624994</v>
      </c>
      <c r="M75" s="154">
        <v>151247</v>
      </c>
      <c r="N75" s="154" t="s">
        <v>175</v>
      </c>
      <c r="O75" s="154" t="s">
        <v>114</v>
      </c>
      <c r="P75" s="154" t="s">
        <v>115</v>
      </c>
      <c r="Q75" s="154">
        <v>10027</v>
      </c>
      <c r="R75" s="154" t="s">
        <v>106</v>
      </c>
      <c r="S75" s="154">
        <v>44</v>
      </c>
      <c r="T75" s="154" t="s">
        <v>107</v>
      </c>
      <c r="U75" s="154" t="s">
        <v>178</v>
      </c>
      <c r="V75" s="154" t="s">
        <v>109</v>
      </c>
      <c r="W75" s="154" t="s">
        <v>110</v>
      </c>
      <c r="X75" s="154" t="s">
        <v>117</v>
      </c>
      <c r="Y75" s="154" t="s">
        <v>179</v>
      </c>
    </row>
    <row r="76" spans="2:25">
      <c r="B76" s="154" t="s">
        <v>102</v>
      </c>
      <c r="C76" s="154" t="s">
        <v>1401</v>
      </c>
      <c r="D76" s="155">
        <v>44722</v>
      </c>
      <c r="E76" s="155">
        <v>44721</v>
      </c>
      <c r="F76" s="159">
        <v>4030.38</v>
      </c>
      <c r="G76" s="159">
        <v>4030.38</v>
      </c>
      <c r="H76" s="159">
        <v>4030.38</v>
      </c>
      <c r="I76" s="184">
        <f t="shared" si="4"/>
        <v>45978</v>
      </c>
      <c r="J76" s="159" cm="1">
        <f t="array" ref="J76">[15]!CalculateINPC(D76,I76,-1)*H76</f>
        <v>4580.8749739206005</v>
      </c>
      <c r="K76" s="159">
        <f t="shared" si="5"/>
        <v>11441.530813434221</v>
      </c>
      <c r="L76" s="159" cm="1">
        <f t="array" ref="L76">[15]!CalculateDICetip(D76,I76,1)*H76</f>
        <v>6094.0282663349999</v>
      </c>
      <c r="M76" s="154">
        <v>151254</v>
      </c>
      <c r="N76" s="154" t="s">
        <v>113</v>
      </c>
      <c r="O76" s="154" t="s">
        <v>114</v>
      </c>
      <c r="P76" s="154" t="s">
        <v>115</v>
      </c>
      <c r="Q76" s="154">
        <v>10027</v>
      </c>
      <c r="R76" s="154" t="s">
        <v>106</v>
      </c>
      <c r="S76" s="154">
        <v>44</v>
      </c>
      <c r="T76" s="154" t="s">
        <v>107</v>
      </c>
      <c r="U76" s="154" t="s">
        <v>116</v>
      </c>
      <c r="V76" s="154" t="s">
        <v>109</v>
      </c>
      <c r="W76" s="154" t="s">
        <v>110</v>
      </c>
      <c r="X76" s="154" t="s">
        <v>117</v>
      </c>
      <c r="Y76" s="154" t="s">
        <v>118</v>
      </c>
    </row>
    <row r="77" spans="2:25">
      <c r="B77" s="154" t="s">
        <v>102</v>
      </c>
      <c r="C77" s="154" t="s">
        <v>1401</v>
      </c>
      <c r="D77" s="155">
        <v>44722</v>
      </c>
      <c r="E77" s="155">
        <v>44721</v>
      </c>
      <c r="F77" s="159">
        <v>682.21</v>
      </c>
      <c r="G77" s="159">
        <v>682.21</v>
      </c>
      <c r="H77" s="159">
        <v>682.21</v>
      </c>
      <c r="I77" s="184">
        <f t="shared" si="4"/>
        <v>45978</v>
      </c>
      <c r="J77" s="159" cm="1">
        <f t="array" ref="J77">[15]!CalculateINPC(D77,I77,-1)*H77</f>
        <v>775.39058747770014</v>
      </c>
      <c r="K77" s="159">
        <f t="shared" si="5"/>
        <v>1936.6726552416796</v>
      </c>
      <c r="L77" s="159" cm="1">
        <f t="array" ref="L77">[15]!CalculateDICetip(D77,I77,1)*H77</f>
        <v>1031.5173813824999</v>
      </c>
      <c r="M77" s="154">
        <v>151249</v>
      </c>
      <c r="N77" s="154" t="s">
        <v>175</v>
      </c>
      <c r="O77" s="154" t="s">
        <v>114</v>
      </c>
      <c r="P77" s="154" t="s">
        <v>115</v>
      </c>
      <c r="Q77" s="154">
        <v>10027</v>
      </c>
      <c r="R77" s="154" t="s">
        <v>106</v>
      </c>
      <c r="S77" s="154">
        <v>44</v>
      </c>
      <c r="T77" s="154" t="s">
        <v>107</v>
      </c>
      <c r="U77" s="154" t="s">
        <v>198</v>
      </c>
      <c r="V77" s="154" t="s">
        <v>109</v>
      </c>
      <c r="W77" s="154" t="s">
        <v>110</v>
      </c>
      <c r="X77" s="154" t="s">
        <v>117</v>
      </c>
      <c r="Y77" s="154" t="s">
        <v>199</v>
      </c>
    </row>
    <row r="78" spans="2:25">
      <c r="B78" s="154" t="s">
        <v>102</v>
      </c>
      <c r="C78" s="154" t="s">
        <v>1401</v>
      </c>
      <c r="D78" s="155">
        <v>44722</v>
      </c>
      <c r="E78" s="155">
        <v>44719</v>
      </c>
      <c r="F78" s="159">
        <v>876.22</v>
      </c>
      <c r="G78" s="159">
        <v>876.22</v>
      </c>
      <c r="H78" s="159">
        <v>876.22</v>
      </c>
      <c r="I78" s="184">
        <f t="shared" si="4"/>
        <v>45978</v>
      </c>
      <c r="J78" s="159" cm="1">
        <f t="array" ref="J78">[15]!CalculateINPC(D78,I78,-1)*H78</f>
        <v>995.89970912140006</v>
      </c>
      <c r="K78" s="159">
        <f t="shared" si="5"/>
        <v>2487.4324826312491</v>
      </c>
      <c r="L78" s="159" cm="1">
        <f t="array" ref="L78">[15]!CalculateDICetip(D78,I78,1)*H78</f>
        <v>1324.8650121149999</v>
      </c>
      <c r="M78" s="154">
        <v>151250</v>
      </c>
      <c r="N78" s="154" t="s">
        <v>113</v>
      </c>
      <c r="O78" s="154" t="s">
        <v>114</v>
      </c>
      <c r="P78" s="154" t="s">
        <v>115</v>
      </c>
      <c r="Q78" s="154">
        <v>10027</v>
      </c>
      <c r="R78" s="154" t="s">
        <v>106</v>
      </c>
      <c r="S78" s="154">
        <v>44</v>
      </c>
      <c r="T78" s="154" t="s">
        <v>107</v>
      </c>
      <c r="U78" s="154" t="s">
        <v>132</v>
      </c>
      <c r="V78" s="154" t="s">
        <v>109</v>
      </c>
      <c r="W78" s="154" t="s">
        <v>110</v>
      </c>
      <c r="X78" s="154" t="s">
        <v>117</v>
      </c>
      <c r="Y78" s="154" t="s">
        <v>133</v>
      </c>
    </row>
    <row r="79" spans="2:25">
      <c r="B79" s="154" t="s">
        <v>102</v>
      </c>
      <c r="C79" s="154" t="s">
        <v>1401</v>
      </c>
      <c r="D79" s="155">
        <v>44022</v>
      </c>
      <c r="E79" s="155">
        <v>43927</v>
      </c>
      <c r="F79" s="159">
        <v>857.26</v>
      </c>
      <c r="G79" s="159">
        <v>857.26</v>
      </c>
      <c r="H79" s="159">
        <v>968.71</v>
      </c>
      <c r="I79" s="184">
        <f t="shared" si="4"/>
        <v>45978</v>
      </c>
      <c r="J79" s="159" cm="1">
        <f t="array" ref="J79">[15]!CalculateINPC(D79,I79,-1)*H79</f>
        <v>1337.6069349976001</v>
      </c>
      <c r="K79" s="159">
        <f t="shared" si="5"/>
        <v>5564.4305452766012</v>
      </c>
      <c r="L79" s="159" cm="1">
        <f t="array" ref="L79">[15]!CalculateDICetip(D79,I79,1)*H79</f>
        <v>1616.2722145932</v>
      </c>
      <c r="M79" s="154">
        <v>89867</v>
      </c>
      <c r="N79" s="154" t="s">
        <v>369</v>
      </c>
      <c r="O79" s="154" t="s">
        <v>370</v>
      </c>
      <c r="P79" s="154" t="s">
        <v>371</v>
      </c>
      <c r="Q79" s="154">
        <v>10027</v>
      </c>
      <c r="R79" s="154" t="s">
        <v>106</v>
      </c>
      <c r="S79" s="154">
        <v>44</v>
      </c>
      <c r="T79" s="154" t="s">
        <v>107</v>
      </c>
      <c r="U79" s="154" t="s">
        <v>372</v>
      </c>
      <c r="V79" s="154" t="s">
        <v>137</v>
      </c>
      <c r="W79" s="154" t="s">
        <v>138</v>
      </c>
      <c r="X79" s="154" t="s">
        <v>111</v>
      </c>
      <c r="Y79" s="154" t="s">
        <v>163</v>
      </c>
    </row>
    <row r="80" spans="2:25">
      <c r="B80" s="154" t="s">
        <v>102</v>
      </c>
      <c r="C80" s="154" t="s">
        <v>1401</v>
      </c>
      <c r="D80" s="155">
        <v>44783</v>
      </c>
      <c r="E80" s="155">
        <v>44774</v>
      </c>
      <c r="F80" s="159">
        <v>31440.05</v>
      </c>
      <c r="G80" s="159">
        <v>1604.680000000056</v>
      </c>
      <c r="H80" s="159">
        <v>1604.680000000056</v>
      </c>
      <c r="I80" s="184">
        <f t="shared" si="4"/>
        <v>45978</v>
      </c>
      <c r="J80" s="159" cm="1">
        <f t="array" ref="J80">[15]!CalculateINPC(D80,I80,-1)*H80</f>
        <v>1823.5610157688636</v>
      </c>
      <c r="K80" s="159">
        <f t="shared" si="5"/>
        <v>4356.6124380326846</v>
      </c>
      <c r="L80" s="159" cm="1">
        <f t="array" ref="L80">[15]!CalculateDICetip(D80,I80,1)*H80</f>
        <v>2376.865976716083</v>
      </c>
      <c r="M80" s="154">
        <v>155674</v>
      </c>
      <c r="N80" s="154" t="s">
        <v>258</v>
      </c>
      <c r="O80" s="154" t="s">
        <v>290</v>
      </c>
      <c r="P80" s="154" t="s">
        <v>291</v>
      </c>
      <c r="Q80" s="154">
        <v>10027</v>
      </c>
      <c r="R80" s="154" t="s">
        <v>106</v>
      </c>
      <c r="S80" s="154">
        <v>44</v>
      </c>
      <c r="T80" s="154" t="s">
        <v>107</v>
      </c>
      <c r="U80" s="154" t="s">
        <v>329</v>
      </c>
      <c r="V80" s="154" t="s">
        <v>109</v>
      </c>
      <c r="W80" s="154" t="s">
        <v>110</v>
      </c>
      <c r="X80" s="154" t="s">
        <v>117</v>
      </c>
      <c r="Y80" s="154" t="s">
        <v>330</v>
      </c>
    </row>
    <row r="81" spans="2:25">
      <c r="B81" s="154" t="s">
        <v>102</v>
      </c>
      <c r="C81" s="154" t="s">
        <v>1401</v>
      </c>
      <c r="D81" s="155">
        <v>44783</v>
      </c>
      <c r="E81" s="155">
        <v>44774</v>
      </c>
      <c r="F81" s="159">
        <v>15621.48</v>
      </c>
      <c r="G81" s="159">
        <v>87.000000000067999</v>
      </c>
      <c r="H81" s="159">
        <v>87.000000000067999</v>
      </c>
      <c r="I81" s="184">
        <f t="shared" si="4"/>
        <v>45978</v>
      </c>
      <c r="J81" s="159" cm="1">
        <f t="array" ref="J81">[15]!CalculateINPC(D81,I81,-1)*H81</f>
        <v>98.866944420077274</v>
      </c>
      <c r="K81" s="159">
        <f t="shared" si="5"/>
        <v>236.19991656225952</v>
      </c>
      <c r="L81" s="159" cm="1">
        <f t="array" ref="L81">[15]!CalculateDICetip(D81,I81,1)*H81</f>
        <v>128.86515690010071</v>
      </c>
      <c r="M81" s="154">
        <v>155811</v>
      </c>
      <c r="N81" s="154" t="s">
        <v>369</v>
      </c>
      <c r="O81" s="154" t="s">
        <v>370</v>
      </c>
      <c r="P81" s="154" t="s">
        <v>371</v>
      </c>
      <c r="Q81" s="154">
        <v>10027</v>
      </c>
      <c r="R81" s="154" t="s">
        <v>106</v>
      </c>
      <c r="S81" s="154">
        <v>44</v>
      </c>
      <c r="T81" s="154" t="s">
        <v>107</v>
      </c>
      <c r="U81" s="154" t="s">
        <v>674</v>
      </c>
      <c r="V81" s="154" t="s">
        <v>109</v>
      </c>
      <c r="W81" s="154" t="s">
        <v>110</v>
      </c>
      <c r="X81" s="154" t="s">
        <v>111</v>
      </c>
      <c r="Y81" s="154" t="s">
        <v>675</v>
      </c>
    </row>
    <row r="82" spans="2:25">
      <c r="B82" s="154" t="s">
        <v>102</v>
      </c>
      <c r="C82" s="154" t="s">
        <v>1401</v>
      </c>
      <c r="D82" s="155">
        <v>43718</v>
      </c>
      <c r="E82" s="155">
        <v>43714</v>
      </c>
      <c r="F82" s="159">
        <v>13686.9</v>
      </c>
      <c r="G82" s="159">
        <v>18.47999999996</v>
      </c>
      <c r="H82" s="159">
        <v>18.47999999996</v>
      </c>
      <c r="I82" s="184">
        <f t="shared" si="4"/>
        <v>45978</v>
      </c>
      <c r="J82" s="159" cm="1">
        <f t="array" ref="J82">[15]!CalculateINPC(D82,I82,-1)*H82</f>
        <v>26.058850540743595</v>
      </c>
      <c r="K82" s="159">
        <f t="shared" si="5"/>
        <v>135.29018792908545</v>
      </c>
      <c r="L82" s="159" cm="1">
        <f t="array" ref="L82">[15]!CalculateDICetip(D82,I82,1)*H82</f>
        <v>31.885903711130986</v>
      </c>
      <c r="M82" s="154">
        <v>78430</v>
      </c>
      <c r="N82" s="154" t="s">
        <v>727</v>
      </c>
      <c r="O82" s="154" t="s">
        <v>243</v>
      </c>
      <c r="P82" s="154" t="s">
        <v>244</v>
      </c>
      <c r="Q82" s="154">
        <v>10027</v>
      </c>
      <c r="R82" s="154" t="s">
        <v>106</v>
      </c>
      <c r="S82" s="154">
        <v>44</v>
      </c>
      <c r="T82" s="154" t="s">
        <v>107</v>
      </c>
      <c r="U82" s="154" t="s">
        <v>758</v>
      </c>
      <c r="V82" s="154" t="s">
        <v>137</v>
      </c>
      <c r="W82" s="154" t="s">
        <v>138</v>
      </c>
      <c r="X82" s="154" t="s">
        <v>117</v>
      </c>
      <c r="Y82" s="154" t="s">
        <v>759</v>
      </c>
    </row>
    <row r="83" spans="2:25">
      <c r="B83" s="154" t="s">
        <v>102</v>
      </c>
      <c r="C83" s="154" t="s">
        <v>1401</v>
      </c>
      <c r="D83" s="155">
        <v>45545</v>
      </c>
      <c r="E83" s="155">
        <v>45538</v>
      </c>
      <c r="F83" s="159">
        <v>4200</v>
      </c>
      <c r="G83" s="159">
        <v>99.999999999983999</v>
      </c>
      <c r="H83" s="159">
        <v>99.999999999983999</v>
      </c>
      <c r="I83" s="184">
        <f t="shared" si="4"/>
        <v>45978</v>
      </c>
      <c r="J83" s="159" cm="1">
        <f t="array" ref="J83">[15]!CalculateINPC(D83,I83,-1)*H83</f>
        <v>105.63224299998311</v>
      </c>
      <c r="K83" s="159">
        <f t="shared" si="5"/>
        <v>144.82549908360451</v>
      </c>
      <c r="L83" s="159" cm="1">
        <f t="array" ref="L83">[15]!CalculateDICetip(D83,I83,1)*H83</f>
        <v>116.08473199998143</v>
      </c>
      <c r="M83" s="154">
        <v>215781</v>
      </c>
      <c r="N83" s="154" t="s">
        <v>298</v>
      </c>
      <c r="O83" s="154" t="s">
        <v>232</v>
      </c>
      <c r="P83" s="154" t="s">
        <v>233</v>
      </c>
      <c r="Q83" s="154">
        <v>10027</v>
      </c>
      <c r="R83" s="154" t="s">
        <v>106</v>
      </c>
      <c r="S83" s="154">
        <v>44</v>
      </c>
      <c r="T83" s="154" t="s">
        <v>107</v>
      </c>
      <c r="U83" s="154" t="s">
        <v>664</v>
      </c>
      <c r="V83" s="154" t="s">
        <v>109</v>
      </c>
      <c r="W83" s="154" t="s">
        <v>110</v>
      </c>
      <c r="X83" s="154" t="s">
        <v>130</v>
      </c>
      <c r="Y83" s="154" t="s">
        <v>665</v>
      </c>
    </row>
    <row r="84" spans="2:25">
      <c r="B84" s="154" t="s">
        <v>102</v>
      </c>
      <c r="C84" s="154" t="s">
        <v>1401</v>
      </c>
      <c r="D84" s="155">
        <v>45575</v>
      </c>
      <c r="E84" s="155">
        <v>45566</v>
      </c>
      <c r="F84" s="159">
        <v>11070.77</v>
      </c>
      <c r="G84" s="159">
        <v>450.00000000003502</v>
      </c>
      <c r="H84" s="159">
        <v>422.32509572508201</v>
      </c>
      <c r="I84" s="184">
        <f t="shared" si="4"/>
        <v>45978</v>
      </c>
      <c r="J84" s="159" cm="1">
        <f t="array" ref="J84">[15]!CalculateINPC(D84,I84,-1)*H84</f>
        <v>443.98022888697938</v>
      </c>
      <c r="K84" s="159">
        <f t="shared" si="5"/>
        <v>595.54815490492683</v>
      </c>
      <c r="L84" s="159" cm="1">
        <f t="array" ref="L84">[15]!CalculateDICetip(D84,I84,1)*H84</f>
        <v>485.97307741416552</v>
      </c>
      <c r="M84" s="154">
        <v>220081</v>
      </c>
      <c r="N84" s="154" t="s">
        <v>242</v>
      </c>
      <c r="O84" s="154" t="s">
        <v>189</v>
      </c>
      <c r="P84" s="154" t="s">
        <v>190</v>
      </c>
      <c r="Q84" s="154">
        <v>10027</v>
      </c>
      <c r="R84" s="154" t="s">
        <v>106</v>
      </c>
      <c r="S84" s="154">
        <v>44</v>
      </c>
      <c r="T84" s="154" t="s">
        <v>107</v>
      </c>
      <c r="U84" s="154" t="s">
        <v>518</v>
      </c>
      <c r="V84" s="154" t="s">
        <v>109</v>
      </c>
      <c r="W84" s="154" t="s">
        <v>110</v>
      </c>
      <c r="X84" s="154" t="s">
        <v>130</v>
      </c>
      <c r="Y84" s="154" t="s">
        <v>519</v>
      </c>
    </row>
    <row r="85" spans="2:25">
      <c r="B85" s="154" t="s">
        <v>102</v>
      </c>
      <c r="C85" s="154" t="s">
        <v>1401</v>
      </c>
      <c r="D85" s="155">
        <v>44145</v>
      </c>
      <c r="E85" s="155">
        <v>44140</v>
      </c>
      <c r="F85" s="159">
        <v>47411.49</v>
      </c>
      <c r="G85" s="159">
        <v>16.490000000155</v>
      </c>
      <c r="H85" s="159">
        <v>16.490000000155</v>
      </c>
      <c r="I85" s="184">
        <f t="shared" si="4"/>
        <v>45978</v>
      </c>
      <c r="J85" s="159" cm="1">
        <f t="array" ref="J85">[15]!CalculateINPC(D85,I85,-1)*H85</f>
        <v>22.196130342208633</v>
      </c>
      <c r="K85" s="159">
        <f t="shared" si="5"/>
        <v>84.418734075405013</v>
      </c>
      <c r="L85" s="159" cm="1">
        <f t="array" ref="L85">[15]!CalculateDICetip(D85,I85,1)*H85</f>
        <v>27.336093683856948</v>
      </c>
      <c r="M85" s="154">
        <v>98482</v>
      </c>
      <c r="N85" s="154" t="s">
        <v>727</v>
      </c>
      <c r="O85" s="154" t="s">
        <v>243</v>
      </c>
      <c r="P85" s="154" t="s">
        <v>244</v>
      </c>
      <c r="Q85" s="154">
        <v>10027</v>
      </c>
      <c r="R85" s="154" t="s">
        <v>106</v>
      </c>
      <c r="S85" s="154">
        <v>44</v>
      </c>
      <c r="T85" s="154" t="s">
        <v>107</v>
      </c>
      <c r="U85" s="154" t="s">
        <v>764</v>
      </c>
      <c r="V85" s="154" t="s">
        <v>109</v>
      </c>
      <c r="W85" s="154" t="s">
        <v>110</v>
      </c>
      <c r="X85" s="154" t="s">
        <v>117</v>
      </c>
      <c r="Y85" s="154" t="s">
        <v>765</v>
      </c>
    </row>
    <row r="86" spans="2:25">
      <c r="B86" s="154" t="s">
        <v>102</v>
      </c>
      <c r="C86" s="154" t="s">
        <v>1401</v>
      </c>
      <c r="D86" s="155">
        <v>44175</v>
      </c>
      <c r="E86" s="155">
        <v>44172</v>
      </c>
      <c r="F86" s="159">
        <v>34699.980000000003</v>
      </c>
      <c r="G86" s="159">
        <v>16.59999999986</v>
      </c>
      <c r="H86" s="159">
        <v>16.59999999986</v>
      </c>
      <c r="I86" s="184">
        <f t="shared" si="4"/>
        <v>45978</v>
      </c>
      <c r="J86" s="159" cm="1">
        <f t="array" ref="J86">[15]!CalculateINPC(D86,I86,-1)*H86</f>
        <v>22.133929217813328</v>
      </c>
      <c r="K86" s="159">
        <f t="shared" si="5"/>
        <v>82.361605952627585</v>
      </c>
      <c r="L86" s="159" cm="1">
        <f t="array" ref="L86">[15]!CalculateDICetip(D86,I86,1)*H86</f>
        <v>27.473265931768296</v>
      </c>
      <c r="M86" s="154">
        <v>100560</v>
      </c>
      <c r="N86" s="154" t="s">
        <v>727</v>
      </c>
      <c r="O86" s="154" t="s">
        <v>243</v>
      </c>
      <c r="P86" s="154" t="s">
        <v>244</v>
      </c>
      <c r="Q86" s="154">
        <v>10027</v>
      </c>
      <c r="R86" s="154" t="s">
        <v>106</v>
      </c>
      <c r="S86" s="154">
        <v>44</v>
      </c>
      <c r="T86" s="154" t="s">
        <v>107</v>
      </c>
      <c r="U86" s="154" t="s">
        <v>761</v>
      </c>
      <c r="V86" s="154" t="s">
        <v>109</v>
      </c>
      <c r="W86" s="154" t="s">
        <v>110</v>
      </c>
      <c r="X86" s="154" t="s">
        <v>117</v>
      </c>
      <c r="Y86" s="154" t="s">
        <v>762</v>
      </c>
    </row>
    <row r="87" spans="2:25">
      <c r="B87" s="154" t="s">
        <v>102</v>
      </c>
      <c r="C87" s="154" t="s">
        <v>1401</v>
      </c>
      <c r="D87" s="155">
        <v>45180</v>
      </c>
      <c r="E87" s="155">
        <v>45175</v>
      </c>
      <c r="F87" s="159">
        <v>531.6</v>
      </c>
      <c r="G87" s="159">
        <v>36.9</v>
      </c>
      <c r="H87" s="159">
        <v>36.9</v>
      </c>
      <c r="I87" s="184">
        <f t="shared" si="4"/>
        <v>45978</v>
      </c>
      <c r="J87" s="159" cm="1">
        <f t="array" ref="J87">[15]!CalculateINPC(D87,I87,-1)*H87</f>
        <v>40.423573619999999</v>
      </c>
      <c r="K87" s="159">
        <f t="shared" si="5"/>
        <v>72.311793861418124</v>
      </c>
      <c r="L87" s="159" cm="1">
        <f t="array" ref="L87">[15]!CalculateDICetip(D87,I87,1)*H87</f>
        <v>47.627805266999999</v>
      </c>
      <c r="M87" s="154">
        <v>181141</v>
      </c>
      <c r="N87" s="154" t="s">
        <v>369</v>
      </c>
      <c r="O87" s="154" t="s">
        <v>370</v>
      </c>
      <c r="P87" s="154" t="s">
        <v>371</v>
      </c>
      <c r="Q87" s="154">
        <v>10027</v>
      </c>
      <c r="R87" s="154" t="s">
        <v>106</v>
      </c>
      <c r="S87" s="154">
        <v>44</v>
      </c>
      <c r="T87" s="154" t="s">
        <v>107</v>
      </c>
      <c r="U87" s="154" t="s">
        <v>734</v>
      </c>
      <c r="V87" s="154" t="s">
        <v>109</v>
      </c>
      <c r="W87" s="154" t="s">
        <v>110</v>
      </c>
      <c r="X87" s="154" t="s">
        <v>111</v>
      </c>
      <c r="Y87" s="154" t="s">
        <v>735</v>
      </c>
    </row>
    <row r="88" spans="2:25">
      <c r="B88" s="154" t="s">
        <v>102</v>
      </c>
      <c r="C88" s="154" t="s">
        <v>1401</v>
      </c>
      <c r="D88" s="155">
        <v>43780</v>
      </c>
      <c r="E88" s="155">
        <v>43780</v>
      </c>
      <c r="F88" s="159">
        <v>13854.71</v>
      </c>
      <c r="G88" s="159">
        <v>749.99999999995703</v>
      </c>
      <c r="H88" s="159">
        <v>749.99999999995703</v>
      </c>
      <c r="I88" s="184">
        <f t="shared" si="4"/>
        <v>45978</v>
      </c>
      <c r="J88" s="159" cm="1">
        <f t="array" ref="J88">[15]!CalculateINPC(D88,I88,-1)*H88</f>
        <v>1057.6898624999394</v>
      </c>
      <c r="K88" s="159">
        <f t="shared" si="5"/>
        <v>5248.6282005615012</v>
      </c>
      <c r="L88" s="159" cm="1">
        <f t="array" ref="L88">[15]!CalculateDICetip(D88,I88,1)*H88</f>
        <v>1282.2427874999264</v>
      </c>
      <c r="M88" s="154">
        <v>81274</v>
      </c>
      <c r="N88" s="154" t="s">
        <v>369</v>
      </c>
      <c r="O88" s="154" t="s">
        <v>370</v>
      </c>
      <c r="P88" s="154" t="s">
        <v>371</v>
      </c>
      <c r="Q88" s="154">
        <v>10027</v>
      </c>
      <c r="R88" s="154" t="s">
        <v>106</v>
      </c>
      <c r="S88" s="154">
        <v>44</v>
      </c>
      <c r="T88" s="154" t="s">
        <v>107</v>
      </c>
      <c r="U88" s="154" t="s">
        <v>439</v>
      </c>
      <c r="V88" s="154" t="s">
        <v>109</v>
      </c>
      <c r="W88" s="154" t="s">
        <v>110</v>
      </c>
      <c r="X88" s="154" t="s">
        <v>111</v>
      </c>
      <c r="Y88" s="154" t="s">
        <v>440</v>
      </c>
    </row>
    <row r="89" spans="2:25">
      <c r="B89" s="154" t="s">
        <v>102</v>
      </c>
      <c r="C89" s="154" t="s">
        <v>1401</v>
      </c>
      <c r="D89" s="155">
        <v>44876</v>
      </c>
      <c r="E89" s="155">
        <v>44869</v>
      </c>
      <c r="F89" s="159">
        <v>934.94</v>
      </c>
      <c r="G89" s="159">
        <v>934.94</v>
      </c>
      <c r="H89" s="159">
        <v>934.94</v>
      </c>
      <c r="I89" s="184">
        <f t="shared" si="4"/>
        <v>45978</v>
      </c>
      <c r="J89" s="159" cm="1">
        <f t="array" ref="J89">[15]!CalculateINPC(D89,I89,-1)*H89</f>
        <v>1064.1903876252002</v>
      </c>
      <c r="K89" s="159">
        <f t="shared" si="5"/>
        <v>2375.814855679047</v>
      </c>
      <c r="L89" s="159" cm="1">
        <f t="array" ref="L89">[15]!CalculateDICetip(D89,I89,1)*H89</f>
        <v>1340.5626999154001</v>
      </c>
      <c r="M89" s="154">
        <v>161503</v>
      </c>
      <c r="N89" s="154" t="s">
        <v>113</v>
      </c>
      <c r="O89" s="154" t="s">
        <v>104</v>
      </c>
      <c r="P89" s="154" t="s">
        <v>105</v>
      </c>
      <c r="Q89" s="154">
        <v>10027</v>
      </c>
      <c r="R89" s="154" t="s">
        <v>106</v>
      </c>
      <c r="S89" s="154">
        <v>44</v>
      </c>
      <c r="T89" s="154" t="s">
        <v>107</v>
      </c>
      <c r="U89" s="154" t="s">
        <v>123</v>
      </c>
      <c r="V89" s="154" t="s">
        <v>109</v>
      </c>
      <c r="W89" s="154" t="s">
        <v>110</v>
      </c>
      <c r="X89" s="154" t="s">
        <v>117</v>
      </c>
      <c r="Y89" s="154" t="s">
        <v>124</v>
      </c>
    </row>
    <row r="90" spans="2:25">
      <c r="B90" s="154" t="s">
        <v>102</v>
      </c>
      <c r="C90" s="154" t="s">
        <v>1401</v>
      </c>
      <c r="D90" s="155">
        <v>44876</v>
      </c>
      <c r="E90" s="155">
        <v>44862</v>
      </c>
      <c r="F90" s="159">
        <v>10762.5</v>
      </c>
      <c r="G90" s="159">
        <v>2999.9999999999659</v>
      </c>
      <c r="H90" s="159">
        <v>2999.9999999999659</v>
      </c>
      <c r="I90" s="184">
        <f t="shared" si="4"/>
        <v>45978</v>
      </c>
      <c r="J90" s="159" cm="1">
        <f t="array" ref="J90">[15]!CalculateINPC(D90,I90,-1)*H90</f>
        <v>3414.7337399999615</v>
      </c>
      <c r="K90" s="159">
        <f t="shared" si="5"/>
        <v>7623.4245695307291</v>
      </c>
      <c r="L90" s="159" cm="1">
        <f t="array" ref="L90">[15]!CalculateDICetip(D90,I90,1)*H90</f>
        <v>4301.5467299999509</v>
      </c>
      <c r="M90" s="154">
        <v>161481</v>
      </c>
      <c r="N90" s="154" t="s">
        <v>225</v>
      </c>
      <c r="O90" s="154" t="s">
        <v>226</v>
      </c>
      <c r="P90" s="154" t="s">
        <v>227</v>
      </c>
      <c r="Q90" s="154">
        <v>10027</v>
      </c>
      <c r="R90" s="154" t="s">
        <v>106</v>
      </c>
      <c r="S90" s="154">
        <v>44</v>
      </c>
      <c r="T90" s="154" t="s">
        <v>107</v>
      </c>
      <c r="U90" s="154" t="s">
        <v>279</v>
      </c>
      <c r="V90" s="154" t="s">
        <v>109</v>
      </c>
      <c r="W90" s="154" t="s">
        <v>110</v>
      </c>
      <c r="X90" s="154" t="s">
        <v>130</v>
      </c>
      <c r="Y90" s="154" t="s">
        <v>280</v>
      </c>
    </row>
    <row r="91" spans="2:25">
      <c r="B91" s="154" t="s">
        <v>102</v>
      </c>
      <c r="C91" s="154" t="s">
        <v>1401</v>
      </c>
      <c r="D91" s="155">
        <v>45028</v>
      </c>
      <c r="E91" s="155">
        <v>45027</v>
      </c>
      <c r="F91" s="159">
        <v>922.5</v>
      </c>
      <c r="G91" s="159">
        <v>922.5</v>
      </c>
      <c r="H91" s="159">
        <v>922.5</v>
      </c>
      <c r="I91" s="184">
        <f t="shared" si="4"/>
        <v>45978</v>
      </c>
      <c r="J91" s="159" cm="1">
        <f t="array" ref="J91">[15]!CalculateINPC(D91,I91,-1)*H91</f>
        <v>1019.702265975</v>
      </c>
      <c r="K91" s="159">
        <f t="shared" si="5"/>
        <v>2037.7796962159346</v>
      </c>
      <c r="L91" s="159" cm="1">
        <f t="array" ref="L91">[15]!CalculateDICetip(D91,I91,1)*H91</f>
        <v>1254.6897869250001</v>
      </c>
      <c r="M91" s="154">
        <v>171576</v>
      </c>
      <c r="N91" s="154" t="s">
        <v>382</v>
      </c>
      <c r="O91" s="154" t="s">
        <v>282</v>
      </c>
      <c r="P91" s="154" t="s">
        <v>283</v>
      </c>
      <c r="Q91" s="154">
        <v>10027</v>
      </c>
      <c r="R91" s="154" t="s">
        <v>106</v>
      </c>
      <c r="S91" s="154">
        <v>44</v>
      </c>
      <c r="T91" s="154" t="s">
        <v>107</v>
      </c>
      <c r="U91" s="154" t="s">
        <v>383</v>
      </c>
      <c r="V91" s="154" t="s">
        <v>285</v>
      </c>
      <c r="W91" s="154" t="s">
        <v>286</v>
      </c>
      <c r="X91" s="154" t="s">
        <v>111</v>
      </c>
      <c r="Y91" s="154" t="s">
        <v>384</v>
      </c>
    </row>
    <row r="92" spans="2:25">
      <c r="B92" s="154" t="s">
        <v>102</v>
      </c>
      <c r="C92" s="154" t="s">
        <v>1401</v>
      </c>
      <c r="D92" s="155">
        <v>45789</v>
      </c>
      <c r="E92" s="155">
        <v>45783</v>
      </c>
      <c r="F92" s="159">
        <v>31007.96</v>
      </c>
      <c r="G92" s="159">
        <v>100.000000000149</v>
      </c>
      <c r="H92" s="159">
        <v>100.000000000149</v>
      </c>
      <c r="I92" s="184">
        <f t="shared" si="4"/>
        <v>45978</v>
      </c>
      <c r="J92" s="159" cm="1">
        <f t="array" ref="J92">[15]!CalculateINPC(D92,I92,-1)*H92</f>
        <v>101.13370200015069</v>
      </c>
      <c r="K92" s="159">
        <f t="shared" si="5"/>
        <v>116.06897917565692</v>
      </c>
      <c r="L92" s="159" cm="1">
        <f t="array" ref="L92">[15]!CalculateDICetip(D92,I92,1)*H92</f>
        <v>107.63902800016038</v>
      </c>
      <c r="M92" s="154">
        <v>251784</v>
      </c>
      <c r="N92" s="154" t="s">
        <v>310</v>
      </c>
      <c r="O92" s="154" t="s">
        <v>271</v>
      </c>
      <c r="P92" s="154" t="s">
        <v>272</v>
      </c>
      <c r="Q92" s="154">
        <v>10027</v>
      </c>
      <c r="R92" s="154" t="s">
        <v>106</v>
      </c>
      <c r="S92" s="154">
        <v>44</v>
      </c>
      <c r="T92" s="154" t="s">
        <v>107</v>
      </c>
      <c r="U92" s="154" t="s">
        <v>800</v>
      </c>
      <c r="V92" s="154" t="s">
        <v>109</v>
      </c>
      <c r="W92" s="154" t="s">
        <v>110</v>
      </c>
      <c r="X92" s="154" t="s">
        <v>130</v>
      </c>
      <c r="Y92" s="154" t="s">
        <v>801</v>
      </c>
    </row>
    <row r="93" spans="2:25">
      <c r="B93" s="154" t="s">
        <v>102</v>
      </c>
      <c r="C93" s="154" t="s">
        <v>1401</v>
      </c>
      <c r="D93" s="155">
        <v>45089</v>
      </c>
      <c r="E93" s="155">
        <v>45078</v>
      </c>
      <c r="F93" s="159">
        <v>70402.63</v>
      </c>
      <c r="G93" s="159">
        <v>2798.7400000000098</v>
      </c>
      <c r="H93" s="159">
        <v>2798.7400000000098</v>
      </c>
      <c r="I93" s="184">
        <f t="shared" si="4"/>
        <v>45978</v>
      </c>
      <c r="J93" s="159" cm="1">
        <f t="array" ref="J93">[15]!CalculateINPC(D93,I93,-1)*H93</f>
        <v>3066.2891326872109</v>
      </c>
      <c r="K93" s="159">
        <f t="shared" si="5"/>
        <v>5861.2450929070346</v>
      </c>
      <c r="L93" s="159" cm="1">
        <f t="array" ref="L93">[15]!CalculateDICetip(D93,I93,1)*H93</f>
        <v>3730.0272560642129</v>
      </c>
      <c r="M93" s="154">
        <v>174747</v>
      </c>
      <c r="N93" s="154" t="s">
        <v>258</v>
      </c>
      <c r="O93" s="154" t="s">
        <v>290</v>
      </c>
      <c r="P93" s="154" t="s">
        <v>291</v>
      </c>
      <c r="Q93" s="154">
        <v>10027</v>
      </c>
      <c r="R93" s="154" t="s">
        <v>106</v>
      </c>
      <c r="S93" s="154">
        <v>44</v>
      </c>
      <c r="T93" s="154" t="s">
        <v>107</v>
      </c>
      <c r="U93" s="154" t="s">
        <v>292</v>
      </c>
      <c r="V93" s="154" t="s">
        <v>137</v>
      </c>
      <c r="W93" s="154" t="s">
        <v>138</v>
      </c>
      <c r="X93" s="154" t="s">
        <v>117</v>
      </c>
      <c r="Y93" s="154" t="s">
        <v>293</v>
      </c>
    </row>
    <row r="94" spans="2:25">
      <c r="B94" s="154" t="s">
        <v>102</v>
      </c>
      <c r="C94" s="154" t="s">
        <v>1401</v>
      </c>
      <c r="D94" s="155">
        <v>43689</v>
      </c>
      <c r="E94" s="155">
        <v>43672</v>
      </c>
      <c r="F94" s="159">
        <v>1517.19</v>
      </c>
      <c r="G94" s="159">
        <v>18.590000000006999</v>
      </c>
      <c r="H94" s="159">
        <v>18.590000000006999</v>
      </c>
      <c r="I94" s="184">
        <f t="shared" si="4"/>
        <v>45978</v>
      </c>
      <c r="J94" s="159" cm="1">
        <f t="array" ref="J94">[15]!CalculateINPC(D94,I94,-1)*H94</f>
        <v>26.245423347009883</v>
      </c>
      <c r="K94" s="159">
        <f t="shared" si="5"/>
        <v>139.16928549737111</v>
      </c>
      <c r="L94" s="159" cm="1">
        <f t="array" ref="L94">[15]!CalculateDICetip(D94,I94,1)*H94</f>
        <v>32.229298215412136</v>
      </c>
      <c r="M94" s="154">
        <v>76991</v>
      </c>
      <c r="N94" s="154" t="s">
        <v>755</v>
      </c>
      <c r="O94" s="154" t="s">
        <v>603</v>
      </c>
      <c r="P94" s="154" t="s">
        <v>604</v>
      </c>
      <c r="Q94" s="154">
        <v>10027</v>
      </c>
      <c r="R94" s="154" t="s">
        <v>106</v>
      </c>
      <c r="S94" s="154">
        <v>44</v>
      </c>
      <c r="T94" s="154" t="s">
        <v>107</v>
      </c>
      <c r="U94" s="154" t="s">
        <v>756</v>
      </c>
      <c r="V94" s="154" t="s">
        <v>109</v>
      </c>
      <c r="W94" s="154" t="s">
        <v>110</v>
      </c>
      <c r="X94" s="154" t="s">
        <v>117</v>
      </c>
      <c r="Y94" s="154" t="s">
        <v>757</v>
      </c>
    </row>
    <row r="95" spans="2:25">
      <c r="B95" s="154" t="s">
        <v>102</v>
      </c>
      <c r="C95" s="154" t="s">
        <v>1401</v>
      </c>
      <c r="D95" s="155">
        <v>44785</v>
      </c>
      <c r="E95" s="155">
        <v>44774</v>
      </c>
      <c r="F95" s="159">
        <v>1380</v>
      </c>
      <c r="G95" s="159">
        <v>29.999999999996</v>
      </c>
      <c r="H95" s="159">
        <v>29.999999999996</v>
      </c>
      <c r="I95" s="184">
        <f t="shared" si="4"/>
        <v>45978</v>
      </c>
      <c r="J95" s="159" cm="1">
        <f t="array" ref="J95">[15]!CalculateINPC(D95,I95,-1)*H95</f>
        <v>34.092049799995451</v>
      </c>
      <c r="K95" s="159">
        <f t="shared" si="5"/>
        <v>81.329616293589623</v>
      </c>
      <c r="L95" s="159" cm="1">
        <f t="array" ref="L95">[15]!CalculateDICetip(D95,I95,1)*H95</f>
        <v>44.391158999994083</v>
      </c>
      <c r="M95" s="154">
        <v>155907</v>
      </c>
      <c r="N95" s="154" t="s">
        <v>298</v>
      </c>
      <c r="O95" s="154" t="s">
        <v>232</v>
      </c>
      <c r="P95" s="154" t="s">
        <v>233</v>
      </c>
      <c r="Q95" s="154">
        <v>10027</v>
      </c>
      <c r="R95" s="154" t="s">
        <v>106</v>
      </c>
      <c r="S95" s="154">
        <v>44</v>
      </c>
      <c r="T95" s="154" t="s">
        <v>107</v>
      </c>
      <c r="U95" s="154" t="s">
        <v>746</v>
      </c>
      <c r="V95" s="154" t="s">
        <v>109</v>
      </c>
      <c r="W95" s="154" t="s">
        <v>110</v>
      </c>
      <c r="X95" s="154" t="s">
        <v>362</v>
      </c>
      <c r="Y95" s="154" t="s">
        <v>747</v>
      </c>
    </row>
    <row r="96" spans="2:25">
      <c r="B96" s="154" t="s">
        <v>102</v>
      </c>
      <c r="C96" s="154" t="s">
        <v>1401</v>
      </c>
      <c r="D96" s="155">
        <v>44939</v>
      </c>
      <c r="E96" s="155">
        <v>44917</v>
      </c>
      <c r="F96" s="159">
        <v>18211</v>
      </c>
      <c r="G96" s="159">
        <v>5100.0000000000373</v>
      </c>
      <c r="H96" s="159">
        <v>5100.0000000000373</v>
      </c>
      <c r="I96" s="184">
        <f t="shared" si="4"/>
        <v>45978</v>
      </c>
      <c r="J96" s="159" cm="1">
        <f t="array" ref="J96">[15]!CalculateINPC(D96,I96,-1)*H96</f>
        <v>5743.4404290000421</v>
      </c>
      <c r="K96" s="159">
        <f t="shared" si="5"/>
        <v>12246.875307190005</v>
      </c>
      <c r="L96" s="159" cm="1">
        <f t="array" ref="L96">[15]!CalculateDICetip(D96,I96,1)*H96</f>
        <v>7151.069091000053</v>
      </c>
      <c r="M96" s="154">
        <v>165151</v>
      </c>
      <c r="N96" s="154" t="s">
        <v>225</v>
      </c>
      <c r="O96" s="154" t="s">
        <v>226</v>
      </c>
      <c r="P96" s="154" t="s">
        <v>227</v>
      </c>
      <c r="Q96" s="154">
        <v>10027</v>
      </c>
      <c r="R96" s="154" t="s">
        <v>106</v>
      </c>
      <c r="S96" s="154">
        <v>44</v>
      </c>
      <c r="T96" s="154" t="s">
        <v>107</v>
      </c>
      <c r="U96" s="154" t="s">
        <v>230</v>
      </c>
      <c r="V96" s="154" t="s">
        <v>137</v>
      </c>
      <c r="W96" s="154" t="s">
        <v>138</v>
      </c>
      <c r="X96" s="154" t="s">
        <v>130</v>
      </c>
      <c r="Y96" s="154" t="s">
        <v>231</v>
      </c>
    </row>
    <row r="97" spans="2:25">
      <c r="B97" s="154" t="s">
        <v>102</v>
      </c>
      <c r="C97" s="154" t="s">
        <v>1401</v>
      </c>
      <c r="D97" s="155">
        <v>45029</v>
      </c>
      <c r="E97" s="155">
        <v>45027</v>
      </c>
      <c r="F97" s="159">
        <v>922.5</v>
      </c>
      <c r="G97" s="159">
        <v>922.5</v>
      </c>
      <c r="H97" s="159">
        <v>922.5</v>
      </c>
      <c r="I97" s="184">
        <f t="shared" si="4"/>
        <v>45978</v>
      </c>
      <c r="J97" s="159" cm="1">
        <f t="array" ref="J97">[15]!CalculateINPC(D97,I97,-1)*H97</f>
        <v>1019.702265975</v>
      </c>
      <c r="K97" s="159">
        <f t="shared" si="5"/>
        <v>2036.2951245542311</v>
      </c>
      <c r="L97" s="159" cm="1">
        <f t="array" ref="L97">[15]!CalculateDICetip(D97,I97,1)*H97</f>
        <v>1254.0528837000002</v>
      </c>
      <c r="M97" s="154">
        <v>171664</v>
      </c>
      <c r="N97" s="154" t="s">
        <v>382</v>
      </c>
      <c r="O97" s="154" t="s">
        <v>282</v>
      </c>
      <c r="P97" s="154" t="s">
        <v>283</v>
      </c>
      <c r="Q97" s="154">
        <v>10027</v>
      </c>
      <c r="R97" s="154" t="s">
        <v>106</v>
      </c>
      <c r="S97" s="154">
        <v>44</v>
      </c>
      <c r="T97" s="154" t="s">
        <v>107</v>
      </c>
      <c r="U97" s="154" t="s">
        <v>385</v>
      </c>
      <c r="V97" s="154" t="s">
        <v>109</v>
      </c>
      <c r="W97" s="154" t="s">
        <v>110</v>
      </c>
      <c r="X97" s="154" t="s">
        <v>111</v>
      </c>
      <c r="Y97" s="154" t="s">
        <v>386</v>
      </c>
    </row>
    <row r="98" spans="2:25">
      <c r="B98" s="154" t="s">
        <v>102</v>
      </c>
      <c r="C98" s="154" t="s">
        <v>1401</v>
      </c>
      <c r="D98" s="155">
        <v>45090</v>
      </c>
      <c r="E98" s="155">
        <v>45078</v>
      </c>
      <c r="F98" s="159">
        <v>38150</v>
      </c>
      <c r="G98" s="159">
        <v>1199.9999999999341</v>
      </c>
      <c r="H98" s="159">
        <v>1126.1998427260191</v>
      </c>
      <c r="I98" s="184">
        <f t="shared" si="4"/>
        <v>45978</v>
      </c>
      <c r="J98" s="159" cm="1">
        <f t="array" ref="J98">[15]!CalculateINPC(D98,I98,-1)*H98</f>
        <v>1233.8603582272117</v>
      </c>
      <c r="K98" s="159">
        <f t="shared" si="5"/>
        <v>2356.8192696284532</v>
      </c>
      <c r="L98" s="159" cm="1">
        <f t="array" ref="L98">[15]!CalculateDICetip(D98,I98,1)*H98</f>
        <v>1500.1835451971376</v>
      </c>
      <c r="M98" s="154">
        <v>175018</v>
      </c>
      <c r="N98" s="154" t="s">
        <v>212</v>
      </c>
      <c r="O98" s="154" t="s">
        <v>154</v>
      </c>
      <c r="P98" s="154" t="s">
        <v>155</v>
      </c>
      <c r="Q98" s="154">
        <v>10027</v>
      </c>
      <c r="R98" s="154" t="s">
        <v>106</v>
      </c>
      <c r="S98" s="154">
        <v>44</v>
      </c>
      <c r="T98" s="154" t="s">
        <v>107</v>
      </c>
      <c r="U98" s="154" t="s">
        <v>354</v>
      </c>
      <c r="V98" s="154" t="s">
        <v>137</v>
      </c>
      <c r="W98" s="154" t="s">
        <v>138</v>
      </c>
      <c r="X98" s="154" t="s">
        <v>130</v>
      </c>
      <c r="Y98" s="154" t="s">
        <v>355</v>
      </c>
    </row>
    <row r="99" spans="2:25">
      <c r="B99" s="154" t="s">
        <v>102</v>
      </c>
      <c r="C99" s="154" t="s">
        <v>1401</v>
      </c>
      <c r="D99" s="155">
        <v>45090</v>
      </c>
      <c r="E99" s="155">
        <v>45079</v>
      </c>
      <c r="F99" s="159">
        <v>650</v>
      </c>
      <c r="G99" s="159">
        <v>500.00000000000102</v>
      </c>
      <c r="H99" s="159">
        <v>500.00000000000102</v>
      </c>
      <c r="I99" s="184">
        <f t="shared" si="4"/>
        <v>45978</v>
      </c>
      <c r="J99" s="159" cm="1">
        <f t="array" ref="J99">[15]!CalculateINPC(D99,I99,-1)*H99</f>
        <v>547.79814000000113</v>
      </c>
      <c r="K99" s="159">
        <f t="shared" si="5"/>
        <v>1046.3592606813313</v>
      </c>
      <c r="L99" s="159" cm="1">
        <f t="array" ref="L99">[15]!CalculateDICetip(D99,I99,1)*H99</f>
        <v>666.0378950000013</v>
      </c>
      <c r="M99" s="154">
        <v>174931</v>
      </c>
      <c r="N99" s="154" t="s">
        <v>486</v>
      </c>
      <c r="O99" s="154" t="s">
        <v>226</v>
      </c>
      <c r="P99" s="154" t="s">
        <v>227</v>
      </c>
      <c r="Q99" s="154">
        <v>10027</v>
      </c>
      <c r="R99" s="154" t="s">
        <v>106</v>
      </c>
      <c r="S99" s="154">
        <v>44</v>
      </c>
      <c r="T99" s="154" t="s">
        <v>107</v>
      </c>
      <c r="U99" s="154" t="s">
        <v>501</v>
      </c>
      <c r="V99" s="154" t="s">
        <v>137</v>
      </c>
      <c r="W99" s="154" t="s">
        <v>138</v>
      </c>
      <c r="X99" s="154" t="s">
        <v>362</v>
      </c>
      <c r="Y99" s="154" t="s">
        <v>502</v>
      </c>
    </row>
    <row r="100" spans="2:25">
      <c r="B100" s="154" t="s">
        <v>102</v>
      </c>
      <c r="C100" s="154" t="s">
        <v>1401</v>
      </c>
      <c r="D100" s="155">
        <v>44755</v>
      </c>
      <c r="E100" s="155">
        <v>44754</v>
      </c>
      <c r="F100" s="159">
        <v>687.16</v>
      </c>
      <c r="G100" s="159">
        <v>687.16</v>
      </c>
      <c r="H100" s="159">
        <v>687.16</v>
      </c>
      <c r="I100" s="184">
        <f t="shared" si="4"/>
        <v>45978</v>
      </c>
      <c r="J100" s="159" cm="1">
        <f t="array" ref="J100">[15]!CalculateINPC(D100,I100,-1)*H100</f>
        <v>776.2038625987999</v>
      </c>
      <c r="K100" s="159">
        <f t="shared" si="5"/>
        <v>1892.634219856305</v>
      </c>
      <c r="L100" s="159" cm="1">
        <f t="array" ref="L100">[15]!CalculateDICetip(D100,I100,1)*H100</f>
        <v>1027.9282099960001</v>
      </c>
      <c r="M100" s="154">
        <v>153403</v>
      </c>
      <c r="N100" s="154" t="s">
        <v>175</v>
      </c>
      <c r="O100" s="154" t="s">
        <v>114</v>
      </c>
      <c r="P100" s="154" t="s">
        <v>115</v>
      </c>
      <c r="Q100" s="154">
        <v>10027</v>
      </c>
      <c r="R100" s="154" t="s">
        <v>106</v>
      </c>
      <c r="S100" s="154">
        <v>44</v>
      </c>
      <c r="T100" s="154" t="s">
        <v>107</v>
      </c>
      <c r="U100" s="154" t="s">
        <v>184</v>
      </c>
      <c r="V100" s="154" t="s">
        <v>109</v>
      </c>
      <c r="W100" s="154" t="s">
        <v>110</v>
      </c>
      <c r="X100" s="154" t="s">
        <v>117</v>
      </c>
      <c r="Y100" s="154" t="s">
        <v>185</v>
      </c>
    </row>
    <row r="101" spans="2:25">
      <c r="B101" s="154" t="s">
        <v>102</v>
      </c>
      <c r="C101" s="154" t="s">
        <v>1401</v>
      </c>
      <c r="D101" s="155">
        <v>44755</v>
      </c>
      <c r="E101" s="155">
        <v>44754</v>
      </c>
      <c r="F101" s="159">
        <v>687.16</v>
      </c>
      <c r="G101" s="159">
        <v>687.16</v>
      </c>
      <c r="H101" s="159">
        <v>687.16</v>
      </c>
      <c r="I101" s="184">
        <f t="shared" si="4"/>
        <v>45978</v>
      </c>
      <c r="J101" s="159" cm="1">
        <f t="array" ref="J101">[15]!CalculateINPC(D101,I101,-1)*H101</f>
        <v>776.2038625987999</v>
      </c>
      <c r="K101" s="159">
        <f t="shared" si="5"/>
        <v>1892.634219856305</v>
      </c>
      <c r="L101" s="159" cm="1">
        <f t="array" ref="L101">[15]!CalculateDICetip(D101,I101,1)*H101</f>
        <v>1027.9282099960001</v>
      </c>
      <c r="M101" s="154">
        <v>153405</v>
      </c>
      <c r="N101" s="154" t="s">
        <v>175</v>
      </c>
      <c r="O101" s="154" t="s">
        <v>114</v>
      </c>
      <c r="P101" s="154" t="s">
        <v>115</v>
      </c>
      <c r="Q101" s="154">
        <v>10027</v>
      </c>
      <c r="R101" s="154" t="s">
        <v>106</v>
      </c>
      <c r="S101" s="154">
        <v>44</v>
      </c>
      <c r="T101" s="154" t="s">
        <v>107</v>
      </c>
      <c r="U101" s="154" t="s">
        <v>186</v>
      </c>
      <c r="V101" s="154" t="s">
        <v>109</v>
      </c>
      <c r="W101" s="154" t="s">
        <v>110</v>
      </c>
      <c r="X101" s="154" t="s">
        <v>117</v>
      </c>
      <c r="Y101" s="154" t="s">
        <v>187</v>
      </c>
    </row>
    <row r="102" spans="2:25">
      <c r="B102" s="154" t="s">
        <v>102</v>
      </c>
      <c r="C102" s="154" t="s">
        <v>1401</v>
      </c>
      <c r="D102" s="155">
        <v>44755</v>
      </c>
      <c r="E102" s="155">
        <v>44754</v>
      </c>
      <c r="F102" s="159">
        <v>687.16</v>
      </c>
      <c r="G102" s="159">
        <v>687.16</v>
      </c>
      <c r="H102" s="159">
        <v>687.16</v>
      </c>
      <c r="I102" s="184">
        <f t="shared" si="4"/>
        <v>45978</v>
      </c>
      <c r="J102" s="159" cm="1">
        <f t="array" ref="J102">[15]!CalculateINPC(D102,I102,-1)*H102</f>
        <v>776.2038625987999</v>
      </c>
      <c r="K102" s="159">
        <f t="shared" si="5"/>
        <v>1892.634219856305</v>
      </c>
      <c r="L102" s="159" cm="1">
        <f t="array" ref="L102">[15]!CalculateDICetip(D102,I102,1)*H102</f>
        <v>1027.9282099960001</v>
      </c>
      <c r="M102" s="154">
        <v>153404</v>
      </c>
      <c r="N102" s="154" t="s">
        <v>175</v>
      </c>
      <c r="O102" s="154" t="s">
        <v>114</v>
      </c>
      <c r="P102" s="154" t="s">
        <v>115</v>
      </c>
      <c r="Q102" s="154">
        <v>10027</v>
      </c>
      <c r="R102" s="154" t="s">
        <v>106</v>
      </c>
      <c r="S102" s="154">
        <v>44</v>
      </c>
      <c r="T102" s="154" t="s">
        <v>107</v>
      </c>
      <c r="U102" s="154" t="s">
        <v>196</v>
      </c>
      <c r="V102" s="154" t="s">
        <v>109</v>
      </c>
      <c r="W102" s="154" t="s">
        <v>110</v>
      </c>
      <c r="X102" s="154" t="s">
        <v>117</v>
      </c>
      <c r="Y102" s="154" t="s">
        <v>197</v>
      </c>
    </row>
    <row r="103" spans="2:25">
      <c r="B103" s="154" t="s">
        <v>102</v>
      </c>
      <c r="C103" s="154" t="s">
        <v>1401</v>
      </c>
      <c r="D103" s="155">
        <v>44755</v>
      </c>
      <c r="E103" s="155">
        <v>44753</v>
      </c>
      <c r="F103" s="159">
        <v>786.48</v>
      </c>
      <c r="G103" s="159">
        <v>786.48</v>
      </c>
      <c r="H103" s="159">
        <v>786.48</v>
      </c>
      <c r="I103" s="184">
        <f t="shared" si="4"/>
        <v>45978</v>
      </c>
      <c r="J103" s="159" cm="1">
        <f t="array" ref="J103">[15]!CalculateINPC(D103,I103,-1)*H103</f>
        <v>888.39398954640001</v>
      </c>
      <c r="K103" s="159">
        <f t="shared" si="5"/>
        <v>2166.1897683692109</v>
      </c>
      <c r="L103" s="159" cm="1">
        <f t="array" ref="L103">[15]!CalculateDICetip(D103,I103,1)*H103</f>
        <v>1176.5018024880001</v>
      </c>
      <c r="M103" s="154">
        <v>153402</v>
      </c>
      <c r="N103" s="154" t="s">
        <v>175</v>
      </c>
      <c r="O103" s="154" t="s">
        <v>114</v>
      </c>
      <c r="P103" s="154" t="s">
        <v>115</v>
      </c>
      <c r="Q103" s="154">
        <v>10027</v>
      </c>
      <c r="R103" s="154" t="s">
        <v>106</v>
      </c>
      <c r="S103" s="154">
        <v>44</v>
      </c>
      <c r="T103" s="154" t="s">
        <v>107</v>
      </c>
      <c r="U103" s="154" t="s">
        <v>180</v>
      </c>
      <c r="V103" s="154" t="s">
        <v>109</v>
      </c>
      <c r="W103" s="154" t="s">
        <v>110</v>
      </c>
      <c r="X103" s="154" t="s">
        <v>117</v>
      </c>
      <c r="Y103" s="154" t="s">
        <v>181</v>
      </c>
    </row>
    <row r="104" spans="2:25">
      <c r="B104" s="154" t="s">
        <v>102</v>
      </c>
      <c r="C104" s="154" t="s">
        <v>1401</v>
      </c>
      <c r="D104" s="155">
        <v>44421</v>
      </c>
      <c r="E104" s="155">
        <v>44412</v>
      </c>
      <c r="F104" s="159">
        <v>500</v>
      </c>
      <c r="G104" s="159">
        <v>500</v>
      </c>
      <c r="H104" s="159">
        <v>500</v>
      </c>
      <c r="I104" s="184">
        <f t="shared" si="4"/>
        <v>45978</v>
      </c>
      <c r="J104" s="159" cm="1">
        <f t="array" ref="J104">[15]!CalculateINPC(D104,I104,-1)*H104</f>
        <v>625.73056500000007</v>
      </c>
      <c r="K104" s="159">
        <f t="shared" si="5"/>
        <v>1946.2219581916145</v>
      </c>
      <c r="L104" s="159" cm="1">
        <f t="array" ref="L104">[15]!CalculateDICetip(D104,I104,1)*H104</f>
        <v>811.89710000000002</v>
      </c>
      <c r="M104" s="154">
        <v>114011</v>
      </c>
      <c r="N104" s="154" t="s">
        <v>236</v>
      </c>
      <c r="O104" s="154" t="s">
        <v>126</v>
      </c>
      <c r="P104" s="154" t="s">
        <v>127</v>
      </c>
      <c r="Q104" s="154">
        <v>10027</v>
      </c>
      <c r="R104" s="154" t="s">
        <v>106</v>
      </c>
      <c r="S104" s="154">
        <v>44</v>
      </c>
      <c r="T104" s="154" t="s">
        <v>107</v>
      </c>
      <c r="U104" s="154" t="s">
        <v>505</v>
      </c>
      <c r="V104" s="154" t="s">
        <v>109</v>
      </c>
      <c r="W104" s="154" t="s">
        <v>110</v>
      </c>
      <c r="X104" s="154" t="s">
        <v>399</v>
      </c>
      <c r="Y104" s="154" t="s">
        <v>506</v>
      </c>
    </row>
    <row r="105" spans="2:25">
      <c r="B105" s="154" t="s">
        <v>102</v>
      </c>
      <c r="C105" s="154" t="s">
        <v>1401</v>
      </c>
      <c r="D105" s="155">
        <v>45882</v>
      </c>
      <c r="E105" s="155">
        <v>45870</v>
      </c>
      <c r="F105" s="159">
        <v>840.93</v>
      </c>
      <c r="G105" s="159">
        <v>125.400000000002</v>
      </c>
      <c r="H105" s="159">
        <v>125.400000000002</v>
      </c>
      <c r="I105" s="184">
        <f t="shared" si="4"/>
        <v>45978</v>
      </c>
      <c r="J105" s="159" cm="1">
        <f t="array" ref="J105">[15]!CalculateINPC(D105,I105,-1)*H105</f>
        <v>125.825013204002</v>
      </c>
      <c r="K105" s="159">
        <f t="shared" si="5"/>
        <v>134.94347154625368</v>
      </c>
      <c r="L105" s="159" cm="1">
        <f t="array" ref="L105">[15]!CalculateDICetip(D105,I105,1)*H105</f>
        <v>130.18901722200206</v>
      </c>
      <c r="M105" s="154">
        <v>265204</v>
      </c>
      <c r="N105" s="154" t="s">
        <v>411</v>
      </c>
      <c r="O105" s="154" t="s">
        <v>635</v>
      </c>
      <c r="P105" s="154" t="s">
        <v>636</v>
      </c>
      <c r="Q105" s="154">
        <v>10027</v>
      </c>
      <c r="R105" s="154" t="s">
        <v>106</v>
      </c>
      <c r="S105" s="154">
        <v>44</v>
      </c>
      <c r="T105" s="154" t="s">
        <v>107</v>
      </c>
      <c r="U105" s="154" t="s">
        <v>892</v>
      </c>
      <c r="V105" s="154" t="s">
        <v>109</v>
      </c>
      <c r="W105" s="154" t="s">
        <v>110</v>
      </c>
      <c r="X105" s="154" t="s">
        <v>333</v>
      </c>
      <c r="Y105" s="154" t="s">
        <v>893</v>
      </c>
    </row>
    <row r="106" spans="2:25">
      <c r="B106" s="154" t="s">
        <v>102</v>
      </c>
      <c r="C106" s="154" t="s">
        <v>1401</v>
      </c>
      <c r="D106" s="155">
        <v>45882</v>
      </c>
      <c r="E106" s="155">
        <v>45870</v>
      </c>
      <c r="F106" s="159">
        <v>840.93</v>
      </c>
      <c r="G106" s="159">
        <v>715.52999999999804</v>
      </c>
      <c r="H106" s="159">
        <v>715.52999999999804</v>
      </c>
      <c r="I106" s="184">
        <f t="shared" si="4"/>
        <v>45978</v>
      </c>
      <c r="J106" s="159" cm="1">
        <f t="array" ref="J106">[15]!CalculateINPC(D106,I106,-1)*H106</f>
        <v>717.95511720779803</v>
      </c>
      <c r="K106" s="159">
        <f t="shared" si="5"/>
        <v>769.98486599273599</v>
      </c>
      <c r="L106" s="159" cm="1">
        <f t="array" ref="L106">[15]!CalculateDICetip(D106,I106,1)*H106</f>
        <v>742.85604061289791</v>
      </c>
      <c r="M106" s="154">
        <v>265204</v>
      </c>
      <c r="N106" s="154" t="s">
        <v>411</v>
      </c>
      <c r="O106" s="154" t="s">
        <v>316</v>
      </c>
      <c r="P106" s="154" t="s">
        <v>317</v>
      </c>
      <c r="Q106" s="154">
        <v>10027</v>
      </c>
      <c r="R106" s="154" t="s">
        <v>106</v>
      </c>
      <c r="S106" s="154">
        <v>44</v>
      </c>
      <c r="T106" s="154" t="s">
        <v>107</v>
      </c>
      <c r="U106" s="154" t="s">
        <v>892</v>
      </c>
      <c r="V106" s="154" t="s">
        <v>109</v>
      </c>
      <c r="W106" s="154" t="s">
        <v>110</v>
      </c>
      <c r="X106" s="154" t="s">
        <v>333</v>
      </c>
      <c r="Y106" s="154" t="s">
        <v>893</v>
      </c>
    </row>
    <row r="107" spans="2:25">
      <c r="B107" s="154" t="s">
        <v>102</v>
      </c>
      <c r="C107" s="154" t="s">
        <v>1401</v>
      </c>
      <c r="D107" s="155">
        <v>44817</v>
      </c>
      <c r="E107" s="155">
        <v>44798</v>
      </c>
      <c r="F107" s="159">
        <v>12600</v>
      </c>
      <c r="G107" s="159">
        <v>254.54999999998799</v>
      </c>
      <c r="H107" s="159">
        <v>254.54999999998799</v>
      </c>
      <c r="I107" s="184">
        <f t="shared" si="4"/>
        <v>45978</v>
      </c>
      <c r="J107" s="159" cm="1">
        <f t="array" ref="J107">[15]!CalculateINPC(D107,I107,-1)*H107</f>
        <v>290.17049497798632</v>
      </c>
      <c r="K107" s="159">
        <f t="shared" si="5"/>
        <v>676.27068456620316</v>
      </c>
      <c r="L107" s="159" cm="1">
        <f t="array" ref="L107">[15]!CalculateDICetip(D107,I107,1)*H107</f>
        <v>372.66408914248245</v>
      </c>
      <c r="M107" s="154">
        <v>156928</v>
      </c>
      <c r="N107" s="154" t="s">
        <v>307</v>
      </c>
      <c r="O107" s="154" t="s">
        <v>232</v>
      </c>
      <c r="P107" s="154" t="s">
        <v>233</v>
      </c>
      <c r="Q107" s="154">
        <v>10027</v>
      </c>
      <c r="R107" s="154" t="s">
        <v>106</v>
      </c>
      <c r="S107" s="154">
        <v>44</v>
      </c>
      <c r="T107" s="154" t="s">
        <v>107</v>
      </c>
      <c r="U107" s="154" t="s">
        <v>577</v>
      </c>
      <c r="V107" s="154" t="s">
        <v>109</v>
      </c>
      <c r="W107" s="154" t="s">
        <v>110</v>
      </c>
      <c r="X107" s="154" t="s">
        <v>130</v>
      </c>
      <c r="Y107" s="154" t="s">
        <v>578</v>
      </c>
    </row>
    <row r="108" spans="2:25">
      <c r="B108" s="154" t="s">
        <v>786</v>
      </c>
      <c r="C108" s="154" t="s">
        <v>1401</v>
      </c>
      <c r="D108" s="155">
        <v>44817</v>
      </c>
      <c r="E108" s="155">
        <v>44798</v>
      </c>
      <c r="F108" s="159">
        <v>12600</v>
      </c>
      <c r="G108" s="159">
        <v>-254.54999999998799</v>
      </c>
      <c r="H108" s="159">
        <v>-254.54999999998799</v>
      </c>
      <c r="I108" s="184">
        <f t="shared" si="4"/>
        <v>45978</v>
      </c>
      <c r="J108" s="159" cm="1">
        <f t="array" ref="J108">[15]!CalculateINPC(D108,I108,-1)*H108</f>
        <v>-290.17049497798632</v>
      </c>
      <c r="K108" s="159">
        <f t="shared" si="5"/>
        <v>-676.27068456620316</v>
      </c>
      <c r="L108" s="159" cm="1">
        <f t="array" ref="L108">[15]!CalculateDICetip(D108,I108,1)*H108</f>
        <v>-372.66408914248245</v>
      </c>
      <c r="M108" s="154">
        <v>156928</v>
      </c>
      <c r="N108" s="154" t="s">
        <v>307</v>
      </c>
      <c r="O108" s="154" t="s">
        <v>232</v>
      </c>
      <c r="P108" s="154" t="s">
        <v>233</v>
      </c>
      <c r="Q108" s="154">
        <v>10027</v>
      </c>
      <c r="R108" s="154" t="s">
        <v>106</v>
      </c>
      <c r="S108" s="154">
        <v>44</v>
      </c>
      <c r="T108" s="154" t="s">
        <v>107</v>
      </c>
      <c r="U108" s="154" t="s">
        <v>577</v>
      </c>
      <c r="V108" s="154" t="s">
        <v>109</v>
      </c>
      <c r="W108" s="154" t="s">
        <v>110</v>
      </c>
      <c r="X108" s="154" t="s">
        <v>130</v>
      </c>
      <c r="Y108" s="154" t="s">
        <v>578</v>
      </c>
    </row>
    <row r="109" spans="2:25">
      <c r="B109" s="154" t="s">
        <v>102</v>
      </c>
      <c r="C109" s="154" t="s">
        <v>1402</v>
      </c>
      <c r="D109" s="155">
        <v>43812</v>
      </c>
      <c r="E109" s="155">
        <v>43800</v>
      </c>
      <c r="F109" s="159">
        <v>847.17</v>
      </c>
      <c r="G109" s="159">
        <v>847.17</v>
      </c>
      <c r="H109" s="159">
        <v>847.17</v>
      </c>
      <c r="I109" s="184">
        <f t="shared" si="4"/>
        <v>45978</v>
      </c>
      <c r="J109" s="159" cm="1">
        <f t="array" ref="J109">[15]!CalculateINPC(D109,I109,-1)*H109</f>
        <v>1188.3069161091</v>
      </c>
      <c r="K109" s="159">
        <f t="shared" si="5"/>
        <v>5760.8662787388339</v>
      </c>
      <c r="L109" s="159" cm="1">
        <f t="array" ref="L109">[15]!CalculateDICetip(D109,I109,1)*H109</f>
        <v>1442.0874994982998</v>
      </c>
      <c r="M109" s="154">
        <v>82746</v>
      </c>
      <c r="N109" s="154" t="s">
        <v>200</v>
      </c>
      <c r="O109" s="154" t="s">
        <v>119</v>
      </c>
      <c r="P109" s="154" t="s">
        <v>120</v>
      </c>
      <c r="Q109" s="154">
        <v>10027</v>
      </c>
      <c r="R109" s="154" t="s">
        <v>106</v>
      </c>
      <c r="S109" s="154">
        <v>44</v>
      </c>
      <c r="T109" s="154" t="s">
        <v>107</v>
      </c>
      <c r="U109" s="154" t="s">
        <v>465</v>
      </c>
      <c r="V109" s="154" t="s">
        <v>137</v>
      </c>
      <c r="W109" s="154" t="s">
        <v>138</v>
      </c>
      <c r="X109" s="154" t="s">
        <v>111</v>
      </c>
      <c r="Y109" s="154" t="s">
        <v>466</v>
      </c>
    </row>
    <row r="110" spans="2:25">
      <c r="B110" s="154" t="s">
        <v>102</v>
      </c>
      <c r="C110" s="154" t="s">
        <v>1402</v>
      </c>
      <c r="D110" s="155">
        <v>43812</v>
      </c>
      <c r="E110" s="155">
        <v>43800</v>
      </c>
      <c r="F110" s="159">
        <v>877.47</v>
      </c>
      <c r="G110" s="159">
        <v>877.47</v>
      </c>
      <c r="H110" s="159">
        <v>877.47</v>
      </c>
      <c r="I110" s="184">
        <f t="shared" si="4"/>
        <v>45978</v>
      </c>
      <c r="J110" s="159" cm="1">
        <f t="array" ref="J110">[15]!CalculateINPC(D110,I110,-1)*H110</f>
        <v>1230.8080664781</v>
      </c>
      <c r="K110" s="159">
        <f t="shared" si="5"/>
        <v>5966.9102229835389</v>
      </c>
      <c r="L110" s="159" cm="1">
        <f t="array" ref="L110">[15]!CalculateDICetip(D110,I110,1)*H110</f>
        <v>1493.6654014953001</v>
      </c>
      <c r="M110" s="154">
        <v>82744</v>
      </c>
      <c r="N110" s="154" t="s">
        <v>200</v>
      </c>
      <c r="O110" s="154" t="s">
        <v>119</v>
      </c>
      <c r="P110" s="154" t="s">
        <v>120</v>
      </c>
      <c r="Q110" s="154">
        <v>10027</v>
      </c>
      <c r="R110" s="154" t="s">
        <v>106</v>
      </c>
      <c r="S110" s="154">
        <v>44</v>
      </c>
      <c r="T110" s="154" t="s">
        <v>107</v>
      </c>
      <c r="U110" s="154" t="s">
        <v>446</v>
      </c>
      <c r="V110" s="154" t="s">
        <v>137</v>
      </c>
      <c r="W110" s="154" t="s">
        <v>138</v>
      </c>
      <c r="X110" s="154" t="s">
        <v>111</v>
      </c>
      <c r="Y110" s="154" t="s">
        <v>447</v>
      </c>
    </row>
    <row r="111" spans="2:25">
      <c r="B111" s="154" t="s">
        <v>102</v>
      </c>
      <c r="C111" s="154" t="s">
        <v>1402</v>
      </c>
      <c r="D111" s="155">
        <v>43812</v>
      </c>
      <c r="E111" s="155">
        <v>43800</v>
      </c>
      <c r="F111" s="159">
        <v>858.55</v>
      </c>
      <c r="G111" s="159">
        <v>858.55</v>
      </c>
      <c r="H111" s="159">
        <v>858.55</v>
      </c>
      <c r="I111" s="184">
        <f t="shared" si="4"/>
        <v>45978</v>
      </c>
      <c r="J111" s="159" cm="1">
        <f t="array" ref="J111">[15]!CalculateINPC(D111,I111,-1)*H111</f>
        <v>1204.2693943664999</v>
      </c>
      <c r="K111" s="159">
        <f t="shared" si="5"/>
        <v>5838.2517601086274</v>
      </c>
      <c r="L111" s="159" cm="1">
        <f t="array" ref="L111">[15]!CalculateDICetip(D111,I111,1)*H111</f>
        <v>1461.4590019645</v>
      </c>
      <c r="M111" s="154">
        <v>82733</v>
      </c>
      <c r="N111" s="154" t="s">
        <v>200</v>
      </c>
      <c r="O111" s="154" t="s">
        <v>119</v>
      </c>
      <c r="P111" s="154" t="s">
        <v>120</v>
      </c>
      <c r="Q111" s="154">
        <v>10027</v>
      </c>
      <c r="R111" s="154" t="s">
        <v>106</v>
      </c>
      <c r="S111" s="154">
        <v>44</v>
      </c>
      <c r="T111" s="154" t="s">
        <v>107</v>
      </c>
      <c r="U111" s="154" t="s">
        <v>463</v>
      </c>
      <c r="V111" s="154" t="s">
        <v>137</v>
      </c>
      <c r="W111" s="154" t="s">
        <v>138</v>
      </c>
      <c r="X111" s="154" t="s">
        <v>111</v>
      </c>
      <c r="Y111" s="154" t="s">
        <v>464</v>
      </c>
    </row>
    <row r="112" spans="2:25">
      <c r="B112" s="154" t="s">
        <v>102</v>
      </c>
      <c r="C112" s="154" t="s">
        <v>1402</v>
      </c>
      <c r="D112" s="155">
        <v>43812</v>
      </c>
      <c r="E112" s="155">
        <v>43800</v>
      </c>
      <c r="F112" s="159">
        <v>15555.21</v>
      </c>
      <c r="G112" s="159">
        <v>15555.21</v>
      </c>
      <c r="H112" s="159">
        <v>15555.21</v>
      </c>
      <c r="I112" s="184">
        <f t="shared" si="4"/>
        <v>45978</v>
      </c>
      <c r="J112" s="159" cm="1">
        <f t="array" ref="J112">[15]!CalculateINPC(D112,I112,-1)*H112</f>
        <v>21818.954430078298</v>
      </c>
      <c r="K112" s="159">
        <f t="shared" si="5"/>
        <v>105777.45286979129</v>
      </c>
      <c r="L112" s="159" cm="1">
        <f t="array" ref="L112">[15]!CalculateDICetip(D112,I112,1)*H112</f>
        <v>26478.716070057897</v>
      </c>
      <c r="M112" s="154">
        <v>82735</v>
      </c>
      <c r="N112" s="154" t="s">
        <v>200</v>
      </c>
      <c r="O112" s="154" t="s">
        <v>119</v>
      </c>
      <c r="P112" s="154" t="s">
        <v>120</v>
      </c>
      <c r="Q112" s="154">
        <v>10027</v>
      </c>
      <c r="R112" s="154" t="s">
        <v>106</v>
      </c>
      <c r="S112" s="154">
        <v>44</v>
      </c>
      <c r="T112" s="154" t="s">
        <v>107</v>
      </c>
      <c r="U112" s="154" t="s">
        <v>405</v>
      </c>
      <c r="V112" s="154" t="s">
        <v>137</v>
      </c>
      <c r="W112" s="154" t="s">
        <v>138</v>
      </c>
      <c r="X112" s="154" t="s">
        <v>111</v>
      </c>
      <c r="Y112" s="154" t="s">
        <v>406</v>
      </c>
    </row>
    <row r="113" spans="2:25">
      <c r="B113" s="154" t="s">
        <v>102</v>
      </c>
      <c r="C113" s="154" t="s">
        <v>1402</v>
      </c>
      <c r="D113" s="155">
        <v>43812</v>
      </c>
      <c r="E113" s="155">
        <v>43800</v>
      </c>
      <c r="F113" s="159">
        <v>945.84</v>
      </c>
      <c r="G113" s="159">
        <v>945.84</v>
      </c>
      <c r="H113" s="159">
        <v>945.84</v>
      </c>
      <c r="I113" s="184">
        <f t="shared" si="4"/>
        <v>45978</v>
      </c>
      <c r="J113" s="159" cm="1">
        <f t="array" ref="J113">[15]!CalculateINPC(D113,I113,-1)*H113</f>
        <v>1326.7091770632001</v>
      </c>
      <c r="K113" s="159">
        <f t="shared" si="5"/>
        <v>6431.8351229178788</v>
      </c>
      <c r="L113" s="159" cm="1">
        <f t="array" ref="L113">[15]!CalculateDICetip(D113,I113,1)*H113</f>
        <v>1610.0476179816001</v>
      </c>
      <c r="M113" s="154">
        <v>82742</v>
      </c>
      <c r="N113" s="154" t="s">
        <v>200</v>
      </c>
      <c r="O113" s="154" t="s">
        <v>119</v>
      </c>
      <c r="P113" s="154" t="s">
        <v>120</v>
      </c>
      <c r="Q113" s="154">
        <v>10027</v>
      </c>
      <c r="R113" s="154" t="s">
        <v>106</v>
      </c>
      <c r="S113" s="154">
        <v>44</v>
      </c>
      <c r="T113" s="154" t="s">
        <v>107</v>
      </c>
      <c r="U113" s="154" t="s">
        <v>435</v>
      </c>
      <c r="V113" s="154" t="s">
        <v>137</v>
      </c>
      <c r="W113" s="154" t="s">
        <v>138</v>
      </c>
      <c r="X113" s="154" t="s">
        <v>111</v>
      </c>
      <c r="Y113" s="154" t="s">
        <v>436</v>
      </c>
    </row>
    <row r="114" spans="2:25">
      <c r="B114" s="154" t="s">
        <v>102</v>
      </c>
      <c r="C114" s="154" t="s">
        <v>1402</v>
      </c>
      <c r="D114" s="155">
        <v>43812</v>
      </c>
      <c r="E114" s="155">
        <v>43800</v>
      </c>
      <c r="F114" s="159">
        <v>7786.17</v>
      </c>
      <c r="G114" s="159">
        <v>7786.17</v>
      </c>
      <c r="H114" s="159">
        <v>7786.17</v>
      </c>
      <c r="I114" s="184">
        <f t="shared" si="4"/>
        <v>45978</v>
      </c>
      <c r="J114" s="159" cm="1">
        <f t="array" ref="J114">[15]!CalculateINPC(D114,I114,-1)*H114</f>
        <v>10921.4911540791</v>
      </c>
      <c r="K114" s="159">
        <f t="shared" si="5"/>
        <v>52946.969549828187</v>
      </c>
      <c r="L114" s="159" cm="1">
        <f t="array" ref="L114">[15]!CalculateDICetip(D114,I114,1)*H114</f>
        <v>13253.9377291083</v>
      </c>
      <c r="M114" s="154">
        <v>82729</v>
      </c>
      <c r="N114" s="154" t="s">
        <v>200</v>
      </c>
      <c r="O114" s="154" t="s">
        <v>119</v>
      </c>
      <c r="P114" s="154" t="s">
        <v>120</v>
      </c>
      <c r="Q114" s="154">
        <v>10027</v>
      </c>
      <c r="R114" s="154" t="s">
        <v>106</v>
      </c>
      <c r="S114" s="154">
        <v>44</v>
      </c>
      <c r="T114" s="154" t="s">
        <v>107</v>
      </c>
      <c r="U114" s="154" t="s">
        <v>427</v>
      </c>
      <c r="V114" s="154" t="s">
        <v>137</v>
      </c>
      <c r="W114" s="154" t="s">
        <v>138</v>
      </c>
      <c r="X114" s="154" t="s">
        <v>111</v>
      </c>
      <c r="Y114" s="154" t="s">
        <v>428</v>
      </c>
    </row>
    <row r="115" spans="2:25">
      <c r="B115" s="154" t="s">
        <v>102</v>
      </c>
      <c r="C115" s="154" t="s">
        <v>1402</v>
      </c>
      <c r="D115" s="155">
        <v>43812</v>
      </c>
      <c r="E115" s="155">
        <v>43800</v>
      </c>
      <c r="F115" s="159">
        <v>12965.31</v>
      </c>
      <c r="G115" s="159">
        <v>12965.31</v>
      </c>
      <c r="H115" s="159">
        <v>12965.31</v>
      </c>
      <c r="I115" s="184">
        <f t="shared" si="4"/>
        <v>45978</v>
      </c>
      <c r="J115" s="159" cm="1">
        <f t="array" ref="J115">[15]!CalculateINPC(D115,I115,-1)*H115</f>
        <v>18186.158082201298</v>
      </c>
      <c r="K115" s="159">
        <f t="shared" si="5"/>
        <v>88165.795734498839</v>
      </c>
      <c r="L115" s="159" cm="1">
        <f t="array" ref="L115">[15]!CalculateDICetip(D115,I115,1)*H115</f>
        <v>22070.082130056897</v>
      </c>
      <c r="M115" s="154">
        <v>82723</v>
      </c>
      <c r="N115" s="154" t="s">
        <v>200</v>
      </c>
      <c r="O115" s="154" t="s">
        <v>119</v>
      </c>
      <c r="P115" s="154" t="s">
        <v>120</v>
      </c>
      <c r="Q115" s="154">
        <v>10027</v>
      </c>
      <c r="R115" s="154" t="s">
        <v>106</v>
      </c>
      <c r="S115" s="154">
        <v>44</v>
      </c>
      <c r="T115" s="154" t="s">
        <v>107</v>
      </c>
      <c r="U115" s="154" t="s">
        <v>407</v>
      </c>
      <c r="V115" s="154" t="s">
        <v>137</v>
      </c>
      <c r="W115" s="154" t="s">
        <v>138</v>
      </c>
      <c r="X115" s="154" t="s">
        <v>111</v>
      </c>
      <c r="Y115" s="154" t="s">
        <v>408</v>
      </c>
    </row>
    <row r="116" spans="2:25">
      <c r="B116" s="154" t="s">
        <v>102</v>
      </c>
      <c r="C116" s="154" t="s">
        <v>1402</v>
      </c>
      <c r="D116" s="155">
        <v>43812</v>
      </c>
      <c r="E116" s="155">
        <v>43800</v>
      </c>
      <c r="F116" s="159">
        <v>256.58999999999997</v>
      </c>
      <c r="G116" s="159">
        <v>256.58999999999997</v>
      </c>
      <c r="H116" s="159">
        <v>256.58999999999997</v>
      </c>
      <c r="I116" s="184">
        <f t="shared" si="4"/>
        <v>45978</v>
      </c>
      <c r="J116" s="159" cm="1">
        <f t="array" ref="J116">[15]!CalculateINPC(D116,I116,-1)*H116</f>
        <v>359.9132070357</v>
      </c>
      <c r="K116" s="159">
        <f t="shared" si="5"/>
        <v>1744.8454011138231</v>
      </c>
      <c r="L116" s="159" cm="1">
        <f t="array" ref="L116">[15]!CalculateDICetip(D116,I116,1)*H116</f>
        <v>436.77801562409996</v>
      </c>
      <c r="M116" s="154">
        <v>82725</v>
      </c>
      <c r="N116" s="154" t="s">
        <v>200</v>
      </c>
      <c r="O116" s="154" t="s">
        <v>119</v>
      </c>
      <c r="P116" s="154" t="s">
        <v>120</v>
      </c>
      <c r="Q116" s="154">
        <v>10027</v>
      </c>
      <c r="R116" s="154" t="s">
        <v>106</v>
      </c>
      <c r="S116" s="154">
        <v>44</v>
      </c>
      <c r="T116" s="154" t="s">
        <v>107</v>
      </c>
      <c r="U116" s="154" t="s">
        <v>575</v>
      </c>
      <c r="V116" s="154" t="s">
        <v>137</v>
      </c>
      <c r="W116" s="154" t="s">
        <v>138</v>
      </c>
      <c r="X116" s="154" t="s">
        <v>111</v>
      </c>
      <c r="Y116" s="154" t="s">
        <v>576</v>
      </c>
    </row>
    <row r="117" spans="2:25">
      <c r="B117" s="154" t="s">
        <v>102</v>
      </c>
      <c r="C117" s="154" t="s">
        <v>1402</v>
      </c>
      <c r="D117" s="155">
        <v>43812</v>
      </c>
      <c r="E117" s="155">
        <v>43800</v>
      </c>
      <c r="F117" s="159">
        <v>71265.66</v>
      </c>
      <c r="G117" s="159">
        <v>71265.66</v>
      </c>
      <c r="H117" s="159">
        <v>71265.66</v>
      </c>
      <c r="I117" s="184">
        <f t="shared" si="4"/>
        <v>45978</v>
      </c>
      <c r="J117" s="159" cm="1">
        <f t="array" ref="J117">[15]!CalculateINPC(D117,I117,-1)*H117</f>
        <v>99962.789828581808</v>
      </c>
      <c r="K117" s="159">
        <f t="shared" si="5"/>
        <v>484615.76487135643</v>
      </c>
      <c r="L117" s="159" cm="1">
        <f t="array" ref="L117">[15]!CalculateDICetip(D117,I117,1)*H117</f>
        <v>121311.3276314034</v>
      </c>
      <c r="M117" s="154">
        <v>82736</v>
      </c>
      <c r="N117" s="154" t="s">
        <v>200</v>
      </c>
      <c r="O117" s="154" t="s">
        <v>119</v>
      </c>
      <c r="P117" s="154" t="s">
        <v>120</v>
      </c>
      <c r="Q117" s="154">
        <v>10027</v>
      </c>
      <c r="R117" s="154" t="s">
        <v>106</v>
      </c>
      <c r="S117" s="154">
        <v>44</v>
      </c>
      <c r="T117" s="154" t="s">
        <v>107</v>
      </c>
      <c r="U117" s="154" t="s">
        <v>253</v>
      </c>
      <c r="V117" s="154" t="s">
        <v>137</v>
      </c>
      <c r="W117" s="154" t="s">
        <v>138</v>
      </c>
      <c r="X117" s="154" t="s">
        <v>111</v>
      </c>
      <c r="Y117" s="154" t="s">
        <v>254</v>
      </c>
    </row>
    <row r="118" spans="2:25">
      <c r="B118" s="154" t="s">
        <v>102</v>
      </c>
      <c r="C118" s="154" t="s">
        <v>1402</v>
      </c>
      <c r="D118" s="155">
        <v>43812</v>
      </c>
      <c r="E118" s="155">
        <v>43800</v>
      </c>
      <c r="F118" s="159">
        <v>216320.05</v>
      </c>
      <c r="G118" s="159">
        <v>216320.05</v>
      </c>
      <c r="H118" s="159">
        <v>216320.05</v>
      </c>
      <c r="I118" s="184">
        <f t="shared" si="4"/>
        <v>45978</v>
      </c>
      <c r="J118" s="159" cm="1">
        <f t="array" ref="J118">[15]!CalculateINPC(D118,I118,-1)*H118</f>
        <v>303427.42484751152</v>
      </c>
      <c r="K118" s="159">
        <f t="shared" si="5"/>
        <v>1471004.4990498938</v>
      </c>
      <c r="L118" s="159" cm="1">
        <f t="array" ref="L118">[15]!CalculateDICetip(D118,I118,1)*H118</f>
        <v>368228.85606884945</v>
      </c>
      <c r="M118" s="154">
        <v>82738</v>
      </c>
      <c r="N118" s="154" t="s">
        <v>200</v>
      </c>
      <c r="O118" s="154" t="s">
        <v>119</v>
      </c>
      <c r="P118" s="154" t="s">
        <v>120</v>
      </c>
      <c r="Q118" s="154">
        <v>10027</v>
      </c>
      <c r="R118" s="154" t="s">
        <v>106</v>
      </c>
      <c r="S118" s="154">
        <v>44</v>
      </c>
      <c r="T118" s="154" t="s">
        <v>107</v>
      </c>
      <c r="U118" s="154" t="s">
        <v>215</v>
      </c>
      <c r="V118" s="154" t="s">
        <v>137</v>
      </c>
      <c r="W118" s="154" t="s">
        <v>138</v>
      </c>
      <c r="X118" s="154" t="s">
        <v>111</v>
      </c>
      <c r="Y118" s="154" t="s">
        <v>216</v>
      </c>
    </row>
    <row r="119" spans="2:25">
      <c r="B119" s="154" t="s">
        <v>102</v>
      </c>
      <c r="C119" s="154" t="s">
        <v>1402</v>
      </c>
      <c r="D119" s="155">
        <v>43812</v>
      </c>
      <c r="E119" s="155">
        <v>43800</v>
      </c>
      <c r="F119" s="159">
        <v>825.34</v>
      </c>
      <c r="G119" s="159">
        <v>825.34</v>
      </c>
      <c r="H119" s="159">
        <v>825.34</v>
      </c>
      <c r="I119" s="184">
        <f t="shared" si="4"/>
        <v>45978</v>
      </c>
      <c r="J119" s="159" cm="1">
        <f t="array" ref="J119">[15]!CalculateINPC(D119,I119,-1)*H119</f>
        <v>1157.6864503482</v>
      </c>
      <c r="K119" s="159">
        <f t="shared" si="5"/>
        <v>5612.4194370602236</v>
      </c>
      <c r="L119" s="159" cm="1">
        <f t="array" ref="L119">[15]!CalculateDICetip(D119,I119,1)*H119</f>
        <v>1404.9275786866001</v>
      </c>
      <c r="M119" s="154">
        <v>82750</v>
      </c>
      <c r="N119" s="154" t="s">
        <v>200</v>
      </c>
      <c r="O119" s="154" t="s">
        <v>119</v>
      </c>
      <c r="P119" s="154" t="s">
        <v>120</v>
      </c>
      <c r="Q119" s="154">
        <v>10027</v>
      </c>
      <c r="R119" s="154" t="s">
        <v>106</v>
      </c>
      <c r="S119" s="154">
        <v>44</v>
      </c>
      <c r="T119" s="154" t="s">
        <v>107</v>
      </c>
      <c r="U119" s="154" t="s">
        <v>467</v>
      </c>
      <c r="V119" s="154" t="s">
        <v>137</v>
      </c>
      <c r="W119" s="154" t="s">
        <v>138</v>
      </c>
      <c r="X119" s="154" t="s">
        <v>111</v>
      </c>
      <c r="Y119" s="154" t="s">
        <v>468</v>
      </c>
    </row>
    <row r="120" spans="2:25">
      <c r="B120" s="154" t="s">
        <v>102</v>
      </c>
      <c r="C120" s="154" t="s">
        <v>1402</v>
      </c>
      <c r="D120" s="155">
        <v>43812</v>
      </c>
      <c r="E120" s="155">
        <v>43800</v>
      </c>
      <c r="F120" s="159">
        <v>16673.25</v>
      </c>
      <c r="G120" s="159">
        <v>16673.25</v>
      </c>
      <c r="H120" s="159">
        <v>16673.25</v>
      </c>
      <c r="I120" s="184">
        <f t="shared" si="4"/>
        <v>45978</v>
      </c>
      <c r="J120" s="159" cm="1">
        <f t="array" ref="J120">[15]!CalculateINPC(D120,I120,-1)*H120</f>
        <v>23387.204798347502</v>
      </c>
      <c r="K120" s="159">
        <f t="shared" si="5"/>
        <v>113380.27040851573</v>
      </c>
      <c r="L120" s="159" cm="1">
        <f t="array" ref="L120">[15]!CalculateDICetip(D120,I120,1)*H120</f>
        <v>28381.8895865175</v>
      </c>
      <c r="M120" s="154">
        <v>82724</v>
      </c>
      <c r="N120" s="154" t="s">
        <v>200</v>
      </c>
      <c r="O120" s="154" t="s">
        <v>119</v>
      </c>
      <c r="P120" s="154" t="s">
        <v>120</v>
      </c>
      <c r="Q120" s="154">
        <v>10027</v>
      </c>
      <c r="R120" s="154" t="s">
        <v>106</v>
      </c>
      <c r="S120" s="154">
        <v>44</v>
      </c>
      <c r="T120" s="154" t="s">
        <v>107</v>
      </c>
      <c r="U120" s="154" t="s">
        <v>376</v>
      </c>
      <c r="V120" s="154" t="s">
        <v>137</v>
      </c>
      <c r="W120" s="154" t="s">
        <v>138</v>
      </c>
      <c r="X120" s="154" t="s">
        <v>111</v>
      </c>
      <c r="Y120" s="154" t="s">
        <v>377</v>
      </c>
    </row>
    <row r="121" spans="2:25">
      <c r="B121" s="154" t="s">
        <v>102</v>
      </c>
      <c r="C121" s="154" t="s">
        <v>1402</v>
      </c>
      <c r="D121" s="155">
        <v>43812</v>
      </c>
      <c r="E121" s="155">
        <v>43800</v>
      </c>
      <c r="F121" s="159">
        <v>803.29</v>
      </c>
      <c r="G121" s="159">
        <v>803.29</v>
      </c>
      <c r="H121" s="159">
        <v>803.29</v>
      </c>
      <c r="I121" s="184">
        <f t="shared" si="4"/>
        <v>45978</v>
      </c>
      <c r="J121" s="159" cm="1">
        <f t="array" ref="J121">[15]!CalculateINPC(D121,I121,-1)*H121</f>
        <v>1126.7573953767001</v>
      </c>
      <c r="K121" s="159">
        <f t="shared" si="5"/>
        <v>5462.4765667435322</v>
      </c>
      <c r="L121" s="159" cm="1">
        <f t="array" ref="L121">[15]!CalculateDICetip(D121,I121,1)*H121</f>
        <v>1367.3931648570999</v>
      </c>
      <c r="M121" s="154">
        <v>82747</v>
      </c>
      <c r="N121" s="154" t="s">
        <v>200</v>
      </c>
      <c r="O121" s="154" t="s">
        <v>119</v>
      </c>
      <c r="P121" s="154" t="s">
        <v>120</v>
      </c>
      <c r="Q121" s="154">
        <v>10027</v>
      </c>
      <c r="R121" s="154" t="s">
        <v>106</v>
      </c>
      <c r="S121" s="154">
        <v>44</v>
      </c>
      <c r="T121" s="154" t="s">
        <v>107</v>
      </c>
      <c r="U121" s="154" t="s">
        <v>471</v>
      </c>
      <c r="V121" s="154" t="s">
        <v>137</v>
      </c>
      <c r="W121" s="154" t="s">
        <v>138</v>
      </c>
      <c r="X121" s="154" t="s">
        <v>111</v>
      </c>
      <c r="Y121" s="154" t="s">
        <v>472</v>
      </c>
    </row>
    <row r="122" spans="2:25">
      <c r="B122" s="154" t="s">
        <v>102</v>
      </c>
      <c r="C122" s="154" t="s">
        <v>1402</v>
      </c>
      <c r="D122" s="155">
        <v>43812</v>
      </c>
      <c r="E122" s="155">
        <v>43800</v>
      </c>
      <c r="F122" s="159">
        <v>814.9</v>
      </c>
      <c r="G122" s="159">
        <v>814.9</v>
      </c>
      <c r="H122" s="159">
        <v>814.9</v>
      </c>
      <c r="I122" s="184">
        <f t="shared" si="4"/>
        <v>45978</v>
      </c>
      <c r="J122" s="159" cm="1">
        <f t="array" ref="J122">[15]!CalculateINPC(D122,I122,-1)*H122</f>
        <v>1143.0424896269999</v>
      </c>
      <c r="K122" s="159">
        <f t="shared" si="5"/>
        <v>5541.4260780531367</v>
      </c>
      <c r="L122" s="159" cm="1">
        <f t="array" ref="L122">[15]!CalculateDICetip(D122,I122,1)*H122</f>
        <v>1387.156182751</v>
      </c>
      <c r="M122" s="154">
        <v>82749</v>
      </c>
      <c r="N122" s="154" t="s">
        <v>200</v>
      </c>
      <c r="O122" s="154" t="s">
        <v>119</v>
      </c>
      <c r="P122" s="154" t="s">
        <v>120</v>
      </c>
      <c r="Q122" s="154">
        <v>10027</v>
      </c>
      <c r="R122" s="154" t="s">
        <v>106</v>
      </c>
      <c r="S122" s="154">
        <v>44</v>
      </c>
      <c r="T122" s="154" t="s">
        <v>107</v>
      </c>
      <c r="U122" s="154" t="s">
        <v>469</v>
      </c>
      <c r="V122" s="154" t="s">
        <v>137</v>
      </c>
      <c r="W122" s="154" t="s">
        <v>138</v>
      </c>
      <c r="X122" s="154" t="s">
        <v>111</v>
      </c>
      <c r="Y122" s="154" t="s">
        <v>470</v>
      </c>
    </row>
    <row r="123" spans="2:25">
      <c r="B123" s="154" t="s">
        <v>102</v>
      </c>
      <c r="C123" s="154" t="s">
        <v>1402</v>
      </c>
      <c r="D123" s="155">
        <v>43812</v>
      </c>
      <c r="E123" s="155">
        <v>43800</v>
      </c>
      <c r="F123" s="159">
        <v>1724.38</v>
      </c>
      <c r="G123" s="159">
        <v>1724.38</v>
      </c>
      <c r="H123" s="159">
        <v>1724.38</v>
      </c>
      <c r="I123" s="184">
        <f t="shared" si="4"/>
        <v>45978</v>
      </c>
      <c r="J123" s="159" cm="1">
        <f t="array" ref="J123">[15]!CalculateINPC(D123,I123,-1)*H123</f>
        <v>2418.7502862474003</v>
      </c>
      <c r="K123" s="159">
        <f t="shared" si="5"/>
        <v>11726.008467877371</v>
      </c>
      <c r="L123" s="159" cm="1">
        <f t="array" ref="L123">[15]!CalculateDICetip(D123,I123,1)*H123</f>
        <v>2935.3103183362</v>
      </c>
      <c r="M123" s="154">
        <v>82741</v>
      </c>
      <c r="N123" s="154" t="s">
        <v>200</v>
      </c>
      <c r="O123" s="154" t="s">
        <v>119</v>
      </c>
      <c r="P123" s="154" t="s">
        <v>120</v>
      </c>
      <c r="Q123" s="154">
        <v>10027</v>
      </c>
      <c r="R123" s="154" t="s">
        <v>106</v>
      </c>
      <c r="S123" s="154">
        <v>44</v>
      </c>
      <c r="T123" s="154" t="s">
        <v>107</v>
      </c>
      <c r="U123" s="154" t="s">
        <v>431</v>
      </c>
      <c r="V123" s="154" t="s">
        <v>137</v>
      </c>
      <c r="W123" s="154" t="s">
        <v>138</v>
      </c>
      <c r="X123" s="154" t="s">
        <v>111</v>
      </c>
      <c r="Y123" s="154" t="s">
        <v>432</v>
      </c>
    </row>
    <row r="124" spans="2:25">
      <c r="B124" s="154" t="s">
        <v>102</v>
      </c>
      <c r="C124" s="154" t="s">
        <v>1402</v>
      </c>
      <c r="D124" s="155">
        <v>43812</v>
      </c>
      <c r="E124" s="155">
        <v>43800</v>
      </c>
      <c r="F124" s="159">
        <v>782.62</v>
      </c>
      <c r="G124" s="159">
        <v>782.62</v>
      </c>
      <c r="H124" s="159">
        <v>782.62</v>
      </c>
      <c r="I124" s="184">
        <f t="shared" si="4"/>
        <v>45978</v>
      </c>
      <c r="J124" s="159" cm="1">
        <f t="array" ref="J124">[15]!CalculateINPC(D124,I124,-1)*H124</f>
        <v>1097.7640363626001</v>
      </c>
      <c r="K124" s="159">
        <f t="shared" si="5"/>
        <v>5321.9178760657096</v>
      </c>
      <c r="L124" s="159" cm="1">
        <f t="array" ref="L124">[15]!CalculateDICetip(D124,I124,1)*H124</f>
        <v>1332.2078435937999</v>
      </c>
      <c r="M124" s="154">
        <v>82745</v>
      </c>
      <c r="N124" s="154" t="s">
        <v>200</v>
      </c>
      <c r="O124" s="154" t="s">
        <v>119</v>
      </c>
      <c r="P124" s="154" t="s">
        <v>120</v>
      </c>
      <c r="Q124" s="154">
        <v>10027</v>
      </c>
      <c r="R124" s="154" t="s">
        <v>106</v>
      </c>
      <c r="S124" s="154">
        <v>44</v>
      </c>
      <c r="T124" s="154" t="s">
        <v>107</v>
      </c>
      <c r="U124" s="154" t="s">
        <v>473</v>
      </c>
      <c r="V124" s="154" t="s">
        <v>137</v>
      </c>
      <c r="W124" s="154" t="s">
        <v>138</v>
      </c>
      <c r="X124" s="154" t="s">
        <v>111</v>
      </c>
      <c r="Y124" s="154" t="s">
        <v>474</v>
      </c>
    </row>
    <row r="125" spans="2:25">
      <c r="B125" s="154" t="s">
        <v>102</v>
      </c>
      <c r="C125" s="154" t="s">
        <v>1402</v>
      </c>
      <c r="D125" s="155">
        <v>43812</v>
      </c>
      <c r="E125" s="155">
        <v>43800</v>
      </c>
      <c r="F125" s="159">
        <v>1112.06</v>
      </c>
      <c r="G125" s="159">
        <v>1112.06</v>
      </c>
      <c r="H125" s="159">
        <v>1112.06</v>
      </c>
      <c r="I125" s="184">
        <f t="shared" si="4"/>
        <v>45978</v>
      </c>
      <c r="J125" s="159" cm="1">
        <f t="array" ref="J125">[15]!CalculateINPC(D125,I125,-1)*H125</f>
        <v>1559.8623524538</v>
      </c>
      <c r="K125" s="159">
        <f t="shared" si="5"/>
        <v>7562.1527602893257</v>
      </c>
      <c r="L125" s="159" cm="1">
        <f t="array" ref="L125">[15]!CalculateDICetip(D125,I125,1)*H125</f>
        <v>1892.9941153394</v>
      </c>
      <c r="M125" s="154">
        <v>82726</v>
      </c>
      <c r="N125" s="154" t="s">
        <v>200</v>
      </c>
      <c r="O125" s="154" t="s">
        <v>119</v>
      </c>
      <c r="P125" s="154" t="s">
        <v>120</v>
      </c>
      <c r="Q125" s="154">
        <v>10027</v>
      </c>
      <c r="R125" s="154" t="s">
        <v>106</v>
      </c>
      <c r="S125" s="154">
        <v>44</v>
      </c>
      <c r="T125" s="154" t="s">
        <v>107</v>
      </c>
      <c r="U125" s="154" t="s">
        <v>433</v>
      </c>
      <c r="V125" s="154" t="s">
        <v>137</v>
      </c>
      <c r="W125" s="154" t="s">
        <v>138</v>
      </c>
      <c r="X125" s="154" t="s">
        <v>111</v>
      </c>
      <c r="Y125" s="154" t="s">
        <v>434</v>
      </c>
    </row>
    <row r="126" spans="2:25">
      <c r="B126" s="154" t="s">
        <v>102</v>
      </c>
      <c r="C126" s="154" t="s">
        <v>1402</v>
      </c>
      <c r="D126" s="155">
        <v>43812</v>
      </c>
      <c r="E126" s="155">
        <v>43800</v>
      </c>
      <c r="F126" s="159">
        <v>16120.3</v>
      </c>
      <c r="G126" s="159">
        <v>16120.3</v>
      </c>
      <c r="H126" s="159">
        <v>16120.3</v>
      </c>
      <c r="I126" s="184">
        <f t="shared" si="4"/>
        <v>45978</v>
      </c>
      <c r="J126" s="159" cm="1">
        <f t="array" ref="J126">[15]!CalculateINPC(D126,I126,-1)*H126</f>
        <v>22611.593871068999</v>
      </c>
      <c r="K126" s="159">
        <f t="shared" si="5"/>
        <v>109620.13842930418</v>
      </c>
      <c r="L126" s="159" cm="1">
        <f t="array" ref="L126">[15]!CalculateDICetip(D126,I126,1)*H126</f>
        <v>27440.635431096998</v>
      </c>
      <c r="M126" s="154">
        <v>82732</v>
      </c>
      <c r="N126" s="154" t="s">
        <v>200</v>
      </c>
      <c r="O126" s="154" t="s">
        <v>119</v>
      </c>
      <c r="P126" s="154" t="s">
        <v>120</v>
      </c>
      <c r="Q126" s="154">
        <v>10027</v>
      </c>
      <c r="R126" s="154" t="s">
        <v>106</v>
      </c>
      <c r="S126" s="154">
        <v>44</v>
      </c>
      <c r="T126" s="154" t="s">
        <v>107</v>
      </c>
      <c r="U126" s="154" t="s">
        <v>378</v>
      </c>
      <c r="V126" s="154" t="s">
        <v>137</v>
      </c>
      <c r="W126" s="154" t="s">
        <v>138</v>
      </c>
      <c r="X126" s="154" t="s">
        <v>111</v>
      </c>
      <c r="Y126" s="154" t="s">
        <v>379</v>
      </c>
    </row>
    <row r="127" spans="2:25">
      <c r="B127" s="154" t="s">
        <v>102</v>
      </c>
      <c r="C127" s="154" t="s">
        <v>1402</v>
      </c>
      <c r="D127" s="155">
        <v>43812</v>
      </c>
      <c r="E127" s="155">
        <v>43800</v>
      </c>
      <c r="F127" s="159">
        <v>93824.33</v>
      </c>
      <c r="G127" s="159">
        <v>93824.33</v>
      </c>
      <c r="H127" s="159">
        <v>93824.33</v>
      </c>
      <c r="I127" s="184">
        <f t="shared" si="4"/>
        <v>45978</v>
      </c>
      <c r="J127" s="159" cm="1">
        <f t="array" ref="J127">[15]!CalculateINPC(D127,I127,-1)*H127</f>
        <v>131605.3451353359</v>
      </c>
      <c r="K127" s="159">
        <f t="shared" si="5"/>
        <v>638017.65740319458</v>
      </c>
      <c r="L127" s="159" cm="1">
        <f t="array" ref="L127">[15]!CalculateDICetip(D127,I127,1)*H127</f>
        <v>159711.62038528669</v>
      </c>
      <c r="M127" s="154">
        <v>82739</v>
      </c>
      <c r="N127" s="154" t="s">
        <v>200</v>
      </c>
      <c r="O127" s="154" t="s">
        <v>119</v>
      </c>
      <c r="P127" s="154" t="s">
        <v>120</v>
      </c>
      <c r="Q127" s="154">
        <v>10027</v>
      </c>
      <c r="R127" s="154" t="s">
        <v>106</v>
      </c>
      <c r="S127" s="154">
        <v>44</v>
      </c>
      <c r="T127" s="154" t="s">
        <v>107</v>
      </c>
      <c r="U127" s="154" t="s">
        <v>251</v>
      </c>
      <c r="V127" s="154" t="s">
        <v>137</v>
      </c>
      <c r="W127" s="154" t="s">
        <v>138</v>
      </c>
      <c r="X127" s="154" t="s">
        <v>111</v>
      </c>
      <c r="Y127" s="154" t="s">
        <v>252</v>
      </c>
    </row>
    <row r="128" spans="2:25">
      <c r="B128" s="154" t="s">
        <v>102</v>
      </c>
      <c r="C128" s="154" t="s">
        <v>1402</v>
      </c>
      <c r="D128" s="155">
        <v>43812</v>
      </c>
      <c r="E128" s="155">
        <v>43800</v>
      </c>
      <c r="F128" s="159">
        <v>168</v>
      </c>
      <c r="G128" s="159">
        <v>168</v>
      </c>
      <c r="H128" s="159">
        <v>168</v>
      </c>
      <c r="I128" s="184">
        <f t="shared" si="4"/>
        <v>45978</v>
      </c>
      <c r="J128" s="159" cm="1">
        <f t="array" ref="J128">[15]!CalculateINPC(D128,I128,-1)*H128</f>
        <v>235.64994264000001</v>
      </c>
      <c r="K128" s="159">
        <f t="shared" si="5"/>
        <v>1142.4218690795522</v>
      </c>
      <c r="L128" s="159" cm="1">
        <f t="array" ref="L128">[15]!CalculateDICetip(D128,I128,1)*H128</f>
        <v>285.97648631999999</v>
      </c>
      <c r="M128" s="154">
        <v>82754</v>
      </c>
      <c r="N128" s="154" t="s">
        <v>200</v>
      </c>
      <c r="O128" s="154" t="s">
        <v>119</v>
      </c>
      <c r="P128" s="154" t="s">
        <v>120</v>
      </c>
      <c r="Q128" s="154">
        <v>10027</v>
      </c>
      <c r="R128" s="154" t="s">
        <v>106</v>
      </c>
      <c r="S128" s="154">
        <v>44</v>
      </c>
      <c r="T128" s="154" t="s">
        <v>107</v>
      </c>
      <c r="U128" s="154" t="s">
        <v>614</v>
      </c>
      <c r="V128" s="154" t="s">
        <v>137</v>
      </c>
      <c r="W128" s="154" t="s">
        <v>138</v>
      </c>
      <c r="X128" s="154" t="s">
        <v>111</v>
      </c>
      <c r="Y128" s="154" t="s">
        <v>615</v>
      </c>
    </row>
    <row r="129" spans="2:25">
      <c r="B129" s="154" t="s">
        <v>102</v>
      </c>
      <c r="C129" s="154" t="s">
        <v>1402</v>
      </c>
      <c r="D129" s="155">
        <v>43812</v>
      </c>
      <c r="E129" s="155">
        <v>43800</v>
      </c>
      <c r="F129" s="159">
        <v>782.62</v>
      </c>
      <c r="G129" s="159">
        <v>782.62</v>
      </c>
      <c r="H129" s="159">
        <v>782.62</v>
      </c>
      <c r="I129" s="184">
        <f t="shared" si="4"/>
        <v>45978</v>
      </c>
      <c r="J129" s="159" cm="1">
        <f t="array" ref="J129">[15]!CalculateINPC(D129,I129,-1)*H129</f>
        <v>1097.7640363626001</v>
      </c>
      <c r="K129" s="159">
        <f t="shared" si="5"/>
        <v>5321.9178760657096</v>
      </c>
      <c r="L129" s="159" cm="1">
        <f t="array" ref="L129">[15]!CalculateDICetip(D129,I129,1)*H129</f>
        <v>1332.2078435937999</v>
      </c>
      <c r="M129" s="154">
        <v>82752</v>
      </c>
      <c r="N129" s="154" t="s">
        <v>200</v>
      </c>
      <c r="O129" s="154" t="s">
        <v>119</v>
      </c>
      <c r="P129" s="154" t="s">
        <v>120</v>
      </c>
      <c r="Q129" s="154">
        <v>10027</v>
      </c>
      <c r="R129" s="154" t="s">
        <v>106</v>
      </c>
      <c r="S129" s="154">
        <v>44</v>
      </c>
      <c r="T129" s="154" t="s">
        <v>107</v>
      </c>
      <c r="U129" s="154" t="s">
        <v>475</v>
      </c>
      <c r="V129" s="154" t="s">
        <v>137</v>
      </c>
      <c r="W129" s="154" t="s">
        <v>138</v>
      </c>
      <c r="X129" s="154" t="s">
        <v>111</v>
      </c>
      <c r="Y129" s="154" t="s">
        <v>476</v>
      </c>
    </row>
    <row r="130" spans="2:25">
      <c r="B130" s="154" t="s">
        <v>102</v>
      </c>
      <c r="C130" s="154" t="s">
        <v>1402</v>
      </c>
      <c r="D130" s="155">
        <v>43812</v>
      </c>
      <c r="E130" s="155">
        <v>43800</v>
      </c>
      <c r="F130" s="159">
        <v>16044.01</v>
      </c>
      <c r="G130" s="159">
        <v>16044.01</v>
      </c>
      <c r="H130" s="159">
        <v>16044.01</v>
      </c>
      <c r="I130" s="184">
        <f t="shared" si="4"/>
        <v>45978</v>
      </c>
      <c r="J130" s="159" cm="1">
        <f t="array" ref="J130">[15]!CalculateINPC(D130,I130,-1)*H130</f>
        <v>22504.583548902301</v>
      </c>
      <c r="K130" s="159">
        <f t="shared" si="5"/>
        <v>109101.35649839896</v>
      </c>
      <c r="L130" s="159" cm="1">
        <f t="array" ref="L130">[15]!CalculateDICetip(D130,I130,1)*H130</f>
        <v>27310.771465969901</v>
      </c>
      <c r="M130" s="154">
        <v>82722</v>
      </c>
      <c r="N130" s="154" t="s">
        <v>200</v>
      </c>
      <c r="O130" s="154" t="s">
        <v>119</v>
      </c>
      <c r="P130" s="154" t="s">
        <v>120</v>
      </c>
      <c r="Q130" s="154">
        <v>10027</v>
      </c>
      <c r="R130" s="154" t="s">
        <v>106</v>
      </c>
      <c r="S130" s="154">
        <v>44</v>
      </c>
      <c r="T130" s="154" t="s">
        <v>107</v>
      </c>
      <c r="U130" s="154" t="s">
        <v>380</v>
      </c>
      <c r="V130" s="154" t="s">
        <v>137</v>
      </c>
      <c r="W130" s="154" t="s">
        <v>138</v>
      </c>
      <c r="X130" s="154" t="s">
        <v>111</v>
      </c>
      <c r="Y130" s="154" t="s">
        <v>381</v>
      </c>
    </row>
    <row r="131" spans="2:25">
      <c r="B131" s="154" t="s">
        <v>102</v>
      </c>
      <c r="C131" s="154" t="s">
        <v>1402</v>
      </c>
      <c r="D131" s="155">
        <v>43812</v>
      </c>
      <c r="E131" s="155">
        <v>43800</v>
      </c>
      <c r="F131" s="159">
        <v>779.9</v>
      </c>
      <c r="G131" s="159">
        <v>779.9</v>
      </c>
      <c r="H131" s="159">
        <v>779.9</v>
      </c>
      <c r="I131" s="184">
        <f t="shared" si="4"/>
        <v>45978</v>
      </c>
      <c r="J131" s="159" cm="1">
        <f t="array" ref="J131">[15]!CalculateINPC(D131,I131,-1)*H131</f>
        <v>1093.9487515769999</v>
      </c>
      <c r="K131" s="159">
        <f t="shared" si="5"/>
        <v>5303.4215219948965</v>
      </c>
      <c r="L131" s="159" cm="1">
        <f t="array" ref="L131">[15]!CalculateDICetip(D131,I131,1)*H131</f>
        <v>1327.577748101</v>
      </c>
      <c r="M131" s="154">
        <v>82753</v>
      </c>
      <c r="N131" s="154" t="s">
        <v>200</v>
      </c>
      <c r="O131" s="154" t="s">
        <v>119</v>
      </c>
      <c r="P131" s="154" t="s">
        <v>120</v>
      </c>
      <c r="Q131" s="154">
        <v>10027</v>
      </c>
      <c r="R131" s="154" t="s">
        <v>106</v>
      </c>
      <c r="S131" s="154">
        <v>44</v>
      </c>
      <c r="T131" s="154" t="s">
        <v>107</v>
      </c>
      <c r="U131" s="154" t="s">
        <v>477</v>
      </c>
      <c r="V131" s="154" t="s">
        <v>137</v>
      </c>
      <c r="W131" s="154" t="s">
        <v>138</v>
      </c>
      <c r="X131" s="154" t="s">
        <v>111</v>
      </c>
      <c r="Y131" s="154" t="s">
        <v>478</v>
      </c>
    </row>
    <row r="132" spans="2:25">
      <c r="B132" s="154" t="s">
        <v>102</v>
      </c>
      <c r="C132" s="154" t="s">
        <v>1402</v>
      </c>
      <c r="D132" s="155">
        <v>43812</v>
      </c>
      <c r="E132" s="155">
        <v>43800</v>
      </c>
      <c r="F132" s="159">
        <v>52596.11</v>
      </c>
      <c r="G132" s="159">
        <v>52596.11</v>
      </c>
      <c r="H132" s="159">
        <v>52596.11</v>
      </c>
      <c r="I132" s="184">
        <f t="shared" si="4"/>
        <v>45978</v>
      </c>
      <c r="J132" s="159" cm="1">
        <f t="array" ref="J132">[15]!CalculateINPC(D132,I132,-1)*H132</f>
        <v>73775.418479685308</v>
      </c>
      <c r="K132" s="159">
        <f t="shared" si="5"/>
        <v>357660.39459829597</v>
      </c>
      <c r="L132" s="159" cm="1">
        <f t="array" ref="L132">[15]!CalculateDICetip(D132,I132,1)*H132</f>
        <v>89531.254356548903</v>
      </c>
      <c r="M132" s="154">
        <v>82727</v>
      </c>
      <c r="N132" s="154" t="s">
        <v>200</v>
      </c>
      <c r="O132" s="154" t="s">
        <v>119</v>
      </c>
      <c r="P132" s="154" t="s">
        <v>120</v>
      </c>
      <c r="Q132" s="154">
        <v>10027</v>
      </c>
      <c r="R132" s="154" t="s">
        <v>106</v>
      </c>
      <c r="S132" s="154">
        <v>44</v>
      </c>
      <c r="T132" s="154" t="s">
        <v>107</v>
      </c>
      <c r="U132" s="154" t="s">
        <v>313</v>
      </c>
      <c r="V132" s="154" t="s">
        <v>137</v>
      </c>
      <c r="W132" s="154" t="s">
        <v>138</v>
      </c>
      <c r="X132" s="154" t="s">
        <v>111</v>
      </c>
      <c r="Y132" s="154" t="s">
        <v>314</v>
      </c>
    </row>
    <row r="133" spans="2:25">
      <c r="B133" s="154" t="s">
        <v>102</v>
      </c>
      <c r="C133" s="154" t="s">
        <v>1402</v>
      </c>
      <c r="D133" s="155">
        <v>43812</v>
      </c>
      <c r="E133" s="155">
        <v>43800</v>
      </c>
      <c r="F133" s="159">
        <v>9917.0400000000009</v>
      </c>
      <c r="G133" s="159">
        <v>9917.0400000000009</v>
      </c>
      <c r="H133" s="159">
        <v>9917.0400000000009</v>
      </c>
      <c r="I133" s="184">
        <f t="shared" si="4"/>
        <v>45978</v>
      </c>
      <c r="J133" s="159" cm="1">
        <f t="array" ref="J133">[15]!CalculateINPC(D133,I133,-1)*H133</f>
        <v>13910.416114039201</v>
      </c>
      <c r="K133" s="159">
        <f t="shared" si="5"/>
        <v>67437.162931765968</v>
      </c>
      <c r="L133" s="159" cm="1">
        <f t="array" ref="L133">[15]!CalculateDICetip(D133,I133,1)*H133</f>
        <v>16881.1919874696</v>
      </c>
      <c r="M133" s="154">
        <v>82728</v>
      </c>
      <c r="N133" s="154" t="s">
        <v>200</v>
      </c>
      <c r="O133" s="154" t="s">
        <v>119</v>
      </c>
      <c r="P133" s="154" t="s">
        <v>120</v>
      </c>
      <c r="Q133" s="154">
        <v>10027</v>
      </c>
      <c r="R133" s="154" t="s">
        <v>106</v>
      </c>
      <c r="S133" s="154">
        <v>44</v>
      </c>
      <c r="T133" s="154" t="s">
        <v>107</v>
      </c>
      <c r="U133" s="154" t="s">
        <v>420</v>
      </c>
      <c r="V133" s="154" t="s">
        <v>137</v>
      </c>
      <c r="W133" s="154" t="s">
        <v>138</v>
      </c>
      <c r="X133" s="154" t="s">
        <v>111</v>
      </c>
      <c r="Y133" s="154" t="s">
        <v>421</v>
      </c>
    </row>
    <row r="134" spans="2:25">
      <c r="B134" s="154" t="s">
        <v>102</v>
      </c>
      <c r="C134" s="154" t="s">
        <v>1402</v>
      </c>
      <c r="D134" s="155">
        <v>43812</v>
      </c>
      <c r="E134" s="155">
        <v>43800</v>
      </c>
      <c r="F134" s="159">
        <v>11623.45</v>
      </c>
      <c r="G134" s="159">
        <v>11623.45</v>
      </c>
      <c r="H134" s="159">
        <v>11623.45</v>
      </c>
      <c r="I134" s="184">
        <f t="shared" si="4"/>
        <v>45978</v>
      </c>
      <c r="J134" s="159" cm="1">
        <f t="array" ref="J134">[15]!CalculateINPC(D134,I134,-1)*H134</f>
        <v>16303.960272493501</v>
      </c>
      <c r="K134" s="159">
        <f t="shared" si="5"/>
        <v>79040.973060432865</v>
      </c>
      <c r="L134" s="159" cm="1">
        <f t="array" ref="L134">[15]!CalculateDICetip(D134,I134,1)*H134</f>
        <v>19785.913035215501</v>
      </c>
      <c r="M134" s="154">
        <v>82721</v>
      </c>
      <c r="N134" s="154" t="s">
        <v>200</v>
      </c>
      <c r="O134" s="154" t="s">
        <v>119</v>
      </c>
      <c r="P134" s="154" t="s">
        <v>120</v>
      </c>
      <c r="Q134" s="154">
        <v>10027</v>
      </c>
      <c r="R134" s="154" t="s">
        <v>106</v>
      </c>
      <c r="S134" s="154">
        <v>44</v>
      </c>
      <c r="T134" s="154" t="s">
        <v>107</v>
      </c>
      <c r="U134" s="154" t="s">
        <v>414</v>
      </c>
      <c r="V134" s="154" t="s">
        <v>137</v>
      </c>
      <c r="W134" s="154" t="s">
        <v>138</v>
      </c>
      <c r="X134" s="154" t="s">
        <v>111</v>
      </c>
      <c r="Y134" s="154" t="s">
        <v>415</v>
      </c>
    </row>
    <row r="135" spans="2:25">
      <c r="B135" s="154" t="s">
        <v>102</v>
      </c>
      <c r="C135" s="154" t="s">
        <v>1401</v>
      </c>
      <c r="D135" s="155">
        <v>45365</v>
      </c>
      <c r="E135" s="155">
        <v>45323</v>
      </c>
      <c r="F135" s="159">
        <v>3853.22</v>
      </c>
      <c r="G135" s="159">
        <v>5.0300000000100002</v>
      </c>
      <c r="H135" s="159">
        <v>5.0300000000100002</v>
      </c>
      <c r="I135" s="184">
        <f t="shared" ref="I135:I198" si="6">$B$4</f>
        <v>45978</v>
      </c>
      <c r="J135" s="159" cm="1">
        <f t="array" ref="J135">[15]!CalculateINPC(D135,I135,-1)*H135</f>
        <v>5.3875415043107102</v>
      </c>
      <c r="K135" s="159">
        <f t="shared" ref="K135:K198" si="7">J135*1.3^((I135-D135)/360)</f>
        <v>8.4219146745822329</v>
      </c>
      <c r="L135" s="159" cm="1">
        <f t="array" ref="L135">[15]!CalculateDICetip(D135,I135,1)*H135</f>
        <v>6.1354201129121986</v>
      </c>
      <c r="M135" s="154">
        <v>193938</v>
      </c>
      <c r="N135" s="154" t="s">
        <v>774</v>
      </c>
      <c r="O135" s="154" t="s">
        <v>442</v>
      </c>
      <c r="P135" s="154" t="s">
        <v>443</v>
      </c>
      <c r="Q135" s="154">
        <v>10027</v>
      </c>
      <c r="R135" s="154" t="s">
        <v>106</v>
      </c>
      <c r="S135" s="154">
        <v>44</v>
      </c>
      <c r="T135" s="154" t="s">
        <v>107</v>
      </c>
      <c r="U135" s="154" t="s">
        <v>775</v>
      </c>
      <c r="V135" s="154" t="s">
        <v>109</v>
      </c>
      <c r="W135" s="154" t="s">
        <v>110</v>
      </c>
      <c r="X135" s="154" t="s">
        <v>130</v>
      </c>
      <c r="Y135" s="154" t="s">
        <v>776</v>
      </c>
    </row>
    <row r="136" spans="2:25">
      <c r="B136" s="154" t="s">
        <v>102</v>
      </c>
      <c r="C136" s="154" t="s">
        <v>1401</v>
      </c>
      <c r="D136" s="155">
        <v>45761</v>
      </c>
      <c r="E136" s="155">
        <v>45751</v>
      </c>
      <c r="F136" s="159">
        <v>9190</v>
      </c>
      <c r="G136" s="159">
        <v>2660.0000000000209</v>
      </c>
      <c r="H136" s="159">
        <v>2660.0000000000209</v>
      </c>
      <c r="I136" s="184">
        <f t="shared" si="6"/>
        <v>45978</v>
      </c>
      <c r="J136" s="159" cm="1">
        <f t="array" ref="J136">[15]!CalculateINPC(D136,I136,-1)*H136</f>
        <v>2703.0680866000212</v>
      </c>
      <c r="K136" s="159">
        <f t="shared" si="7"/>
        <v>3166.2084660968112</v>
      </c>
      <c r="L136" s="159" cm="1">
        <f t="array" ref="L136">[15]!CalculateDICetip(D136,I136,1)*H136</f>
        <v>2888.9752206000226</v>
      </c>
      <c r="M136" s="154">
        <v>246376</v>
      </c>
      <c r="N136" s="154" t="s">
        <v>298</v>
      </c>
      <c r="O136" s="154" t="s">
        <v>232</v>
      </c>
      <c r="P136" s="154" t="s">
        <v>233</v>
      </c>
      <c r="Q136" s="154">
        <v>10027</v>
      </c>
      <c r="R136" s="154" t="s">
        <v>106</v>
      </c>
      <c r="S136" s="154">
        <v>44</v>
      </c>
      <c r="T136" s="154" t="s">
        <v>107</v>
      </c>
      <c r="U136" s="154" t="s">
        <v>299</v>
      </c>
      <c r="V136" s="154" t="s">
        <v>109</v>
      </c>
      <c r="W136" s="154" t="s">
        <v>110</v>
      </c>
      <c r="X136" s="154" t="s">
        <v>130</v>
      </c>
      <c r="Y136" s="154" t="s">
        <v>300</v>
      </c>
    </row>
    <row r="137" spans="2:25">
      <c r="B137" s="154" t="s">
        <v>102</v>
      </c>
      <c r="C137" s="154" t="s">
        <v>1401</v>
      </c>
      <c r="D137" s="155">
        <v>45457</v>
      </c>
      <c r="E137" s="155">
        <v>45449</v>
      </c>
      <c r="F137" s="159">
        <v>63700</v>
      </c>
      <c r="G137" s="159">
        <v>149.99999999975901</v>
      </c>
      <c r="H137" s="159">
        <v>149.99999999975901</v>
      </c>
      <c r="I137" s="184">
        <f t="shared" si="6"/>
        <v>45978</v>
      </c>
      <c r="J137" s="159" cm="1">
        <f t="array" ref="J137">[15]!CalculateINPC(D137,I137,-1)*H137</f>
        <v>159.03471599974449</v>
      </c>
      <c r="K137" s="159">
        <f t="shared" si="7"/>
        <v>232.48411773176025</v>
      </c>
      <c r="L137" s="159" cm="1">
        <f t="array" ref="L137">[15]!CalculateDICetip(D137,I137,1)*H137</f>
        <v>178.41781949971337</v>
      </c>
      <c r="M137" s="154">
        <v>200593</v>
      </c>
      <c r="N137" s="154" t="s">
        <v>225</v>
      </c>
      <c r="O137" s="154" t="s">
        <v>226</v>
      </c>
      <c r="P137" s="154" t="s">
        <v>227</v>
      </c>
      <c r="Q137" s="154">
        <v>10027</v>
      </c>
      <c r="R137" s="154" t="s">
        <v>106</v>
      </c>
      <c r="S137" s="154">
        <v>44</v>
      </c>
      <c r="T137" s="154" t="s">
        <v>107</v>
      </c>
      <c r="U137" s="154" t="s">
        <v>626</v>
      </c>
      <c r="V137" s="154" t="s">
        <v>109</v>
      </c>
      <c r="W137" s="154" t="s">
        <v>110</v>
      </c>
      <c r="X137" s="154" t="s">
        <v>130</v>
      </c>
      <c r="Y137" s="154" t="s">
        <v>627</v>
      </c>
    </row>
    <row r="138" spans="2:25">
      <c r="B138" s="154" t="s">
        <v>102</v>
      </c>
      <c r="C138" s="154" t="s">
        <v>1401</v>
      </c>
      <c r="D138" s="155">
        <v>45121</v>
      </c>
      <c r="E138" s="155">
        <v>45109</v>
      </c>
      <c r="F138" s="159">
        <v>30407.81</v>
      </c>
      <c r="G138" s="159">
        <v>37.449999999993999</v>
      </c>
      <c r="H138" s="159">
        <v>35.146825387945995</v>
      </c>
      <c r="I138" s="184">
        <f t="shared" si="6"/>
        <v>45978</v>
      </c>
      <c r="J138" s="159" cm="1">
        <f t="array" ref="J138">[15]!CalculateINPC(D138,I138,-1)*H138</f>
        <v>38.545258044428692</v>
      </c>
      <c r="K138" s="159">
        <f t="shared" si="7"/>
        <v>71.981258885284902</v>
      </c>
      <c r="L138" s="159" cm="1">
        <f t="array" ref="L138">[15]!CalculateDICetip(D138,I138,1)*H138</f>
        <v>46.274659313745801</v>
      </c>
      <c r="M138" s="154">
        <v>176814</v>
      </c>
      <c r="N138" s="154" t="s">
        <v>493</v>
      </c>
      <c r="O138" s="154" t="s">
        <v>442</v>
      </c>
      <c r="P138" s="154" t="s">
        <v>443</v>
      </c>
      <c r="Q138" s="154">
        <v>10027</v>
      </c>
      <c r="R138" s="154" t="s">
        <v>106</v>
      </c>
      <c r="S138" s="154">
        <v>44</v>
      </c>
      <c r="T138" s="154" t="s">
        <v>107</v>
      </c>
      <c r="U138" s="154" t="s">
        <v>740</v>
      </c>
      <c r="V138" s="154" t="s">
        <v>109</v>
      </c>
      <c r="W138" s="154" t="s">
        <v>110</v>
      </c>
      <c r="X138" s="154" t="s">
        <v>130</v>
      </c>
      <c r="Y138" s="154" t="s">
        <v>741</v>
      </c>
    </row>
    <row r="139" spans="2:25">
      <c r="B139" s="154" t="s">
        <v>102</v>
      </c>
      <c r="C139" s="154" t="s">
        <v>1401</v>
      </c>
      <c r="D139" s="155">
        <v>43783</v>
      </c>
      <c r="E139" s="155">
        <v>43762</v>
      </c>
      <c r="F139" s="159">
        <v>15000</v>
      </c>
      <c r="G139" s="159">
        <v>15000</v>
      </c>
      <c r="H139" s="159">
        <v>13327.5</v>
      </c>
      <c r="I139" s="184">
        <f t="shared" si="6"/>
        <v>45978</v>
      </c>
      <c r="J139" s="159" cm="1">
        <f t="array" ref="J139">[15]!CalculateINPC(D139,I139,-1)*H139</f>
        <v>18795.148856625001</v>
      </c>
      <c r="K139" s="159">
        <f t="shared" si="7"/>
        <v>93064.427361148992</v>
      </c>
      <c r="L139" s="159" cm="1">
        <f t="array" ref="L139">[15]!CalculateDICetip(D139,I139,1)*H139</f>
        <v>22772.481745199999</v>
      </c>
      <c r="M139" s="154">
        <v>80597</v>
      </c>
      <c r="N139" s="154" t="s">
        <v>188</v>
      </c>
      <c r="O139" s="154" t="s">
        <v>189</v>
      </c>
      <c r="P139" s="154" t="s">
        <v>190</v>
      </c>
      <c r="Q139" s="154">
        <v>10027</v>
      </c>
      <c r="R139" s="154" t="s">
        <v>106</v>
      </c>
      <c r="S139" s="154">
        <v>44</v>
      </c>
      <c r="T139" s="154" t="s">
        <v>107</v>
      </c>
      <c r="U139" s="154" t="s">
        <v>191</v>
      </c>
      <c r="V139" s="154" t="s">
        <v>109</v>
      </c>
      <c r="W139" s="154" t="s">
        <v>110</v>
      </c>
      <c r="X139" s="154" t="s">
        <v>130</v>
      </c>
      <c r="Y139" s="154" t="s">
        <v>192</v>
      </c>
    </row>
    <row r="140" spans="2:25">
      <c r="B140" s="154" t="s">
        <v>102</v>
      </c>
      <c r="C140" s="154" t="s">
        <v>1401</v>
      </c>
      <c r="D140" s="155">
        <v>44544</v>
      </c>
      <c r="E140" s="155">
        <v>44538</v>
      </c>
      <c r="F140" s="159">
        <v>900</v>
      </c>
      <c r="G140" s="159">
        <v>900</v>
      </c>
      <c r="H140" s="159">
        <v>900</v>
      </c>
      <c r="I140" s="184">
        <f t="shared" si="6"/>
        <v>45978</v>
      </c>
      <c r="J140" s="159" cm="1">
        <f t="array" ref="J140">[15]!CalculateINPC(D140,I140,-1)*H140</f>
        <v>1081.514817</v>
      </c>
      <c r="K140" s="159">
        <f t="shared" si="7"/>
        <v>3075.4369442719985</v>
      </c>
      <c r="L140" s="159" cm="1">
        <f t="array" ref="L140">[15]!CalculateDICetip(D140,I140,1)*H140</f>
        <v>1431.7653149999999</v>
      </c>
      <c r="M140" s="154">
        <v>121049</v>
      </c>
      <c r="N140" s="154" t="s">
        <v>236</v>
      </c>
      <c r="O140" s="154" t="s">
        <v>237</v>
      </c>
      <c r="P140" s="154" t="s">
        <v>238</v>
      </c>
      <c r="Q140" s="154">
        <v>10027</v>
      </c>
      <c r="R140" s="154" t="s">
        <v>106</v>
      </c>
      <c r="S140" s="154">
        <v>44</v>
      </c>
      <c r="T140" s="154" t="s">
        <v>107</v>
      </c>
      <c r="U140" s="154" t="s">
        <v>393</v>
      </c>
      <c r="V140" s="154" t="s">
        <v>109</v>
      </c>
      <c r="W140" s="154" t="s">
        <v>110</v>
      </c>
      <c r="X140" s="154" t="s">
        <v>240</v>
      </c>
      <c r="Y140" s="154" t="s">
        <v>394</v>
      </c>
    </row>
    <row r="141" spans="2:25">
      <c r="B141" s="154" t="s">
        <v>102</v>
      </c>
      <c r="C141" s="154" t="s">
        <v>1401</v>
      </c>
      <c r="D141" s="155">
        <v>45337</v>
      </c>
      <c r="E141" s="155">
        <v>45323</v>
      </c>
      <c r="F141" s="159">
        <v>30794.25</v>
      </c>
      <c r="G141" s="159">
        <v>91.020000000032994</v>
      </c>
      <c r="H141" s="159">
        <v>85.422288842915989</v>
      </c>
      <c r="I141" s="184">
        <f t="shared" si="6"/>
        <v>45978</v>
      </c>
      <c r="J141" s="159" cm="1">
        <f t="array" ref="J141">[15]!CalculateINPC(D141,I141,-1)*H141</f>
        <v>92.235304937708676</v>
      </c>
      <c r="K141" s="159">
        <f t="shared" si="7"/>
        <v>147.15657012353674</v>
      </c>
      <c r="L141" s="159" cm="1">
        <f t="array" ref="L141">[15]!CalculateDICetip(D141,I141,1)*H141</f>
        <v>105.07299190802051</v>
      </c>
      <c r="M141" s="154">
        <v>191429</v>
      </c>
      <c r="N141" s="154" t="s">
        <v>493</v>
      </c>
      <c r="O141" s="154" t="s">
        <v>442</v>
      </c>
      <c r="P141" s="154" t="s">
        <v>443</v>
      </c>
      <c r="Q141" s="154">
        <v>10027</v>
      </c>
      <c r="R141" s="154" t="s">
        <v>106</v>
      </c>
      <c r="S141" s="154">
        <v>44</v>
      </c>
      <c r="T141" s="154" t="s">
        <v>107</v>
      </c>
      <c r="U141" s="154" t="s">
        <v>676</v>
      </c>
      <c r="V141" s="154" t="s">
        <v>109</v>
      </c>
      <c r="W141" s="154" t="s">
        <v>110</v>
      </c>
      <c r="X141" s="154" t="s">
        <v>130</v>
      </c>
      <c r="Y141" s="154" t="s">
        <v>677</v>
      </c>
    </row>
    <row r="142" spans="2:25">
      <c r="B142" s="154" t="s">
        <v>102</v>
      </c>
      <c r="C142" s="154" t="s">
        <v>1401</v>
      </c>
      <c r="D142" s="155">
        <v>44727</v>
      </c>
      <c r="E142" s="155">
        <v>44713</v>
      </c>
      <c r="F142" s="159">
        <v>701</v>
      </c>
      <c r="G142" s="159">
        <v>311.99999999999699</v>
      </c>
      <c r="H142" s="159">
        <v>311.99999999999699</v>
      </c>
      <c r="I142" s="184">
        <f t="shared" si="6"/>
        <v>45978</v>
      </c>
      <c r="J142" s="159" cm="1">
        <f t="array" ref="J142">[15]!CalculateINPC(D142,I142,-1)*H142</f>
        <v>354.61494743999657</v>
      </c>
      <c r="K142" s="159">
        <f t="shared" si="7"/>
        <v>882.49080080603858</v>
      </c>
      <c r="L142" s="159" cm="1">
        <f t="array" ref="L142">[15]!CalculateDICetip(D142,I142,1)*H142</f>
        <v>471.08276903999547</v>
      </c>
      <c r="M142" s="154">
        <v>151441</v>
      </c>
      <c r="N142" s="154" t="s">
        <v>545</v>
      </c>
      <c r="O142" s="154" t="s">
        <v>533</v>
      </c>
      <c r="P142" s="154" t="s">
        <v>534</v>
      </c>
      <c r="Q142" s="154">
        <v>10027</v>
      </c>
      <c r="R142" s="154" t="s">
        <v>106</v>
      </c>
      <c r="S142" s="154">
        <v>44</v>
      </c>
      <c r="T142" s="154" t="s">
        <v>107</v>
      </c>
      <c r="U142" s="154" t="s">
        <v>546</v>
      </c>
      <c r="V142" s="154" t="s">
        <v>109</v>
      </c>
      <c r="W142" s="154" t="s">
        <v>110</v>
      </c>
      <c r="X142" s="154" t="s">
        <v>130</v>
      </c>
      <c r="Y142" s="154" t="s">
        <v>350</v>
      </c>
    </row>
    <row r="143" spans="2:25">
      <c r="B143" s="154" t="s">
        <v>102</v>
      </c>
      <c r="C143" s="154" t="s">
        <v>1401</v>
      </c>
      <c r="D143" s="155">
        <v>44727</v>
      </c>
      <c r="E143" s="155">
        <v>44713</v>
      </c>
      <c r="F143" s="159">
        <v>3180</v>
      </c>
      <c r="G143" s="159">
        <v>119.99999999998801</v>
      </c>
      <c r="H143" s="159">
        <v>119.99999999998801</v>
      </c>
      <c r="I143" s="184">
        <f t="shared" si="6"/>
        <v>45978</v>
      </c>
      <c r="J143" s="159" cm="1">
        <f t="array" ref="J143">[15]!CalculateINPC(D143,I143,-1)*H143</f>
        <v>136.39036439998637</v>
      </c>
      <c r="K143" s="159">
        <f t="shared" si="7"/>
        <v>339.41953877152264</v>
      </c>
      <c r="L143" s="159" cm="1">
        <f t="array" ref="L143">[15]!CalculateDICetip(D143,I143,1)*H143</f>
        <v>181.18568039998189</v>
      </c>
      <c r="M143" s="154">
        <v>151463</v>
      </c>
      <c r="N143" s="154" t="s">
        <v>422</v>
      </c>
      <c r="O143" s="154" t="s">
        <v>189</v>
      </c>
      <c r="P143" s="154" t="s">
        <v>190</v>
      </c>
      <c r="Q143" s="154">
        <v>10027</v>
      </c>
      <c r="R143" s="154" t="s">
        <v>106</v>
      </c>
      <c r="S143" s="154">
        <v>44</v>
      </c>
      <c r="T143" s="154" t="s">
        <v>107</v>
      </c>
      <c r="U143" s="154" t="s">
        <v>641</v>
      </c>
      <c r="V143" s="154" t="s">
        <v>109</v>
      </c>
      <c r="W143" s="154" t="s">
        <v>110</v>
      </c>
      <c r="X143" s="154" t="s">
        <v>130</v>
      </c>
      <c r="Y143" s="154" t="s">
        <v>642</v>
      </c>
    </row>
    <row r="144" spans="2:25">
      <c r="B144" s="154" t="s">
        <v>102</v>
      </c>
      <c r="C144" s="154" t="s">
        <v>1401</v>
      </c>
      <c r="D144" s="155">
        <v>45092</v>
      </c>
      <c r="E144" s="155">
        <v>45078</v>
      </c>
      <c r="F144" s="159">
        <v>34510.49</v>
      </c>
      <c r="G144" s="159">
        <v>620.47958174735595</v>
      </c>
      <c r="H144" s="159">
        <v>582.3199999998759</v>
      </c>
      <c r="I144" s="184">
        <f t="shared" si="6"/>
        <v>45978</v>
      </c>
      <c r="J144" s="159" cm="1">
        <f t="array" ref="J144">[15]!CalculateINPC(D144,I144,-1)*H144</f>
        <v>637.9876257694641</v>
      </c>
      <c r="K144" s="159">
        <f t="shared" si="7"/>
        <v>1216.8568907518957</v>
      </c>
      <c r="L144" s="159" cm="1">
        <f t="array" ref="L144">[15]!CalculateDICetip(D144,I144,1)*H144</f>
        <v>774.90705409983491</v>
      </c>
      <c r="M144" s="154">
        <v>175227</v>
      </c>
      <c r="N144" s="154" t="s">
        <v>493</v>
      </c>
      <c r="O144" s="154" t="s">
        <v>442</v>
      </c>
      <c r="P144" s="154" t="s">
        <v>443</v>
      </c>
      <c r="Q144" s="154">
        <v>10027</v>
      </c>
      <c r="R144" s="154" t="s">
        <v>106</v>
      </c>
      <c r="S144" s="154">
        <v>44</v>
      </c>
      <c r="T144" s="154" t="s">
        <v>107</v>
      </c>
      <c r="U144" s="154" t="s">
        <v>494</v>
      </c>
      <c r="V144" s="154" t="s">
        <v>137</v>
      </c>
      <c r="W144" s="154" t="s">
        <v>138</v>
      </c>
      <c r="X144" s="154" t="s">
        <v>130</v>
      </c>
      <c r="Y144" s="154" t="s">
        <v>495</v>
      </c>
    </row>
    <row r="145" spans="2:25">
      <c r="B145" s="154" t="s">
        <v>102</v>
      </c>
      <c r="C145" s="154" t="s">
        <v>1401</v>
      </c>
      <c r="D145" s="155">
        <v>44757</v>
      </c>
      <c r="E145" s="155">
        <v>44754</v>
      </c>
      <c r="F145" s="159">
        <v>696.16</v>
      </c>
      <c r="G145" s="159">
        <v>696.16</v>
      </c>
      <c r="H145" s="159">
        <v>696.16</v>
      </c>
      <c r="I145" s="184">
        <f t="shared" si="6"/>
        <v>45978</v>
      </c>
      <c r="J145" s="159" cm="1">
        <f t="array" ref="J145">[15]!CalculateINPC(D145,I145,-1)*H145</f>
        <v>786.37010446879992</v>
      </c>
      <c r="K145" s="159">
        <f t="shared" si="7"/>
        <v>1914.6300216160355</v>
      </c>
      <c r="L145" s="159" cm="1">
        <f t="array" ref="L145">[15]!CalculateDICetip(D145,I145,1)*H145</f>
        <v>1040.3707984128</v>
      </c>
      <c r="M145" s="154">
        <v>153637</v>
      </c>
      <c r="N145" s="154" t="s">
        <v>113</v>
      </c>
      <c r="O145" s="154" t="s">
        <v>114</v>
      </c>
      <c r="P145" s="154" t="s">
        <v>115</v>
      </c>
      <c r="Q145" s="154">
        <v>10027</v>
      </c>
      <c r="R145" s="154" t="s">
        <v>106</v>
      </c>
      <c r="S145" s="154">
        <v>44</v>
      </c>
      <c r="T145" s="154" t="s">
        <v>107</v>
      </c>
      <c r="U145" s="154" t="s">
        <v>134</v>
      </c>
      <c r="V145" s="154" t="s">
        <v>109</v>
      </c>
      <c r="W145" s="154" t="s">
        <v>110</v>
      </c>
      <c r="X145" s="154" t="s">
        <v>117</v>
      </c>
      <c r="Y145" s="154" t="s">
        <v>135</v>
      </c>
    </row>
    <row r="146" spans="2:25">
      <c r="B146" s="154" t="s">
        <v>102</v>
      </c>
      <c r="C146" s="154" t="s">
        <v>1401</v>
      </c>
      <c r="D146" s="155">
        <v>44757</v>
      </c>
      <c r="E146" s="155">
        <v>44750</v>
      </c>
      <c r="F146" s="159">
        <v>5000</v>
      </c>
      <c r="G146" s="159">
        <v>1170</v>
      </c>
      <c r="H146" s="159">
        <v>1170</v>
      </c>
      <c r="I146" s="184">
        <f t="shared" si="6"/>
        <v>45978</v>
      </c>
      <c r="J146" s="159" cm="1">
        <f t="array" ref="J146">[15]!CalculateINPC(D146,I146,-1)*H146</f>
        <v>1321.6114430999999</v>
      </c>
      <c r="K146" s="159">
        <f t="shared" si="7"/>
        <v>3217.8193594730546</v>
      </c>
      <c r="L146" s="159" cm="1">
        <f t="array" ref="L146">[15]!CalculateDICetip(D146,I146,1)*H146</f>
        <v>1748.4972336000001</v>
      </c>
      <c r="M146" s="154">
        <v>153559</v>
      </c>
      <c r="N146" s="154" t="s">
        <v>351</v>
      </c>
      <c r="O146" s="154" t="s">
        <v>154</v>
      </c>
      <c r="P146" s="154" t="s">
        <v>155</v>
      </c>
      <c r="Q146" s="154">
        <v>10027</v>
      </c>
      <c r="R146" s="154" t="s">
        <v>106</v>
      </c>
      <c r="S146" s="154">
        <v>44</v>
      </c>
      <c r="T146" s="154" t="s">
        <v>107</v>
      </c>
      <c r="U146" s="154" t="s">
        <v>352</v>
      </c>
      <c r="V146" s="154" t="s">
        <v>109</v>
      </c>
      <c r="W146" s="154" t="s">
        <v>110</v>
      </c>
      <c r="X146" s="154" t="s">
        <v>130</v>
      </c>
      <c r="Y146" s="154" t="s">
        <v>353</v>
      </c>
    </row>
    <row r="147" spans="2:25">
      <c r="B147" s="154" t="s">
        <v>102</v>
      </c>
      <c r="C147" s="154" t="s">
        <v>1401</v>
      </c>
      <c r="D147" s="155">
        <v>44757</v>
      </c>
      <c r="E147" s="155">
        <v>44754</v>
      </c>
      <c r="F147" s="159">
        <v>696.16</v>
      </c>
      <c r="G147" s="159">
        <v>696.16</v>
      </c>
      <c r="H147" s="159">
        <v>696.16</v>
      </c>
      <c r="I147" s="184">
        <f t="shared" si="6"/>
        <v>45978</v>
      </c>
      <c r="J147" s="159" cm="1">
        <f t="array" ref="J147">[15]!CalculateINPC(D147,I147,-1)*H147</f>
        <v>786.37010446879992</v>
      </c>
      <c r="K147" s="159">
        <f t="shared" si="7"/>
        <v>1914.6300216160355</v>
      </c>
      <c r="L147" s="159" cm="1">
        <f t="array" ref="L147">[15]!CalculateDICetip(D147,I147,1)*H147</f>
        <v>1040.3707984128</v>
      </c>
      <c r="M147" s="154">
        <v>153631</v>
      </c>
      <c r="N147" s="154" t="s">
        <v>113</v>
      </c>
      <c r="O147" s="154" t="s">
        <v>114</v>
      </c>
      <c r="P147" s="154" t="s">
        <v>115</v>
      </c>
      <c r="Q147" s="154">
        <v>10027</v>
      </c>
      <c r="R147" s="154" t="s">
        <v>106</v>
      </c>
      <c r="S147" s="154">
        <v>44</v>
      </c>
      <c r="T147" s="154" t="s">
        <v>107</v>
      </c>
      <c r="U147" s="154" t="s">
        <v>140</v>
      </c>
      <c r="V147" s="154" t="s">
        <v>109</v>
      </c>
      <c r="W147" s="154" t="s">
        <v>110</v>
      </c>
      <c r="X147" s="154" t="s">
        <v>117</v>
      </c>
      <c r="Y147" s="154" t="s">
        <v>141</v>
      </c>
    </row>
    <row r="148" spans="2:25">
      <c r="B148" s="154" t="s">
        <v>102</v>
      </c>
      <c r="C148" s="154" t="s">
        <v>1401</v>
      </c>
      <c r="D148" s="155">
        <v>44757</v>
      </c>
      <c r="E148" s="155">
        <v>44754</v>
      </c>
      <c r="F148" s="159">
        <v>696.16</v>
      </c>
      <c r="G148" s="159">
        <v>696.16</v>
      </c>
      <c r="H148" s="159">
        <v>696.16</v>
      </c>
      <c r="I148" s="184">
        <f t="shared" si="6"/>
        <v>45978</v>
      </c>
      <c r="J148" s="159" cm="1">
        <f t="array" ref="J148">[15]!CalculateINPC(D148,I148,-1)*H148</f>
        <v>786.37010446879992</v>
      </c>
      <c r="K148" s="159">
        <f t="shared" si="7"/>
        <v>1914.6300216160355</v>
      </c>
      <c r="L148" s="159" cm="1">
        <f t="array" ref="L148">[15]!CalculateDICetip(D148,I148,1)*H148</f>
        <v>1040.3707984128</v>
      </c>
      <c r="M148" s="154">
        <v>153621</v>
      </c>
      <c r="N148" s="154" t="s">
        <v>113</v>
      </c>
      <c r="O148" s="154" t="s">
        <v>114</v>
      </c>
      <c r="P148" s="154" t="s">
        <v>115</v>
      </c>
      <c r="Q148" s="154">
        <v>10027</v>
      </c>
      <c r="R148" s="154" t="s">
        <v>106</v>
      </c>
      <c r="S148" s="154">
        <v>44</v>
      </c>
      <c r="T148" s="154" t="s">
        <v>107</v>
      </c>
      <c r="U148" s="154" t="s">
        <v>144</v>
      </c>
      <c r="V148" s="154" t="s">
        <v>109</v>
      </c>
      <c r="W148" s="154" t="s">
        <v>110</v>
      </c>
      <c r="X148" s="154" t="s">
        <v>117</v>
      </c>
      <c r="Y148" s="154" t="s">
        <v>145</v>
      </c>
    </row>
    <row r="149" spans="2:25">
      <c r="B149" s="154" t="s">
        <v>102</v>
      </c>
      <c r="C149" s="154" t="s">
        <v>1401</v>
      </c>
      <c r="D149" s="155">
        <v>44757</v>
      </c>
      <c r="E149" s="155">
        <v>44748</v>
      </c>
      <c r="F149" s="159">
        <v>30000</v>
      </c>
      <c r="G149" s="159">
        <v>1740</v>
      </c>
      <c r="H149" s="159">
        <v>1653</v>
      </c>
      <c r="I149" s="184">
        <f t="shared" si="6"/>
        <v>45978</v>
      </c>
      <c r="J149" s="159" cm="1">
        <f t="array" ref="J149">[15]!CalculateINPC(D149,I149,-1)*H149</f>
        <v>1867.1997567899998</v>
      </c>
      <c r="K149" s="159">
        <f t="shared" si="7"/>
        <v>4546.201197614495</v>
      </c>
      <c r="L149" s="159" cm="1">
        <f t="array" ref="L149">[15]!CalculateDICetip(D149,I149,1)*H149</f>
        <v>2470.3127582400002</v>
      </c>
      <c r="M149" s="154">
        <v>153443</v>
      </c>
      <c r="N149" s="154" t="s">
        <v>326</v>
      </c>
      <c r="O149" s="154" t="s">
        <v>154</v>
      </c>
      <c r="P149" s="154" t="s">
        <v>155</v>
      </c>
      <c r="Q149" s="154">
        <v>10027</v>
      </c>
      <c r="R149" s="154" t="s">
        <v>106</v>
      </c>
      <c r="S149" s="154">
        <v>44</v>
      </c>
      <c r="T149" s="154" t="s">
        <v>107</v>
      </c>
      <c r="U149" s="154" t="s">
        <v>327</v>
      </c>
      <c r="V149" s="154" t="s">
        <v>109</v>
      </c>
      <c r="W149" s="154" t="s">
        <v>110</v>
      </c>
      <c r="X149" s="154" t="s">
        <v>130</v>
      </c>
      <c r="Y149" s="154" t="s">
        <v>328</v>
      </c>
    </row>
    <row r="150" spans="2:25">
      <c r="B150" s="154" t="s">
        <v>102</v>
      </c>
      <c r="C150" s="154" t="s">
        <v>1401</v>
      </c>
      <c r="D150" s="155">
        <v>44757</v>
      </c>
      <c r="E150" s="155">
        <v>44754</v>
      </c>
      <c r="F150" s="159">
        <v>696.16</v>
      </c>
      <c r="G150" s="159">
        <v>696.16</v>
      </c>
      <c r="H150" s="159">
        <v>696.16</v>
      </c>
      <c r="I150" s="184">
        <f t="shared" si="6"/>
        <v>45978</v>
      </c>
      <c r="J150" s="159" cm="1">
        <f t="array" ref="J150">[15]!CalculateINPC(D150,I150,-1)*H150</f>
        <v>786.37010446879992</v>
      </c>
      <c r="K150" s="159">
        <f t="shared" si="7"/>
        <v>1914.6300216160355</v>
      </c>
      <c r="L150" s="159" cm="1">
        <f t="array" ref="L150">[15]!CalculateDICetip(D150,I150,1)*H150</f>
        <v>1040.3707984128</v>
      </c>
      <c r="M150" s="154">
        <v>153646</v>
      </c>
      <c r="N150" s="154" t="s">
        <v>113</v>
      </c>
      <c r="O150" s="154" t="s">
        <v>114</v>
      </c>
      <c r="P150" s="154" t="s">
        <v>115</v>
      </c>
      <c r="Q150" s="154">
        <v>10027</v>
      </c>
      <c r="R150" s="154" t="s">
        <v>106</v>
      </c>
      <c r="S150" s="154">
        <v>44</v>
      </c>
      <c r="T150" s="154" t="s">
        <v>107</v>
      </c>
      <c r="U150" s="154" t="s">
        <v>146</v>
      </c>
      <c r="V150" s="154" t="s">
        <v>109</v>
      </c>
      <c r="W150" s="154" t="s">
        <v>110</v>
      </c>
      <c r="X150" s="154" t="s">
        <v>117</v>
      </c>
      <c r="Y150" s="154" t="s">
        <v>147</v>
      </c>
    </row>
    <row r="151" spans="2:25">
      <c r="B151" s="154" t="s">
        <v>102</v>
      </c>
      <c r="C151" s="154" t="s">
        <v>1401</v>
      </c>
      <c r="D151" s="155">
        <v>44788</v>
      </c>
      <c r="E151" s="155">
        <v>44784</v>
      </c>
      <c r="F151" s="159">
        <v>5663.85</v>
      </c>
      <c r="G151" s="159">
        <v>5663.85</v>
      </c>
      <c r="H151" s="159">
        <v>5663.85</v>
      </c>
      <c r="I151" s="184">
        <f t="shared" si="6"/>
        <v>45978</v>
      </c>
      <c r="J151" s="159" cm="1">
        <f t="array" ref="J151">[15]!CalculateINPC(D151,I151,-1)*H151</f>
        <v>6436.4085419910007</v>
      </c>
      <c r="K151" s="159">
        <f t="shared" si="7"/>
        <v>15321.090706657455</v>
      </c>
      <c r="L151" s="159" cm="1">
        <f t="array" ref="L151">[15]!CalculateDICetip(D151,I151,1)*H151</f>
        <v>8376.574575754501</v>
      </c>
      <c r="M151" s="154">
        <v>155955</v>
      </c>
      <c r="N151" s="154" t="s">
        <v>217</v>
      </c>
      <c r="O151" s="154" t="s">
        <v>218</v>
      </c>
      <c r="P151" s="154" t="s">
        <v>219</v>
      </c>
      <c r="Q151" s="154">
        <v>10027</v>
      </c>
      <c r="R151" s="154" t="s">
        <v>106</v>
      </c>
      <c r="S151" s="154">
        <v>44</v>
      </c>
      <c r="T151" s="154" t="s">
        <v>107</v>
      </c>
      <c r="U151" s="154" t="s">
        <v>223</v>
      </c>
      <c r="V151" s="154" t="s">
        <v>109</v>
      </c>
      <c r="W151" s="154" t="s">
        <v>110</v>
      </c>
      <c r="X151" s="154" t="s">
        <v>221</v>
      </c>
      <c r="Y151" s="154" t="s">
        <v>224</v>
      </c>
    </row>
    <row r="152" spans="2:25">
      <c r="B152" s="154" t="s">
        <v>102</v>
      </c>
      <c r="C152" s="154" t="s">
        <v>1401</v>
      </c>
      <c r="D152" s="155">
        <v>45153</v>
      </c>
      <c r="E152" s="155">
        <v>45142</v>
      </c>
      <c r="F152" s="159">
        <v>1890</v>
      </c>
      <c r="G152" s="159">
        <v>620.00000000000398</v>
      </c>
      <c r="H152" s="159">
        <v>620.00000000000398</v>
      </c>
      <c r="I152" s="184">
        <f t="shared" si="6"/>
        <v>45978</v>
      </c>
      <c r="J152" s="159" cm="1">
        <f t="array" ref="J152">[15]!CalculateINPC(D152,I152,-1)*H152</f>
        <v>680.56205260000434</v>
      </c>
      <c r="K152" s="159">
        <f t="shared" si="7"/>
        <v>1241.6177484070161</v>
      </c>
      <c r="L152" s="159" cm="1">
        <f t="array" ref="L152">[15]!CalculateDICetip(D152,I152,1)*H152</f>
        <v>807.3434470000052</v>
      </c>
      <c r="M152" s="154">
        <v>179152</v>
      </c>
      <c r="N152" s="154" t="s">
        <v>486</v>
      </c>
      <c r="O152" s="154" t="s">
        <v>232</v>
      </c>
      <c r="P152" s="154" t="s">
        <v>233</v>
      </c>
      <c r="Q152" s="154">
        <v>10027</v>
      </c>
      <c r="R152" s="154" t="s">
        <v>106</v>
      </c>
      <c r="S152" s="154">
        <v>44</v>
      </c>
      <c r="T152" s="154" t="s">
        <v>107</v>
      </c>
      <c r="U152" s="154" t="s">
        <v>487</v>
      </c>
      <c r="V152" s="154" t="s">
        <v>109</v>
      </c>
      <c r="W152" s="154" t="s">
        <v>110</v>
      </c>
      <c r="X152" s="154" t="s">
        <v>362</v>
      </c>
      <c r="Y152" s="154" t="s">
        <v>488</v>
      </c>
    </row>
    <row r="153" spans="2:25">
      <c r="B153" s="154" t="s">
        <v>102</v>
      </c>
      <c r="C153" s="154" t="s">
        <v>1401</v>
      </c>
      <c r="D153" s="155">
        <v>45184</v>
      </c>
      <c r="E153" s="155">
        <v>45163</v>
      </c>
      <c r="F153" s="159">
        <v>2430</v>
      </c>
      <c r="G153" s="159">
        <v>599.99999999999102</v>
      </c>
      <c r="H153" s="159">
        <v>599.99999999999102</v>
      </c>
      <c r="I153" s="184">
        <f t="shared" si="6"/>
        <v>45978</v>
      </c>
      <c r="J153" s="159" cm="1">
        <f t="array" ref="J153">[15]!CalculateINPC(D153,I153,-1)*H153</f>
        <v>657.29387999999017</v>
      </c>
      <c r="K153" s="159">
        <f t="shared" si="7"/>
        <v>1172.3788696125075</v>
      </c>
      <c r="L153" s="159" cm="1">
        <f t="array" ref="L153">[15]!CalculateDICetip(D153,I153,1)*H153</f>
        <v>772.91867999998851</v>
      </c>
      <c r="M153" s="154">
        <v>181473</v>
      </c>
      <c r="N153" s="154" t="s">
        <v>307</v>
      </c>
      <c r="O153" s="154" t="s">
        <v>232</v>
      </c>
      <c r="P153" s="154" t="s">
        <v>233</v>
      </c>
      <c r="Q153" s="154">
        <v>10027</v>
      </c>
      <c r="R153" s="154" t="s">
        <v>106</v>
      </c>
      <c r="S153" s="154">
        <v>44</v>
      </c>
      <c r="T153" s="154" t="s">
        <v>107</v>
      </c>
      <c r="U153" s="154" t="s">
        <v>491</v>
      </c>
      <c r="V153" s="154" t="s">
        <v>109</v>
      </c>
      <c r="W153" s="154" t="s">
        <v>110</v>
      </c>
      <c r="X153" s="154" t="s">
        <v>130</v>
      </c>
      <c r="Y153" s="154" t="s">
        <v>492</v>
      </c>
    </row>
    <row r="154" spans="2:25">
      <c r="B154" s="154" t="s">
        <v>102</v>
      </c>
      <c r="C154" s="154" t="s">
        <v>1401</v>
      </c>
      <c r="D154" s="155">
        <v>44942</v>
      </c>
      <c r="E154" s="155">
        <v>44868</v>
      </c>
      <c r="F154" s="159">
        <v>16460</v>
      </c>
      <c r="G154" s="159">
        <v>1050.0000000000359</v>
      </c>
      <c r="H154" s="159">
        <v>1050.0000000000359</v>
      </c>
      <c r="I154" s="184">
        <f t="shared" si="6"/>
        <v>45978</v>
      </c>
      <c r="J154" s="159" cm="1">
        <f t="array" ref="J154">[15]!CalculateINPC(D154,I154,-1)*H154</f>
        <v>1182.4730295000404</v>
      </c>
      <c r="K154" s="159">
        <f t="shared" si="7"/>
        <v>2515.9087821096459</v>
      </c>
      <c r="L154" s="159" cm="1">
        <f t="array" ref="L154">[15]!CalculateDICetip(D154,I154,1)*H154</f>
        <v>1471.5315720000503</v>
      </c>
      <c r="M154" s="154">
        <v>165258</v>
      </c>
      <c r="N154" s="154" t="s">
        <v>358</v>
      </c>
      <c r="O154" s="154" t="s">
        <v>290</v>
      </c>
      <c r="P154" s="154" t="s">
        <v>291</v>
      </c>
      <c r="Q154" s="154">
        <v>10027</v>
      </c>
      <c r="R154" s="154" t="s">
        <v>106</v>
      </c>
      <c r="S154" s="154">
        <v>44</v>
      </c>
      <c r="T154" s="154" t="s">
        <v>107</v>
      </c>
      <c r="U154" s="154" t="s">
        <v>359</v>
      </c>
      <c r="V154" s="154" t="s">
        <v>109</v>
      </c>
      <c r="W154" s="154" t="s">
        <v>110</v>
      </c>
      <c r="X154" s="154" t="s">
        <v>130</v>
      </c>
      <c r="Y154" s="154" t="s">
        <v>360</v>
      </c>
    </row>
    <row r="155" spans="2:25">
      <c r="B155" s="154" t="s">
        <v>102</v>
      </c>
      <c r="C155" s="154" t="s">
        <v>1401</v>
      </c>
      <c r="D155" s="155">
        <v>44973</v>
      </c>
      <c r="E155" s="155">
        <v>44960</v>
      </c>
      <c r="F155" s="159">
        <v>54164.47</v>
      </c>
      <c r="G155" s="159">
        <v>0.89999999997500002</v>
      </c>
      <c r="H155" s="159">
        <v>0.84464991531800004</v>
      </c>
      <c r="I155" s="184">
        <f t="shared" si="6"/>
        <v>45978</v>
      </c>
      <c r="J155" s="159" cm="1">
        <f t="array" ref="J155">[15]!CalculateINPC(D155,I155,-1)*H155</f>
        <v>0.9468592024663115</v>
      </c>
      <c r="K155" s="159">
        <f t="shared" si="7"/>
        <v>1.969596495893309</v>
      </c>
      <c r="L155" s="159" cm="1">
        <f t="array" ref="L155">[15]!CalculateDICetip(D155,I155,1)*H155</f>
        <v>1.1699982596260767</v>
      </c>
      <c r="M155" s="154">
        <v>167204</v>
      </c>
      <c r="N155" s="154" t="s">
        <v>629</v>
      </c>
      <c r="O155" s="154" t="s">
        <v>442</v>
      </c>
      <c r="P155" s="154" t="s">
        <v>443</v>
      </c>
      <c r="Q155" s="154">
        <v>10027</v>
      </c>
      <c r="R155" s="154" t="s">
        <v>106</v>
      </c>
      <c r="S155" s="154">
        <v>44</v>
      </c>
      <c r="T155" s="154" t="s">
        <v>107</v>
      </c>
      <c r="U155" s="154" t="s">
        <v>781</v>
      </c>
      <c r="V155" s="154" t="s">
        <v>109</v>
      </c>
      <c r="W155" s="154" t="s">
        <v>110</v>
      </c>
      <c r="X155" s="154" t="s">
        <v>130</v>
      </c>
      <c r="Y155" s="154" t="s">
        <v>782</v>
      </c>
    </row>
    <row r="156" spans="2:25">
      <c r="B156" s="154" t="s">
        <v>102</v>
      </c>
      <c r="C156" s="154" t="s">
        <v>1401</v>
      </c>
      <c r="D156" s="155">
        <v>44636</v>
      </c>
      <c r="E156" s="155">
        <v>44628</v>
      </c>
      <c r="F156" s="159">
        <v>200</v>
      </c>
      <c r="G156" s="159">
        <v>200</v>
      </c>
      <c r="H156" s="159">
        <v>200</v>
      </c>
      <c r="I156" s="184">
        <f t="shared" si="6"/>
        <v>45978</v>
      </c>
      <c r="J156" s="159" cm="1">
        <f t="array" ref="J156">[15]!CalculateINPC(D156,I156,-1)*H156</f>
        <v>234.66045599999998</v>
      </c>
      <c r="K156" s="159">
        <f t="shared" si="7"/>
        <v>624.01554255225631</v>
      </c>
      <c r="L156" s="159" cm="1">
        <f t="array" ref="L156">[15]!CalculateDICetip(D156,I156,1)*H156</f>
        <v>310.71868999999998</v>
      </c>
      <c r="M156" s="154">
        <v>146615</v>
      </c>
      <c r="N156" s="154" t="s">
        <v>236</v>
      </c>
      <c r="O156" s="154" t="s">
        <v>237</v>
      </c>
      <c r="P156" s="154" t="s">
        <v>238</v>
      </c>
      <c r="Q156" s="154">
        <v>10027</v>
      </c>
      <c r="R156" s="154" t="s">
        <v>106</v>
      </c>
      <c r="S156" s="154">
        <v>44</v>
      </c>
      <c r="T156" s="154" t="s">
        <v>107</v>
      </c>
      <c r="U156" s="154" t="s">
        <v>597</v>
      </c>
      <c r="V156" s="154" t="s">
        <v>109</v>
      </c>
      <c r="W156" s="154" t="s">
        <v>110</v>
      </c>
      <c r="X156" s="154" t="s">
        <v>240</v>
      </c>
      <c r="Y156" s="154" t="s">
        <v>598</v>
      </c>
    </row>
    <row r="157" spans="2:25">
      <c r="B157" s="154" t="s">
        <v>102</v>
      </c>
      <c r="C157" s="154" t="s">
        <v>1401</v>
      </c>
      <c r="D157" s="155">
        <v>45001</v>
      </c>
      <c r="E157" s="155">
        <v>44960</v>
      </c>
      <c r="F157" s="159">
        <v>2518.65</v>
      </c>
      <c r="G157" s="159">
        <v>4.1850035639999998E-2</v>
      </c>
      <c r="H157" s="159">
        <v>4.1850035639999998E-2</v>
      </c>
      <c r="I157" s="184">
        <f t="shared" si="6"/>
        <v>45978</v>
      </c>
      <c r="J157" s="159" cm="1">
        <f t="array" ref="J157">[15]!CalculateINPC(D157,I157,-1)*H157</f>
        <v>4.6555773756963882E-2</v>
      </c>
      <c r="K157" s="159">
        <f t="shared" si="7"/>
        <v>9.4886220195980822E-2</v>
      </c>
      <c r="L157" s="159" cm="1">
        <f t="array" ref="L157">[15]!CalculateDICetip(D157,I157,1)*H157</f>
        <v>5.7442729076427619E-2</v>
      </c>
      <c r="M157" s="154">
        <v>167946</v>
      </c>
      <c r="N157" s="154" t="s">
        <v>103</v>
      </c>
      <c r="O157" s="154" t="s">
        <v>460</v>
      </c>
      <c r="P157" s="154" t="s">
        <v>461</v>
      </c>
      <c r="Q157" s="154">
        <v>10027</v>
      </c>
      <c r="R157" s="154" t="s">
        <v>106</v>
      </c>
      <c r="S157" s="154">
        <v>44</v>
      </c>
      <c r="T157" s="154" t="s">
        <v>107</v>
      </c>
      <c r="U157" s="154" t="s">
        <v>784</v>
      </c>
      <c r="V157" s="154" t="s">
        <v>109</v>
      </c>
      <c r="W157" s="154" t="s">
        <v>110</v>
      </c>
      <c r="X157" s="154" t="s">
        <v>111</v>
      </c>
      <c r="Y157" s="154" t="s">
        <v>782</v>
      </c>
    </row>
    <row r="158" spans="2:25">
      <c r="B158" s="154" t="s">
        <v>102</v>
      </c>
      <c r="C158" s="154" t="s">
        <v>1401</v>
      </c>
      <c r="D158" s="155">
        <v>45001</v>
      </c>
      <c r="E158" s="155">
        <v>44960</v>
      </c>
      <c r="F158" s="159">
        <v>812.47</v>
      </c>
      <c r="G158" s="159">
        <v>1.3500049017E-2</v>
      </c>
      <c r="H158" s="159">
        <v>1.3500049017E-2</v>
      </c>
      <c r="I158" s="184">
        <f t="shared" si="6"/>
        <v>45978</v>
      </c>
      <c r="J158" s="159" cm="1">
        <f t="array" ref="J158">[15]!CalculateINPC(D158,I158,-1)*H158</f>
        <v>1.5018033273612159E-2</v>
      </c>
      <c r="K158" s="159">
        <f t="shared" si="7"/>
        <v>3.060854319701594E-2</v>
      </c>
      <c r="L158" s="159" cm="1">
        <f t="array" ref="L158">[15]!CalculateDICetip(D158,I158,1)*H158</f>
        <v>1.8529964104996494E-2</v>
      </c>
      <c r="M158" s="154">
        <v>167945</v>
      </c>
      <c r="N158" s="154" t="s">
        <v>103</v>
      </c>
      <c r="O158" s="154" t="s">
        <v>587</v>
      </c>
      <c r="P158" s="154" t="s">
        <v>588</v>
      </c>
      <c r="Q158" s="154">
        <v>10027</v>
      </c>
      <c r="R158" s="154" t="s">
        <v>106</v>
      </c>
      <c r="S158" s="154">
        <v>44</v>
      </c>
      <c r="T158" s="154" t="s">
        <v>107</v>
      </c>
      <c r="U158" s="154" t="s">
        <v>785</v>
      </c>
      <c r="V158" s="154" t="s">
        <v>109</v>
      </c>
      <c r="W158" s="154" t="s">
        <v>110</v>
      </c>
      <c r="X158" s="154" t="s">
        <v>111</v>
      </c>
      <c r="Y158" s="154" t="s">
        <v>782</v>
      </c>
    </row>
    <row r="159" spans="2:25">
      <c r="B159" s="154" t="s">
        <v>257</v>
      </c>
      <c r="C159" s="154" t="s">
        <v>1401</v>
      </c>
      <c r="D159" s="155">
        <v>45428</v>
      </c>
      <c r="E159" s="155">
        <v>45413</v>
      </c>
      <c r="F159" s="159">
        <v>98159.06</v>
      </c>
      <c r="G159" s="159">
        <v>2817.7399999999111</v>
      </c>
      <c r="H159" s="159">
        <v>2817.7399999999111</v>
      </c>
      <c r="I159" s="184">
        <f t="shared" si="6"/>
        <v>45978</v>
      </c>
      <c r="J159" s="159" cm="1">
        <f t="array" ref="J159">[15]!CalculateINPC(D159,I159,-1)*H159</f>
        <v>3001.2002618373053</v>
      </c>
      <c r="K159" s="159">
        <f t="shared" si="7"/>
        <v>4481.0015820893641</v>
      </c>
      <c r="L159" s="159" cm="1">
        <f t="array" ref="L159">[15]!CalculateDICetip(D159,I159,1)*H159</f>
        <v>3377.9884828146933</v>
      </c>
      <c r="M159" s="154">
        <v>198396</v>
      </c>
      <c r="N159" s="154" t="s">
        <v>258</v>
      </c>
      <c r="O159" s="154" t="s">
        <v>243</v>
      </c>
      <c r="P159" s="154" t="s">
        <v>244</v>
      </c>
      <c r="Q159" s="154">
        <v>10027</v>
      </c>
      <c r="R159" s="154" t="s">
        <v>106</v>
      </c>
      <c r="S159" s="154">
        <v>44</v>
      </c>
      <c r="T159" s="154" t="s">
        <v>107</v>
      </c>
      <c r="U159" s="154" t="s">
        <v>288</v>
      </c>
      <c r="V159" s="154" t="s">
        <v>260</v>
      </c>
      <c r="W159" s="154" t="s">
        <v>261</v>
      </c>
      <c r="X159" s="154" t="s">
        <v>262</v>
      </c>
      <c r="Y159" s="154" t="s">
        <v>289</v>
      </c>
    </row>
    <row r="160" spans="2:25">
      <c r="B160" s="154" t="s">
        <v>102</v>
      </c>
      <c r="C160" s="154" t="s">
        <v>1401</v>
      </c>
      <c r="D160" s="155">
        <v>45824</v>
      </c>
      <c r="E160" s="155">
        <v>45821</v>
      </c>
      <c r="F160" s="159">
        <v>1581.1</v>
      </c>
      <c r="G160" s="159">
        <v>1581.1</v>
      </c>
      <c r="H160" s="159">
        <v>1581.1</v>
      </c>
      <c r="I160" s="184">
        <f t="shared" si="6"/>
        <v>45978</v>
      </c>
      <c r="J160" s="159" cm="1">
        <f t="array" ref="J160">[15]!CalculateINPC(D160,I160,-1)*H160</f>
        <v>1593.4471577419997</v>
      </c>
      <c r="K160" s="159">
        <f t="shared" si="7"/>
        <v>1782.7075341403922</v>
      </c>
      <c r="L160" s="159" cm="1">
        <f t="array" ref="L160">[15]!CalculateDICetip(D160,I160,1)*H160</f>
        <v>1678.954199945</v>
      </c>
      <c r="M160" s="154">
        <v>256643</v>
      </c>
      <c r="N160" s="154" t="s">
        <v>236</v>
      </c>
      <c r="O160" s="154" t="s">
        <v>894</v>
      </c>
      <c r="P160" s="154" t="s">
        <v>895</v>
      </c>
      <c r="Q160" s="154">
        <v>10027</v>
      </c>
      <c r="R160" s="154" t="s">
        <v>106</v>
      </c>
      <c r="S160" s="154">
        <v>44</v>
      </c>
      <c r="T160" s="154" t="s">
        <v>107</v>
      </c>
      <c r="U160" s="154" t="s">
        <v>896</v>
      </c>
      <c r="V160" s="154" t="s">
        <v>109</v>
      </c>
      <c r="W160" s="154" t="s">
        <v>110</v>
      </c>
      <c r="X160" s="154" t="s">
        <v>240</v>
      </c>
      <c r="Y160" s="154" t="s">
        <v>897</v>
      </c>
    </row>
    <row r="161" spans="2:25">
      <c r="B161" s="154" t="s">
        <v>102</v>
      </c>
      <c r="C161" s="154" t="s">
        <v>1401</v>
      </c>
      <c r="D161" s="155">
        <v>44789</v>
      </c>
      <c r="E161" s="155">
        <v>44775</v>
      </c>
      <c r="F161" s="159">
        <v>3892</v>
      </c>
      <c r="G161" s="159">
        <v>306.00000000000801</v>
      </c>
      <c r="H161" s="159">
        <v>306.00000000000801</v>
      </c>
      <c r="I161" s="184">
        <f t="shared" si="6"/>
        <v>45978</v>
      </c>
      <c r="J161" s="159" cm="1">
        <f t="array" ref="J161">[15]!CalculateINPC(D161,I161,-1)*H161</f>
        <v>347.7389079600091</v>
      </c>
      <c r="K161" s="159">
        <f t="shared" si="7"/>
        <v>827.14730268124072</v>
      </c>
      <c r="L161" s="159" cm="1">
        <f t="array" ref="L161">[15]!CalculateDICetip(D161,I161,1)*H161</f>
        <v>452.33024652001188</v>
      </c>
      <c r="M161" s="154">
        <v>156039</v>
      </c>
      <c r="N161" s="154" t="s">
        <v>547</v>
      </c>
      <c r="O161" s="154" t="s">
        <v>533</v>
      </c>
      <c r="P161" s="154" t="s">
        <v>534</v>
      </c>
      <c r="Q161" s="154">
        <v>10027</v>
      </c>
      <c r="R161" s="154" t="s">
        <v>106</v>
      </c>
      <c r="S161" s="154">
        <v>44</v>
      </c>
      <c r="T161" s="154" t="s">
        <v>107</v>
      </c>
      <c r="U161" s="154" t="s">
        <v>548</v>
      </c>
      <c r="V161" s="154" t="s">
        <v>137</v>
      </c>
      <c r="W161" s="154" t="s">
        <v>138</v>
      </c>
      <c r="X161" s="154" t="s">
        <v>130</v>
      </c>
      <c r="Y161" s="154" t="s">
        <v>549</v>
      </c>
    </row>
    <row r="162" spans="2:25">
      <c r="B162" s="154" t="s">
        <v>102</v>
      </c>
      <c r="C162" s="154" t="s">
        <v>1401</v>
      </c>
      <c r="D162" s="155">
        <v>45551</v>
      </c>
      <c r="E162" s="155">
        <v>45545</v>
      </c>
      <c r="F162" s="159">
        <v>166.54</v>
      </c>
      <c r="G162" s="159">
        <v>166.54</v>
      </c>
      <c r="H162" s="159">
        <v>166.54</v>
      </c>
      <c r="I162" s="184">
        <f t="shared" si="6"/>
        <v>45978</v>
      </c>
      <c r="J162" s="159" cm="1">
        <f t="array" ref="J162">[15]!CalculateINPC(D162,I162,-1)*H162</f>
        <v>175.91993749220001</v>
      </c>
      <c r="K162" s="159">
        <f t="shared" si="7"/>
        <v>240.14001766657034</v>
      </c>
      <c r="L162" s="159" cm="1">
        <f t="array" ref="L162">[15]!CalculateDICetip(D162,I162,1)*H162</f>
        <v>193.024131751</v>
      </c>
      <c r="M162" s="154">
        <v>216478</v>
      </c>
      <c r="N162" s="154" t="s">
        <v>236</v>
      </c>
      <c r="O162" s="154" t="s">
        <v>237</v>
      </c>
      <c r="P162" s="154" t="s">
        <v>238</v>
      </c>
      <c r="Q162" s="154">
        <v>10027</v>
      </c>
      <c r="R162" s="154" t="s">
        <v>106</v>
      </c>
      <c r="S162" s="154">
        <v>44</v>
      </c>
      <c r="T162" s="154" t="s">
        <v>107</v>
      </c>
      <c r="U162" s="154" t="s">
        <v>616</v>
      </c>
      <c r="V162" s="154" t="s">
        <v>109</v>
      </c>
      <c r="W162" s="154" t="s">
        <v>110</v>
      </c>
      <c r="X162" s="154" t="s">
        <v>240</v>
      </c>
      <c r="Y162" s="154" t="s">
        <v>617</v>
      </c>
    </row>
    <row r="163" spans="2:25">
      <c r="B163" s="154" t="s">
        <v>102</v>
      </c>
      <c r="C163" s="154" t="s">
        <v>1401</v>
      </c>
      <c r="D163" s="155">
        <v>44516</v>
      </c>
      <c r="E163" s="155">
        <v>44505</v>
      </c>
      <c r="F163" s="159">
        <v>400</v>
      </c>
      <c r="G163" s="159">
        <v>400</v>
      </c>
      <c r="H163" s="159">
        <v>400</v>
      </c>
      <c r="I163" s="184">
        <f t="shared" si="6"/>
        <v>45978</v>
      </c>
      <c r="J163" s="159" cm="1">
        <f t="array" ref="J163">[15]!CalculateINPC(D163,I163,-1)*H163</f>
        <v>484.71076799999997</v>
      </c>
      <c r="K163" s="159">
        <f t="shared" si="7"/>
        <v>1406.757638226152</v>
      </c>
      <c r="L163" s="159" cm="1">
        <f t="array" ref="L163">[15]!CalculateDICetip(D163,I163,1)*H163</f>
        <v>640.17931199999998</v>
      </c>
      <c r="M163" s="154">
        <v>118564</v>
      </c>
      <c r="N163" s="154" t="s">
        <v>236</v>
      </c>
      <c r="O163" s="154" t="s">
        <v>126</v>
      </c>
      <c r="P163" s="154" t="s">
        <v>127</v>
      </c>
      <c r="Q163" s="154">
        <v>10027</v>
      </c>
      <c r="R163" s="154" t="s">
        <v>106</v>
      </c>
      <c r="S163" s="154">
        <v>44</v>
      </c>
      <c r="T163" s="154" t="s">
        <v>107</v>
      </c>
      <c r="U163" s="154" t="s">
        <v>522</v>
      </c>
      <c r="V163" s="154" t="s">
        <v>109</v>
      </c>
      <c r="W163" s="154" t="s">
        <v>110</v>
      </c>
      <c r="X163" s="154" t="s">
        <v>399</v>
      </c>
      <c r="Y163" s="154" t="s">
        <v>523</v>
      </c>
    </row>
    <row r="164" spans="2:25">
      <c r="B164" s="154" t="s">
        <v>102</v>
      </c>
      <c r="C164" s="154" t="s">
        <v>1401</v>
      </c>
      <c r="D164" s="155">
        <v>44881</v>
      </c>
      <c r="E164" s="155">
        <v>44876</v>
      </c>
      <c r="F164" s="159">
        <v>4281.74</v>
      </c>
      <c r="G164" s="159">
        <v>4281.74</v>
      </c>
      <c r="H164" s="159">
        <v>4281.74</v>
      </c>
      <c r="I164" s="184">
        <f t="shared" si="6"/>
        <v>45978</v>
      </c>
      <c r="J164" s="159" cm="1">
        <f t="array" ref="J164">[15]!CalculateINPC(D164,I164,-1)*H164</f>
        <v>4873.6673479691999</v>
      </c>
      <c r="K164" s="159">
        <f t="shared" si="7"/>
        <v>10840.931451304818</v>
      </c>
      <c r="L164" s="159" cm="1">
        <f t="array" ref="L164">[15]!CalculateDICetip(D164,I164,1)*H164</f>
        <v>6133.1368872291996</v>
      </c>
      <c r="M164" s="154">
        <v>161619</v>
      </c>
      <c r="N164" s="154" t="s">
        <v>175</v>
      </c>
      <c r="O164" s="154" t="s">
        <v>119</v>
      </c>
      <c r="P164" s="154" t="s">
        <v>120</v>
      </c>
      <c r="Q164" s="154">
        <v>10027</v>
      </c>
      <c r="R164" s="154" t="s">
        <v>106</v>
      </c>
      <c r="S164" s="154">
        <v>44</v>
      </c>
      <c r="T164" s="154" t="s">
        <v>107</v>
      </c>
      <c r="U164" s="154" t="s">
        <v>176</v>
      </c>
      <c r="V164" s="154" t="s">
        <v>109</v>
      </c>
      <c r="W164" s="154" t="s">
        <v>110</v>
      </c>
      <c r="X164" s="154" t="s">
        <v>117</v>
      </c>
      <c r="Y164" s="154" t="s">
        <v>177</v>
      </c>
    </row>
    <row r="165" spans="2:25">
      <c r="B165" s="154" t="s">
        <v>102</v>
      </c>
      <c r="C165" s="154" t="s">
        <v>1401</v>
      </c>
      <c r="D165" s="155">
        <v>44881</v>
      </c>
      <c r="E165" s="155">
        <v>44876</v>
      </c>
      <c r="F165" s="159">
        <v>2061.09</v>
      </c>
      <c r="G165" s="159">
        <v>2061.09</v>
      </c>
      <c r="H165" s="159">
        <v>2061.09</v>
      </c>
      <c r="I165" s="184">
        <f t="shared" si="6"/>
        <v>45978</v>
      </c>
      <c r="J165" s="159" cm="1">
        <f t="array" ref="J165">[15]!CalculateINPC(D165,I165,-1)*H165</f>
        <v>2346.0245213922003</v>
      </c>
      <c r="K165" s="159">
        <f t="shared" si="7"/>
        <v>5218.4708564671955</v>
      </c>
      <c r="L165" s="159" cm="1">
        <f t="array" ref="L165">[15]!CalculateDICetip(D165,I165,1)*H165</f>
        <v>2952.2920838022005</v>
      </c>
      <c r="M165" s="154">
        <v>161618</v>
      </c>
      <c r="N165" s="154" t="s">
        <v>113</v>
      </c>
      <c r="O165" s="154" t="s">
        <v>119</v>
      </c>
      <c r="P165" s="154" t="s">
        <v>120</v>
      </c>
      <c r="Q165" s="154">
        <v>10027</v>
      </c>
      <c r="R165" s="154" t="s">
        <v>106</v>
      </c>
      <c r="S165" s="154">
        <v>44</v>
      </c>
      <c r="T165" s="154" t="s">
        <v>107</v>
      </c>
      <c r="U165" s="154" t="s">
        <v>121</v>
      </c>
      <c r="V165" s="154" t="s">
        <v>109</v>
      </c>
      <c r="W165" s="154" t="s">
        <v>110</v>
      </c>
      <c r="X165" s="154" t="s">
        <v>117</v>
      </c>
      <c r="Y165" s="154" t="s">
        <v>122</v>
      </c>
    </row>
    <row r="166" spans="2:25">
      <c r="B166" s="154" t="s">
        <v>102</v>
      </c>
      <c r="C166" s="154" t="s">
        <v>1401</v>
      </c>
      <c r="D166" s="155">
        <v>45246</v>
      </c>
      <c r="E166" s="155">
        <v>45197</v>
      </c>
      <c r="F166" s="159">
        <v>720.98</v>
      </c>
      <c r="G166" s="159">
        <v>124.619567881329</v>
      </c>
      <c r="H166" s="159">
        <v>124.619567881329</v>
      </c>
      <c r="I166" s="184">
        <f t="shared" si="6"/>
        <v>45978</v>
      </c>
      <c r="J166" s="159" cm="1">
        <f t="array" ref="J166">[15]!CalculateINPC(D166,I166,-1)*H166</f>
        <v>136.20611332955298</v>
      </c>
      <c r="K166" s="159">
        <f t="shared" si="7"/>
        <v>232.21026644070915</v>
      </c>
      <c r="L166" s="159" cm="1">
        <f t="array" ref="L166">[15]!CalculateDICetip(D166,I166,1)*H166</f>
        <v>157.46464264974807</v>
      </c>
      <c r="M166" s="154">
        <v>184520</v>
      </c>
      <c r="N166" s="154" t="s">
        <v>103</v>
      </c>
      <c r="O166" s="154" t="s">
        <v>460</v>
      </c>
      <c r="P166" s="154" t="s">
        <v>461</v>
      </c>
      <c r="Q166" s="154">
        <v>10027</v>
      </c>
      <c r="R166" s="154" t="s">
        <v>106</v>
      </c>
      <c r="S166" s="154">
        <v>44</v>
      </c>
      <c r="T166" s="154" t="s">
        <v>107</v>
      </c>
      <c r="U166" s="154" t="s">
        <v>634</v>
      </c>
      <c r="V166" s="154" t="s">
        <v>109</v>
      </c>
      <c r="W166" s="154" t="s">
        <v>110</v>
      </c>
      <c r="X166" s="154" t="s">
        <v>111</v>
      </c>
      <c r="Y166" s="154" t="s">
        <v>304</v>
      </c>
    </row>
    <row r="167" spans="2:25">
      <c r="B167" s="154" t="s">
        <v>102</v>
      </c>
      <c r="C167" s="154" t="s">
        <v>1402</v>
      </c>
      <c r="D167" s="155">
        <v>43815</v>
      </c>
      <c r="E167" s="155">
        <v>43800</v>
      </c>
      <c r="F167" s="159">
        <v>265390.2</v>
      </c>
      <c r="G167" s="159">
        <v>265390.2</v>
      </c>
      <c r="H167" s="159">
        <v>265390.2</v>
      </c>
      <c r="I167" s="184">
        <f t="shared" si="6"/>
        <v>45978</v>
      </c>
      <c r="J167" s="159" cm="1">
        <f t="array" ref="J167">[15]!CalculateINPC(D167,I167,-1)*H167</f>
        <v>372257.05599534605</v>
      </c>
      <c r="K167" s="159">
        <f t="shared" si="7"/>
        <v>1800746.5034535665</v>
      </c>
      <c r="L167" s="159" cm="1">
        <f t="array" ref="L167">[15]!CalculateDICetip(D167,I167,1)*H167</f>
        <v>451680.89069853001</v>
      </c>
      <c r="M167" s="154">
        <v>82730</v>
      </c>
      <c r="N167" s="154" t="s">
        <v>200</v>
      </c>
      <c r="O167" s="154" t="s">
        <v>119</v>
      </c>
      <c r="P167" s="154" t="s">
        <v>120</v>
      </c>
      <c r="Q167" s="154">
        <v>10027</v>
      </c>
      <c r="R167" s="154" t="s">
        <v>106</v>
      </c>
      <c r="S167" s="154">
        <v>44</v>
      </c>
      <c r="T167" s="154" t="s">
        <v>107</v>
      </c>
      <c r="U167" s="154" t="s">
        <v>205</v>
      </c>
      <c r="V167" s="154" t="s">
        <v>109</v>
      </c>
      <c r="W167" s="154" t="s">
        <v>110</v>
      </c>
      <c r="X167" s="154" t="s">
        <v>111</v>
      </c>
      <c r="Y167" s="154" t="s">
        <v>206</v>
      </c>
    </row>
    <row r="168" spans="2:25">
      <c r="B168" s="154" t="s">
        <v>102</v>
      </c>
      <c r="C168" s="154" t="s">
        <v>1402</v>
      </c>
      <c r="D168" s="155">
        <v>43815</v>
      </c>
      <c r="E168" s="155">
        <v>43800</v>
      </c>
      <c r="F168" s="159">
        <v>167751.10999999999</v>
      </c>
      <c r="G168" s="159">
        <v>167751.10999999999</v>
      </c>
      <c r="H168" s="159">
        <v>167751.10999999999</v>
      </c>
      <c r="I168" s="184">
        <f t="shared" si="6"/>
        <v>45978</v>
      </c>
      <c r="J168" s="159" cm="1">
        <f t="array" ref="J168">[15]!CalculateINPC(D168,I168,-1)*H168</f>
        <v>235300.83005533527</v>
      </c>
      <c r="K168" s="159">
        <f t="shared" si="7"/>
        <v>1138238.0539407807</v>
      </c>
      <c r="L168" s="159" cm="1">
        <f t="array" ref="L168">[15]!CalculateDICetip(D168,I168,1)*H168</f>
        <v>285504.0268271665</v>
      </c>
      <c r="M168" s="154">
        <v>82847</v>
      </c>
      <c r="N168" s="154" t="s">
        <v>200</v>
      </c>
      <c r="O168" s="154" t="s">
        <v>119</v>
      </c>
      <c r="P168" s="154" t="s">
        <v>120</v>
      </c>
      <c r="Q168" s="154">
        <v>10027</v>
      </c>
      <c r="R168" s="154" t="s">
        <v>106</v>
      </c>
      <c r="S168" s="154">
        <v>44</v>
      </c>
      <c r="T168" s="154" t="s">
        <v>107</v>
      </c>
      <c r="U168" s="154" t="s">
        <v>249</v>
      </c>
      <c r="V168" s="154" t="s">
        <v>109</v>
      </c>
      <c r="W168" s="154" t="s">
        <v>110</v>
      </c>
      <c r="X168" s="154" t="s">
        <v>111</v>
      </c>
      <c r="Y168" s="154" t="s">
        <v>250</v>
      </c>
    </row>
    <row r="169" spans="2:25">
      <c r="B169" s="154" t="s">
        <v>102</v>
      </c>
      <c r="C169" s="154" t="s">
        <v>1401</v>
      </c>
      <c r="D169" s="155">
        <v>43815</v>
      </c>
      <c r="E169" s="155">
        <v>43762</v>
      </c>
      <c r="F169" s="159">
        <v>697.5</v>
      </c>
      <c r="G169" s="159">
        <v>697.5</v>
      </c>
      <c r="H169" s="159">
        <v>697.5</v>
      </c>
      <c r="I169" s="184">
        <f t="shared" si="6"/>
        <v>45978</v>
      </c>
      <c r="J169" s="159" cm="1">
        <f t="array" ref="J169">[15]!CalculateINPC(D169,I169,-1)*H169</f>
        <v>978.36806542500005</v>
      </c>
      <c r="K169" s="159">
        <f t="shared" si="7"/>
        <v>4732.7319778909041</v>
      </c>
      <c r="L169" s="159" cm="1">
        <f t="array" ref="L169">[15]!CalculateDICetip(D169,I169,1)*H169</f>
        <v>1187.1102296250001</v>
      </c>
      <c r="M169" s="154">
        <v>80892</v>
      </c>
      <c r="N169" s="154" t="s">
        <v>103</v>
      </c>
      <c r="O169" s="154" t="s">
        <v>460</v>
      </c>
      <c r="P169" s="154" t="s">
        <v>461</v>
      </c>
      <c r="Q169" s="154">
        <v>10027</v>
      </c>
      <c r="R169" s="154" t="s">
        <v>106</v>
      </c>
      <c r="S169" s="154">
        <v>44</v>
      </c>
      <c r="T169" s="154" t="s">
        <v>107</v>
      </c>
      <c r="U169" s="154" t="s">
        <v>462</v>
      </c>
      <c r="V169" s="154" t="s">
        <v>109</v>
      </c>
      <c r="W169" s="154" t="s">
        <v>110</v>
      </c>
      <c r="X169" s="154" t="s">
        <v>111</v>
      </c>
      <c r="Y169" s="154" t="s">
        <v>192</v>
      </c>
    </row>
    <row r="170" spans="2:25">
      <c r="B170" s="154" t="s">
        <v>102</v>
      </c>
      <c r="C170" s="154" t="s">
        <v>1401</v>
      </c>
      <c r="D170" s="155">
        <v>44181</v>
      </c>
      <c r="E170" s="155">
        <v>44169</v>
      </c>
      <c r="F170" s="159">
        <v>170</v>
      </c>
      <c r="G170" s="159">
        <v>170</v>
      </c>
      <c r="H170" s="159">
        <v>170</v>
      </c>
      <c r="I170" s="184">
        <f t="shared" si="6"/>
        <v>45978</v>
      </c>
      <c r="J170" s="159" cm="1">
        <f t="array" ref="J170">[15]!CalculateINPC(D170,I170,-1)*H170</f>
        <v>226.67276909999998</v>
      </c>
      <c r="K170" s="159">
        <f t="shared" si="7"/>
        <v>839.78204262803024</v>
      </c>
      <c r="L170" s="159" cm="1">
        <f t="array" ref="L170">[15]!CalculateDICetip(D170,I170,1)*H170</f>
        <v>281.2686822</v>
      </c>
      <c r="M170" s="154">
        <v>101108</v>
      </c>
      <c r="N170" s="154" t="s">
        <v>236</v>
      </c>
      <c r="O170" s="154" t="s">
        <v>237</v>
      </c>
      <c r="P170" s="154" t="s">
        <v>238</v>
      </c>
      <c r="Q170" s="154">
        <v>10027</v>
      </c>
      <c r="R170" s="154" t="s">
        <v>106</v>
      </c>
      <c r="S170" s="154">
        <v>44</v>
      </c>
      <c r="T170" s="154" t="s">
        <v>107</v>
      </c>
      <c r="U170" s="154" t="s">
        <v>607</v>
      </c>
      <c r="V170" s="154" t="s">
        <v>109</v>
      </c>
      <c r="W170" s="154" t="s">
        <v>110</v>
      </c>
      <c r="X170" s="154" t="s">
        <v>240</v>
      </c>
      <c r="Y170" s="154" t="s">
        <v>608</v>
      </c>
    </row>
    <row r="171" spans="2:25">
      <c r="B171" s="154" t="s">
        <v>102</v>
      </c>
      <c r="C171" s="154" t="s">
        <v>1401</v>
      </c>
      <c r="D171" s="155">
        <v>45674</v>
      </c>
      <c r="E171" s="155">
        <v>45667</v>
      </c>
      <c r="F171" s="159">
        <v>3889.3</v>
      </c>
      <c r="G171" s="159">
        <v>3889.3</v>
      </c>
      <c r="H171" s="159">
        <v>3889.3</v>
      </c>
      <c r="I171" s="184">
        <f t="shared" si="6"/>
        <v>45978</v>
      </c>
      <c r="J171" s="159" cm="1">
        <f t="array" ref="J171">[15]!CalculateINPC(D171,I171,-1)*H171</f>
        <v>4031.2211403950005</v>
      </c>
      <c r="K171" s="159">
        <f t="shared" si="7"/>
        <v>5031.0131641604066</v>
      </c>
      <c r="L171" s="159" cm="1">
        <f t="array" ref="L171">[15]!CalculateDICetip(D171,I171,1)*H171</f>
        <v>4349.2626194799996</v>
      </c>
      <c r="M171" s="154">
        <v>232898</v>
      </c>
      <c r="N171" s="154" t="s">
        <v>236</v>
      </c>
      <c r="O171" s="154" t="s">
        <v>237</v>
      </c>
      <c r="P171" s="154" t="s">
        <v>238</v>
      </c>
      <c r="Q171" s="154">
        <v>10027</v>
      </c>
      <c r="R171" s="154" t="s">
        <v>106</v>
      </c>
      <c r="S171" s="154">
        <v>44</v>
      </c>
      <c r="T171" s="154" t="s">
        <v>107</v>
      </c>
      <c r="U171" s="154" t="s">
        <v>264</v>
      </c>
      <c r="V171" s="154" t="s">
        <v>109</v>
      </c>
      <c r="W171" s="154" t="s">
        <v>110</v>
      </c>
      <c r="X171" s="154" t="s">
        <v>240</v>
      </c>
      <c r="Y171" s="154" t="s">
        <v>265</v>
      </c>
    </row>
    <row r="172" spans="2:25">
      <c r="B172" s="154" t="s">
        <v>102</v>
      </c>
      <c r="C172" s="154" t="s">
        <v>1401</v>
      </c>
      <c r="D172" s="155">
        <v>43878</v>
      </c>
      <c r="E172" s="155">
        <v>43862</v>
      </c>
      <c r="F172" s="159">
        <v>866.15</v>
      </c>
      <c r="G172" s="159">
        <v>285.85000000000298</v>
      </c>
      <c r="H172" s="159">
        <v>285.85000000000298</v>
      </c>
      <c r="I172" s="184">
        <f t="shared" si="6"/>
        <v>45978</v>
      </c>
      <c r="J172" s="159" cm="1">
        <f t="array" ref="J172">[15]!CalculateINPC(D172,I172,-1)*H172</f>
        <v>395.3717638530041</v>
      </c>
      <c r="K172" s="159">
        <f t="shared" si="7"/>
        <v>1826.733550753054</v>
      </c>
      <c r="L172" s="159" cm="1">
        <f t="array" ref="L172">[15]!CalculateDICetip(D172,I172,1)*H172</f>
        <v>482.97308329550498</v>
      </c>
      <c r="M172" s="154">
        <v>85907</v>
      </c>
      <c r="N172" s="154" t="s">
        <v>315</v>
      </c>
      <c r="O172" s="154" t="s">
        <v>552</v>
      </c>
      <c r="P172" s="154" t="s">
        <v>244</v>
      </c>
      <c r="Q172" s="154">
        <v>10027</v>
      </c>
      <c r="R172" s="154" t="s">
        <v>106</v>
      </c>
      <c r="S172" s="154">
        <v>44</v>
      </c>
      <c r="T172" s="154" t="s">
        <v>107</v>
      </c>
      <c r="U172" s="154" t="s">
        <v>507</v>
      </c>
      <c r="V172" s="154" t="s">
        <v>109</v>
      </c>
      <c r="W172" s="154" t="s">
        <v>110</v>
      </c>
      <c r="X172" s="154" t="s">
        <v>240</v>
      </c>
      <c r="Y172" s="154" t="s">
        <v>508</v>
      </c>
    </row>
    <row r="173" spans="2:25">
      <c r="B173" s="154" t="s">
        <v>102</v>
      </c>
      <c r="C173" s="154" t="s">
        <v>1401</v>
      </c>
      <c r="D173" s="155">
        <v>43878</v>
      </c>
      <c r="E173" s="155">
        <v>43862</v>
      </c>
      <c r="F173" s="159">
        <v>866.15</v>
      </c>
      <c r="G173" s="159">
        <v>34.999999999998003</v>
      </c>
      <c r="H173" s="159">
        <v>34.999999999998003</v>
      </c>
      <c r="I173" s="184">
        <f t="shared" si="6"/>
        <v>45978</v>
      </c>
      <c r="J173" s="159" cm="1">
        <f t="array" ref="J173">[15]!CalculateINPC(D173,I173,-1)*H173</f>
        <v>48.410046299997234</v>
      </c>
      <c r="K173" s="159">
        <f t="shared" si="7"/>
        <v>223.66861737398136</v>
      </c>
      <c r="L173" s="159" cm="1">
        <f t="array" ref="L173">[15]!CalculateDICetip(D173,I173,1)*H173</f>
        <v>59.136113049996624</v>
      </c>
      <c r="M173" s="154">
        <v>85907</v>
      </c>
      <c r="N173" s="154" t="s">
        <v>315</v>
      </c>
      <c r="O173" s="154" t="s">
        <v>342</v>
      </c>
      <c r="P173" s="154" t="s">
        <v>343</v>
      </c>
      <c r="Q173" s="154">
        <v>10027</v>
      </c>
      <c r="R173" s="154" t="s">
        <v>106</v>
      </c>
      <c r="S173" s="154">
        <v>44</v>
      </c>
      <c r="T173" s="154" t="s">
        <v>107</v>
      </c>
      <c r="U173" s="154" t="s">
        <v>507</v>
      </c>
      <c r="V173" s="154" t="s">
        <v>109</v>
      </c>
      <c r="W173" s="154" t="s">
        <v>110</v>
      </c>
      <c r="X173" s="154" t="s">
        <v>240</v>
      </c>
      <c r="Y173" s="154" t="s">
        <v>508</v>
      </c>
    </row>
    <row r="174" spans="2:25">
      <c r="B174" s="154" t="s">
        <v>102</v>
      </c>
      <c r="C174" s="154" t="s">
        <v>1401</v>
      </c>
      <c r="D174" s="155">
        <v>43878</v>
      </c>
      <c r="E174" s="155">
        <v>43862</v>
      </c>
      <c r="F174" s="159">
        <v>866.15</v>
      </c>
      <c r="G174" s="159">
        <v>480.299999999997</v>
      </c>
      <c r="H174" s="159">
        <v>480.299999999997</v>
      </c>
      <c r="I174" s="184">
        <f t="shared" si="6"/>
        <v>45978</v>
      </c>
      <c r="J174" s="159" cm="1">
        <f t="array" ref="J174">[15]!CalculateINPC(D174,I174,-1)*H174</f>
        <v>664.32414965399585</v>
      </c>
      <c r="K174" s="159">
        <f t="shared" si="7"/>
        <v>3069.3724835636776</v>
      </c>
      <c r="L174" s="159" cm="1">
        <f t="array" ref="L174">[15]!CalculateDICetip(D174,I174,1)*H174</f>
        <v>811.51643136899486</v>
      </c>
      <c r="M174" s="154">
        <v>85907</v>
      </c>
      <c r="N174" s="154" t="s">
        <v>315</v>
      </c>
      <c r="O174" s="154" t="s">
        <v>282</v>
      </c>
      <c r="P174" s="154" t="s">
        <v>283</v>
      </c>
      <c r="Q174" s="154">
        <v>10027</v>
      </c>
      <c r="R174" s="154" t="s">
        <v>106</v>
      </c>
      <c r="S174" s="154">
        <v>44</v>
      </c>
      <c r="T174" s="154" t="s">
        <v>107</v>
      </c>
      <c r="U174" s="154" t="s">
        <v>507</v>
      </c>
      <c r="V174" s="154" t="s">
        <v>109</v>
      </c>
      <c r="W174" s="154" t="s">
        <v>110</v>
      </c>
      <c r="X174" s="154" t="s">
        <v>240</v>
      </c>
      <c r="Y174" s="154" t="s">
        <v>508</v>
      </c>
    </row>
    <row r="175" spans="2:25">
      <c r="B175" s="154" t="s">
        <v>102</v>
      </c>
      <c r="C175" s="154" t="s">
        <v>1401</v>
      </c>
      <c r="D175" s="155">
        <v>43878</v>
      </c>
      <c r="E175" s="155">
        <v>43862</v>
      </c>
      <c r="F175" s="159">
        <v>866.15</v>
      </c>
      <c r="G175" s="159">
        <v>65.000000000002998</v>
      </c>
      <c r="H175" s="159">
        <v>65.000000000002998</v>
      </c>
      <c r="I175" s="184">
        <f t="shared" si="6"/>
        <v>45978</v>
      </c>
      <c r="J175" s="159" cm="1">
        <f t="array" ref="J175">[15]!CalculateINPC(D175,I175,-1)*H175</f>
        <v>89.904371700004148</v>
      </c>
      <c r="K175" s="159">
        <f t="shared" si="7"/>
        <v>415.38457512315114</v>
      </c>
      <c r="L175" s="159" cm="1">
        <f t="array" ref="L175">[15]!CalculateDICetip(D175,I175,1)*H175</f>
        <v>109.82420995000506</v>
      </c>
      <c r="M175" s="154">
        <v>85907</v>
      </c>
      <c r="N175" s="154" t="s">
        <v>315</v>
      </c>
      <c r="O175" s="154" t="s">
        <v>557</v>
      </c>
      <c r="P175" s="154" t="s">
        <v>558</v>
      </c>
      <c r="Q175" s="154">
        <v>10027</v>
      </c>
      <c r="R175" s="154" t="s">
        <v>106</v>
      </c>
      <c r="S175" s="154">
        <v>44</v>
      </c>
      <c r="T175" s="154" t="s">
        <v>107</v>
      </c>
      <c r="U175" s="154" t="s">
        <v>507</v>
      </c>
      <c r="V175" s="154" t="s">
        <v>109</v>
      </c>
      <c r="W175" s="154" t="s">
        <v>110</v>
      </c>
      <c r="X175" s="154" t="s">
        <v>240</v>
      </c>
      <c r="Y175" s="154" t="s">
        <v>508</v>
      </c>
    </row>
    <row r="176" spans="2:25">
      <c r="B176" s="154" t="s">
        <v>102</v>
      </c>
      <c r="C176" s="154" t="s">
        <v>1401</v>
      </c>
      <c r="D176" s="155">
        <v>45399</v>
      </c>
      <c r="E176" s="155">
        <v>45386</v>
      </c>
      <c r="F176" s="159">
        <v>1740</v>
      </c>
      <c r="G176" s="159">
        <v>1199.999999999995</v>
      </c>
      <c r="H176" s="159">
        <v>1199.999999999995</v>
      </c>
      <c r="I176" s="184">
        <f t="shared" si="6"/>
        <v>45978</v>
      </c>
      <c r="J176" s="159" cm="1">
        <f t="array" ref="J176">[15]!CalculateINPC(D176,I176,-1)*H176</f>
        <v>1282.8601919999946</v>
      </c>
      <c r="K176" s="159">
        <f t="shared" si="7"/>
        <v>1956.3124578104976</v>
      </c>
      <c r="L176" s="159" cm="1">
        <f t="array" ref="L176">[15]!CalculateDICetip(D176,I176,1)*H176</f>
        <v>1450.1310479999941</v>
      </c>
      <c r="M176" s="154">
        <v>195803</v>
      </c>
      <c r="N176" s="154" t="s">
        <v>338</v>
      </c>
      <c r="O176" s="154" t="s">
        <v>232</v>
      </c>
      <c r="P176" s="154" t="s">
        <v>233</v>
      </c>
      <c r="Q176" s="154">
        <v>10027</v>
      </c>
      <c r="R176" s="154" t="s">
        <v>106</v>
      </c>
      <c r="S176" s="154">
        <v>44</v>
      </c>
      <c r="T176" s="154" t="s">
        <v>107</v>
      </c>
      <c r="U176" s="154" t="s">
        <v>349</v>
      </c>
      <c r="V176" s="154" t="s">
        <v>109</v>
      </c>
      <c r="W176" s="154" t="s">
        <v>110</v>
      </c>
      <c r="X176" s="154" t="s">
        <v>130</v>
      </c>
      <c r="Y176" s="154" t="s">
        <v>350</v>
      </c>
    </row>
    <row r="177" spans="2:25">
      <c r="B177" s="154" t="s">
        <v>102</v>
      </c>
      <c r="C177" s="154" t="s">
        <v>1401</v>
      </c>
      <c r="D177" s="155">
        <v>45155</v>
      </c>
      <c r="E177" s="155">
        <v>45155</v>
      </c>
      <c r="F177" s="159">
        <v>1571391.91</v>
      </c>
      <c r="G177" s="159">
        <v>383.81000000236298</v>
      </c>
      <c r="H177" s="159">
        <v>383.81000000236298</v>
      </c>
      <c r="I177" s="184">
        <f t="shared" si="6"/>
        <v>45978</v>
      </c>
      <c r="J177" s="159" cm="1">
        <f t="array" ref="J177">[15]!CalculateINPC(D177,I177,-1)*H177</f>
        <v>421.30084098389381</v>
      </c>
      <c r="K177" s="159">
        <f t="shared" si="7"/>
        <v>767.501953937184</v>
      </c>
      <c r="L177" s="159" cm="1">
        <f t="array" ref="L177">[15]!CalculateDICetip(D177,I177,1)*H177</f>
        <v>499.29485957007398</v>
      </c>
      <c r="M177" s="154">
        <v>179352</v>
      </c>
      <c r="N177" s="154" t="s">
        <v>166</v>
      </c>
      <c r="O177" s="154" t="s">
        <v>528</v>
      </c>
      <c r="P177" s="154" t="s">
        <v>529</v>
      </c>
      <c r="Q177" s="154">
        <v>10027</v>
      </c>
      <c r="R177" s="154" t="s">
        <v>106</v>
      </c>
      <c r="S177" s="154">
        <v>44</v>
      </c>
      <c r="T177" s="154" t="s">
        <v>107</v>
      </c>
      <c r="U177" s="154" t="s">
        <v>530</v>
      </c>
      <c r="V177" s="154" t="s">
        <v>109</v>
      </c>
      <c r="W177" s="154" t="s">
        <v>110</v>
      </c>
      <c r="X177" s="154" t="s">
        <v>111</v>
      </c>
      <c r="Y177" s="154" t="s">
        <v>531</v>
      </c>
    </row>
    <row r="178" spans="2:25">
      <c r="B178" s="154" t="s">
        <v>102</v>
      </c>
      <c r="C178" s="154" t="s">
        <v>1401</v>
      </c>
      <c r="D178" s="155">
        <v>45155</v>
      </c>
      <c r="E178" s="155">
        <v>45109</v>
      </c>
      <c r="F178" s="159">
        <v>1413.96</v>
      </c>
      <c r="G178" s="159">
        <v>1.7414211020129999</v>
      </c>
      <c r="H178" s="159">
        <v>1.7414211020129999</v>
      </c>
      <c r="I178" s="184">
        <f t="shared" si="6"/>
        <v>45978</v>
      </c>
      <c r="J178" s="159" cm="1">
        <f t="array" ref="J178">[15]!CalculateINPC(D178,I178,-1)*H178</f>
        <v>1.9115243864950342</v>
      </c>
      <c r="K178" s="159">
        <f t="shared" si="7"/>
        <v>3.4823066059096766</v>
      </c>
      <c r="L178" s="159" cm="1">
        <f t="array" ref="L178">[15]!CalculateDICetip(D178,I178,1)*H178</f>
        <v>2.2653985163924628</v>
      </c>
      <c r="M178" s="154">
        <v>176946</v>
      </c>
      <c r="N178" s="154" t="s">
        <v>103</v>
      </c>
      <c r="O178" s="154" t="s">
        <v>460</v>
      </c>
      <c r="P178" s="154" t="s">
        <v>461</v>
      </c>
      <c r="Q178" s="154">
        <v>10027</v>
      </c>
      <c r="R178" s="154" t="s">
        <v>106</v>
      </c>
      <c r="S178" s="154">
        <v>44</v>
      </c>
      <c r="T178" s="154" t="s">
        <v>107</v>
      </c>
      <c r="U178" s="154" t="s">
        <v>780</v>
      </c>
      <c r="V178" s="154" t="s">
        <v>109</v>
      </c>
      <c r="W178" s="154" t="s">
        <v>110</v>
      </c>
      <c r="X178" s="154" t="s">
        <v>111</v>
      </c>
      <c r="Y178" s="154" t="s">
        <v>741</v>
      </c>
    </row>
    <row r="179" spans="2:25">
      <c r="B179" s="154" t="s">
        <v>102</v>
      </c>
      <c r="C179" s="154" t="s">
        <v>1401</v>
      </c>
      <c r="D179" s="155">
        <v>45155</v>
      </c>
      <c r="E179" s="155">
        <v>45109</v>
      </c>
      <c r="F179" s="159">
        <v>456.12</v>
      </c>
      <c r="G179" s="159">
        <v>0.56175351003600005</v>
      </c>
      <c r="H179" s="159">
        <v>0.56175351003600005</v>
      </c>
      <c r="I179" s="184">
        <f t="shared" si="6"/>
        <v>45978</v>
      </c>
      <c r="J179" s="159" cm="1">
        <f t="array" ref="J179">[15]!CalculateINPC(D179,I179,-1)*H179</f>
        <v>0.61662600297637882</v>
      </c>
      <c r="K179" s="159">
        <f t="shared" si="7"/>
        <v>1.1233342450197938</v>
      </c>
      <c r="L179" s="159" cm="1">
        <f t="array" ref="L179">[15]!CalculateDICetip(D179,I179,1)*H179</f>
        <v>0.73077991689818922</v>
      </c>
      <c r="M179" s="154">
        <v>176945</v>
      </c>
      <c r="N179" s="154" t="s">
        <v>103</v>
      </c>
      <c r="O179" s="154" t="s">
        <v>587</v>
      </c>
      <c r="P179" s="154" t="s">
        <v>588</v>
      </c>
      <c r="Q179" s="154">
        <v>10027</v>
      </c>
      <c r="R179" s="154" t="s">
        <v>106</v>
      </c>
      <c r="S179" s="154">
        <v>44</v>
      </c>
      <c r="T179" s="154" t="s">
        <v>107</v>
      </c>
      <c r="U179" s="154" t="s">
        <v>783</v>
      </c>
      <c r="V179" s="154" t="s">
        <v>109</v>
      </c>
      <c r="W179" s="154" t="s">
        <v>110</v>
      </c>
      <c r="X179" s="154" t="s">
        <v>111</v>
      </c>
      <c r="Y179" s="154" t="s">
        <v>741</v>
      </c>
    </row>
    <row r="180" spans="2:25">
      <c r="B180" s="154" t="s">
        <v>102</v>
      </c>
      <c r="C180" s="154" t="s">
        <v>1401</v>
      </c>
      <c r="D180" s="155">
        <v>44882</v>
      </c>
      <c r="E180" s="155">
        <v>44881</v>
      </c>
      <c r="F180" s="159">
        <v>751.34</v>
      </c>
      <c r="G180" s="159">
        <v>751.34</v>
      </c>
      <c r="H180" s="159">
        <v>751.34</v>
      </c>
      <c r="I180" s="184">
        <f t="shared" si="6"/>
        <v>45978</v>
      </c>
      <c r="J180" s="159" cm="1">
        <f t="array" ref="J180">[15]!CalculateINPC(D180,I180,-1)*H180</f>
        <v>855.20868273720009</v>
      </c>
      <c r="K180" s="159">
        <f t="shared" si="7"/>
        <v>1900.9307999605055</v>
      </c>
      <c r="L180" s="159" cm="1">
        <f t="array" ref="L180">[15]!CalculateDICetip(D180,I180,1)*H180</f>
        <v>1075.6682780563999</v>
      </c>
      <c r="M180" s="154">
        <v>161710</v>
      </c>
      <c r="N180" s="154" t="s">
        <v>200</v>
      </c>
      <c r="O180" s="154" t="s">
        <v>119</v>
      </c>
      <c r="P180" s="154" t="s">
        <v>120</v>
      </c>
      <c r="Q180" s="154">
        <v>10027</v>
      </c>
      <c r="R180" s="154" t="s">
        <v>106</v>
      </c>
      <c r="S180" s="154">
        <v>44</v>
      </c>
      <c r="T180" s="154" t="s">
        <v>107</v>
      </c>
      <c r="U180" s="154" t="s">
        <v>509</v>
      </c>
      <c r="V180" s="154" t="s">
        <v>109</v>
      </c>
      <c r="W180" s="154" t="s">
        <v>110</v>
      </c>
      <c r="X180" s="154" t="s">
        <v>117</v>
      </c>
      <c r="Y180" s="154" t="s">
        <v>510</v>
      </c>
    </row>
    <row r="181" spans="2:25">
      <c r="B181" s="154" t="s">
        <v>102</v>
      </c>
      <c r="C181" s="154" t="s">
        <v>1401</v>
      </c>
      <c r="D181" s="155">
        <v>44882</v>
      </c>
      <c r="E181" s="155">
        <v>44881</v>
      </c>
      <c r="F181" s="159">
        <v>3981.49</v>
      </c>
      <c r="G181" s="159">
        <v>3981.49</v>
      </c>
      <c r="H181" s="159">
        <v>3981.49</v>
      </c>
      <c r="I181" s="184">
        <f t="shared" si="6"/>
        <v>45978</v>
      </c>
      <c r="J181" s="159" cm="1">
        <f t="array" ref="J181">[15]!CalculateINPC(D181,I181,-1)*H181</f>
        <v>4531.9094128242004</v>
      </c>
      <c r="K181" s="159">
        <f t="shared" si="7"/>
        <v>10073.384846720197</v>
      </c>
      <c r="L181" s="159" cm="1">
        <f t="array" ref="L181">[15]!CalculateDICetip(D181,I181,1)*H181</f>
        <v>5700.1656938254</v>
      </c>
      <c r="M181" s="154">
        <v>161711</v>
      </c>
      <c r="N181" s="154" t="s">
        <v>200</v>
      </c>
      <c r="O181" s="154" t="s">
        <v>119</v>
      </c>
      <c r="P181" s="154" t="s">
        <v>120</v>
      </c>
      <c r="Q181" s="154">
        <v>10027</v>
      </c>
      <c r="R181" s="154" t="s">
        <v>106</v>
      </c>
      <c r="S181" s="154">
        <v>44</v>
      </c>
      <c r="T181" s="154" t="s">
        <v>107</v>
      </c>
      <c r="U181" s="154" t="s">
        <v>429</v>
      </c>
      <c r="V181" s="154" t="s">
        <v>109</v>
      </c>
      <c r="W181" s="154" t="s">
        <v>110</v>
      </c>
      <c r="X181" s="154" t="s">
        <v>117</v>
      </c>
      <c r="Y181" s="154" t="s">
        <v>430</v>
      </c>
    </row>
    <row r="182" spans="2:25">
      <c r="B182" s="154" t="s">
        <v>102</v>
      </c>
      <c r="C182" s="154" t="s">
        <v>1401</v>
      </c>
      <c r="D182" s="155">
        <v>45247</v>
      </c>
      <c r="E182" s="155">
        <v>45236</v>
      </c>
      <c r="F182" s="159">
        <v>5900</v>
      </c>
      <c r="G182" s="159">
        <v>324.99999999998897</v>
      </c>
      <c r="H182" s="159">
        <v>305.01249999998998</v>
      </c>
      <c r="I182" s="184">
        <f t="shared" si="6"/>
        <v>45978</v>
      </c>
      <c r="J182" s="159" cm="1">
        <f t="array" ref="J182">[15]!CalculateINPC(D182,I182,-1)*H182</f>
        <v>333.37113784161409</v>
      </c>
      <c r="K182" s="159">
        <f t="shared" si="7"/>
        <v>567.93195397324189</v>
      </c>
      <c r="L182" s="159" cm="1">
        <f t="array" ref="L182">[15]!CalculateDICetip(D182,I182,1)*H182</f>
        <v>385.22710294898735</v>
      </c>
      <c r="M182" s="154">
        <v>185620</v>
      </c>
      <c r="N182" s="154" t="s">
        <v>209</v>
      </c>
      <c r="O182" s="154" t="s">
        <v>154</v>
      </c>
      <c r="P182" s="154" t="s">
        <v>155</v>
      </c>
      <c r="Q182" s="154">
        <v>10027</v>
      </c>
      <c r="R182" s="154" t="s">
        <v>106</v>
      </c>
      <c r="S182" s="154">
        <v>44</v>
      </c>
      <c r="T182" s="154" t="s">
        <v>107</v>
      </c>
      <c r="U182" s="154" t="s">
        <v>550</v>
      </c>
      <c r="V182" s="154" t="s">
        <v>137</v>
      </c>
      <c r="W182" s="154" t="s">
        <v>138</v>
      </c>
      <c r="X182" s="154" t="s">
        <v>130</v>
      </c>
      <c r="Y182" s="154" t="s">
        <v>551</v>
      </c>
    </row>
    <row r="183" spans="2:25">
      <c r="B183" s="154" t="s">
        <v>102</v>
      </c>
      <c r="C183" s="154" t="s">
        <v>1402</v>
      </c>
      <c r="D183" s="155">
        <v>43816</v>
      </c>
      <c r="E183" s="155">
        <v>43800</v>
      </c>
      <c r="F183" s="159">
        <v>320887.21000000002</v>
      </c>
      <c r="G183" s="159">
        <v>320887.21000000002</v>
      </c>
      <c r="H183" s="159">
        <v>320887.21000000002</v>
      </c>
      <c r="I183" s="184">
        <f t="shared" si="6"/>
        <v>45978</v>
      </c>
      <c r="J183" s="159" cm="1">
        <f t="array" ref="J183">[15]!CalculateINPC(D183,I183,-1)*H183</f>
        <v>450101.50375243835</v>
      </c>
      <c r="K183" s="159">
        <f t="shared" si="7"/>
        <v>2175722.9677912211</v>
      </c>
      <c r="L183" s="159" cm="1">
        <f t="array" ref="L183">[15]!CalculateDICetip(D183,I183,1)*H183</f>
        <v>546040.72119191347</v>
      </c>
      <c r="M183" s="154">
        <v>82849</v>
      </c>
      <c r="N183" s="154" t="s">
        <v>200</v>
      </c>
      <c r="O183" s="154" t="s">
        <v>119</v>
      </c>
      <c r="P183" s="154" t="s">
        <v>120</v>
      </c>
      <c r="Q183" s="154">
        <v>10027</v>
      </c>
      <c r="R183" s="154" t="s">
        <v>106</v>
      </c>
      <c r="S183" s="154">
        <v>44</v>
      </c>
      <c r="T183" s="154" t="s">
        <v>107</v>
      </c>
      <c r="U183" s="154" t="s">
        <v>203</v>
      </c>
      <c r="V183" s="154" t="s">
        <v>109</v>
      </c>
      <c r="W183" s="154" t="s">
        <v>110</v>
      </c>
      <c r="X183" s="154" t="s">
        <v>111</v>
      </c>
      <c r="Y183" s="154" t="s">
        <v>204</v>
      </c>
    </row>
    <row r="184" spans="2:25">
      <c r="B184" s="154" t="s">
        <v>102</v>
      </c>
      <c r="C184" s="154" t="s">
        <v>1402</v>
      </c>
      <c r="D184" s="155">
        <v>43816</v>
      </c>
      <c r="E184" s="155">
        <v>43800</v>
      </c>
      <c r="F184" s="159">
        <v>12692.59</v>
      </c>
      <c r="G184" s="159">
        <v>12692.59</v>
      </c>
      <c r="H184" s="159">
        <v>12692.59</v>
      </c>
      <c r="I184" s="184">
        <f t="shared" si="6"/>
        <v>45978</v>
      </c>
      <c r="J184" s="159" cm="1">
        <f t="array" ref="J184">[15]!CalculateINPC(D184,I184,-1)*H184</f>
        <v>17803.619675315702</v>
      </c>
      <c r="K184" s="159">
        <f t="shared" si="7"/>
        <v>86060.019605509282</v>
      </c>
      <c r="L184" s="159" cm="1">
        <f t="array" ref="L184">[15]!CalculateDICetip(D184,I184,1)*H184</f>
        <v>21598.464449216499</v>
      </c>
      <c r="M184" s="154">
        <v>82853</v>
      </c>
      <c r="N184" s="154" t="s">
        <v>200</v>
      </c>
      <c r="O184" s="154" t="s">
        <v>119</v>
      </c>
      <c r="P184" s="154" t="s">
        <v>120</v>
      </c>
      <c r="Q184" s="154">
        <v>10027</v>
      </c>
      <c r="R184" s="154" t="s">
        <v>106</v>
      </c>
      <c r="S184" s="154">
        <v>44</v>
      </c>
      <c r="T184" s="154" t="s">
        <v>107</v>
      </c>
      <c r="U184" s="154" t="s">
        <v>409</v>
      </c>
      <c r="V184" s="154" t="s">
        <v>109</v>
      </c>
      <c r="W184" s="154" t="s">
        <v>110</v>
      </c>
      <c r="X184" s="154" t="s">
        <v>111</v>
      </c>
      <c r="Y184" s="154" t="s">
        <v>410</v>
      </c>
    </row>
    <row r="185" spans="2:25">
      <c r="B185" s="154" t="s">
        <v>102</v>
      </c>
      <c r="C185" s="154" t="s">
        <v>1402</v>
      </c>
      <c r="D185" s="155">
        <v>43816</v>
      </c>
      <c r="E185" s="155">
        <v>43815</v>
      </c>
      <c r="F185" s="159">
        <v>10953.86</v>
      </c>
      <c r="G185" s="159">
        <v>10953.86</v>
      </c>
      <c r="H185" s="159">
        <v>10953.86</v>
      </c>
      <c r="I185" s="184">
        <f t="shared" si="6"/>
        <v>45978</v>
      </c>
      <c r="J185" s="159" cm="1">
        <f t="array" ref="J185">[15]!CalculateINPC(D185,I185,-1)*H185</f>
        <v>15364.740956467802</v>
      </c>
      <c r="K185" s="159">
        <f t="shared" si="7"/>
        <v>74270.846718912682</v>
      </c>
      <c r="L185" s="159" cm="1">
        <f t="array" ref="L185">[15]!CalculateDICetip(D185,I185,1)*H185</f>
        <v>18639.738287591001</v>
      </c>
      <c r="M185" s="154">
        <v>82854</v>
      </c>
      <c r="N185" s="154" t="s">
        <v>200</v>
      </c>
      <c r="O185" s="154" t="s">
        <v>119</v>
      </c>
      <c r="P185" s="154" t="s">
        <v>120</v>
      </c>
      <c r="Q185" s="154">
        <v>10027</v>
      </c>
      <c r="R185" s="154" t="s">
        <v>106</v>
      </c>
      <c r="S185" s="154">
        <v>44</v>
      </c>
      <c r="T185" s="154" t="s">
        <v>107</v>
      </c>
      <c r="U185" s="154" t="s">
        <v>416</v>
      </c>
      <c r="V185" s="154" t="s">
        <v>109</v>
      </c>
      <c r="W185" s="154" t="s">
        <v>110</v>
      </c>
      <c r="X185" s="154" t="s">
        <v>111</v>
      </c>
      <c r="Y185" s="154" t="s">
        <v>417</v>
      </c>
    </row>
    <row r="186" spans="2:25">
      <c r="B186" s="154" t="s">
        <v>102</v>
      </c>
      <c r="C186" s="154" t="s">
        <v>1402</v>
      </c>
      <c r="D186" s="155">
        <v>43816</v>
      </c>
      <c r="E186" s="155">
        <v>43800</v>
      </c>
      <c r="F186" s="159">
        <v>474048.75</v>
      </c>
      <c r="G186" s="159">
        <v>474048.75</v>
      </c>
      <c r="H186" s="159">
        <v>474048.75</v>
      </c>
      <c r="I186" s="184">
        <f t="shared" si="6"/>
        <v>45978</v>
      </c>
      <c r="J186" s="159" cm="1">
        <f t="array" ref="J186">[15]!CalculateINPC(D186,I186,-1)*H186</f>
        <v>664937.86158371251</v>
      </c>
      <c r="K186" s="159">
        <f t="shared" si="7"/>
        <v>3214209.6072564512</v>
      </c>
      <c r="L186" s="159" cm="1">
        <f t="array" ref="L186">[15]!CalculateDICetip(D186,I186,1)*H186</f>
        <v>806669.48779331241</v>
      </c>
      <c r="M186" s="154">
        <v>82848</v>
      </c>
      <c r="N186" s="154" t="s">
        <v>200</v>
      </c>
      <c r="O186" s="154" t="s">
        <v>119</v>
      </c>
      <c r="P186" s="154" t="s">
        <v>120</v>
      </c>
      <c r="Q186" s="154">
        <v>10027</v>
      </c>
      <c r="R186" s="154" t="s">
        <v>106</v>
      </c>
      <c r="S186" s="154">
        <v>44</v>
      </c>
      <c r="T186" s="154" t="s">
        <v>107</v>
      </c>
      <c r="U186" s="154" t="s">
        <v>201</v>
      </c>
      <c r="V186" s="154" t="s">
        <v>109</v>
      </c>
      <c r="W186" s="154" t="s">
        <v>110</v>
      </c>
      <c r="X186" s="154" t="s">
        <v>111</v>
      </c>
      <c r="Y186" s="154" t="s">
        <v>202</v>
      </c>
    </row>
    <row r="187" spans="2:25">
      <c r="B187" s="154" t="s">
        <v>102</v>
      </c>
      <c r="C187" s="154" t="s">
        <v>1402</v>
      </c>
      <c r="D187" s="155">
        <v>43816</v>
      </c>
      <c r="E187" s="155">
        <v>43800</v>
      </c>
      <c r="F187" s="159">
        <v>15779.06</v>
      </c>
      <c r="G187" s="159">
        <v>15779.06</v>
      </c>
      <c r="H187" s="159">
        <v>15779.06</v>
      </c>
      <c r="I187" s="184">
        <f t="shared" si="6"/>
        <v>45978</v>
      </c>
      <c r="J187" s="159" cm="1">
        <f t="array" ref="J187">[15]!CalculateINPC(D187,I187,-1)*H187</f>
        <v>22132.943951863799</v>
      </c>
      <c r="K187" s="159">
        <f t="shared" si="7"/>
        <v>106987.3219694725</v>
      </c>
      <c r="L187" s="159" cm="1">
        <f t="array" ref="L187">[15]!CalculateDICetip(D187,I187,1)*H187</f>
        <v>26850.584983210996</v>
      </c>
      <c r="M187" s="154">
        <v>82852</v>
      </c>
      <c r="N187" s="154" t="s">
        <v>200</v>
      </c>
      <c r="O187" s="154" t="s">
        <v>119</v>
      </c>
      <c r="P187" s="154" t="s">
        <v>120</v>
      </c>
      <c r="Q187" s="154">
        <v>10027</v>
      </c>
      <c r="R187" s="154" t="s">
        <v>106</v>
      </c>
      <c r="S187" s="154">
        <v>44</v>
      </c>
      <c r="T187" s="154" t="s">
        <v>107</v>
      </c>
      <c r="U187" s="154" t="s">
        <v>403</v>
      </c>
      <c r="V187" s="154" t="s">
        <v>109</v>
      </c>
      <c r="W187" s="154" t="s">
        <v>110</v>
      </c>
      <c r="X187" s="154" t="s">
        <v>111</v>
      </c>
      <c r="Y187" s="154" t="s">
        <v>404</v>
      </c>
    </row>
    <row r="188" spans="2:25">
      <c r="B188" s="154" t="s">
        <v>102</v>
      </c>
      <c r="C188" s="154" t="s">
        <v>1401</v>
      </c>
      <c r="D188" s="155">
        <v>45734</v>
      </c>
      <c r="E188" s="155">
        <v>45717</v>
      </c>
      <c r="F188" s="159">
        <v>802.34</v>
      </c>
      <c r="G188" s="159">
        <v>667.49999999999795</v>
      </c>
      <c r="H188" s="159">
        <v>667.49999999999795</v>
      </c>
      <c r="I188" s="184">
        <f t="shared" si="6"/>
        <v>45978</v>
      </c>
      <c r="J188" s="159" cm="1">
        <f t="array" ref="J188">[15]!CalculateINPC(D188,I188,-1)*H188</f>
        <v>681.76683794999781</v>
      </c>
      <c r="K188" s="159">
        <f t="shared" si="7"/>
        <v>814.44946970035676</v>
      </c>
      <c r="L188" s="159" cm="1">
        <f t="array" ref="L188">[15]!CalculateDICetip(D188,I188,1)*H188</f>
        <v>732.17791312499776</v>
      </c>
      <c r="M188" s="154">
        <v>242129</v>
      </c>
      <c r="N188" s="154" t="s">
        <v>331</v>
      </c>
      <c r="O188" s="154" t="s">
        <v>316</v>
      </c>
      <c r="P188" s="154" t="s">
        <v>317</v>
      </c>
      <c r="Q188" s="154">
        <v>10027</v>
      </c>
      <c r="R188" s="154" t="s">
        <v>106</v>
      </c>
      <c r="S188" s="154">
        <v>44</v>
      </c>
      <c r="T188" s="154" t="s">
        <v>107</v>
      </c>
      <c r="U188" s="154" t="s">
        <v>479</v>
      </c>
      <c r="V188" s="154" t="s">
        <v>109</v>
      </c>
      <c r="W188" s="154" t="s">
        <v>110</v>
      </c>
      <c r="X188" s="154" t="s">
        <v>333</v>
      </c>
      <c r="Y188" s="154" t="s">
        <v>480</v>
      </c>
    </row>
    <row r="189" spans="2:25">
      <c r="B189" s="154" t="s">
        <v>102</v>
      </c>
      <c r="C189" s="154" t="s">
        <v>1401</v>
      </c>
      <c r="D189" s="155">
        <v>45734</v>
      </c>
      <c r="E189" s="155">
        <v>45717</v>
      </c>
      <c r="F189" s="159">
        <v>802.34</v>
      </c>
      <c r="G189" s="159">
        <v>31.999999999999002</v>
      </c>
      <c r="H189" s="159">
        <v>31.999999999999002</v>
      </c>
      <c r="I189" s="184">
        <f t="shared" si="6"/>
        <v>45978</v>
      </c>
      <c r="J189" s="159" cm="1">
        <f t="array" ref="J189">[15]!CalculateINPC(D189,I189,-1)*H189</f>
        <v>32.683953279998974</v>
      </c>
      <c r="K189" s="159">
        <f t="shared" si="7"/>
        <v>39.04476858488492</v>
      </c>
      <c r="L189" s="159" cm="1">
        <f t="array" ref="L189">[15]!CalculateDICetip(D189,I189,1)*H189</f>
        <v>35.100663999998908</v>
      </c>
      <c r="M189" s="154">
        <v>242129</v>
      </c>
      <c r="N189" s="154" t="s">
        <v>331</v>
      </c>
      <c r="O189" s="154" t="s">
        <v>742</v>
      </c>
      <c r="P189" s="154" t="s">
        <v>743</v>
      </c>
      <c r="Q189" s="154">
        <v>10027</v>
      </c>
      <c r="R189" s="154" t="s">
        <v>106</v>
      </c>
      <c r="S189" s="154">
        <v>44</v>
      </c>
      <c r="T189" s="154" t="s">
        <v>107</v>
      </c>
      <c r="U189" s="154" t="s">
        <v>479</v>
      </c>
      <c r="V189" s="154" t="s">
        <v>109</v>
      </c>
      <c r="W189" s="154" t="s">
        <v>110</v>
      </c>
      <c r="X189" s="154" t="s">
        <v>333</v>
      </c>
      <c r="Y189" s="154" t="s">
        <v>480</v>
      </c>
    </row>
    <row r="190" spans="2:25">
      <c r="B190" s="154" t="s">
        <v>102</v>
      </c>
      <c r="C190" s="154" t="s">
        <v>1401</v>
      </c>
      <c r="D190" s="155">
        <v>45734</v>
      </c>
      <c r="E190" s="155">
        <v>45717</v>
      </c>
      <c r="F190" s="159">
        <v>802.34</v>
      </c>
      <c r="G190" s="159">
        <v>102.840000000003</v>
      </c>
      <c r="H190" s="159">
        <v>102.840000000003</v>
      </c>
      <c r="I190" s="184">
        <f t="shared" si="6"/>
        <v>45978</v>
      </c>
      <c r="J190" s="159" cm="1">
        <f t="array" ref="J190">[15]!CalculateINPC(D190,I190,-1)*H190</f>
        <v>105.03805485360306</v>
      </c>
      <c r="K190" s="159">
        <f t="shared" si="7"/>
        <v>125.4801250396815</v>
      </c>
      <c r="L190" s="159" cm="1">
        <f t="array" ref="L190">[15]!CalculateDICetip(D190,I190,1)*H190</f>
        <v>112.8047589300033</v>
      </c>
      <c r="M190" s="154">
        <v>242129</v>
      </c>
      <c r="N190" s="154" t="s">
        <v>331</v>
      </c>
      <c r="O190" s="154" t="s">
        <v>635</v>
      </c>
      <c r="P190" s="154" t="s">
        <v>636</v>
      </c>
      <c r="Q190" s="154">
        <v>10027</v>
      </c>
      <c r="R190" s="154" t="s">
        <v>106</v>
      </c>
      <c r="S190" s="154">
        <v>44</v>
      </c>
      <c r="T190" s="154" t="s">
        <v>107</v>
      </c>
      <c r="U190" s="154" t="s">
        <v>479</v>
      </c>
      <c r="V190" s="154" t="s">
        <v>109</v>
      </c>
      <c r="W190" s="154" t="s">
        <v>110</v>
      </c>
      <c r="X190" s="154" t="s">
        <v>333</v>
      </c>
      <c r="Y190" s="154" t="s">
        <v>480</v>
      </c>
    </row>
    <row r="191" spans="2:25">
      <c r="B191" s="154" t="s">
        <v>102</v>
      </c>
      <c r="C191" s="154" t="s">
        <v>1401</v>
      </c>
      <c r="D191" s="155">
        <v>45734</v>
      </c>
      <c r="E191" s="155">
        <v>45717</v>
      </c>
      <c r="F191" s="159">
        <v>1506.68</v>
      </c>
      <c r="G191" s="159">
        <v>32.000000000005002</v>
      </c>
      <c r="H191" s="159">
        <v>32.000000000005002</v>
      </c>
      <c r="I191" s="184">
        <f t="shared" si="6"/>
        <v>45978</v>
      </c>
      <c r="J191" s="159" cm="1">
        <f t="array" ref="J191">[15]!CalculateINPC(D191,I191,-1)*H191</f>
        <v>32.683953280005106</v>
      </c>
      <c r="K191" s="159">
        <f t="shared" si="7"/>
        <v>39.044768584892246</v>
      </c>
      <c r="L191" s="159" cm="1">
        <f t="array" ref="L191">[15]!CalculateDICetip(D191,I191,1)*H191</f>
        <v>35.100664000005487</v>
      </c>
      <c r="M191" s="154">
        <v>242131</v>
      </c>
      <c r="N191" s="154" t="s">
        <v>331</v>
      </c>
      <c r="O191" s="154" t="s">
        <v>742</v>
      </c>
      <c r="P191" s="154" t="s">
        <v>743</v>
      </c>
      <c r="Q191" s="154">
        <v>10027</v>
      </c>
      <c r="R191" s="154" t="s">
        <v>106</v>
      </c>
      <c r="S191" s="154">
        <v>44</v>
      </c>
      <c r="T191" s="154" t="s">
        <v>107</v>
      </c>
      <c r="U191" s="154" t="s">
        <v>332</v>
      </c>
      <c r="V191" s="154" t="s">
        <v>109</v>
      </c>
      <c r="W191" s="154" t="s">
        <v>110</v>
      </c>
      <c r="X191" s="154" t="s">
        <v>333</v>
      </c>
      <c r="Y191" s="154" t="s">
        <v>334</v>
      </c>
    </row>
    <row r="192" spans="2:25">
      <c r="B192" s="154" t="s">
        <v>102</v>
      </c>
      <c r="C192" s="154" t="s">
        <v>1401</v>
      </c>
      <c r="D192" s="155">
        <v>45734</v>
      </c>
      <c r="E192" s="155">
        <v>45717</v>
      </c>
      <c r="F192" s="159">
        <v>1506.68</v>
      </c>
      <c r="G192" s="159">
        <v>1355.9999999999959</v>
      </c>
      <c r="H192" s="159">
        <v>1355.9999999999959</v>
      </c>
      <c r="I192" s="184">
        <f t="shared" si="6"/>
        <v>45978</v>
      </c>
      <c r="J192" s="159" cm="1">
        <f t="array" ref="J192">[15]!CalculateINPC(D192,I192,-1)*H192</f>
        <v>1384.9825202399957</v>
      </c>
      <c r="K192" s="159">
        <f t="shared" si="7"/>
        <v>1654.5220687845451</v>
      </c>
      <c r="L192" s="159" cm="1">
        <f t="array" ref="L192">[15]!CalculateDICetip(D192,I192,1)*H192</f>
        <v>1487.3906369999956</v>
      </c>
      <c r="M192" s="154">
        <v>242131</v>
      </c>
      <c r="N192" s="154" t="s">
        <v>331</v>
      </c>
      <c r="O192" s="154" t="s">
        <v>316</v>
      </c>
      <c r="P192" s="154" t="s">
        <v>317</v>
      </c>
      <c r="Q192" s="154">
        <v>10027</v>
      </c>
      <c r="R192" s="154" t="s">
        <v>106</v>
      </c>
      <c r="S192" s="154">
        <v>44</v>
      </c>
      <c r="T192" s="154" t="s">
        <v>107</v>
      </c>
      <c r="U192" s="154" t="s">
        <v>332</v>
      </c>
      <c r="V192" s="154" t="s">
        <v>109</v>
      </c>
      <c r="W192" s="154" t="s">
        <v>110</v>
      </c>
      <c r="X192" s="154" t="s">
        <v>333</v>
      </c>
      <c r="Y192" s="154" t="s">
        <v>334</v>
      </c>
    </row>
    <row r="193" spans="2:25">
      <c r="B193" s="154" t="s">
        <v>102</v>
      </c>
      <c r="C193" s="154" t="s">
        <v>1401</v>
      </c>
      <c r="D193" s="155">
        <v>45734</v>
      </c>
      <c r="E193" s="155">
        <v>45717</v>
      </c>
      <c r="F193" s="159">
        <v>1506.68</v>
      </c>
      <c r="G193" s="159">
        <v>118.679999999999</v>
      </c>
      <c r="H193" s="159">
        <v>118.679999999999</v>
      </c>
      <c r="I193" s="184">
        <f t="shared" si="6"/>
        <v>45978</v>
      </c>
      <c r="J193" s="159" cm="1">
        <f t="array" ref="J193">[15]!CalculateINPC(D193,I193,-1)*H193</f>
        <v>121.21661172719897</v>
      </c>
      <c r="K193" s="159">
        <f t="shared" si="7"/>
        <v>144.80728548919524</v>
      </c>
      <c r="L193" s="159" cm="1">
        <f t="array" ref="L193">[15]!CalculateDICetip(D193,I193,1)*H193</f>
        <v>130.17958760999892</v>
      </c>
      <c r="M193" s="154">
        <v>242131</v>
      </c>
      <c r="N193" s="154" t="s">
        <v>331</v>
      </c>
      <c r="O193" s="154" t="s">
        <v>635</v>
      </c>
      <c r="P193" s="154" t="s">
        <v>636</v>
      </c>
      <c r="Q193" s="154">
        <v>10027</v>
      </c>
      <c r="R193" s="154" t="s">
        <v>106</v>
      </c>
      <c r="S193" s="154">
        <v>44</v>
      </c>
      <c r="T193" s="154" t="s">
        <v>107</v>
      </c>
      <c r="U193" s="154" t="s">
        <v>332</v>
      </c>
      <c r="V193" s="154" t="s">
        <v>109</v>
      </c>
      <c r="W193" s="154" t="s">
        <v>110</v>
      </c>
      <c r="X193" s="154" t="s">
        <v>333</v>
      </c>
      <c r="Y193" s="154" t="s">
        <v>334</v>
      </c>
    </row>
    <row r="194" spans="2:25">
      <c r="B194" s="154" t="s">
        <v>102</v>
      </c>
      <c r="C194" s="154" t="s">
        <v>1401</v>
      </c>
      <c r="D194" s="155">
        <v>45734</v>
      </c>
      <c r="E194" s="155">
        <v>45733</v>
      </c>
      <c r="F194" s="159">
        <v>4665.34</v>
      </c>
      <c r="G194" s="159">
        <v>4665.34</v>
      </c>
      <c r="H194" s="159">
        <v>4665.34</v>
      </c>
      <c r="I194" s="184">
        <f t="shared" si="6"/>
        <v>45978</v>
      </c>
      <c r="J194" s="159" cm="1">
        <f t="array" ref="J194">[15]!CalculateINPC(D194,I194,-1)*H194</f>
        <v>4765.0548311036</v>
      </c>
      <c r="K194" s="159">
        <f t="shared" si="7"/>
        <v>5692.4100209316475</v>
      </c>
      <c r="L194" s="159" cm="1">
        <f t="array" ref="L194">[15]!CalculateDICetip(D194,I194,1)*H194</f>
        <v>5117.3916183050005</v>
      </c>
      <c r="M194" s="154">
        <v>242144</v>
      </c>
      <c r="N194" s="154" t="s">
        <v>236</v>
      </c>
      <c r="O194" s="154" t="s">
        <v>237</v>
      </c>
      <c r="P194" s="154" t="s">
        <v>238</v>
      </c>
      <c r="Q194" s="154">
        <v>10027</v>
      </c>
      <c r="R194" s="154" t="s">
        <v>106</v>
      </c>
      <c r="S194" s="154">
        <v>44</v>
      </c>
      <c r="T194" s="154" t="s">
        <v>107</v>
      </c>
      <c r="U194" s="154" t="s">
        <v>239</v>
      </c>
      <c r="V194" s="154" t="s">
        <v>109</v>
      </c>
      <c r="W194" s="154" t="s">
        <v>110</v>
      </c>
      <c r="X194" s="154" t="s">
        <v>240</v>
      </c>
      <c r="Y194" s="154" t="s">
        <v>241</v>
      </c>
    </row>
    <row r="195" spans="2:25">
      <c r="B195" s="154" t="s">
        <v>102</v>
      </c>
      <c r="C195" s="154" t="s">
        <v>1401</v>
      </c>
      <c r="D195" s="155">
        <v>44760</v>
      </c>
      <c r="E195" s="155">
        <v>44740</v>
      </c>
      <c r="F195" s="159">
        <v>13855</v>
      </c>
      <c r="G195" s="159">
        <v>5099.9999999999663</v>
      </c>
      <c r="H195" s="159">
        <v>5099.9999999999663</v>
      </c>
      <c r="I195" s="184">
        <f t="shared" si="6"/>
        <v>45978</v>
      </c>
      <c r="J195" s="159" cm="1">
        <f t="array" ref="J195">[15]!CalculateINPC(D195,I195,-1)*H195</f>
        <v>5760.870392999962</v>
      </c>
      <c r="K195" s="159">
        <f t="shared" si="7"/>
        <v>13995.758712867477</v>
      </c>
      <c r="L195" s="159" cm="1">
        <f t="array" ref="L195">[15]!CalculateDICetip(D195,I195,1)*H195</f>
        <v>7617.9190109999499</v>
      </c>
      <c r="M195" s="154">
        <v>154067</v>
      </c>
      <c r="N195" s="154" t="s">
        <v>225</v>
      </c>
      <c r="O195" s="154" t="s">
        <v>232</v>
      </c>
      <c r="P195" s="154" t="s">
        <v>233</v>
      </c>
      <c r="Q195" s="154">
        <v>10027</v>
      </c>
      <c r="R195" s="154" t="s">
        <v>106</v>
      </c>
      <c r="S195" s="154">
        <v>44</v>
      </c>
      <c r="T195" s="154" t="s">
        <v>107</v>
      </c>
      <c r="U195" s="154" t="s">
        <v>234</v>
      </c>
      <c r="V195" s="154" t="s">
        <v>109</v>
      </c>
      <c r="W195" s="154" t="s">
        <v>110</v>
      </c>
      <c r="X195" s="154" t="s">
        <v>130</v>
      </c>
      <c r="Y195" s="154" t="s">
        <v>235</v>
      </c>
    </row>
    <row r="196" spans="2:25">
      <c r="B196" s="154" t="s">
        <v>102</v>
      </c>
      <c r="C196" s="154" t="s">
        <v>1401</v>
      </c>
      <c r="D196" s="155">
        <v>44760</v>
      </c>
      <c r="E196" s="155">
        <v>44748</v>
      </c>
      <c r="F196" s="159">
        <v>7110</v>
      </c>
      <c r="G196" s="159">
        <v>239.99999999997601</v>
      </c>
      <c r="H196" s="159">
        <v>239.99999999997601</v>
      </c>
      <c r="I196" s="184">
        <f t="shared" si="6"/>
        <v>45978</v>
      </c>
      <c r="J196" s="159" cm="1">
        <f t="array" ref="J196">[15]!CalculateINPC(D196,I196,-1)*H196</f>
        <v>271.09978319997288</v>
      </c>
      <c r="K196" s="159">
        <f t="shared" si="7"/>
        <v>658.62393942899621</v>
      </c>
      <c r="L196" s="159" cm="1">
        <f t="array" ref="L196">[15]!CalculateDICetip(D196,I196,1)*H196</f>
        <v>358.4903063999642</v>
      </c>
      <c r="M196" s="154">
        <v>153442</v>
      </c>
      <c r="N196" s="154" t="s">
        <v>457</v>
      </c>
      <c r="O196" s="154" t="s">
        <v>154</v>
      </c>
      <c r="P196" s="154" t="s">
        <v>155</v>
      </c>
      <c r="Q196" s="154">
        <v>10027</v>
      </c>
      <c r="R196" s="154" t="s">
        <v>106</v>
      </c>
      <c r="S196" s="154">
        <v>44</v>
      </c>
      <c r="T196" s="154" t="s">
        <v>107</v>
      </c>
      <c r="U196" s="154" t="s">
        <v>582</v>
      </c>
      <c r="V196" s="154" t="s">
        <v>109</v>
      </c>
      <c r="W196" s="154" t="s">
        <v>110</v>
      </c>
      <c r="X196" s="154" t="s">
        <v>130</v>
      </c>
      <c r="Y196" s="154" t="s">
        <v>583</v>
      </c>
    </row>
    <row r="197" spans="2:25">
      <c r="B197" s="154" t="s">
        <v>102</v>
      </c>
      <c r="C197" s="154" t="s">
        <v>1401</v>
      </c>
      <c r="D197" s="155">
        <v>45125</v>
      </c>
      <c r="E197" s="155">
        <v>45108</v>
      </c>
      <c r="F197" s="159">
        <v>1499342.34</v>
      </c>
      <c r="G197" s="159">
        <v>332.14000000324302</v>
      </c>
      <c r="H197" s="159">
        <v>332.14000000324302</v>
      </c>
      <c r="I197" s="184">
        <f t="shared" si="6"/>
        <v>45978</v>
      </c>
      <c r="J197" s="159" cm="1">
        <f t="array" ref="J197">[15]!CalculateINPC(D197,I197,-1)*H197</f>
        <v>364.25543034655658</v>
      </c>
      <c r="K197" s="159">
        <f t="shared" si="7"/>
        <v>678.24793173653279</v>
      </c>
      <c r="L197" s="159" cm="1">
        <f t="array" ref="L197">[15]!CalculateDICetip(D197,I197,1)*H197</f>
        <v>436.8549701868655</v>
      </c>
      <c r="M197" s="154">
        <v>177403</v>
      </c>
      <c r="N197" s="154" t="s">
        <v>103</v>
      </c>
      <c r="O197" s="154" t="s">
        <v>528</v>
      </c>
      <c r="P197" s="154" t="s">
        <v>529</v>
      </c>
      <c r="Q197" s="154">
        <v>10027</v>
      </c>
      <c r="R197" s="154" t="s">
        <v>106</v>
      </c>
      <c r="S197" s="154">
        <v>44</v>
      </c>
      <c r="T197" s="154" t="s">
        <v>107</v>
      </c>
      <c r="U197" s="154" t="s">
        <v>543</v>
      </c>
      <c r="V197" s="154" t="s">
        <v>109</v>
      </c>
      <c r="W197" s="154" t="s">
        <v>110</v>
      </c>
      <c r="X197" s="154" t="s">
        <v>111</v>
      </c>
      <c r="Y197" s="154" t="s">
        <v>544</v>
      </c>
    </row>
    <row r="198" spans="2:25">
      <c r="B198" s="154" t="s">
        <v>102</v>
      </c>
      <c r="C198" s="154" t="s">
        <v>1401</v>
      </c>
      <c r="D198" s="155">
        <v>45187</v>
      </c>
      <c r="E198" s="155">
        <v>45170</v>
      </c>
      <c r="F198" s="159">
        <v>2260608.11</v>
      </c>
      <c r="G198" s="159">
        <v>228.81000000044699</v>
      </c>
      <c r="H198" s="159">
        <v>228.81000000044699</v>
      </c>
      <c r="I198" s="184">
        <f t="shared" si="6"/>
        <v>45978</v>
      </c>
      <c r="J198" s="159" cm="1">
        <f t="array" ref="J198">[15]!CalculateINPC(D198,I198,-1)*H198</f>
        <v>250.65902113848966</v>
      </c>
      <c r="K198" s="159">
        <f t="shared" si="7"/>
        <v>446.11025332930711</v>
      </c>
      <c r="L198" s="159" cm="1">
        <f t="array" ref="L198">[15]!CalculateDICetip(D198,I198,1)*H198</f>
        <v>294.60807027267549</v>
      </c>
      <c r="M198" s="154">
        <v>181546</v>
      </c>
      <c r="N198" s="154" t="s">
        <v>166</v>
      </c>
      <c r="O198" s="154" t="s">
        <v>528</v>
      </c>
      <c r="P198" s="154" t="s">
        <v>529</v>
      </c>
      <c r="Q198" s="154">
        <v>10027</v>
      </c>
      <c r="R198" s="154" t="s">
        <v>106</v>
      </c>
      <c r="S198" s="154">
        <v>44</v>
      </c>
      <c r="T198" s="154" t="s">
        <v>107</v>
      </c>
      <c r="U198" s="154" t="s">
        <v>585</v>
      </c>
      <c r="V198" s="154" t="s">
        <v>109</v>
      </c>
      <c r="W198" s="154" t="s">
        <v>110</v>
      </c>
      <c r="X198" s="154" t="s">
        <v>111</v>
      </c>
      <c r="Y198" s="154" t="s">
        <v>586</v>
      </c>
    </row>
    <row r="199" spans="2:25">
      <c r="B199" s="154" t="s">
        <v>102</v>
      </c>
      <c r="C199" s="154" t="s">
        <v>1401</v>
      </c>
      <c r="D199" s="155">
        <v>45553</v>
      </c>
      <c r="E199" s="155">
        <v>45540</v>
      </c>
      <c r="F199" s="159">
        <v>4640</v>
      </c>
      <c r="G199" s="159">
        <v>1259.999999999995</v>
      </c>
      <c r="H199" s="159">
        <v>1259.999999999995</v>
      </c>
      <c r="I199" s="184">
        <f t="shared" ref="I199:I262" si="8">$B$4</f>
        <v>45978</v>
      </c>
      <c r="J199" s="159" cm="1">
        <f t="array" ref="J199">[15]!CalculateINPC(D199,I199,-1)*H199</f>
        <v>1330.9662617999948</v>
      </c>
      <c r="K199" s="159">
        <f t="shared" ref="K199:K262" si="9">J199*1.3^((I199-D199)/360)</f>
        <v>1814.1930731805103</v>
      </c>
      <c r="L199" s="159" cm="1">
        <f t="array" ref="L199">[15]!CalculateDICetip(D199,I199,1)*H199</f>
        <v>1459.2260213999941</v>
      </c>
      <c r="M199" s="154">
        <v>216732</v>
      </c>
      <c r="N199" s="154" t="s">
        <v>338</v>
      </c>
      <c r="O199" s="154" t="s">
        <v>189</v>
      </c>
      <c r="P199" s="154" t="s">
        <v>190</v>
      </c>
      <c r="Q199" s="154">
        <v>10027</v>
      </c>
      <c r="R199" s="154" t="s">
        <v>106</v>
      </c>
      <c r="S199" s="154">
        <v>44</v>
      </c>
      <c r="T199" s="154" t="s">
        <v>107</v>
      </c>
      <c r="U199" s="154" t="s">
        <v>339</v>
      </c>
      <c r="V199" s="154" t="s">
        <v>109</v>
      </c>
      <c r="W199" s="154" t="s">
        <v>110</v>
      </c>
      <c r="X199" s="154" t="s">
        <v>130</v>
      </c>
      <c r="Y199" s="154" t="s">
        <v>340</v>
      </c>
    </row>
    <row r="200" spans="2:25">
      <c r="B200" s="154" t="s">
        <v>257</v>
      </c>
      <c r="C200" s="154" t="s">
        <v>1401</v>
      </c>
      <c r="D200" s="155">
        <v>45553</v>
      </c>
      <c r="E200" s="155">
        <v>45536</v>
      </c>
      <c r="F200" s="159">
        <v>50451.85</v>
      </c>
      <c r="G200" s="159">
        <v>105.93000000023299</v>
      </c>
      <c r="H200" s="159">
        <v>105.93000000023299</v>
      </c>
      <c r="I200" s="184">
        <f t="shared" si="8"/>
        <v>45978</v>
      </c>
      <c r="J200" s="159" cm="1">
        <f t="array" ref="J200">[15]!CalculateINPC(D200,I200,-1)*H200</f>
        <v>111.89623501014611</v>
      </c>
      <c r="K200" s="159">
        <f t="shared" si="9"/>
        <v>152.52180336701181</v>
      </c>
      <c r="L200" s="159" cm="1">
        <f t="array" ref="L200">[15]!CalculateDICetip(D200,I200,1)*H200</f>
        <v>122.67921622796983</v>
      </c>
      <c r="M200" s="154">
        <v>216549</v>
      </c>
      <c r="N200" s="154" t="s">
        <v>258</v>
      </c>
      <c r="O200" s="154" t="s">
        <v>243</v>
      </c>
      <c r="P200" s="154" t="s">
        <v>244</v>
      </c>
      <c r="Q200" s="154">
        <v>10027</v>
      </c>
      <c r="R200" s="154" t="s">
        <v>106</v>
      </c>
      <c r="S200" s="154">
        <v>44</v>
      </c>
      <c r="T200" s="154" t="s">
        <v>107</v>
      </c>
      <c r="U200" s="154" t="s">
        <v>647</v>
      </c>
      <c r="V200" s="154" t="s">
        <v>260</v>
      </c>
      <c r="W200" s="154" t="s">
        <v>261</v>
      </c>
      <c r="X200" s="154" t="s">
        <v>262</v>
      </c>
      <c r="Y200" s="154" t="s">
        <v>648</v>
      </c>
    </row>
    <row r="201" spans="2:25">
      <c r="B201" s="154" t="s">
        <v>102</v>
      </c>
      <c r="C201" s="154" t="s">
        <v>1401</v>
      </c>
      <c r="D201" s="155">
        <v>43756</v>
      </c>
      <c r="E201" s="155">
        <v>43741</v>
      </c>
      <c r="F201" s="159">
        <v>1320</v>
      </c>
      <c r="G201" s="159">
        <v>959.99999999999</v>
      </c>
      <c r="H201" s="159">
        <v>959.99999999999</v>
      </c>
      <c r="I201" s="184">
        <f t="shared" si="8"/>
        <v>45978</v>
      </c>
      <c r="J201" s="159" cm="1">
        <f t="array" ref="J201">[15]!CalculateINPC(D201,I201,-1)*H201</f>
        <v>1354.3842527999859</v>
      </c>
      <c r="K201" s="159">
        <f t="shared" si="9"/>
        <v>6839.5194172784186</v>
      </c>
      <c r="L201" s="159" cm="1">
        <f t="array" ref="L201">[15]!CalculateDICetip(D201,I201,1)*H201</f>
        <v>1646.5429439999828</v>
      </c>
      <c r="M201" s="154">
        <v>80387</v>
      </c>
      <c r="N201" s="154" t="s">
        <v>373</v>
      </c>
      <c r="O201" s="154" t="s">
        <v>154</v>
      </c>
      <c r="P201" s="154" t="s">
        <v>155</v>
      </c>
      <c r="Q201" s="154">
        <v>10027</v>
      </c>
      <c r="R201" s="154" t="s">
        <v>106</v>
      </c>
      <c r="S201" s="154">
        <v>44</v>
      </c>
      <c r="T201" s="154" t="s">
        <v>107</v>
      </c>
      <c r="U201" s="154" t="s">
        <v>374</v>
      </c>
      <c r="V201" s="154" t="s">
        <v>109</v>
      </c>
      <c r="W201" s="154" t="s">
        <v>110</v>
      </c>
      <c r="X201" s="154" t="s">
        <v>130</v>
      </c>
      <c r="Y201" s="154" t="s">
        <v>375</v>
      </c>
    </row>
    <row r="202" spans="2:25">
      <c r="B202" s="154" t="s">
        <v>102</v>
      </c>
      <c r="C202" s="154" t="s">
        <v>1401</v>
      </c>
      <c r="D202" s="155">
        <v>43787</v>
      </c>
      <c r="E202" s="155">
        <v>43762</v>
      </c>
      <c r="F202" s="159">
        <v>225</v>
      </c>
      <c r="G202" s="159">
        <v>225</v>
      </c>
      <c r="H202" s="159">
        <v>225</v>
      </c>
      <c r="I202" s="184">
        <f t="shared" si="8"/>
        <v>45978</v>
      </c>
      <c r="J202" s="159" cm="1">
        <f t="array" ref="J202">[15]!CalculateINPC(D202,I202,-1)*H202</f>
        <v>317.30695874999998</v>
      </c>
      <c r="K202" s="159">
        <f t="shared" si="9"/>
        <v>1566.5761090423655</v>
      </c>
      <c r="L202" s="159" cm="1">
        <f t="array" ref="L202">[15]!CalculateDICetip(D202,I202,1)*H202</f>
        <v>384.38085375000003</v>
      </c>
      <c r="M202" s="154">
        <v>80890</v>
      </c>
      <c r="N202" s="154" t="s">
        <v>103</v>
      </c>
      <c r="O202" s="154" t="s">
        <v>587</v>
      </c>
      <c r="P202" s="154" t="s">
        <v>588</v>
      </c>
      <c r="Q202" s="154">
        <v>10027</v>
      </c>
      <c r="R202" s="154" t="s">
        <v>106</v>
      </c>
      <c r="S202" s="154">
        <v>44</v>
      </c>
      <c r="T202" s="154" t="s">
        <v>107</v>
      </c>
      <c r="U202" s="154" t="s">
        <v>589</v>
      </c>
      <c r="V202" s="154" t="s">
        <v>109</v>
      </c>
      <c r="W202" s="154" t="s">
        <v>110</v>
      </c>
      <c r="X202" s="154" t="s">
        <v>111</v>
      </c>
      <c r="Y202" s="154" t="s">
        <v>192</v>
      </c>
    </row>
    <row r="203" spans="2:25">
      <c r="B203" s="154" t="s">
        <v>102</v>
      </c>
      <c r="C203" s="154" t="s">
        <v>1401</v>
      </c>
      <c r="D203" s="155">
        <v>45614</v>
      </c>
      <c r="E203" s="155">
        <v>45597</v>
      </c>
      <c r="F203" s="159">
        <v>1725397.04</v>
      </c>
      <c r="G203" s="159">
        <v>6.7500000040190002</v>
      </c>
      <c r="H203" s="159">
        <v>6.7500000040190002</v>
      </c>
      <c r="I203" s="184">
        <f t="shared" si="8"/>
        <v>45978</v>
      </c>
      <c r="J203" s="159" cm="1">
        <f t="array" ref="J203">[15]!CalculateINPC(D203,I203,-1)*H203</f>
        <v>7.0530905966994615</v>
      </c>
      <c r="K203" s="159">
        <f t="shared" si="9"/>
        <v>9.1957859134860325</v>
      </c>
      <c r="L203" s="159" cm="1">
        <f t="array" ref="L203">[15]!CalculateDICetip(D203,I203,1)*H203</f>
        <v>7.6857768720761692</v>
      </c>
      <c r="M203" s="154">
        <v>224886</v>
      </c>
      <c r="N203" s="154" t="s">
        <v>166</v>
      </c>
      <c r="O203" s="154" t="s">
        <v>587</v>
      </c>
      <c r="P203" s="154" t="s">
        <v>588</v>
      </c>
      <c r="Q203" s="154">
        <v>10027</v>
      </c>
      <c r="R203" s="154" t="s">
        <v>106</v>
      </c>
      <c r="S203" s="154">
        <v>44</v>
      </c>
      <c r="T203" s="154" t="s">
        <v>107</v>
      </c>
      <c r="U203" s="154" t="s">
        <v>751</v>
      </c>
      <c r="V203" s="154" t="s">
        <v>109</v>
      </c>
      <c r="W203" s="154" t="s">
        <v>110</v>
      </c>
      <c r="X203" s="154" t="s">
        <v>111</v>
      </c>
      <c r="Y203" s="154" t="s">
        <v>752</v>
      </c>
    </row>
    <row r="204" spans="2:25">
      <c r="B204" s="154" t="s">
        <v>102</v>
      </c>
      <c r="C204" s="154" t="s">
        <v>1401</v>
      </c>
      <c r="D204" s="155">
        <v>45614</v>
      </c>
      <c r="E204" s="155">
        <v>45597</v>
      </c>
      <c r="F204" s="159">
        <v>1725397.04</v>
      </c>
      <c r="G204" s="159">
        <v>20.919999996453001</v>
      </c>
      <c r="H204" s="159">
        <v>20.919999996453001</v>
      </c>
      <c r="I204" s="184">
        <f t="shared" si="8"/>
        <v>45978</v>
      </c>
      <c r="J204" s="159" cm="1">
        <f t="array" ref="J204">[15]!CalculateINPC(D204,I204,-1)*H204</f>
        <v>21.859356321493731</v>
      </c>
      <c r="K204" s="159">
        <f t="shared" si="9"/>
        <v>28.500124616736052</v>
      </c>
      <c r="L204" s="159" cm="1">
        <f t="array" ref="L204">[15]!CalculateDICetip(D204,I204,1)*H204</f>
        <v>23.820215117161268</v>
      </c>
      <c r="M204" s="154">
        <v>224886</v>
      </c>
      <c r="N204" s="154" t="s">
        <v>166</v>
      </c>
      <c r="O204" s="154" t="s">
        <v>460</v>
      </c>
      <c r="P204" s="154" t="s">
        <v>461</v>
      </c>
      <c r="Q204" s="154">
        <v>10027</v>
      </c>
      <c r="R204" s="154" t="s">
        <v>106</v>
      </c>
      <c r="S204" s="154">
        <v>44</v>
      </c>
      <c r="T204" s="154" t="s">
        <v>107</v>
      </c>
      <c r="U204" s="154" t="s">
        <v>751</v>
      </c>
      <c r="V204" s="154" t="s">
        <v>109</v>
      </c>
      <c r="W204" s="154" t="s">
        <v>110</v>
      </c>
      <c r="X204" s="154" t="s">
        <v>111</v>
      </c>
      <c r="Y204" s="154" t="s">
        <v>752</v>
      </c>
    </row>
    <row r="205" spans="2:25">
      <c r="B205" s="154" t="s">
        <v>102</v>
      </c>
      <c r="C205" s="154" t="s">
        <v>1401</v>
      </c>
      <c r="D205" s="155">
        <v>45707</v>
      </c>
      <c r="E205" s="155">
        <v>45685</v>
      </c>
      <c r="F205" s="159">
        <v>100</v>
      </c>
      <c r="G205" s="159">
        <v>100</v>
      </c>
      <c r="H205" s="159">
        <v>100</v>
      </c>
      <c r="I205" s="184">
        <f t="shared" si="8"/>
        <v>45978</v>
      </c>
      <c r="J205" s="159" cm="1">
        <f t="array" ref="J205">[15]!CalculateINPC(D205,I205,-1)*H205</f>
        <v>103.64901500000001</v>
      </c>
      <c r="K205" s="159">
        <f t="shared" si="9"/>
        <v>126.28134615013498</v>
      </c>
      <c r="L205" s="159" cm="1">
        <f t="array" ref="L205">[15]!CalculateDICetip(D205,I205,1)*H205</f>
        <v>110.607575</v>
      </c>
      <c r="M205" s="154">
        <v>238366</v>
      </c>
      <c r="N205" s="154" t="s">
        <v>236</v>
      </c>
      <c r="O205" s="154" t="s">
        <v>237</v>
      </c>
      <c r="P205" s="154" t="s">
        <v>238</v>
      </c>
      <c r="Q205" s="154">
        <v>10027</v>
      </c>
      <c r="R205" s="154" t="s">
        <v>106</v>
      </c>
      <c r="S205" s="154">
        <v>44</v>
      </c>
      <c r="T205" s="154" t="s">
        <v>107</v>
      </c>
      <c r="U205" s="154" t="s">
        <v>654</v>
      </c>
      <c r="V205" s="154" t="s">
        <v>109</v>
      </c>
      <c r="W205" s="154" t="s">
        <v>110</v>
      </c>
      <c r="X205" s="154" t="s">
        <v>240</v>
      </c>
      <c r="Y205" s="154" t="s">
        <v>655</v>
      </c>
    </row>
    <row r="206" spans="2:25">
      <c r="B206" s="154" t="s">
        <v>102</v>
      </c>
      <c r="C206" s="154" t="s">
        <v>1401</v>
      </c>
      <c r="D206" s="155">
        <v>45126</v>
      </c>
      <c r="E206" s="155">
        <v>45078</v>
      </c>
      <c r="F206" s="159">
        <v>572.25</v>
      </c>
      <c r="G206" s="159">
        <v>17.999999999999002</v>
      </c>
      <c r="H206" s="159">
        <v>17.999999999999002</v>
      </c>
      <c r="I206" s="184">
        <f t="shared" si="8"/>
        <v>45978</v>
      </c>
      <c r="J206" s="159" cm="1">
        <f t="array" ref="J206">[15]!CalculateINPC(D206,I206,-1)*H206</f>
        <v>19.740464099998903</v>
      </c>
      <c r="K206" s="159">
        <f t="shared" si="9"/>
        <v>36.730199950413216</v>
      </c>
      <c r="L206" s="159" cm="1">
        <f t="array" ref="L206">[15]!CalculateDICetip(D206,I206,1)*H206</f>
        <v>23.662906559998689</v>
      </c>
      <c r="M206" s="154">
        <v>175045</v>
      </c>
      <c r="N206" s="154" t="s">
        <v>103</v>
      </c>
      <c r="O206" s="154" t="s">
        <v>587</v>
      </c>
      <c r="P206" s="154" t="s">
        <v>588</v>
      </c>
      <c r="Q206" s="154">
        <v>10027</v>
      </c>
      <c r="R206" s="154" t="s">
        <v>106</v>
      </c>
      <c r="S206" s="154">
        <v>44</v>
      </c>
      <c r="T206" s="154" t="s">
        <v>107</v>
      </c>
      <c r="U206" s="154" t="s">
        <v>760</v>
      </c>
      <c r="V206" s="154" t="s">
        <v>109</v>
      </c>
      <c r="W206" s="154" t="s">
        <v>110</v>
      </c>
      <c r="X206" s="154" t="s">
        <v>111</v>
      </c>
      <c r="Y206" s="154" t="s">
        <v>355</v>
      </c>
    </row>
    <row r="207" spans="2:25">
      <c r="B207" s="154" t="s">
        <v>102</v>
      </c>
      <c r="C207" s="154" t="s">
        <v>1401</v>
      </c>
      <c r="D207" s="155">
        <v>45126</v>
      </c>
      <c r="E207" s="155">
        <v>45078</v>
      </c>
      <c r="F207" s="159">
        <v>1604.74</v>
      </c>
      <c r="G207" s="159">
        <v>28.852340375731</v>
      </c>
      <c r="H207" s="159">
        <v>28.852340375731</v>
      </c>
      <c r="I207" s="184">
        <f t="shared" si="8"/>
        <v>45978</v>
      </c>
      <c r="J207" s="159" cm="1">
        <f t="array" ref="J207">[15]!CalculateINPC(D207,I207,-1)*H207</f>
        <v>31.64214385489435</v>
      </c>
      <c r="K207" s="159">
        <f t="shared" si="9"/>
        <v>58.875123946557714</v>
      </c>
      <c r="L207" s="159" cm="1">
        <f t="array" ref="L207">[15]!CalculateDICetip(D207,I207,1)*H207</f>
        <v>37.929457463790996</v>
      </c>
      <c r="M207" s="154">
        <v>175319</v>
      </c>
      <c r="N207" s="154" t="s">
        <v>103</v>
      </c>
      <c r="O207" s="154" t="s">
        <v>460</v>
      </c>
      <c r="P207" s="154" t="s">
        <v>461</v>
      </c>
      <c r="Q207" s="154">
        <v>10027</v>
      </c>
      <c r="R207" s="154" t="s">
        <v>106</v>
      </c>
      <c r="S207" s="154">
        <v>44</v>
      </c>
      <c r="T207" s="154" t="s">
        <v>107</v>
      </c>
      <c r="U207" s="154" t="s">
        <v>749</v>
      </c>
      <c r="V207" s="154" t="s">
        <v>109</v>
      </c>
      <c r="W207" s="154" t="s">
        <v>110</v>
      </c>
      <c r="X207" s="154" t="s">
        <v>111</v>
      </c>
      <c r="Y207" s="154" t="s">
        <v>495</v>
      </c>
    </row>
    <row r="208" spans="2:25">
      <c r="B208" s="154" t="s">
        <v>102</v>
      </c>
      <c r="C208" s="154" t="s">
        <v>1401</v>
      </c>
      <c r="D208" s="155">
        <v>45126</v>
      </c>
      <c r="E208" s="155">
        <v>45078</v>
      </c>
      <c r="F208" s="159">
        <v>1773.98</v>
      </c>
      <c r="G208" s="159">
        <v>55.800157273916</v>
      </c>
      <c r="H208" s="159">
        <v>55.800157273916</v>
      </c>
      <c r="I208" s="184">
        <f t="shared" si="8"/>
        <v>45978</v>
      </c>
      <c r="J208" s="159" cm="1">
        <f t="array" ref="J208">[15]!CalculateINPC(D208,I208,-1)*H208</f>
        <v>61.195611191116257</v>
      </c>
      <c r="K208" s="159">
        <f t="shared" si="9"/>
        <v>113.86394077419739</v>
      </c>
      <c r="L208" s="159" cm="1">
        <f t="array" ref="L208">[15]!CalculateDICetip(D208,I208,1)*H208</f>
        <v>73.355217089221028</v>
      </c>
      <c r="M208" s="154">
        <v>175046</v>
      </c>
      <c r="N208" s="154" t="s">
        <v>103</v>
      </c>
      <c r="O208" s="154" t="s">
        <v>460</v>
      </c>
      <c r="P208" s="154" t="s">
        <v>461</v>
      </c>
      <c r="Q208" s="154">
        <v>10027</v>
      </c>
      <c r="R208" s="154" t="s">
        <v>106</v>
      </c>
      <c r="S208" s="154">
        <v>44</v>
      </c>
      <c r="T208" s="154" t="s">
        <v>107</v>
      </c>
      <c r="U208" s="154" t="s">
        <v>713</v>
      </c>
      <c r="V208" s="154" t="s">
        <v>109</v>
      </c>
      <c r="W208" s="154" t="s">
        <v>110</v>
      </c>
      <c r="X208" s="154" t="s">
        <v>111</v>
      </c>
      <c r="Y208" s="154" t="s">
        <v>355</v>
      </c>
    </row>
    <row r="209" spans="2:25">
      <c r="B209" s="154" t="s">
        <v>102</v>
      </c>
      <c r="C209" s="154" t="s">
        <v>1401</v>
      </c>
      <c r="D209" s="155">
        <v>45126</v>
      </c>
      <c r="E209" s="155">
        <v>45078</v>
      </c>
      <c r="F209" s="159">
        <v>517.66</v>
      </c>
      <c r="G209" s="159">
        <v>9.3072413717490008</v>
      </c>
      <c r="H209" s="159">
        <v>9.3072413717490008</v>
      </c>
      <c r="I209" s="184">
        <f t="shared" si="8"/>
        <v>45978</v>
      </c>
      <c r="J209" s="159" cm="1">
        <f t="array" ref="J209">[15]!CalculateINPC(D209,I209,-1)*H209</f>
        <v>10.207181342724772</v>
      </c>
      <c r="K209" s="159">
        <f t="shared" si="9"/>
        <v>18.992046476173218</v>
      </c>
      <c r="L209" s="159" cm="1">
        <f t="array" ref="L209">[15]!CalculateDICetip(D209,I209,1)*H209</f>
        <v>12.235354606170157</v>
      </c>
      <c r="M209" s="154">
        <v>175318</v>
      </c>
      <c r="N209" s="154" t="s">
        <v>103</v>
      </c>
      <c r="O209" s="154" t="s">
        <v>587</v>
      </c>
      <c r="P209" s="154" t="s">
        <v>588</v>
      </c>
      <c r="Q209" s="154">
        <v>10027</v>
      </c>
      <c r="R209" s="154" t="s">
        <v>106</v>
      </c>
      <c r="S209" s="154">
        <v>44</v>
      </c>
      <c r="T209" s="154" t="s">
        <v>107</v>
      </c>
      <c r="U209" s="154" t="s">
        <v>771</v>
      </c>
      <c r="V209" s="154" t="s">
        <v>109</v>
      </c>
      <c r="W209" s="154" t="s">
        <v>110</v>
      </c>
      <c r="X209" s="154" t="s">
        <v>111</v>
      </c>
      <c r="Y209" s="154" t="s">
        <v>495</v>
      </c>
    </row>
    <row r="210" spans="2:25">
      <c r="B210" s="154" t="s">
        <v>102</v>
      </c>
      <c r="C210" s="154" t="s">
        <v>1401</v>
      </c>
      <c r="D210" s="155">
        <v>44823</v>
      </c>
      <c r="E210" s="155">
        <v>44798</v>
      </c>
      <c r="F210" s="159">
        <v>12600</v>
      </c>
      <c r="G210" s="159">
        <v>254.54999999998799</v>
      </c>
      <c r="H210" s="159">
        <v>254.54999999998799</v>
      </c>
      <c r="I210" s="184">
        <f t="shared" si="8"/>
        <v>45978</v>
      </c>
      <c r="J210" s="159" cm="1">
        <f t="array" ref="J210">[15]!CalculateINPC(D210,I210,-1)*H210</f>
        <v>290.17049497798632</v>
      </c>
      <c r="K210" s="159">
        <f t="shared" si="9"/>
        <v>673.3199862372071</v>
      </c>
      <c r="L210" s="159" cm="1">
        <f t="array" ref="L210">[15]!CalculateDICetip(D210,I210,1)*H210</f>
        <v>371.90797636798249</v>
      </c>
      <c r="M210" s="154">
        <v>156928</v>
      </c>
      <c r="N210" s="154" t="s">
        <v>307</v>
      </c>
      <c r="O210" s="154" t="s">
        <v>232</v>
      </c>
      <c r="P210" s="154" t="s">
        <v>233</v>
      </c>
      <c r="Q210" s="154">
        <v>10027</v>
      </c>
      <c r="R210" s="154" t="s">
        <v>106</v>
      </c>
      <c r="S210" s="154">
        <v>44</v>
      </c>
      <c r="T210" s="154" t="s">
        <v>107</v>
      </c>
      <c r="U210" s="154" t="s">
        <v>577</v>
      </c>
      <c r="V210" s="154" t="s">
        <v>109</v>
      </c>
      <c r="W210" s="154" t="s">
        <v>110</v>
      </c>
      <c r="X210" s="154" t="s">
        <v>130</v>
      </c>
      <c r="Y210" s="154" t="s">
        <v>578</v>
      </c>
    </row>
    <row r="211" spans="2:25">
      <c r="B211" s="154" t="s">
        <v>786</v>
      </c>
      <c r="C211" s="154" t="s">
        <v>1401</v>
      </c>
      <c r="D211" s="155">
        <v>44823</v>
      </c>
      <c r="E211" s="155">
        <v>44798</v>
      </c>
      <c r="F211" s="159">
        <v>12600</v>
      </c>
      <c r="G211" s="159">
        <v>-254.54999999998799</v>
      </c>
      <c r="H211" s="159">
        <v>-254.54999999998799</v>
      </c>
      <c r="I211" s="184">
        <f t="shared" si="8"/>
        <v>45978</v>
      </c>
      <c r="J211" s="159" cm="1">
        <f t="array" ref="J211">[15]!CalculateINPC(D211,I211,-1)*H211</f>
        <v>-290.17049497798632</v>
      </c>
      <c r="K211" s="159">
        <f t="shared" si="9"/>
        <v>-673.3199862372071</v>
      </c>
      <c r="L211" s="159" cm="1">
        <f t="array" ref="L211">[15]!CalculateDICetip(D211,I211,1)*H211</f>
        <v>-371.90797636798249</v>
      </c>
      <c r="M211" s="154">
        <v>156928</v>
      </c>
      <c r="N211" s="154" t="s">
        <v>307</v>
      </c>
      <c r="O211" s="154" t="s">
        <v>232</v>
      </c>
      <c r="P211" s="154" t="s">
        <v>233</v>
      </c>
      <c r="Q211" s="154">
        <v>10027</v>
      </c>
      <c r="R211" s="154" t="s">
        <v>106</v>
      </c>
      <c r="S211" s="154">
        <v>44</v>
      </c>
      <c r="T211" s="154" t="s">
        <v>107</v>
      </c>
      <c r="U211" s="154" t="s">
        <v>577</v>
      </c>
      <c r="V211" s="154" t="s">
        <v>109</v>
      </c>
      <c r="W211" s="154" t="s">
        <v>110</v>
      </c>
      <c r="X211" s="154" t="s">
        <v>130</v>
      </c>
      <c r="Y211" s="154" t="s">
        <v>578</v>
      </c>
    </row>
    <row r="212" spans="2:25">
      <c r="B212" s="154" t="s">
        <v>102</v>
      </c>
      <c r="C212" s="154" t="s">
        <v>1401</v>
      </c>
      <c r="D212" s="155">
        <v>44823</v>
      </c>
      <c r="E212" s="155">
        <v>44805</v>
      </c>
      <c r="F212" s="159">
        <v>678293.05</v>
      </c>
      <c r="G212" s="159">
        <v>11.070000001778</v>
      </c>
      <c r="H212" s="159">
        <v>11.070000001778</v>
      </c>
      <c r="I212" s="184">
        <f t="shared" si="8"/>
        <v>45978</v>
      </c>
      <c r="J212" s="159" cm="1">
        <f t="array" ref="J212">[15]!CalculateINPC(D212,I212,-1)*H212</f>
        <v>12.619082223226807</v>
      </c>
      <c r="K212" s="159">
        <f t="shared" si="9"/>
        <v>29.28168237612806</v>
      </c>
      <c r="L212" s="159" cm="1">
        <f t="array" ref="L212">[15]!CalculateDICetip(D212,I212,1)*H212</f>
        <v>16.173723429797732</v>
      </c>
      <c r="M212" s="154">
        <v>158957</v>
      </c>
      <c r="N212" s="154" t="s">
        <v>166</v>
      </c>
      <c r="O212" s="154" t="s">
        <v>528</v>
      </c>
      <c r="P212" s="154" t="s">
        <v>529</v>
      </c>
      <c r="Q212" s="154">
        <v>10027</v>
      </c>
      <c r="R212" s="154" t="s">
        <v>106</v>
      </c>
      <c r="S212" s="154">
        <v>44</v>
      </c>
      <c r="T212" s="154" t="s">
        <v>107</v>
      </c>
      <c r="U212" s="154" t="s">
        <v>769</v>
      </c>
      <c r="V212" s="154" t="s">
        <v>109</v>
      </c>
      <c r="W212" s="154" t="s">
        <v>110</v>
      </c>
      <c r="X212" s="154" t="s">
        <v>111</v>
      </c>
      <c r="Y212" s="154" t="s">
        <v>770</v>
      </c>
    </row>
    <row r="213" spans="2:25">
      <c r="B213" s="154" t="s">
        <v>102</v>
      </c>
      <c r="C213" s="154" t="s">
        <v>1401</v>
      </c>
      <c r="D213" s="155">
        <v>45279</v>
      </c>
      <c r="E213" s="155">
        <v>45236</v>
      </c>
      <c r="F213" s="159">
        <v>274.35000000000002</v>
      </c>
      <c r="G213" s="159">
        <v>15.112499999999001</v>
      </c>
      <c r="H213" s="159">
        <v>15.112499999999001</v>
      </c>
      <c r="I213" s="184">
        <f t="shared" si="8"/>
        <v>45978</v>
      </c>
      <c r="J213" s="159" cm="1">
        <f t="array" ref="J213">[15]!CalculateINPC(D213,I213,-1)*H213</f>
        <v>16.501088033623912</v>
      </c>
      <c r="K213" s="159">
        <f t="shared" si="9"/>
        <v>27.463291735914474</v>
      </c>
      <c r="L213" s="159" cm="1">
        <f t="array" ref="L213">[15]!CalculateDICetip(D213,I213,1)*H213</f>
        <v>18.89779240537375</v>
      </c>
      <c r="M213" s="154">
        <v>185702</v>
      </c>
      <c r="N213" s="154" t="s">
        <v>103</v>
      </c>
      <c r="O213" s="154" t="s">
        <v>460</v>
      </c>
      <c r="P213" s="154" t="s">
        <v>461</v>
      </c>
      <c r="Q213" s="154">
        <v>10027</v>
      </c>
      <c r="R213" s="154" t="s">
        <v>106</v>
      </c>
      <c r="S213" s="154">
        <v>44</v>
      </c>
      <c r="T213" s="154" t="s">
        <v>107</v>
      </c>
      <c r="U213" s="154" t="s">
        <v>766</v>
      </c>
      <c r="V213" s="154" t="s">
        <v>109</v>
      </c>
      <c r="W213" s="154" t="s">
        <v>110</v>
      </c>
      <c r="X213" s="154" t="s">
        <v>111</v>
      </c>
      <c r="Y213" s="154" t="s">
        <v>551</v>
      </c>
    </row>
    <row r="214" spans="2:25">
      <c r="B214" s="154" t="s">
        <v>102</v>
      </c>
      <c r="C214" s="154" t="s">
        <v>1401</v>
      </c>
      <c r="D214" s="155">
        <v>45279</v>
      </c>
      <c r="E214" s="155">
        <v>45238</v>
      </c>
      <c r="F214" s="159">
        <v>52.5</v>
      </c>
      <c r="G214" s="159">
        <v>52.5</v>
      </c>
      <c r="H214" s="159">
        <v>52.5</v>
      </c>
      <c r="I214" s="184">
        <f t="shared" si="8"/>
        <v>45978</v>
      </c>
      <c r="J214" s="159" cm="1">
        <f t="array" ref="J214">[15]!CalculateINPC(D214,I214,-1)*H214</f>
        <v>57.323879025000004</v>
      </c>
      <c r="K214" s="159">
        <f t="shared" si="9"/>
        <v>95.405976253803487</v>
      </c>
      <c r="L214" s="159" cm="1">
        <f t="array" ref="L214">[15]!CalculateDICetip(D214,I214,1)*H214</f>
        <v>65.649899175000002</v>
      </c>
      <c r="M214" s="154">
        <v>185954</v>
      </c>
      <c r="N214" s="154" t="s">
        <v>103</v>
      </c>
      <c r="O214" s="154" t="s">
        <v>587</v>
      </c>
      <c r="P214" s="154" t="s">
        <v>588</v>
      </c>
      <c r="Q214" s="154">
        <v>10027</v>
      </c>
      <c r="R214" s="154" t="s">
        <v>106</v>
      </c>
      <c r="S214" s="154">
        <v>44</v>
      </c>
      <c r="T214" s="154" t="s">
        <v>107</v>
      </c>
      <c r="U214" s="154" t="s">
        <v>718</v>
      </c>
      <c r="V214" s="154" t="s">
        <v>109</v>
      </c>
      <c r="W214" s="154" t="s">
        <v>110</v>
      </c>
      <c r="X214" s="154" t="s">
        <v>111</v>
      </c>
      <c r="Y214" s="154" t="s">
        <v>619</v>
      </c>
    </row>
    <row r="215" spans="2:25">
      <c r="B215" s="154" t="s">
        <v>102</v>
      </c>
      <c r="C215" s="154" t="s">
        <v>1401</v>
      </c>
      <c r="D215" s="155">
        <v>45279</v>
      </c>
      <c r="E215" s="155">
        <v>45238</v>
      </c>
      <c r="F215" s="159">
        <v>162.75</v>
      </c>
      <c r="G215" s="159">
        <v>162.75</v>
      </c>
      <c r="H215" s="159">
        <v>162.75</v>
      </c>
      <c r="I215" s="184">
        <f t="shared" si="8"/>
        <v>45978</v>
      </c>
      <c r="J215" s="159" cm="1">
        <f t="array" ref="J215">[15]!CalculateINPC(D215,I215,-1)*H215</f>
        <v>177.70402497750001</v>
      </c>
      <c r="K215" s="159">
        <f t="shared" si="9"/>
        <v>295.75852638679078</v>
      </c>
      <c r="L215" s="159" cm="1">
        <f t="array" ref="L215">[15]!CalculateDICetip(D215,I215,1)*H215</f>
        <v>203.51468744249999</v>
      </c>
      <c r="M215" s="154">
        <v>185955</v>
      </c>
      <c r="N215" s="154" t="s">
        <v>103</v>
      </c>
      <c r="O215" s="154" t="s">
        <v>460</v>
      </c>
      <c r="P215" s="154" t="s">
        <v>461</v>
      </c>
      <c r="Q215" s="154">
        <v>10027</v>
      </c>
      <c r="R215" s="154" t="s">
        <v>106</v>
      </c>
      <c r="S215" s="154">
        <v>44</v>
      </c>
      <c r="T215" s="154" t="s">
        <v>107</v>
      </c>
      <c r="U215" s="154" t="s">
        <v>618</v>
      </c>
      <c r="V215" s="154" t="s">
        <v>109</v>
      </c>
      <c r="W215" s="154" t="s">
        <v>110</v>
      </c>
      <c r="X215" s="154" t="s">
        <v>111</v>
      </c>
      <c r="Y215" s="154" t="s">
        <v>619</v>
      </c>
    </row>
    <row r="216" spans="2:25">
      <c r="B216" s="154" t="s">
        <v>102</v>
      </c>
      <c r="C216" s="154" t="s">
        <v>1401</v>
      </c>
      <c r="D216" s="155">
        <v>45279</v>
      </c>
      <c r="E216" s="155">
        <v>45236</v>
      </c>
      <c r="F216" s="159">
        <v>88.5</v>
      </c>
      <c r="G216" s="159">
        <v>4.875</v>
      </c>
      <c r="H216" s="159">
        <v>4.875</v>
      </c>
      <c r="I216" s="184">
        <f t="shared" si="8"/>
        <v>45978</v>
      </c>
      <c r="J216" s="159" cm="1">
        <f t="array" ref="J216">[15]!CalculateINPC(D216,I216,-1)*H216</f>
        <v>5.3229316237500006</v>
      </c>
      <c r="K216" s="159">
        <f t="shared" si="9"/>
        <v>8.8591263664246096</v>
      </c>
      <c r="L216" s="159" cm="1">
        <f t="array" ref="L216">[15]!CalculateDICetip(D216,I216,1)*H216</f>
        <v>6.09606206625</v>
      </c>
      <c r="M216" s="154">
        <v>185701</v>
      </c>
      <c r="N216" s="154" t="s">
        <v>103</v>
      </c>
      <c r="O216" s="154" t="s">
        <v>587</v>
      </c>
      <c r="P216" s="154" t="s">
        <v>588</v>
      </c>
      <c r="Q216" s="154">
        <v>10027</v>
      </c>
      <c r="R216" s="154" t="s">
        <v>106</v>
      </c>
      <c r="S216" s="154">
        <v>44</v>
      </c>
      <c r="T216" s="154" t="s">
        <v>107</v>
      </c>
      <c r="U216" s="154" t="s">
        <v>777</v>
      </c>
      <c r="V216" s="154" t="s">
        <v>109</v>
      </c>
      <c r="W216" s="154" t="s">
        <v>110</v>
      </c>
      <c r="X216" s="154" t="s">
        <v>111</v>
      </c>
      <c r="Y216" s="154" t="s">
        <v>551</v>
      </c>
    </row>
    <row r="217" spans="2:25">
      <c r="B217" s="154" t="s">
        <v>102</v>
      </c>
      <c r="C217" s="154" t="s">
        <v>1401</v>
      </c>
      <c r="D217" s="155">
        <v>45797</v>
      </c>
      <c r="E217" s="155">
        <v>45790</v>
      </c>
      <c r="F217" s="159">
        <v>836.15</v>
      </c>
      <c r="G217" s="159">
        <v>715.549999999997</v>
      </c>
      <c r="H217" s="159">
        <v>715.549999999997</v>
      </c>
      <c r="I217" s="184">
        <f t="shared" si="8"/>
        <v>45978</v>
      </c>
      <c r="J217" s="159" cm="1">
        <f t="array" ref="J217">[15]!CalculateINPC(D217,I217,-1)*H217</f>
        <v>723.66220466099696</v>
      </c>
      <c r="K217" s="159">
        <f t="shared" si="9"/>
        <v>825.703406675976</v>
      </c>
      <c r="L217" s="159" cm="1">
        <f t="array" ref="L217">[15]!CalculateDICetip(D217,I217,1)*H217</f>
        <v>767.70804948749674</v>
      </c>
      <c r="M217" s="154">
        <v>252911</v>
      </c>
      <c r="N217" s="154" t="s">
        <v>559</v>
      </c>
      <c r="O217" s="154" t="s">
        <v>316</v>
      </c>
      <c r="P217" s="154" t="s">
        <v>317</v>
      </c>
      <c r="Q217" s="154">
        <v>10027</v>
      </c>
      <c r="R217" s="154" t="s">
        <v>106</v>
      </c>
      <c r="S217" s="154">
        <v>44</v>
      </c>
      <c r="T217" s="154" t="s">
        <v>107</v>
      </c>
      <c r="U217" s="154" t="s">
        <v>802</v>
      </c>
      <c r="V217" s="154" t="s">
        <v>109</v>
      </c>
      <c r="W217" s="154" t="s">
        <v>110</v>
      </c>
      <c r="X217" s="154" t="s">
        <v>333</v>
      </c>
      <c r="Y217" s="154" t="s">
        <v>803</v>
      </c>
    </row>
    <row r="218" spans="2:25">
      <c r="B218" s="154" t="s">
        <v>102</v>
      </c>
      <c r="C218" s="154" t="s">
        <v>1401</v>
      </c>
      <c r="D218" s="155">
        <v>44732</v>
      </c>
      <c r="E218" s="155">
        <v>44721</v>
      </c>
      <c r="F218" s="159">
        <v>700</v>
      </c>
      <c r="G218" s="159">
        <v>700</v>
      </c>
      <c r="H218" s="159">
        <v>700</v>
      </c>
      <c r="I218" s="184">
        <f t="shared" si="8"/>
        <v>45978</v>
      </c>
      <c r="J218" s="159" cm="1">
        <f t="array" ref="J218">[15]!CalculateINPC(D218,I218,-1)*H218</f>
        <v>795.61045899999999</v>
      </c>
      <c r="K218" s="159">
        <f t="shared" si="9"/>
        <v>1972.7456135015159</v>
      </c>
      <c r="L218" s="159" cm="1">
        <f t="array" ref="L218">[15]!CalculateDICetip(D218,I218,1)*H218</f>
        <v>1055.899222</v>
      </c>
      <c r="M218" s="154">
        <v>151508</v>
      </c>
      <c r="N218" s="154" t="s">
        <v>236</v>
      </c>
      <c r="O218" s="154" t="s">
        <v>453</v>
      </c>
      <c r="P218" s="154" t="s">
        <v>454</v>
      </c>
      <c r="Q218" s="154">
        <v>10027</v>
      </c>
      <c r="R218" s="154" t="s">
        <v>106</v>
      </c>
      <c r="S218" s="154">
        <v>44</v>
      </c>
      <c r="T218" s="154" t="s">
        <v>107</v>
      </c>
      <c r="U218" s="154" t="s">
        <v>455</v>
      </c>
      <c r="V218" s="154" t="s">
        <v>109</v>
      </c>
      <c r="W218" s="154" t="s">
        <v>110</v>
      </c>
      <c r="X218" s="154" t="s">
        <v>240</v>
      </c>
      <c r="Y218" s="154" t="s">
        <v>456</v>
      </c>
    </row>
    <row r="219" spans="2:25">
      <c r="B219" s="154" t="s">
        <v>102</v>
      </c>
      <c r="C219" s="154" t="s">
        <v>1401</v>
      </c>
      <c r="D219" s="155">
        <v>45097</v>
      </c>
      <c r="E219" s="155">
        <v>45048</v>
      </c>
      <c r="F219" s="159">
        <v>3616.54</v>
      </c>
      <c r="G219" s="159">
        <v>87.187560270006998</v>
      </c>
      <c r="H219" s="159">
        <v>87.187560270006998</v>
      </c>
      <c r="I219" s="184">
        <f t="shared" si="8"/>
        <v>45978</v>
      </c>
      <c r="J219" s="159" cm="1">
        <f t="array" ref="J219">[15]!CalculateINPC(D219,I219,-1)*H219</f>
        <v>95.522366694095467</v>
      </c>
      <c r="K219" s="159">
        <f t="shared" si="9"/>
        <v>181.5305727834342</v>
      </c>
      <c r="L219" s="159" cm="1">
        <f t="array" ref="L219">[15]!CalculateDICetip(D219,I219,1)*H219</f>
        <v>115.84596049627903</v>
      </c>
      <c r="M219" s="154">
        <v>173152</v>
      </c>
      <c r="N219" s="154" t="s">
        <v>103</v>
      </c>
      <c r="O219" s="154" t="s">
        <v>460</v>
      </c>
      <c r="P219" s="154" t="s">
        <v>461</v>
      </c>
      <c r="Q219" s="154">
        <v>10027</v>
      </c>
      <c r="R219" s="154" t="s">
        <v>106</v>
      </c>
      <c r="S219" s="154">
        <v>44</v>
      </c>
      <c r="T219" s="154" t="s">
        <v>107</v>
      </c>
      <c r="U219" s="154" t="s">
        <v>673</v>
      </c>
      <c r="V219" s="154" t="s">
        <v>137</v>
      </c>
      <c r="W219" s="154" t="s">
        <v>138</v>
      </c>
      <c r="X219" s="154" t="s">
        <v>111</v>
      </c>
      <c r="Y219" s="154" t="s">
        <v>321</v>
      </c>
    </row>
    <row r="220" spans="2:25">
      <c r="B220" s="154" t="s">
        <v>102</v>
      </c>
      <c r="C220" s="154" t="s">
        <v>1401</v>
      </c>
      <c r="D220" s="155">
        <v>45097</v>
      </c>
      <c r="E220" s="155">
        <v>45048</v>
      </c>
      <c r="F220" s="159">
        <v>1166.6199999999999</v>
      </c>
      <c r="G220" s="159">
        <v>28.124879459980001</v>
      </c>
      <c r="H220" s="159">
        <v>28.124879459980001</v>
      </c>
      <c r="I220" s="184">
        <f t="shared" si="8"/>
        <v>45978</v>
      </c>
      <c r="J220" s="159" cm="1">
        <f t="array" ref="J220">[15]!CalculateINPC(D220,I220,-1)*H220</f>
        <v>30.813513311802499</v>
      </c>
      <c r="K220" s="159">
        <f t="shared" si="9"/>
        <v>58.557957832793512</v>
      </c>
      <c r="L220" s="159" cm="1">
        <f t="array" ref="L220">[15]!CalculateDICetip(D220,I220,1)*H220</f>
        <v>37.369478682433964</v>
      </c>
      <c r="M220" s="154">
        <v>173151</v>
      </c>
      <c r="N220" s="154" t="s">
        <v>103</v>
      </c>
      <c r="O220" s="154" t="s">
        <v>587</v>
      </c>
      <c r="P220" s="154" t="s">
        <v>588</v>
      </c>
      <c r="Q220" s="154">
        <v>10027</v>
      </c>
      <c r="R220" s="154" t="s">
        <v>106</v>
      </c>
      <c r="S220" s="154">
        <v>44</v>
      </c>
      <c r="T220" s="154" t="s">
        <v>107</v>
      </c>
      <c r="U220" s="154" t="s">
        <v>750</v>
      </c>
      <c r="V220" s="154" t="s">
        <v>137</v>
      </c>
      <c r="W220" s="154" t="s">
        <v>138</v>
      </c>
      <c r="X220" s="154" t="s">
        <v>111</v>
      </c>
      <c r="Y220" s="154" t="s">
        <v>321</v>
      </c>
    </row>
    <row r="221" spans="2:25">
      <c r="B221" s="154" t="s">
        <v>102</v>
      </c>
      <c r="C221" s="154" t="s">
        <v>1401</v>
      </c>
      <c r="D221" s="155">
        <v>44397</v>
      </c>
      <c r="E221" s="155">
        <v>44385</v>
      </c>
      <c r="F221" s="159">
        <v>200</v>
      </c>
      <c r="G221" s="159">
        <v>200</v>
      </c>
      <c r="H221" s="159">
        <v>200</v>
      </c>
      <c r="I221" s="184">
        <f t="shared" si="8"/>
        <v>45978</v>
      </c>
      <c r="J221" s="159" cm="1">
        <f t="array" ref="J221">[15]!CalculateINPC(D221,I221,-1)*H221</f>
        <v>252.84509000000003</v>
      </c>
      <c r="K221" s="159">
        <f t="shared" si="9"/>
        <v>800.3053989406086</v>
      </c>
      <c r="L221" s="159" cm="1">
        <f t="array" ref="L221">[15]!CalculateDICetip(D221,I221,1)*H221</f>
        <v>325.77756799999997</v>
      </c>
      <c r="M221" s="154">
        <v>112804</v>
      </c>
      <c r="N221" s="154" t="s">
        <v>236</v>
      </c>
      <c r="O221" s="154" t="s">
        <v>126</v>
      </c>
      <c r="P221" s="154" t="s">
        <v>127</v>
      </c>
      <c r="Q221" s="154">
        <v>10027</v>
      </c>
      <c r="R221" s="154" t="s">
        <v>106</v>
      </c>
      <c r="S221" s="154">
        <v>44</v>
      </c>
      <c r="T221" s="154" t="s">
        <v>107</v>
      </c>
      <c r="U221" s="154" t="s">
        <v>526</v>
      </c>
      <c r="V221" s="154" t="s">
        <v>109</v>
      </c>
      <c r="W221" s="154" t="s">
        <v>110</v>
      </c>
      <c r="X221" s="154" t="s">
        <v>399</v>
      </c>
      <c r="Y221" s="154" t="s">
        <v>599</v>
      </c>
    </row>
    <row r="222" spans="2:25">
      <c r="B222" s="154" t="s">
        <v>102</v>
      </c>
      <c r="C222" s="154" t="s">
        <v>1401</v>
      </c>
      <c r="D222" s="155">
        <v>45189</v>
      </c>
      <c r="E222" s="155">
        <v>45141</v>
      </c>
      <c r="F222" s="159">
        <v>208.5</v>
      </c>
      <c r="G222" s="159">
        <v>208.5</v>
      </c>
      <c r="H222" s="159">
        <v>208.5</v>
      </c>
      <c r="I222" s="184">
        <f t="shared" si="8"/>
        <v>45978</v>
      </c>
      <c r="J222" s="159" cm="1">
        <f t="array" ref="J222">[15]!CalculateINPC(D222,I222,-1)*H222</f>
        <v>228.40962329999999</v>
      </c>
      <c r="K222" s="159">
        <f t="shared" si="9"/>
        <v>405.91980821862023</v>
      </c>
      <c r="L222" s="159" cm="1">
        <f t="array" ref="L222">[15]!CalculateDICetip(D222,I222,1)*H222</f>
        <v>268.19450492999999</v>
      </c>
      <c r="M222" s="154">
        <v>178845</v>
      </c>
      <c r="N222" s="154" t="s">
        <v>103</v>
      </c>
      <c r="O222" s="154" t="s">
        <v>587</v>
      </c>
      <c r="P222" s="154" t="s">
        <v>588</v>
      </c>
      <c r="Q222" s="154">
        <v>10027</v>
      </c>
      <c r="R222" s="154" t="s">
        <v>106</v>
      </c>
      <c r="S222" s="154">
        <v>44</v>
      </c>
      <c r="T222" s="154" t="s">
        <v>107</v>
      </c>
      <c r="U222" s="154" t="s">
        <v>592</v>
      </c>
      <c r="V222" s="154" t="s">
        <v>109</v>
      </c>
      <c r="W222" s="154" t="s">
        <v>110</v>
      </c>
      <c r="X222" s="154" t="s">
        <v>111</v>
      </c>
      <c r="Y222" s="154" t="s">
        <v>195</v>
      </c>
    </row>
    <row r="223" spans="2:25">
      <c r="B223" s="154" t="s">
        <v>102</v>
      </c>
      <c r="C223" s="154" t="s">
        <v>1401</v>
      </c>
      <c r="D223" s="155">
        <v>45189</v>
      </c>
      <c r="E223" s="155">
        <v>45139</v>
      </c>
      <c r="F223" s="159">
        <v>148.5</v>
      </c>
      <c r="G223" s="159">
        <v>148.5</v>
      </c>
      <c r="H223" s="159">
        <v>148.5</v>
      </c>
      <c r="I223" s="184">
        <f t="shared" si="8"/>
        <v>45978</v>
      </c>
      <c r="J223" s="159" cm="1">
        <f t="array" ref="J223">[15]!CalculateINPC(D223,I223,-1)*H223</f>
        <v>162.68023529999999</v>
      </c>
      <c r="K223" s="159">
        <f t="shared" si="9"/>
        <v>289.1083526161396</v>
      </c>
      <c r="L223" s="159" cm="1">
        <f t="array" ref="L223">[15]!CalculateDICetip(D223,I223,1)*H223</f>
        <v>191.01623013</v>
      </c>
      <c r="M223" s="154">
        <v>178800</v>
      </c>
      <c r="N223" s="154" t="s">
        <v>103</v>
      </c>
      <c r="O223" s="154" t="s">
        <v>587</v>
      </c>
      <c r="P223" s="154" t="s">
        <v>588</v>
      </c>
      <c r="Q223" s="154">
        <v>10027</v>
      </c>
      <c r="R223" s="154" t="s">
        <v>106</v>
      </c>
      <c r="S223" s="154">
        <v>44</v>
      </c>
      <c r="T223" s="154" t="s">
        <v>107</v>
      </c>
      <c r="U223" s="154" t="s">
        <v>628</v>
      </c>
      <c r="V223" s="154" t="s">
        <v>109</v>
      </c>
      <c r="W223" s="154" t="s">
        <v>110</v>
      </c>
      <c r="X223" s="154" t="s">
        <v>111</v>
      </c>
      <c r="Y223" s="154" t="s">
        <v>214</v>
      </c>
    </row>
    <row r="224" spans="2:25">
      <c r="B224" s="154" t="s">
        <v>102</v>
      </c>
      <c r="C224" s="154" t="s">
        <v>1401</v>
      </c>
      <c r="D224" s="155">
        <v>45189</v>
      </c>
      <c r="E224" s="155">
        <v>45139</v>
      </c>
      <c r="F224" s="159">
        <v>167.4</v>
      </c>
      <c r="G224" s="159">
        <v>51.149999999998997</v>
      </c>
      <c r="H224" s="159">
        <v>51.149999999998997</v>
      </c>
      <c r="I224" s="184">
        <f t="shared" si="8"/>
        <v>45978</v>
      </c>
      <c r="J224" s="159" cm="1">
        <f t="array" ref="J224">[15]!CalculateINPC(D224,I224,-1)*H224</f>
        <v>56.034303269998901</v>
      </c>
      <c r="K224" s="159">
        <f t="shared" si="9"/>
        <v>99.581765901112789</v>
      </c>
      <c r="L224" s="159" cm="1">
        <f t="array" ref="L224">[15]!CalculateDICetip(D224,I224,1)*H224</f>
        <v>65.794479266998707</v>
      </c>
      <c r="M224" s="154">
        <v>178854</v>
      </c>
      <c r="N224" s="154" t="s">
        <v>103</v>
      </c>
      <c r="O224" s="154" t="s">
        <v>460</v>
      </c>
      <c r="P224" s="154" t="s">
        <v>461</v>
      </c>
      <c r="Q224" s="154">
        <v>10027</v>
      </c>
      <c r="R224" s="154" t="s">
        <v>106</v>
      </c>
      <c r="S224" s="154">
        <v>44</v>
      </c>
      <c r="T224" s="154" t="s">
        <v>107</v>
      </c>
      <c r="U224" s="154" t="s">
        <v>719</v>
      </c>
      <c r="V224" s="154" t="s">
        <v>109</v>
      </c>
      <c r="W224" s="154" t="s">
        <v>110</v>
      </c>
      <c r="X224" s="154" t="s">
        <v>111</v>
      </c>
      <c r="Y224" s="154" t="s">
        <v>366</v>
      </c>
    </row>
    <row r="225" spans="2:25">
      <c r="B225" s="154" t="s">
        <v>102</v>
      </c>
      <c r="C225" s="154" t="s">
        <v>1401</v>
      </c>
      <c r="D225" s="155">
        <v>45189</v>
      </c>
      <c r="E225" s="155">
        <v>45139</v>
      </c>
      <c r="F225" s="159">
        <v>54</v>
      </c>
      <c r="G225" s="159">
        <v>16.5</v>
      </c>
      <c r="H225" s="159">
        <v>16.5</v>
      </c>
      <c r="I225" s="184">
        <f t="shared" si="8"/>
        <v>45978</v>
      </c>
      <c r="J225" s="159" cm="1">
        <f t="array" ref="J225">[15]!CalculateINPC(D225,I225,-1)*H225</f>
        <v>18.075581700000001</v>
      </c>
      <c r="K225" s="159">
        <f t="shared" si="9"/>
        <v>32.123150290682176</v>
      </c>
      <c r="L225" s="159" cm="1">
        <f t="array" ref="L225">[15]!CalculateDICetip(D225,I225,1)*H225</f>
        <v>21.224025569999998</v>
      </c>
      <c r="M225" s="154">
        <v>178853</v>
      </c>
      <c r="N225" s="154" t="s">
        <v>103</v>
      </c>
      <c r="O225" s="154" t="s">
        <v>587</v>
      </c>
      <c r="P225" s="154" t="s">
        <v>588</v>
      </c>
      <c r="Q225" s="154">
        <v>10027</v>
      </c>
      <c r="R225" s="154" t="s">
        <v>106</v>
      </c>
      <c r="S225" s="154">
        <v>44</v>
      </c>
      <c r="T225" s="154" t="s">
        <v>107</v>
      </c>
      <c r="U225" s="154" t="s">
        <v>763</v>
      </c>
      <c r="V225" s="154" t="s">
        <v>109</v>
      </c>
      <c r="W225" s="154" t="s">
        <v>110</v>
      </c>
      <c r="X225" s="154" t="s">
        <v>111</v>
      </c>
      <c r="Y225" s="154" t="s">
        <v>366</v>
      </c>
    </row>
    <row r="226" spans="2:25">
      <c r="B226" s="154" t="s">
        <v>102</v>
      </c>
      <c r="C226" s="154" t="s">
        <v>1401</v>
      </c>
      <c r="D226" s="155">
        <v>45189</v>
      </c>
      <c r="E226" s="155">
        <v>45139</v>
      </c>
      <c r="F226" s="159">
        <v>460.35</v>
      </c>
      <c r="G226" s="159">
        <v>460.35</v>
      </c>
      <c r="H226" s="159">
        <v>460.35</v>
      </c>
      <c r="I226" s="184">
        <f t="shared" si="8"/>
        <v>45978</v>
      </c>
      <c r="J226" s="159" cm="1">
        <f t="array" ref="J226">[15]!CalculateINPC(D226,I226,-1)*H226</f>
        <v>504.30872943000003</v>
      </c>
      <c r="K226" s="159">
        <f t="shared" si="9"/>
        <v>896.23589311003275</v>
      </c>
      <c r="L226" s="159" cm="1">
        <f t="array" ref="L226">[15]!CalculateDICetip(D226,I226,1)*H226</f>
        <v>592.15031340300004</v>
      </c>
      <c r="M226" s="154">
        <v>178801</v>
      </c>
      <c r="N226" s="154" t="s">
        <v>103</v>
      </c>
      <c r="O226" s="154" t="s">
        <v>460</v>
      </c>
      <c r="P226" s="154" t="s">
        <v>461</v>
      </c>
      <c r="Q226" s="154">
        <v>10027</v>
      </c>
      <c r="R226" s="154" t="s">
        <v>106</v>
      </c>
      <c r="S226" s="154">
        <v>44</v>
      </c>
      <c r="T226" s="154" t="s">
        <v>107</v>
      </c>
      <c r="U226" s="154" t="s">
        <v>514</v>
      </c>
      <c r="V226" s="154" t="s">
        <v>109</v>
      </c>
      <c r="W226" s="154" t="s">
        <v>110</v>
      </c>
      <c r="X226" s="154" t="s">
        <v>111</v>
      </c>
      <c r="Y226" s="154" t="s">
        <v>214</v>
      </c>
    </row>
    <row r="227" spans="2:25">
      <c r="B227" s="154" t="s">
        <v>102</v>
      </c>
      <c r="C227" s="154" t="s">
        <v>1401</v>
      </c>
      <c r="D227" s="155">
        <v>45189</v>
      </c>
      <c r="E227" s="155">
        <v>45141</v>
      </c>
      <c r="F227" s="159">
        <v>646.35</v>
      </c>
      <c r="G227" s="159">
        <v>646.35</v>
      </c>
      <c r="H227" s="159">
        <v>646.35</v>
      </c>
      <c r="I227" s="184">
        <f t="shared" si="8"/>
        <v>45978</v>
      </c>
      <c r="J227" s="159" cm="1">
        <f t="array" ref="J227">[15]!CalculateINPC(D227,I227,-1)*H227</f>
        <v>708.06983222999997</v>
      </c>
      <c r="K227" s="159">
        <f t="shared" si="9"/>
        <v>1258.3514054777227</v>
      </c>
      <c r="L227" s="159" cm="1">
        <f t="array" ref="L227">[15]!CalculateDICetip(D227,I227,1)*H227</f>
        <v>831.40296528299996</v>
      </c>
      <c r="M227" s="154">
        <v>178846</v>
      </c>
      <c r="N227" s="154" t="s">
        <v>103</v>
      </c>
      <c r="O227" s="154" t="s">
        <v>460</v>
      </c>
      <c r="P227" s="154" t="s">
        <v>461</v>
      </c>
      <c r="Q227" s="154">
        <v>10027</v>
      </c>
      <c r="R227" s="154" t="s">
        <v>106</v>
      </c>
      <c r="S227" s="154">
        <v>44</v>
      </c>
      <c r="T227" s="154" t="s">
        <v>107</v>
      </c>
      <c r="U227" s="154" t="s">
        <v>482</v>
      </c>
      <c r="V227" s="154" t="s">
        <v>109</v>
      </c>
      <c r="W227" s="154" t="s">
        <v>110</v>
      </c>
      <c r="X227" s="154" t="s">
        <v>111</v>
      </c>
      <c r="Y227" s="154" t="s">
        <v>195</v>
      </c>
    </row>
    <row r="228" spans="2:25">
      <c r="B228" s="154" t="s">
        <v>102</v>
      </c>
      <c r="C228" s="154" t="s">
        <v>1401</v>
      </c>
      <c r="D228" s="155">
        <v>45189</v>
      </c>
      <c r="E228" s="155">
        <v>45139</v>
      </c>
      <c r="F228" s="159">
        <v>199.88</v>
      </c>
      <c r="G228" s="159">
        <v>151.12878048780499</v>
      </c>
      <c r="H228" s="159">
        <v>151.12878048780499</v>
      </c>
      <c r="I228" s="184">
        <f t="shared" si="8"/>
        <v>45978</v>
      </c>
      <c r="J228" s="159" cm="1">
        <f t="array" ref="J228">[15]!CalculateINPC(D228,I228,-1)*H228</f>
        <v>165.56003751082937</v>
      </c>
      <c r="K228" s="159">
        <f t="shared" si="9"/>
        <v>294.22621387013788</v>
      </c>
      <c r="L228" s="159" cm="1">
        <f t="array" ref="L228">[15]!CalculateDICetip(D228,I228,1)*H228</f>
        <v>194.39764251127818</v>
      </c>
      <c r="M228" s="154">
        <v>178847</v>
      </c>
      <c r="N228" s="154" t="s">
        <v>103</v>
      </c>
      <c r="O228" s="154" t="s">
        <v>587</v>
      </c>
      <c r="P228" s="154" t="s">
        <v>588</v>
      </c>
      <c r="Q228" s="154">
        <v>10027</v>
      </c>
      <c r="R228" s="154" t="s">
        <v>106</v>
      </c>
      <c r="S228" s="154">
        <v>44</v>
      </c>
      <c r="T228" s="154" t="s">
        <v>107</v>
      </c>
      <c r="U228" s="154" t="s">
        <v>620</v>
      </c>
      <c r="V228" s="154" t="s">
        <v>109</v>
      </c>
      <c r="W228" s="154" t="s">
        <v>110</v>
      </c>
      <c r="X228" s="154" t="s">
        <v>111</v>
      </c>
      <c r="Y228" s="154" t="s">
        <v>211</v>
      </c>
    </row>
    <row r="229" spans="2:25">
      <c r="B229" s="154" t="s">
        <v>102</v>
      </c>
      <c r="C229" s="154" t="s">
        <v>1401</v>
      </c>
      <c r="D229" s="155">
        <v>45189</v>
      </c>
      <c r="E229" s="155">
        <v>45139</v>
      </c>
      <c r="F229" s="159">
        <v>619.61</v>
      </c>
      <c r="G229" s="159">
        <v>468.48560975609797</v>
      </c>
      <c r="H229" s="159">
        <v>468.48560975609797</v>
      </c>
      <c r="I229" s="184">
        <f t="shared" si="8"/>
        <v>45978</v>
      </c>
      <c r="J229" s="159" cm="1">
        <f t="array" ref="J229">[15]!CalculateINPC(D229,I229,-1)*H229</f>
        <v>513.22120693458578</v>
      </c>
      <c r="K229" s="159">
        <f t="shared" si="9"/>
        <v>912.07476674042505</v>
      </c>
      <c r="L229" s="159" cm="1">
        <f t="array" ref="L229">[15]!CalculateDICetip(D229,I229,1)*H229</f>
        <v>602.61518549336142</v>
      </c>
      <c r="M229" s="154">
        <v>178848</v>
      </c>
      <c r="N229" s="154" t="s">
        <v>103</v>
      </c>
      <c r="O229" s="154" t="s">
        <v>460</v>
      </c>
      <c r="P229" s="154" t="s">
        <v>461</v>
      </c>
      <c r="Q229" s="154">
        <v>10027</v>
      </c>
      <c r="R229" s="154" t="s">
        <v>106</v>
      </c>
      <c r="S229" s="154">
        <v>44</v>
      </c>
      <c r="T229" s="154" t="s">
        <v>107</v>
      </c>
      <c r="U229" s="154" t="s">
        <v>511</v>
      </c>
      <c r="V229" s="154" t="s">
        <v>109</v>
      </c>
      <c r="W229" s="154" t="s">
        <v>110</v>
      </c>
      <c r="X229" s="154" t="s">
        <v>111</v>
      </c>
      <c r="Y229" s="154" t="s">
        <v>211</v>
      </c>
    </row>
    <row r="230" spans="2:25">
      <c r="B230" s="154" t="s">
        <v>102</v>
      </c>
      <c r="C230" s="154" t="s">
        <v>1401</v>
      </c>
      <c r="D230" s="155">
        <v>43698</v>
      </c>
      <c r="E230" s="155">
        <v>43698</v>
      </c>
      <c r="F230" s="159">
        <v>2796.37</v>
      </c>
      <c r="G230" s="159">
        <v>46.749999999982997</v>
      </c>
      <c r="H230" s="159">
        <v>46.749999999982997</v>
      </c>
      <c r="I230" s="184">
        <f t="shared" si="8"/>
        <v>45978</v>
      </c>
      <c r="J230" s="159" cm="1">
        <f t="array" ref="J230">[15]!CalculateINPC(D230,I230,-1)*H230</f>
        <v>66.001804274975996</v>
      </c>
      <c r="K230" s="159">
        <f t="shared" si="9"/>
        <v>347.69387419401062</v>
      </c>
      <c r="L230" s="159" cm="1">
        <f t="array" ref="L230">[15]!CalculateDICetip(D230,I230,1)*H230</f>
        <v>80.921049962470562</v>
      </c>
      <c r="M230" s="154">
        <v>77572</v>
      </c>
      <c r="N230" s="154" t="s">
        <v>217</v>
      </c>
      <c r="O230" s="154" t="s">
        <v>232</v>
      </c>
      <c r="P230" s="154" t="s">
        <v>233</v>
      </c>
      <c r="Q230" s="154">
        <v>10027</v>
      </c>
      <c r="R230" s="154" t="s">
        <v>106</v>
      </c>
      <c r="S230" s="154">
        <v>44</v>
      </c>
      <c r="T230" s="154" t="s">
        <v>107</v>
      </c>
      <c r="U230" s="154" t="s">
        <v>723</v>
      </c>
      <c r="V230" s="154" t="s">
        <v>109</v>
      </c>
      <c r="W230" s="154" t="s">
        <v>110</v>
      </c>
      <c r="X230" s="154" t="s">
        <v>117</v>
      </c>
      <c r="Y230" s="154" t="s">
        <v>681</v>
      </c>
    </row>
    <row r="231" spans="2:25">
      <c r="B231" s="154" t="s">
        <v>257</v>
      </c>
      <c r="C231" s="154" t="s">
        <v>1401</v>
      </c>
      <c r="D231" s="155">
        <v>45769</v>
      </c>
      <c r="E231" s="155">
        <v>45748</v>
      </c>
      <c r="F231" s="159">
        <v>46431.23</v>
      </c>
      <c r="G231" s="159">
        <v>810.920000000188</v>
      </c>
      <c r="H231" s="159">
        <v>810.920000000188</v>
      </c>
      <c r="I231" s="184">
        <f t="shared" si="8"/>
        <v>45978</v>
      </c>
      <c r="J231" s="159" cm="1">
        <f t="array" ref="J231">[15]!CalculateINPC(D231,I231,-1)*H231</f>
        <v>824.04961382939109</v>
      </c>
      <c r="K231" s="159">
        <f t="shared" si="9"/>
        <v>959.62997780144599</v>
      </c>
      <c r="L231" s="159" cm="1">
        <f t="array" ref="L231">[15]!CalculateDICetip(D231,I231,1)*H231</f>
        <v>878.87654754700384</v>
      </c>
      <c r="M231" s="154">
        <v>249404</v>
      </c>
      <c r="N231" s="154" t="s">
        <v>258</v>
      </c>
      <c r="O231" s="154" t="s">
        <v>243</v>
      </c>
      <c r="P231" s="154" t="s">
        <v>244</v>
      </c>
      <c r="Q231" s="154">
        <v>10027</v>
      </c>
      <c r="R231" s="154" t="s">
        <v>106</v>
      </c>
      <c r="S231" s="154">
        <v>44</v>
      </c>
      <c r="T231" s="154" t="s">
        <v>107</v>
      </c>
      <c r="U231" s="154" t="s">
        <v>418</v>
      </c>
      <c r="V231" s="154" t="s">
        <v>260</v>
      </c>
      <c r="W231" s="154" t="s">
        <v>261</v>
      </c>
      <c r="X231" s="154" t="s">
        <v>262</v>
      </c>
      <c r="Y231" s="154" t="s">
        <v>419</v>
      </c>
    </row>
    <row r="232" spans="2:25">
      <c r="B232" s="154" t="s">
        <v>102</v>
      </c>
      <c r="C232" s="154" t="s">
        <v>1401</v>
      </c>
      <c r="D232" s="155">
        <v>45799</v>
      </c>
      <c r="E232" s="155">
        <v>45791</v>
      </c>
      <c r="F232" s="159">
        <v>63710</v>
      </c>
      <c r="G232" s="159">
        <v>80.000000000103</v>
      </c>
      <c r="H232" s="159">
        <v>80.000000000103</v>
      </c>
      <c r="I232" s="184">
        <f t="shared" si="8"/>
        <v>45978</v>
      </c>
      <c r="J232" s="159" cm="1">
        <f t="array" ref="J232">[15]!CalculateINPC(D232,I232,-1)*H232</f>
        <v>80.906961600104168</v>
      </c>
      <c r="K232" s="159">
        <f t="shared" si="9"/>
        <v>92.180924348552495</v>
      </c>
      <c r="L232" s="159" cm="1">
        <f t="array" ref="L232">[15]!CalculateDICetip(D232,I232,1)*H232</f>
        <v>85.738300800110395</v>
      </c>
      <c r="M232" s="154">
        <v>253262</v>
      </c>
      <c r="N232" s="154" t="s">
        <v>225</v>
      </c>
      <c r="O232" s="154" t="s">
        <v>226</v>
      </c>
      <c r="P232" s="154" t="s">
        <v>227</v>
      </c>
      <c r="Q232" s="154">
        <v>10027</v>
      </c>
      <c r="R232" s="154" t="s">
        <v>106</v>
      </c>
      <c r="S232" s="154">
        <v>44</v>
      </c>
      <c r="T232" s="154" t="s">
        <v>107</v>
      </c>
      <c r="U232" s="154" t="s">
        <v>804</v>
      </c>
      <c r="V232" s="154" t="s">
        <v>109</v>
      </c>
      <c r="W232" s="154" t="s">
        <v>110</v>
      </c>
      <c r="X232" s="154" t="s">
        <v>130</v>
      </c>
      <c r="Y232" s="154" t="s">
        <v>805</v>
      </c>
    </row>
    <row r="233" spans="2:25">
      <c r="B233" s="154" t="s">
        <v>102</v>
      </c>
      <c r="C233" s="154" t="s">
        <v>1401</v>
      </c>
      <c r="D233" s="155">
        <v>44369</v>
      </c>
      <c r="E233" s="155">
        <v>44354</v>
      </c>
      <c r="F233" s="159">
        <v>581.20000000000005</v>
      </c>
      <c r="G233" s="159">
        <v>581.20000000000005</v>
      </c>
      <c r="H233" s="159">
        <v>581.20000000000005</v>
      </c>
      <c r="I233" s="184">
        <f t="shared" si="8"/>
        <v>45978</v>
      </c>
      <c r="J233" s="159" cm="1">
        <f t="array" ref="J233">[15]!CalculateINPC(D233,I233,-1)*H233</f>
        <v>739.17655901199998</v>
      </c>
      <c r="K233" s="159">
        <f t="shared" si="9"/>
        <v>2387.8754410227289</v>
      </c>
      <c r="L233" s="159" cm="1">
        <f t="array" ref="L233">[15]!CalculateDICetip(D233,I233,1)*H233</f>
        <v>949.76971197600017</v>
      </c>
      <c r="M233" s="154">
        <v>111592</v>
      </c>
      <c r="N233" s="154" t="s">
        <v>236</v>
      </c>
      <c r="O233" s="154" t="s">
        <v>237</v>
      </c>
      <c r="P233" s="154" t="s">
        <v>238</v>
      </c>
      <c r="Q233" s="154">
        <v>10027</v>
      </c>
      <c r="R233" s="154" t="s">
        <v>106</v>
      </c>
      <c r="S233" s="154">
        <v>44</v>
      </c>
      <c r="T233" s="154" t="s">
        <v>107</v>
      </c>
      <c r="U233" s="154" t="s">
        <v>496</v>
      </c>
      <c r="V233" s="154" t="s">
        <v>109</v>
      </c>
      <c r="W233" s="154" t="s">
        <v>110</v>
      </c>
      <c r="X233" s="154" t="s">
        <v>240</v>
      </c>
      <c r="Y233" s="154" t="s">
        <v>497</v>
      </c>
    </row>
    <row r="234" spans="2:25">
      <c r="B234" s="154" t="s">
        <v>102</v>
      </c>
      <c r="C234" s="154" t="s">
        <v>1401</v>
      </c>
      <c r="D234" s="155">
        <v>44734</v>
      </c>
      <c r="E234" s="155">
        <v>44722</v>
      </c>
      <c r="F234" s="159">
        <v>503.11</v>
      </c>
      <c r="G234" s="159">
        <v>503.11</v>
      </c>
      <c r="H234" s="159">
        <v>503.11</v>
      </c>
      <c r="I234" s="184">
        <f t="shared" si="8"/>
        <v>45978</v>
      </c>
      <c r="J234" s="159" cm="1">
        <f t="array" ref="J234">[15]!CalculateINPC(D234,I234,-1)*H234</f>
        <v>571.82796861070005</v>
      </c>
      <c r="K234" s="159">
        <f t="shared" si="9"/>
        <v>1415.80348611007</v>
      </c>
      <c r="L234" s="159" cm="1">
        <f t="array" ref="L234">[15]!CalculateDICetip(D234,I234,1)*H234</f>
        <v>758.1612019498001</v>
      </c>
      <c r="M234" s="154">
        <v>151748</v>
      </c>
      <c r="N234" s="154" t="s">
        <v>498</v>
      </c>
      <c r="O234" s="154" t="s">
        <v>114</v>
      </c>
      <c r="P234" s="154" t="s">
        <v>115</v>
      </c>
      <c r="Q234" s="154">
        <v>10027</v>
      </c>
      <c r="R234" s="154" t="s">
        <v>106</v>
      </c>
      <c r="S234" s="154">
        <v>44</v>
      </c>
      <c r="T234" s="154" t="s">
        <v>107</v>
      </c>
      <c r="U234" s="154" t="s">
        <v>499</v>
      </c>
      <c r="V234" s="154" t="s">
        <v>109</v>
      </c>
      <c r="W234" s="154" t="s">
        <v>110</v>
      </c>
      <c r="X234" s="154" t="s">
        <v>240</v>
      </c>
      <c r="Y234" s="154" t="s">
        <v>500</v>
      </c>
    </row>
    <row r="235" spans="2:25">
      <c r="B235" s="154" t="s">
        <v>102</v>
      </c>
      <c r="C235" s="154" t="s">
        <v>1401</v>
      </c>
      <c r="D235" s="155">
        <v>44399</v>
      </c>
      <c r="E235" s="155">
        <v>44385</v>
      </c>
      <c r="F235" s="159">
        <v>82.7</v>
      </c>
      <c r="G235" s="159">
        <v>82.7</v>
      </c>
      <c r="H235" s="159">
        <v>82.7</v>
      </c>
      <c r="I235" s="184">
        <f t="shared" si="8"/>
        <v>45978</v>
      </c>
      <c r="J235" s="159" cm="1">
        <f t="array" ref="J235">[15]!CalculateINPC(D235,I235,-1)*H235</f>
        <v>104.55144471500002</v>
      </c>
      <c r="K235" s="159">
        <f t="shared" si="9"/>
        <v>330.4442825422002</v>
      </c>
      <c r="L235" s="159" cm="1">
        <f t="array" ref="L235">[15]!CalculateDICetip(D235,I235,1)*H235</f>
        <v>134.66555890200001</v>
      </c>
      <c r="M235" s="154">
        <v>112857</v>
      </c>
      <c r="N235" s="154" t="s">
        <v>236</v>
      </c>
      <c r="O235" s="154" t="s">
        <v>167</v>
      </c>
      <c r="P235" s="154" t="s">
        <v>168</v>
      </c>
      <c r="Q235" s="154">
        <v>10027</v>
      </c>
      <c r="R235" s="154" t="s">
        <v>106</v>
      </c>
      <c r="S235" s="154">
        <v>44</v>
      </c>
      <c r="T235" s="154" t="s">
        <v>107</v>
      </c>
      <c r="U235" s="154" t="s">
        <v>678</v>
      </c>
      <c r="V235" s="154" t="s">
        <v>109</v>
      </c>
      <c r="W235" s="154" t="s">
        <v>110</v>
      </c>
      <c r="X235" s="154" t="s">
        <v>399</v>
      </c>
      <c r="Y235" s="154" t="s">
        <v>679</v>
      </c>
    </row>
    <row r="236" spans="2:25">
      <c r="B236" s="154" t="s">
        <v>102</v>
      </c>
      <c r="C236" s="154" t="s">
        <v>1401</v>
      </c>
      <c r="D236" s="155">
        <v>43699</v>
      </c>
      <c r="E236" s="155">
        <v>43697</v>
      </c>
      <c r="F236" s="159">
        <v>2289.41</v>
      </c>
      <c r="G236" s="159">
        <v>273.99</v>
      </c>
      <c r="H236" s="159">
        <v>273.99</v>
      </c>
      <c r="I236" s="184">
        <f t="shared" si="8"/>
        <v>45978</v>
      </c>
      <c r="J236" s="159" cm="1">
        <f t="array" ref="J236">[15]!CalculateINPC(D236,I236,-1)*H236</f>
        <v>386.81998616700002</v>
      </c>
      <c r="K236" s="159">
        <f t="shared" si="9"/>
        <v>2036.261860941215</v>
      </c>
      <c r="L236" s="159" cm="1">
        <f t="array" ref="L236">[15]!CalculateDICetip(D236,I236,1)*H236</f>
        <v>474.15006004170004</v>
      </c>
      <c r="M236" s="154">
        <v>77560</v>
      </c>
      <c r="N236" s="154" t="s">
        <v>315</v>
      </c>
      <c r="O236" s="154" t="s">
        <v>557</v>
      </c>
      <c r="P236" s="154" t="s">
        <v>558</v>
      </c>
      <c r="Q236" s="154">
        <v>10027</v>
      </c>
      <c r="R236" s="154" t="s">
        <v>106</v>
      </c>
      <c r="S236" s="154">
        <v>44</v>
      </c>
      <c r="T236" s="154" t="s">
        <v>107</v>
      </c>
      <c r="U236" s="154" t="s">
        <v>318</v>
      </c>
      <c r="V236" s="154" t="s">
        <v>109</v>
      </c>
      <c r="W236" s="154" t="s">
        <v>110</v>
      </c>
      <c r="X236" s="154" t="s">
        <v>240</v>
      </c>
      <c r="Y236" s="154" t="s">
        <v>319</v>
      </c>
    </row>
    <row r="237" spans="2:25">
      <c r="B237" s="154" t="s">
        <v>102</v>
      </c>
      <c r="C237" s="154" t="s">
        <v>1401</v>
      </c>
      <c r="D237" s="155">
        <v>43699</v>
      </c>
      <c r="E237" s="155">
        <v>43697</v>
      </c>
      <c r="F237" s="159">
        <v>2289.41</v>
      </c>
      <c r="G237" s="159">
        <v>89.320000000006004</v>
      </c>
      <c r="H237" s="159">
        <v>89.320000000006004</v>
      </c>
      <c r="I237" s="184">
        <f t="shared" si="8"/>
        <v>45978</v>
      </c>
      <c r="J237" s="159" cm="1">
        <f t="array" ref="J237">[15]!CalculateINPC(D237,I237,-1)*H237</f>
        <v>126.10227075600848</v>
      </c>
      <c r="K237" s="159">
        <f t="shared" si="9"/>
        <v>663.81586707281849</v>
      </c>
      <c r="L237" s="159" cm="1">
        <f t="array" ref="L237">[15]!CalculateDICetip(D237,I237,1)*H237</f>
        <v>154.5716389756104</v>
      </c>
      <c r="M237" s="154">
        <v>77560</v>
      </c>
      <c r="N237" s="154" t="s">
        <v>315</v>
      </c>
      <c r="O237" s="154" t="s">
        <v>645</v>
      </c>
      <c r="P237" s="154" t="s">
        <v>646</v>
      </c>
      <c r="Q237" s="154">
        <v>10027</v>
      </c>
      <c r="R237" s="154" t="s">
        <v>106</v>
      </c>
      <c r="S237" s="154">
        <v>44</v>
      </c>
      <c r="T237" s="154" t="s">
        <v>107</v>
      </c>
      <c r="U237" s="154" t="s">
        <v>318</v>
      </c>
      <c r="V237" s="154" t="s">
        <v>109</v>
      </c>
      <c r="W237" s="154" t="s">
        <v>110</v>
      </c>
      <c r="X237" s="154" t="s">
        <v>240</v>
      </c>
      <c r="Y237" s="154" t="s">
        <v>319</v>
      </c>
    </row>
    <row r="238" spans="2:25">
      <c r="B238" s="154" t="s">
        <v>102</v>
      </c>
      <c r="C238" s="154" t="s">
        <v>1401</v>
      </c>
      <c r="D238" s="155">
        <v>43699</v>
      </c>
      <c r="E238" s="155">
        <v>43697</v>
      </c>
      <c r="F238" s="159">
        <v>2289.41</v>
      </c>
      <c r="G238" s="159">
        <v>1926.0999999999949</v>
      </c>
      <c r="H238" s="159">
        <v>1926.0999999999949</v>
      </c>
      <c r="I238" s="184">
        <f t="shared" si="8"/>
        <v>45978</v>
      </c>
      <c r="J238" s="159" cm="1">
        <f t="array" ref="J238">[15]!CalculateINPC(D238,I238,-1)*H238</f>
        <v>2719.2743361299931</v>
      </c>
      <c r="K238" s="159">
        <f t="shared" si="9"/>
        <v>14314.551517788474</v>
      </c>
      <c r="L238" s="159" cm="1">
        <f t="array" ref="L238">[15]!CalculateDICetip(D238,I238,1)*H238</f>
        <v>3333.1889143629915</v>
      </c>
      <c r="M238" s="154">
        <v>77560</v>
      </c>
      <c r="N238" s="154" t="s">
        <v>315</v>
      </c>
      <c r="O238" s="154" t="s">
        <v>316</v>
      </c>
      <c r="P238" s="154" t="s">
        <v>317</v>
      </c>
      <c r="Q238" s="154">
        <v>10027</v>
      </c>
      <c r="R238" s="154" t="s">
        <v>106</v>
      </c>
      <c r="S238" s="154">
        <v>44</v>
      </c>
      <c r="T238" s="154" t="s">
        <v>107</v>
      </c>
      <c r="U238" s="154" t="s">
        <v>318</v>
      </c>
      <c r="V238" s="154" t="s">
        <v>109</v>
      </c>
      <c r="W238" s="154" t="s">
        <v>110</v>
      </c>
      <c r="X238" s="154" t="s">
        <v>240</v>
      </c>
      <c r="Y238" s="154" t="s">
        <v>319</v>
      </c>
    </row>
    <row r="239" spans="2:25">
      <c r="B239" s="154" t="s">
        <v>102</v>
      </c>
      <c r="C239" s="154" t="s">
        <v>1401</v>
      </c>
      <c r="D239" s="155">
        <v>45191</v>
      </c>
      <c r="E239" s="155">
        <v>45184</v>
      </c>
      <c r="F239" s="159">
        <v>212.48</v>
      </c>
      <c r="G239" s="159">
        <v>169.67999999999901</v>
      </c>
      <c r="H239" s="159">
        <v>169.67999999999901</v>
      </c>
      <c r="I239" s="184">
        <f t="shared" si="8"/>
        <v>45978</v>
      </c>
      <c r="J239" s="159" cm="1">
        <f t="array" ref="J239">[15]!CalculateINPC(D239,I239,-1)*H239</f>
        <v>185.88270926399892</v>
      </c>
      <c r="K239" s="159">
        <f t="shared" si="9"/>
        <v>329.8616463816648</v>
      </c>
      <c r="L239" s="159" cm="1">
        <f t="array" ref="L239">[15]!CalculateDICetip(D239,I239,1)*H239</f>
        <v>218.05009220399873</v>
      </c>
      <c r="M239" s="154">
        <v>182087</v>
      </c>
      <c r="N239" s="154" t="s">
        <v>609</v>
      </c>
      <c r="O239" s="154" t="s">
        <v>610</v>
      </c>
      <c r="P239" s="154" t="s">
        <v>611</v>
      </c>
      <c r="Q239" s="154">
        <v>10027</v>
      </c>
      <c r="R239" s="154" t="s">
        <v>106</v>
      </c>
      <c r="S239" s="154">
        <v>44</v>
      </c>
      <c r="T239" s="154" t="s">
        <v>107</v>
      </c>
      <c r="U239" s="154" t="s">
        <v>612</v>
      </c>
      <c r="V239" s="154" t="s">
        <v>109</v>
      </c>
      <c r="W239" s="154" t="s">
        <v>110</v>
      </c>
      <c r="X239" s="154" t="s">
        <v>333</v>
      </c>
      <c r="Y239" s="154" t="s">
        <v>613</v>
      </c>
    </row>
    <row r="240" spans="2:25">
      <c r="B240" s="154" t="s">
        <v>102</v>
      </c>
      <c r="C240" s="154" t="s">
        <v>1401</v>
      </c>
      <c r="D240" s="155">
        <v>45191</v>
      </c>
      <c r="E240" s="155">
        <v>45184</v>
      </c>
      <c r="F240" s="159">
        <v>212.48</v>
      </c>
      <c r="G240" s="159">
        <v>42.800000000000999</v>
      </c>
      <c r="H240" s="159">
        <v>42.800000000000999</v>
      </c>
      <c r="I240" s="184">
        <f t="shared" si="8"/>
        <v>45978</v>
      </c>
      <c r="J240" s="159" cm="1">
        <f t="array" ref="J240">[15]!CalculateINPC(D240,I240,-1)*H240</f>
        <v>46.88696344000109</v>
      </c>
      <c r="K240" s="159">
        <f t="shared" si="9"/>
        <v>83.204139940686375</v>
      </c>
      <c r="L240" s="159" cm="1">
        <f t="array" ref="L240">[15]!CalculateDICetip(D240,I240,1)*H240</f>
        <v>55.000848340001284</v>
      </c>
      <c r="M240" s="154">
        <v>182087</v>
      </c>
      <c r="N240" s="154" t="s">
        <v>609</v>
      </c>
      <c r="O240" s="154" t="s">
        <v>645</v>
      </c>
      <c r="P240" s="154" t="s">
        <v>646</v>
      </c>
      <c r="Q240" s="154">
        <v>10027</v>
      </c>
      <c r="R240" s="154" t="s">
        <v>106</v>
      </c>
      <c r="S240" s="154">
        <v>44</v>
      </c>
      <c r="T240" s="154" t="s">
        <v>107</v>
      </c>
      <c r="U240" s="154" t="s">
        <v>612</v>
      </c>
      <c r="V240" s="154" t="s">
        <v>109</v>
      </c>
      <c r="W240" s="154" t="s">
        <v>110</v>
      </c>
      <c r="X240" s="154" t="s">
        <v>333</v>
      </c>
      <c r="Y240" s="154" t="s">
        <v>613</v>
      </c>
    </row>
    <row r="241" spans="2:25">
      <c r="B241" s="154" t="s">
        <v>102</v>
      </c>
      <c r="C241" s="154" t="s">
        <v>1401</v>
      </c>
      <c r="D241" s="155">
        <v>45800</v>
      </c>
      <c r="E241" s="155">
        <v>45790</v>
      </c>
      <c r="F241" s="159">
        <v>1760</v>
      </c>
      <c r="G241" s="159">
        <v>319.99999999999699</v>
      </c>
      <c r="H241" s="159">
        <v>319.99999999999699</v>
      </c>
      <c r="I241" s="184">
        <f t="shared" si="8"/>
        <v>45978</v>
      </c>
      <c r="J241" s="159" cm="1">
        <f t="array" ref="J241">[15]!CalculateINPC(D241,I241,-1)*H241</f>
        <v>323.62784639999694</v>
      </c>
      <c r="K241" s="159">
        <f t="shared" si="9"/>
        <v>368.45507328624564</v>
      </c>
      <c r="L241" s="159" cm="1">
        <f t="array" ref="L241">[15]!CalculateDICetip(D241,I241,1)*H241</f>
        <v>342.76719679999678</v>
      </c>
      <c r="M241" s="154">
        <v>253259</v>
      </c>
      <c r="N241" s="154" t="s">
        <v>298</v>
      </c>
      <c r="O241" s="154" t="s">
        <v>232</v>
      </c>
      <c r="P241" s="154" t="s">
        <v>233</v>
      </c>
      <c r="Q241" s="154">
        <v>10027</v>
      </c>
      <c r="R241" s="154" t="s">
        <v>106</v>
      </c>
      <c r="S241" s="154">
        <v>44</v>
      </c>
      <c r="T241" s="154" t="s">
        <v>107</v>
      </c>
      <c r="U241" s="154" t="s">
        <v>806</v>
      </c>
      <c r="V241" s="154" t="s">
        <v>109</v>
      </c>
      <c r="W241" s="154" t="s">
        <v>110</v>
      </c>
      <c r="X241" s="154" t="s">
        <v>130</v>
      </c>
      <c r="Y241" s="154" t="s">
        <v>459</v>
      </c>
    </row>
    <row r="242" spans="2:25">
      <c r="B242" s="154" t="s">
        <v>257</v>
      </c>
      <c r="C242" s="154" t="s">
        <v>1401</v>
      </c>
      <c r="D242" s="155">
        <v>45800</v>
      </c>
      <c r="E242" s="155">
        <v>45778</v>
      </c>
      <c r="F242" s="159">
        <v>58157.74</v>
      </c>
      <c r="G242" s="159">
        <v>663.48000000018101</v>
      </c>
      <c r="H242" s="159">
        <v>663.48000000018101</v>
      </c>
      <c r="I242" s="184">
        <f t="shared" si="8"/>
        <v>45978</v>
      </c>
      <c r="J242" s="159" cm="1">
        <f t="array" ref="J242">[15]!CalculateINPC(D242,I242,-1)*H242</f>
        <v>671.00188602978312</v>
      </c>
      <c r="K242" s="159">
        <f t="shared" si="9"/>
        <v>763.94553757508527</v>
      </c>
      <c r="L242" s="159" cm="1">
        <f t="array" ref="L242">[15]!CalculateDICetip(D242,I242,1)*H242</f>
        <v>710.68493666539382</v>
      </c>
      <c r="M242" s="154">
        <v>253412</v>
      </c>
      <c r="N242" s="154" t="s">
        <v>258</v>
      </c>
      <c r="O242" s="154" t="s">
        <v>243</v>
      </c>
      <c r="P242" s="154" t="s">
        <v>244</v>
      </c>
      <c r="Q242" s="154">
        <v>10027</v>
      </c>
      <c r="R242" s="154" t="s">
        <v>106</v>
      </c>
      <c r="S242" s="154">
        <v>44</v>
      </c>
      <c r="T242" s="154" t="s">
        <v>107</v>
      </c>
      <c r="U242" s="154" t="s">
        <v>259</v>
      </c>
      <c r="V242" s="154" t="s">
        <v>260</v>
      </c>
      <c r="W242" s="154" t="s">
        <v>261</v>
      </c>
      <c r="X242" s="154" t="s">
        <v>262</v>
      </c>
      <c r="Y242" s="154" t="s">
        <v>807</v>
      </c>
    </row>
    <row r="243" spans="2:25">
      <c r="B243" s="154" t="s">
        <v>102</v>
      </c>
      <c r="C243" s="154" t="s">
        <v>1401</v>
      </c>
      <c r="D243" s="155">
        <v>45100</v>
      </c>
      <c r="E243" s="155">
        <v>45090</v>
      </c>
      <c r="F243" s="159">
        <v>500</v>
      </c>
      <c r="G243" s="159">
        <v>150</v>
      </c>
      <c r="H243" s="159">
        <v>150</v>
      </c>
      <c r="I243" s="184">
        <f t="shared" si="8"/>
        <v>45978</v>
      </c>
      <c r="J243" s="159" cm="1">
        <f t="array" ref="J243">[15]!CalculateINPC(D243,I243,-1)*H243</f>
        <v>164.33944200000002</v>
      </c>
      <c r="K243" s="159">
        <f t="shared" si="9"/>
        <v>311.62836703439939</v>
      </c>
      <c r="L243" s="159" cm="1">
        <f t="array" ref="L243">[15]!CalculateDICetip(D243,I243,1)*H243</f>
        <v>199.00137899999999</v>
      </c>
      <c r="M243" s="154">
        <v>175827</v>
      </c>
      <c r="N243" s="154" t="s">
        <v>621</v>
      </c>
      <c r="O243" s="154" t="s">
        <v>226</v>
      </c>
      <c r="P243" s="154" t="s">
        <v>227</v>
      </c>
      <c r="Q243" s="154">
        <v>10027</v>
      </c>
      <c r="R243" s="154" t="s">
        <v>106</v>
      </c>
      <c r="S243" s="154">
        <v>44</v>
      </c>
      <c r="T243" s="154" t="s">
        <v>107</v>
      </c>
      <c r="U243" s="154" t="s">
        <v>622</v>
      </c>
      <c r="V243" s="154" t="s">
        <v>137</v>
      </c>
      <c r="W243" s="154" t="s">
        <v>138</v>
      </c>
      <c r="X243" s="154" t="s">
        <v>362</v>
      </c>
      <c r="Y243" s="154" t="s">
        <v>623</v>
      </c>
    </row>
    <row r="244" spans="2:25">
      <c r="B244" s="154" t="s">
        <v>102</v>
      </c>
      <c r="C244" s="154" t="s">
        <v>1401</v>
      </c>
      <c r="D244" s="155">
        <v>44827</v>
      </c>
      <c r="E244" s="155">
        <v>44826</v>
      </c>
      <c r="F244" s="159">
        <v>3951.7</v>
      </c>
      <c r="G244" s="159">
        <v>3951.7</v>
      </c>
      <c r="H244" s="159">
        <v>3951.7</v>
      </c>
      <c r="I244" s="184">
        <f t="shared" si="8"/>
        <v>45978</v>
      </c>
      <c r="J244" s="159" cm="1">
        <f t="array" ref="J244">[15]!CalculateINPC(D244,I244,-1)*H244</f>
        <v>4504.6817717719996</v>
      </c>
      <c r="K244" s="159">
        <f t="shared" si="9"/>
        <v>10422.366338220336</v>
      </c>
      <c r="L244" s="159" cm="1">
        <f t="array" ref="L244">[15]!CalculateDICetip(D244,I244,1)*H244</f>
        <v>5761.8812607029995</v>
      </c>
      <c r="M244" s="154">
        <v>159084</v>
      </c>
      <c r="N244" s="154" t="s">
        <v>236</v>
      </c>
      <c r="O244" s="154" t="s">
        <v>237</v>
      </c>
      <c r="P244" s="154" t="s">
        <v>238</v>
      </c>
      <c r="Q244" s="154">
        <v>10027</v>
      </c>
      <c r="R244" s="154" t="s">
        <v>106</v>
      </c>
      <c r="S244" s="154">
        <v>44</v>
      </c>
      <c r="T244" s="154" t="s">
        <v>107</v>
      </c>
      <c r="U244" s="154" t="s">
        <v>255</v>
      </c>
      <c r="V244" s="154" t="s">
        <v>109</v>
      </c>
      <c r="W244" s="154" t="s">
        <v>110</v>
      </c>
      <c r="X244" s="154" t="s">
        <v>240</v>
      </c>
      <c r="Y244" s="154" t="s">
        <v>256</v>
      </c>
    </row>
    <row r="245" spans="2:25">
      <c r="B245" s="154" t="s">
        <v>102</v>
      </c>
      <c r="C245" s="154" t="s">
        <v>1401</v>
      </c>
      <c r="D245" s="155">
        <v>45222</v>
      </c>
      <c r="E245" s="155">
        <v>45215</v>
      </c>
      <c r="F245" s="159">
        <v>4381</v>
      </c>
      <c r="G245" s="159">
        <v>370.00000000001103</v>
      </c>
      <c r="H245" s="159">
        <v>370.00000000001103</v>
      </c>
      <c r="I245" s="184">
        <f t="shared" si="8"/>
        <v>45978</v>
      </c>
      <c r="J245" s="159" cm="1">
        <f t="array" ref="J245">[15]!CalculateINPC(D245,I245,-1)*H245</f>
        <v>404.88604570001206</v>
      </c>
      <c r="K245" s="159">
        <f t="shared" si="9"/>
        <v>702.44746412992913</v>
      </c>
      <c r="L245" s="159" cm="1">
        <f t="array" ref="L245">[15]!CalculateDICetip(D245,I245,1)*H245</f>
        <v>471.00087210001402</v>
      </c>
      <c r="M245" s="154">
        <v>184147</v>
      </c>
      <c r="N245" s="154" t="s">
        <v>532</v>
      </c>
      <c r="O245" s="154" t="s">
        <v>533</v>
      </c>
      <c r="P245" s="154" t="s">
        <v>534</v>
      </c>
      <c r="Q245" s="154">
        <v>10027</v>
      </c>
      <c r="R245" s="154" t="s">
        <v>106</v>
      </c>
      <c r="S245" s="154">
        <v>44</v>
      </c>
      <c r="T245" s="154" t="s">
        <v>107</v>
      </c>
      <c r="U245" s="154" t="s">
        <v>535</v>
      </c>
      <c r="V245" s="154" t="s">
        <v>109</v>
      </c>
      <c r="W245" s="154" t="s">
        <v>110</v>
      </c>
      <c r="X245" s="154" t="s">
        <v>130</v>
      </c>
      <c r="Y245" s="154" t="s">
        <v>536</v>
      </c>
    </row>
    <row r="246" spans="2:25">
      <c r="B246" s="154" t="s">
        <v>257</v>
      </c>
      <c r="C246" s="154" t="s">
        <v>1401</v>
      </c>
      <c r="D246" s="155">
        <v>45588</v>
      </c>
      <c r="E246" s="155">
        <v>45566</v>
      </c>
      <c r="F246" s="159">
        <v>1851.98</v>
      </c>
      <c r="G246" s="159">
        <v>887.45999999999401</v>
      </c>
      <c r="H246" s="159">
        <v>887.45999999999401</v>
      </c>
      <c r="I246" s="184">
        <f t="shared" si="8"/>
        <v>45978</v>
      </c>
      <c r="J246" s="159" cm="1">
        <f t="array" ref="J246">[15]!CalculateINPC(D246,I246,-1)*H246</f>
        <v>932.96538121079368</v>
      </c>
      <c r="K246" s="159">
        <f t="shared" si="9"/>
        <v>1239.6644889009181</v>
      </c>
      <c r="L246" s="159" cm="1">
        <f t="array" ref="L246">[15]!CalculateDICetip(D246,I246,1)*H246</f>
        <v>1017.5233775993931</v>
      </c>
      <c r="M246" s="154">
        <v>221727</v>
      </c>
      <c r="N246" s="154" t="s">
        <v>258</v>
      </c>
      <c r="O246" s="154" t="s">
        <v>243</v>
      </c>
      <c r="P246" s="154" t="s">
        <v>244</v>
      </c>
      <c r="Q246" s="154">
        <v>10027</v>
      </c>
      <c r="R246" s="154" t="s">
        <v>106</v>
      </c>
      <c r="S246" s="154">
        <v>44</v>
      </c>
      <c r="T246" s="154" t="s">
        <v>107</v>
      </c>
      <c r="U246" s="154" t="s">
        <v>401</v>
      </c>
      <c r="V246" s="154" t="s">
        <v>260</v>
      </c>
      <c r="W246" s="154" t="s">
        <v>261</v>
      </c>
      <c r="X246" s="154" t="s">
        <v>262</v>
      </c>
      <c r="Y246" s="154" t="s">
        <v>402</v>
      </c>
    </row>
    <row r="247" spans="2:25">
      <c r="B247" s="154" t="s">
        <v>102</v>
      </c>
      <c r="C247" s="154" t="s">
        <v>1401</v>
      </c>
      <c r="D247" s="155">
        <v>44158</v>
      </c>
      <c r="E247" s="155">
        <v>44139</v>
      </c>
      <c r="F247" s="159">
        <v>120</v>
      </c>
      <c r="G247" s="159">
        <v>120</v>
      </c>
      <c r="H247" s="159">
        <v>120</v>
      </c>
      <c r="I247" s="184">
        <f t="shared" si="8"/>
        <v>45978</v>
      </c>
      <c r="J247" s="159" cm="1">
        <f t="array" ref="J247">[15]!CalculateINPC(D247,I247,-1)*H247</f>
        <v>161.52429599999999</v>
      </c>
      <c r="K247" s="159">
        <f t="shared" si="9"/>
        <v>608.53393903391566</v>
      </c>
      <c r="L247" s="159" cm="1">
        <f t="array" ref="L247">[15]!CalculateDICetip(D247,I247,1)*H247</f>
        <v>198.7948452</v>
      </c>
      <c r="M247" s="154">
        <v>98851</v>
      </c>
      <c r="N247" s="154" t="s">
        <v>236</v>
      </c>
      <c r="O247" s="154" t="s">
        <v>237</v>
      </c>
      <c r="P247" s="154" t="s">
        <v>238</v>
      </c>
      <c r="Q247" s="154">
        <v>10027</v>
      </c>
      <c r="R247" s="154" t="s">
        <v>106</v>
      </c>
      <c r="S247" s="154">
        <v>44</v>
      </c>
      <c r="T247" s="154" t="s">
        <v>107</v>
      </c>
      <c r="U247" s="154" t="s">
        <v>637</v>
      </c>
      <c r="V247" s="154" t="s">
        <v>109</v>
      </c>
      <c r="W247" s="154" t="s">
        <v>110</v>
      </c>
      <c r="X247" s="154" t="s">
        <v>240</v>
      </c>
      <c r="Y247" s="154" t="s">
        <v>638</v>
      </c>
    </row>
    <row r="248" spans="2:25">
      <c r="B248" s="154" t="s">
        <v>102</v>
      </c>
      <c r="C248" s="154" t="s">
        <v>1401</v>
      </c>
      <c r="D248" s="155">
        <v>45253</v>
      </c>
      <c r="E248" s="155">
        <v>45252</v>
      </c>
      <c r="F248" s="159">
        <v>3499.98</v>
      </c>
      <c r="G248" s="159">
        <v>3499.98</v>
      </c>
      <c r="H248" s="159">
        <v>3284.73</v>
      </c>
      <c r="I248" s="184">
        <f t="shared" si="8"/>
        <v>45978</v>
      </c>
      <c r="J248" s="159" cm="1">
        <f t="array" ref="J248">[15]!CalculateINPC(D248,I248,-1)*H248</f>
        <v>3590.1288557109001</v>
      </c>
      <c r="K248" s="159">
        <f t="shared" si="9"/>
        <v>6089.4670882857636</v>
      </c>
      <c r="L248" s="159" cm="1">
        <f t="array" ref="L248">[15]!CalculateDICetip(D248,I248,1)*H248</f>
        <v>4141.0303367652004</v>
      </c>
      <c r="M248" s="154">
        <v>185621</v>
      </c>
      <c r="N248" s="154" t="s">
        <v>193</v>
      </c>
      <c r="O248" s="154" t="s">
        <v>154</v>
      </c>
      <c r="P248" s="154" t="s">
        <v>155</v>
      </c>
      <c r="Q248" s="154">
        <v>10027</v>
      </c>
      <c r="R248" s="154" t="s">
        <v>106</v>
      </c>
      <c r="S248" s="154">
        <v>44</v>
      </c>
      <c r="T248" s="154" t="s">
        <v>107</v>
      </c>
      <c r="U248" s="154" t="s">
        <v>275</v>
      </c>
      <c r="V248" s="154" t="s">
        <v>109</v>
      </c>
      <c r="W248" s="154" t="s">
        <v>110</v>
      </c>
      <c r="X248" s="154" t="s">
        <v>130</v>
      </c>
      <c r="Y248" s="154" t="s">
        <v>276</v>
      </c>
    </row>
    <row r="249" spans="2:25">
      <c r="B249" s="154" t="s">
        <v>102</v>
      </c>
      <c r="C249" s="154" t="s">
        <v>1402</v>
      </c>
      <c r="D249" s="155">
        <v>43822</v>
      </c>
      <c r="E249" s="155">
        <v>43819</v>
      </c>
      <c r="F249" s="159">
        <v>192607.53</v>
      </c>
      <c r="G249" s="159">
        <v>192607.53</v>
      </c>
      <c r="H249" s="159">
        <v>192607.53</v>
      </c>
      <c r="I249" s="184">
        <f t="shared" si="8"/>
        <v>45978</v>
      </c>
      <c r="J249" s="159" cm="1">
        <f t="array" ref="J249">[15]!CalculateINPC(D249,I249,-1)*H249</f>
        <v>270166.38926507189</v>
      </c>
      <c r="K249" s="159">
        <f t="shared" si="9"/>
        <v>1300245.6069636261</v>
      </c>
      <c r="L249" s="159" cm="1">
        <f t="array" ref="L249">[15]!CalculateDICetip(D249,I249,1)*H249</f>
        <v>327528.46145584981</v>
      </c>
      <c r="M249" s="154">
        <v>83554</v>
      </c>
      <c r="N249" s="154" t="s">
        <v>200</v>
      </c>
      <c r="O249" s="154" t="s">
        <v>119</v>
      </c>
      <c r="P249" s="154" t="s">
        <v>120</v>
      </c>
      <c r="Q249" s="154">
        <v>10027</v>
      </c>
      <c r="R249" s="154" t="s">
        <v>106</v>
      </c>
      <c r="S249" s="154">
        <v>44</v>
      </c>
      <c r="T249" s="154" t="s">
        <v>107</v>
      </c>
      <c r="U249" s="154" t="s">
        <v>247</v>
      </c>
      <c r="V249" s="154" t="s">
        <v>109</v>
      </c>
      <c r="W249" s="154" t="s">
        <v>110</v>
      </c>
      <c r="X249" s="154" t="s">
        <v>111</v>
      </c>
      <c r="Y249" s="154" t="s">
        <v>248</v>
      </c>
    </row>
    <row r="250" spans="2:25">
      <c r="B250" s="154" t="s">
        <v>102</v>
      </c>
      <c r="C250" s="154" t="s">
        <v>1401</v>
      </c>
      <c r="D250" s="155">
        <v>45681</v>
      </c>
      <c r="E250" s="155">
        <v>45674</v>
      </c>
      <c r="F250" s="159">
        <v>3150</v>
      </c>
      <c r="G250" s="159">
        <v>349.99999999999699</v>
      </c>
      <c r="H250" s="159">
        <v>349.99999999999699</v>
      </c>
      <c r="I250" s="184">
        <f t="shared" si="8"/>
        <v>45978</v>
      </c>
      <c r="J250" s="159" cm="1">
        <f t="array" ref="J250">[15]!CalculateINPC(D250,I250,-1)*H250</f>
        <v>362.77155249999691</v>
      </c>
      <c r="K250" s="159">
        <f t="shared" si="9"/>
        <v>450.43952233263991</v>
      </c>
      <c r="L250" s="159" cm="1">
        <f t="array" ref="L250">[15]!CalculateDICetip(D250,I250,1)*H250</f>
        <v>390.50280499999667</v>
      </c>
      <c r="M250" s="154">
        <v>233867</v>
      </c>
      <c r="N250" s="154" t="s">
        <v>539</v>
      </c>
      <c r="O250" s="154" t="s">
        <v>189</v>
      </c>
      <c r="P250" s="154" t="s">
        <v>190</v>
      </c>
      <c r="Q250" s="154">
        <v>10027</v>
      </c>
      <c r="R250" s="154" t="s">
        <v>106</v>
      </c>
      <c r="S250" s="154">
        <v>44</v>
      </c>
      <c r="T250" s="154" t="s">
        <v>107</v>
      </c>
      <c r="U250" s="154" t="s">
        <v>540</v>
      </c>
      <c r="V250" s="154" t="s">
        <v>109</v>
      </c>
      <c r="W250" s="154" t="s">
        <v>110</v>
      </c>
      <c r="X250" s="154" t="s">
        <v>130</v>
      </c>
      <c r="Y250" s="154" t="s">
        <v>541</v>
      </c>
    </row>
    <row r="251" spans="2:25">
      <c r="B251" s="154" t="s">
        <v>102</v>
      </c>
      <c r="C251" s="154" t="s">
        <v>1401</v>
      </c>
      <c r="D251" s="155">
        <v>45070</v>
      </c>
      <c r="E251" s="155">
        <v>45057</v>
      </c>
      <c r="F251" s="159">
        <v>463</v>
      </c>
      <c r="G251" s="159">
        <v>463</v>
      </c>
      <c r="H251" s="159">
        <v>463</v>
      </c>
      <c r="I251" s="184">
        <f t="shared" si="8"/>
        <v>45978</v>
      </c>
      <c r="J251" s="159" cm="1">
        <f t="array" ref="J251">[15]!CalculateINPC(D251,I251,-1)*H251</f>
        <v>509.08745984999996</v>
      </c>
      <c r="K251" s="159">
        <f t="shared" si="9"/>
        <v>986.69483454138481</v>
      </c>
      <c r="L251" s="159" cm="1">
        <f t="array" ref="L251">[15]!CalculateDICetip(D251,I251,1)*H251</f>
        <v>620.83558416999995</v>
      </c>
      <c r="M251" s="154">
        <v>174198</v>
      </c>
      <c r="N251" s="154" t="s">
        <v>236</v>
      </c>
      <c r="O251" s="154" t="s">
        <v>237</v>
      </c>
      <c r="P251" s="154" t="s">
        <v>238</v>
      </c>
      <c r="Q251" s="154">
        <v>10027</v>
      </c>
      <c r="R251" s="154" t="s">
        <v>106</v>
      </c>
      <c r="S251" s="154">
        <v>44</v>
      </c>
      <c r="T251" s="154" t="s">
        <v>107</v>
      </c>
      <c r="U251" s="154" t="s">
        <v>512</v>
      </c>
      <c r="V251" s="154" t="s">
        <v>109</v>
      </c>
      <c r="W251" s="154" t="s">
        <v>110</v>
      </c>
      <c r="X251" s="154" t="s">
        <v>240</v>
      </c>
      <c r="Y251" s="154" t="s">
        <v>513</v>
      </c>
    </row>
    <row r="252" spans="2:25">
      <c r="B252" s="154" t="s">
        <v>102</v>
      </c>
      <c r="C252" s="154" t="s">
        <v>1401</v>
      </c>
      <c r="D252" s="155">
        <v>45070</v>
      </c>
      <c r="E252" s="155">
        <v>45057</v>
      </c>
      <c r="F252" s="159">
        <v>100</v>
      </c>
      <c r="G252" s="159">
        <v>100</v>
      </c>
      <c r="H252" s="159">
        <v>100</v>
      </c>
      <c r="I252" s="184">
        <f t="shared" si="8"/>
        <v>45978</v>
      </c>
      <c r="J252" s="159" cm="1">
        <f t="array" ref="J252">[15]!CalculateINPC(D252,I252,-1)*H252</f>
        <v>109.954095</v>
      </c>
      <c r="K252" s="159">
        <f t="shared" si="9"/>
        <v>213.10903553809609</v>
      </c>
      <c r="L252" s="159" cm="1">
        <f t="array" ref="L252">[15]!CalculateDICetip(D252,I252,1)*H252</f>
        <v>134.08975899999999</v>
      </c>
      <c r="M252" s="154">
        <v>174176</v>
      </c>
      <c r="N252" s="154" t="s">
        <v>236</v>
      </c>
      <c r="O252" s="154" t="s">
        <v>237</v>
      </c>
      <c r="P252" s="154" t="s">
        <v>238</v>
      </c>
      <c r="Q252" s="154">
        <v>10027</v>
      </c>
      <c r="R252" s="154" t="s">
        <v>106</v>
      </c>
      <c r="S252" s="154">
        <v>44</v>
      </c>
      <c r="T252" s="154" t="s">
        <v>107</v>
      </c>
      <c r="U252" s="154" t="s">
        <v>656</v>
      </c>
      <c r="V252" s="154" t="s">
        <v>109</v>
      </c>
      <c r="W252" s="154" t="s">
        <v>110</v>
      </c>
      <c r="X252" s="154" t="s">
        <v>240</v>
      </c>
      <c r="Y252" s="154" t="s">
        <v>657</v>
      </c>
    </row>
    <row r="253" spans="2:25">
      <c r="B253" s="154" t="s">
        <v>102</v>
      </c>
      <c r="C253" s="154" t="s">
        <v>1401</v>
      </c>
      <c r="D253" s="155">
        <v>45070</v>
      </c>
      <c r="E253" s="155">
        <v>45057</v>
      </c>
      <c r="F253" s="159">
        <v>100</v>
      </c>
      <c r="G253" s="159">
        <v>100</v>
      </c>
      <c r="H253" s="159">
        <v>100</v>
      </c>
      <c r="I253" s="184">
        <f t="shared" si="8"/>
        <v>45978</v>
      </c>
      <c r="J253" s="159" cm="1">
        <f t="array" ref="J253">[15]!CalculateINPC(D253,I253,-1)*H253</f>
        <v>109.954095</v>
      </c>
      <c r="K253" s="159">
        <f t="shared" si="9"/>
        <v>213.10903553809609</v>
      </c>
      <c r="L253" s="159" cm="1">
        <f t="array" ref="L253">[15]!CalculateDICetip(D253,I253,1)*H253</f>
        <v>134.08975899999999</v>
      </c>
      <c r="M253" s="154">
        <v>174193</v>
      </c>
      <c r="N253" s="154" t="s">
        <v>236</v>
      </c>
      <c r="O253" s="154" t="s">
        <v>237</v>
      </c>
      <c r="P253" s="154" t="s">
        <v>238</v>
      </c>
      <c r="Q253" s="154">
        <v>10027</v>
      </c>
      <c r="R253" s="154" t="s">
        <v>106</v>
      </c>
      <c r="S253" s="154">
        <v>44</v>
      </c>
      <c r="T253" s="154" t="s">
        <v>107</v>
      </c>
      <c r="U253" s="154" t="s">
        <v>658</v>
      </c>
      <c r="V253" s="154" t="s">
        <v>109</v>
      </c>
      <c r="W253" s="154" t="s">
        <v>110</v>
      </c>
      <c r="X253" s="154" t="s">
        <v>240</v>
      </c>
      <c r="Y253" s="154" t="s">
        <v>659</v>
      </c>
    </row>
    <row r="254" spans="2:25">
      <c r="B254" s="154" t="s">
        <v>102</v>
      </c>
      <c r="C254" s="154" t="s">
        <v>1401</v>
      </c>
      <c r="D254" s="155">
        <v>45070</v>
      </c>
      <c r="E254" s="155">
        <v>45057</v>
      </c>
      <c r="F254" s="159">
        <v>400</v>
      </c>
      <c r="G254" s="159">
        <v>400</v>
      </c>
      <c r="H254" s="159">
        <v>400</v>
      </c>
      <c r="I254" s="184">
        <f t="shared" si="8"/>
        <v>45978</v>
      </c>
      <c r="J254" s="159" cm="1">
        <f t="array" ref="J254">[15]!CalculateINPC(D254,I254,-1)*H254</f>
        <v>439.81637999999998</v>
      </c>
      <c r="K254" s="159">
        <f t="shared" si="9"/>
        <v>852.43614215238438</v>
      </c>
      <c r="L254" s="159" cm="1">
        <f t="array" ref="L254">[15]!CalculateDICetip(D254,I254,1)*H254</f>
        <v>536.35903599999995</v>
      </c>
      <c r="M254" s="154">
        <v>174195</v>
      </c>
      <c r="N254" s="154" t="s">
        <v>236</v>
      </c>
      <c r="O254" s="154" t="s">
        <v>237</v>
      </c>
      <c r="P254" s="154" t="s">
        <v>238</v>
      </c>
      <c r="Q254" s="154">
        <v>10027</v>
      </c>
      <c r="R254" s="154" t="s">
        <v>106</v>
      </c>
      <c r="S254" s="154">
        <v>44</v>
      </c>
      <c r="T254" s="154" t="s">
        <v>107</v>
      </c>
      <c r="U254" s="154" t="s">
        <v>524</v>
      </c>
      <c r="V254" s="154" t="s">
        <v>109</v>
      </c>
      <c r="W254" s="154" t="s">
        <v>110</v>
      </c>
      <c r="X254" s="154" t="s">
        <v>240</v>
      </c>
      <c r="Y254" s="154" t="s">
        <v>525</v>
      </c>
    </row>
    <row r="255" spans="2:25">
      <c r="B255" s="154" t="s">
        <v>102</v>
      </c>
      <c r="C255" s="154" t="s">
        <v>1401</v>
      </c>
      <c r="D255" s="155">
        <v>45070</v>
      </c>
      <c r="E255" s="155">
        <v>45057</v>
      </c>
      <c r="F255" s="159">
        <v>100</v>
      </c>
      <c r="G255" s="159">
        <v>100</v>
      </c>
      <c r="H255" s="159">
        <v>100</v>
      </c>
      <c r="I255" s="184">
        <f t="shared" si="8"/>
        <v>45978</v>
      </c>
      <c r="J255" s="159" cm="1">
        <f t="array" ref="J255">[15]!CalculateINPC(D255,I255,-1)*H255</f>
        <v>109.954095</v>
      </c>
      <c r="K255" s="159">
        <f t="shared" si="9"/>
        <v>213.10903553809609</v>
      </c>
      <c r="L255" s="159" cm="1">
        <f t="array" ref="L255">[15]!CalculateDICetip(D255,I255,1)*H255</f>
        <v>134.08975899999999</v>
      </c>
      <c r="M255" s="154">
        <v>174177</v>
      </c>
      <c r="N255" s="154" t="s">
        <v>236</v>
      </c>
      <c r="O255" s="154" t="s">
        <v>237</v>
      </c>
      <c r="P255" s="154" t="s">
        <v>238</v>
      </c>
      <c r="Q255" s="154">
        <v>10027</v>
      </c>
      <c r="R255" s="154" t="s">
        <v>106</v>
      </c>
      <c r="S255" s="154">
        <v>44</v>
      </c>
      <c r="T255" s="154" t="s">
        <v>107</v>
      </c>
      <c r="U255" s="154" t="s">
        <v>660</v>
      </c>
      <c r="V255" s="154" t="s">
        <v>109</v>
      </c>
      <c r="W255" s="154" t="s">
        <v>110</v>
      </c>
      <c r="X255" s="154" t="s">
        <v>240</v>
      </c>
      <c r="Y255" s="154" t="s">
        <v>661</v>
      </c>
    </row>
    <row r="256" spans="2:25">
      <c r="B256" s="154" t="s">
        <v>102</v>
      </c>
      <c r="C256" s="154" t="s">
        <v>1401</v>
      </c>
      <c r="D256" s="155">
        <v>44371</v>
      </c>
      <c r="E256" s="155">
        <v>44368</v>
      </c>
      <c r="F256" s="159">
        <v>347.9</v>
      </c>
      <c r="G256" s="159">
        <v>347.9</v>
      </c>
      <c r="H256" s="159">
        <v>347.9</v>
      </c>
      <c r="I256" s="184">
        <f t="shared" si="8"/>
        <v>45978</v>
      </c>
      <c r="J256" s="159" cm="1">
        <f t="array" ref="J256">[15]!CalculateINPC(D256,I256,-1)*H256</f>
        <v>442.46305037899998</v>
      </c>
      <c r="K256" s="159">
        <f t="shared" si="9"/>
        <v>1427.2743906930491</v>
      </c>
      <c r="L256" s="159" cm="1">
        <f t="array" ref="L256">[15]!CalculateDICetip(D256,I256,1)*H256</f>
        <v>568.33838102999994</v>
      </c>
      <c r="M256" s="154">
        <v>111682</v>
      </c>
      <c r="N256" s="154" t="s">
        <v>236</v>
      </c>
      <c r="O256" s="154" t="s">
        <v>126</v>
      </c>
      <c r="P256" s="154" t="s">
        <v>127</v>
      </c>
      <c r="Q256" s="154">
        <v>10027</v>
      </c>
      <c r="R256" s="154" t="s">
        <v>106</v>
      </c>
      <c r="S256" s="154">
        <v>44</v>
      </c>
      <c r="T256" s="154" t="s">
        <v>107</v>
      </c>
      <c r="U256" s="154" t="s">
        <v>526</v>
      </c>
      <c r="V256" s="154" t="s">
        <v>109</v>
      </c>
      <c r="W256" s="154" t="s">
        <v>110</v>
      </c>
      <c r="X256" s="154" t="s">
        <v>399</v>
      </c>
      <c r="Y256" s="154" t="s">
        <v>542</v>
      </c>
    </row>
    <row r="257" spans="2:25">
      <c r="B257" s="154" t="s">
        <v>102</v>
      </c>
      <c r="C257" s="154" t="s">
        <v>1401</v>
      </c>
      <c r="D257" s="155">
        <v>44736</v>
      </c>
      <c r="E257" s="155">
        <v>44722</v>
      </c>
      <c r="F257" s="159">
        <v>33329</v>
      </c>
      <c r="G257" s="159">
        <v>451.26000000004802</v>
      </c>
      <c r="H257" s="159">
        <v>451.26000000004802</v>
      </c>
      <c r="I257" s="184">
        <f t="shared" si="8"/>
        <v>45978</v>
      </c>
      <c r="J257" s="159" cm="1">
        <f t="array" ref="J257">[15]!CalculateINPC(D257,I257,-1)*H257</f>
        <v>512.89596532625467</v>
      </c>
      <c r="K257" s="159">
        <f t="shared" si="9"/>
        <v>1268.0426123447403</v>
      </c>
      <c r="L257" s="159" cm="1">
        <f t="array" ref="L257">[15]!CalculateDICetip(D257,I257,1)*H257</f>
        <v>679.35944814847232</v>
      </c>
      <c r="M257" s="154">
        <v>151881</v>
      </c>
      <c r="N257" s="154" t="s">
        <v>310</v>
      </c>
      <c r="O257" s="154" t="s">
        <v>271</v>
      </c>
      <c r="P257" s="154" t="s">
        <v>272</v>
      </c>
      <c r="Q257" s="154">
        <v>10027</v>
      </c>
      <c r="R257" s="154" t="s">
        <v>106</v>
      </c>
      <c r="S257" s="154">
        <v>44</v>
      </c>
      <c r="T257" s="154" t="s">
        <v>107</v>
      </c>
      <c r="U257" s="154" t="s">
        <v>517</v>
      </c>
      <c r="V257" s="154" t="s">
        <v>137</v>
      </c>
      <c r="W257" s="154" t="s">
        <v>138</v>
      </c>
      <c r="X257" s="154" t="s">
        <v>130</v>
      </c>
      <c r="Y257" s="154" t="s">
        <v>160</v>
      </c>
    </row>
    <row r="258" spans="2:25">
      <c r="B258" s="154" t="s">
        <v>102</v>
      </c>
      <c r="C258" s="154" t="s">
        <v>1401</v>
      </c>
      <c r="D258" s="155">
        <v>45131</v>
      </c>
      <c r="E258" s="155">
        <v>45124</v>
      </c>
      <c r="F258" s="159">
        <v>79975.98</v>
      </c>
      <c r="G258" s="159">
        <v>129.680000000229</v>
      </c>
      <c r="H258" s="159">
        <v>129.680000000229</v>
      </c>
      <c r="I258" s="184">
        <f t="shared" si="8"/>
        <v>45978</v>
      </c>
      <c r="J258" s="159" cm="1">
        <f t="array" ref="J258">[15]!CalculateINPC(D258,I258,-1)*H258</f>
        <v>142.21907691625114</v>
      </c>
      <c r="K258" s="159">
        <f t="shared" si="9"/>
        <v>263.6581756617187</v>
      </c>
      <c r="L258" s="159" cm="1">
        <f t="array" ref="L258">[15]!CalculateDICetip(D258,I258,1)*H258</f>
        <v>170.21861250990059</v>
      </c>
      <c r="M258" s="154">
        <v>177446</v>
      </c>
      <c r="N258" s="154" t="s">
        <v>258</v>
      </c>
      <c r="O258" s="154" t="s">
        <v>243</v>
      </c>
      <c r="P258" s="154" t="s">
        <v>244</v>
      </c>
      <c r="Q258" s="154">
        <v>10027</v>
      </c>
      <c r="R258" s="154" t="s">
        <v>106</v>
      </c>
      <c r="S258" s="154">
        <v>44</v>
      </c>
      <c r="T258" s="154" t="s">
        <v>107</v>
      </c>
      <c r="U258" s="154" t="s">
        <v>632</v>
      </c>
      <c r="V258" s="154" t="s">
        <v>109</v>
      </c>
      <c r="W258" s="154" t="s">
        <v>110</v>
      </c>
      <c r="X258" s="154" t="s">
        <v>117</v>
      </c>
      <c r="Y258" s="154" t="s">
        <v>633</v>
      </c>
    </row>
    <row r="259" spans="2:25">
      <c r="B259" s="154" t="s">
        <v>102</v>
      </c>
      <c r="C259" s="154" t="s">
        <v>1401</v>
      </c>
      <c r="D259" s="155">
        <v>45223</v>
      </c>
      <c r="E259" s="155">
        <v>45203</v>
      </c>
      <c r="F259" s="159">
        <v>200</v>
      </c>
      <c r="G259" s="159">
        <v>200</v>
      </c>
      <c r="H259" s="159">
        <v>200</v>
      </c>
      <c r="I259" s="184">
        <f t="shared" si="8"/>
        <v>45978</v>
      </c>
      <c r="J259" s="159" cm="1">
        <f t="array" ref="J259">[15]!CalculateINPC(D259,I259,-1)*H259</f>
        <v>218.85732199999998</v>
      </c>
      <c r="K259" s="159">
        <f t="shared" si="9"/>
        <v>379.42471038305331</v>
      </c>
      <c r="L259" s="159" cm="1">
        <f t="array" ref="L259">[15]!CalculateDICetip(D259,I259,1)*H259</f>
        <v>254.47475399999999</v>
      </c>
      <c r="M259" s="154">
        <v>184182</v>
      </c>
      <c r="N259" s="154" t="s">
        <v>236</v>
      </c>
      <c r="O259" s="154" t="s">
        <v>237</v>
      </c>
      <c r="P259" s="154" t="s">
        <v>238</v>
      </c>
      <c r="Q259" s="154">
        <v>10027</v>
      </c>
      <c r="R259" s="154" t="s">
        <v>106</v>
      </c>
      <c r="S259" s="154">
        <v>44</v>
      </c>
      <c r="T259" s="154" t="s">
        <v>107</v>
      </c>
      <c r="U259" s="154" t="s">
        <v>600</v>
      </c>
      <c r="V259" s="154" t="s">
        <v>109</v>
      </c>
      <c r="W259" s="154" t="s">
        <v>110</v>
      </c>
      <c r="X259" s="154" t="s">
        <v>240</v>
      </c>
      <c r="Y259" s="154" t="s">
        <v>601</v>
      </c>
    </row>
    <row r="260" spans="2:25">
      <c r="B260" s="154" t="s">
        <v>102</v>
      </c>
      <c r="C260" s="154" t="s">
        <v>1401</v>
      </c>
      <c r="D260" s="155">
        <v>45223</v>
      </c>
      <c r="E260" s="155">
        <v>45204</v>
      </c>
      <c r="F260" s="159">
        <v>15485.01</v>
      </c>
      <c r="G260" s="159">
        <v>888.97000000005403</v>
      </c>
      <c r="H260" s="159">
        <v>888.97000000005403</v>
      </c>
      <c r="I260" s="184">
        <f t="shared" si="8"/>
        <v>45978</v>
      </c>
      <c r="J260" s="159" cm="1">
        <f t="array" ref="J260">[15]!CalculateINPC(D260,I260,-1)*H260</f>
        <v>972.78796769175904</v>
      </c>
      <c r="K260" s="159">
        <f t="shared" si="9"/>
        <v>1686.4859239462169</v>
      </c>
      <c r="L260" s="159" cm="1">
        <f t="array" ref="L260">[15]!CalculateDICetip(D260,I260,1)*H260</f>
        <v>1131.1021103169687</v>
      </c>
      <c r="M260" s="154">
        <v>184305</v>
      </c>
      <c r="N260" s="154" t="s">
        <v>395</v>
      </c>
      <c r="O260" s="154" t="s">
        <v>396</v>
      </c>
      <c r="P260" s="154" t="s">
        <v>397</v>
      </c>
      <c r="Q260" s="154">
        <v>10027</v>
      </c>
      <c r="R260" s="154" t="s">
        <v>106</v>
      </c>
      <c r="S260" s="154">
        <v>44</v>
      </c>
      <c r="T260" s="154" t="s">
        <v>107</v>
      </c>
      <c r="U260" s="154" t="s">
        <v>398</v>
      </c>
      <c r="V260" s="154" t="s">
        <v>109</v>
      </c>
      <c r="W260" s="154" t="s">
        <v>110</v>
      </c>
      <c r="X260" s="154" t="s">
        <v>399</v>
      </c>
      <c r="Y260" s="154" t="s">
        <v>400</v>
      </c>
    </row>
    <row r="261" spans="2:25">
      <c r="B261" s="154" t="s">
        <v>102</v>
      </c>
      <c r="C261" s="154" t="s">
        <v>1401</v>
      </c>
      <c r="D261" s="155">
        <v>45223</v>
      </c>
      <c r="E261" s="155">
        <v>45204</v>
      </c>
      <c r="F261" s="159">
        <v>15485.01</v>
      </c>
      <c r="G261" s="159">
        <v>260.50999999997998</v>
      </c>
      <c r="H261" s="159">
        <v>260.50999999997998</v>
      </c>
      <c r="I261" s="184">
        <f t="shared" si="8"/>
        <v>45978</v>
      </c>
      <c r="J261" s="159" cm="1">
        <f t="array" ref="J261">[15]!CalculateINPC(D261,I261,-1)*H261</f>
        <v>285.07260477107809</v>
      </c>
      <c r="K261" s="159">
        <f t="shared" si="9"/>
        <v>494.21965650940814</v>
      </c>
      <c r="L261" s="159" cm="1">
        <f t="array" ref="L261">[15]!CalculateDICetip(D261,I261,1)*H261</f>
        <v>331.46609082267452</v>
      </c>
      <c r="M261" s="154">
        <v>184305</v>
      </c>
      <c r="N261" s="154" t="s">
        <v>395</v>
      </c>
      <c r="O261" s="154" t="s">
        <v>560</v>
      </c>
      <c r="P261" s="154" t="s">
        <v>561</v>
      </c>
      <c r="Q261" s="154">
        <v>10027</v>
      </c>
      <c r="R261" s="154" t="s">
        <v>106</v>
      </c>
      <c r="S261" s="154">
        <v>44</v>
      </c>
      <c r="T261" s="154" t="s">
        <v>107</v>
      </c>
      <c r="U261" s="154" t="s">
        <v>398</v>
      </c>
      <c r="V261" s="154" t="s">
        <v>109</v>
      </c>
      <c r="W261" s="154" t="s">
        <v>110</v>
      </c>
      <c r="X261" s="154" t="s">
        <v>399</v>
      </c>
      <c r="Y261" s="154" t="s">
        <v>400</v>
      </c>
    </row>
    <row r="262" spans="2:25">
      <c r="B262" s="154" t="s">
        <v>102</v>
      </c>
      <c r="C262" s="154" t="s">
        <v>1401</v>
      </c>
      <c r="D262" s="155">
        <v>45223</v>
      </c>
      <c r="E262" s="155">
        <v>45203</v>
      </c>
      <c r="F262" s="159">
        <v>100</v>
      </c>
      <c r="G262" s="159">
        <v>100</v>
      </c>
      <c r="H262" s="159">
        <v>100</v>
      </c>
      <c r="I262" s="184">
        <f t="shared" si="8"/>
        <v>45978</v>
      </c>
      <c r="J262" s="159" cm="1">
        <f t="array" ref="J262">[15]!CalculateINPC(D262,I262,-1)*H262</f>
        <v>109.42866099999999</v>
      </c>
      <c r="K262" s="159">
        <f t="shared" si="9"/>
        <v>189.71235519152665</v>
      </c>
      <c r="L262" s="159" cm="1">
        <f t="array" ref="L262">[15]!CalculateDICetip(D262,I262,1)*H262</f>
        <v>127.237377</v>
      </c>
      <c r="M262" s="154">
        <v>184185</v>
      </c>
      <c r="N262" s="154" t="s">
        <v>236</v>
      </c>
      <c r="O262" s="154" t="s">
        <v>237</v>
      </c>
      <c r="P262" s="154" t="s">
        <v>238</v>
      </c>
      <c r="Q262" s="154">
        <v>10027</v>
      </c>
      <c r="R262" s="154" t="s">
        <v>106</v>
      </c>
      <c r="S262" s="154">
        <v>44</v>
      </c>
      <c r="T262" s="154" t="s">
        <v>107</v>
      </c>
      <c r="U262" s="154" t="s">
        <v>662</v>
      </c>
      <c r="V262" s="154" t="s">
        <v>109</v>
      </c>
      <c r="W262" s="154" t="s">
        <v>110</v>
      </c>
      <c r="X262" s="154" t="s">
        <v>240</v>
      </c>
      <c r="Y262" s="154" t="s">
        <v>663</v>
      </c>
    </row>
    <row r="263" spans="2:25">
      <c r="B263" s="154" t="s">
        <v>102</v>
      </c>
      <c r="C263" s="154" t="s">
        <v>1401</v>
      </c>
      <c r="D263" s="155">
        <v>45223</v>
      </c>
      <c r="E263" s="155">
        <v>45216</v>
      </c>
      <c r="F263" s="159">
        <v>3901</v>
      </c>
      <c r="G263" s="159">
        <v>75.999999999997996</v>
      </c>
      <c r="H263" s="159">
        <v>75.999999999997996</v>
      </c>
      <c r="I263" s="184">
        <f t="shared" ref="I263:I326" si="10">$B$4</f>
        <v>45978</v>
      </c>
      <c r="J263" s="159" cm="1">
        <f t="array" ref="J263">[15]!CalculateINPC(D263,I263,-1)*H263</f>
        <v>83.165782359997806</v>
      </c>
      <c r="K263" s="159">
        <f t="shared" ref="K263:K326" si="11">J263*1.3^((I263-D263)/360)</f>
        <v>144.18138994555645</v>
      </c>
      <c r="L263" s="159" cm="1">
        <f t="array" ref="L263">[15]!CalculateDICetip(D263,I263,1)*H263</f>
        <v>96.700406519997443</v>
      </c>
      <c r="M263" s="154">
        <v>184274</v>
      </c>
      <c r="N263" s="154" t="s">
        <v>547</v>
      </c>
      <c r="O263" s="154" t="s">
        <v>533</v>
      </c>
      <c r="P263" s="154" t="s">
        <v>534</v>
      </c>
      <c r="Q263" s="154">
        <v>10027</v>
      </c>
      <c r="R263" s="154" t="s">
        <v>106</v>
      </c>
      <c r="S263" s="154">
        <v>44</v>
      </c>
      <c r="T263" s="154" t="s">
        <v>107</v>
      </c>
      <c r="U263" s="154" t="s">
        <v>682</v>
      </c>
      <c r="V263" s="154" t="s">
        <v>137</v>
      </c>
      <c r="W263" s="154" t="s">
        <v>138</v>
      </c>
      <c r="X263" s="154" t="s">
        <v>130</v>
      </c>
      <c r="Y263" s="154" t="s">
        <v>683</v>
      </c>
    </row>
    <row r="264" spans="2:25">
      <c r="B264" s="154" t="s">
        <v>102</v>
      </c>
      <c r="C264" s="154" t="s">
        <v>1401</v>
      </c>
      <c r="D264" s="155">
        <v>43823</v>
      </c>
      <c r="E264" s="155">
        <v>43797</v>
      </c>
      <c r="F264" s="159">
        <v>10000</v>
      </c>
      <c r="G264" s="159">
        <v>10000</v>
      </c>
      <c r="H264" s="159">
        <v>9800</v>
      </c>
      <c r="I264" s="184">
        <f t="shared" si="10"/>
        <v>45978</v>
      </c>
      <c r="J264" s="159" cm="1">
        <f t="array" ref="J264">[15]!CalculateINPC(D264,I264,-1)*H264</f>
        <v>13746.246654</v>
      </c>
      <c r="K264" s="159">
        <f t="shared" si="11"/>
        <v>66109.169238730465</v>
      </c>
      <c r="L264" s="159" cm="1">
        <f t="array" ref="L264">[15]!CalculateDICetip(D264,I264,1)*H264</f>
        <v>16662.019878000003</v>
      </c>
      <c r="M264" s="154">
        <v>82866</v>
      </c>
      <c r="N264" s="154" t="s">
        <v>161</v>
      </c>
      <c r="O264" s="154" t="s">
        <v>126</v>
      </c>
      <c r="P264" s="154" t="s">
        <v>127</v>
      </c>
      <c r="Q264" s="154">
        <v>10027</v>
      </c>
      <c r="R264" s="154" t="s">
        <v>106</v>
      </c>
      <c r="S264" s="154">
        <v>44</v>
      </c>
      <c r="T264" s="154" t="s">
        <v>107</v>
      </c>
      <c r="U264" s="154" t="s">
        <v>207</v>
      </c>
      <c r="V264" s="154" t="s">
        <v>109</v>
      </c>
      <c r="W264" s="154" t="s">
        <v>110</v>
      </c>
      <c r="X264" s="154" t="s">
        <v>130</v>
      </c>
      <c r="Y264" s="154" t="s">
        <v>208</v>
      </c>
    </row>
    <row r="265" spans="2:25">
      <c r="B265" s="154" t="s">
        <v>102</v>
      </c>
      <c r="C265" s="154" t="s">
        <v>1401</v>
      </c>
      <c r="D265" s="155">
        <v>44951</v>
      </c>
      <c r="E265" s="155">
        <v>44942</v>
      </c>
      <c r="F265" s="159">
        <v>8688</v>
      </c>
      <c r="G265" s="159">
        <v>60.000000000032003</v>
      </c>
      <c r="H265" s="159">
        <v>60.000000000032003</v>
      </c>
      <c r="I265" s="184">
        <f t="shared" si="10"/>
        <v>45978</v>
      </c>
      <c r="J265" s="159" cm="1">
        <f t="array" ref="J265">[15]!CalculateINPC(D265,I265,-1)*H265</f>
        <v>67.569887400036038</v>
      </c>
      <c r="K265" s="159">
        <f t="shared" si="11"/>
        <v>142.82632397797062</v>
      </c>
      <c r="L265" s="159" cm="1">
        <f t="array" ref="L265">[15]!CalculateDICetip(D265,I265,1)*H265</f>
        <v>83.789179800044693</v>
      </c>
      <c r="M265" s="154">
        <v>166077</v>
      </c>
      <c r="N265" s="154" t="s">
        <v>602</v>
      </c>
      <c r="O265" s="154" t="s">
        <v>189</v>
      </c>
      <c r="P265" s="154" t="s">
        <v>190</v>
      </c>
      <c r="Q265" s="154">
        <v>10027</v>
      </c>
      <c r="R265" s="154" t="s">
        <v>106</v>
      </c>
      <c r="S265" s="154">
        <v>44</v>
      </c>
      <c r="T265" s="154" t="s">
        <v>107</v>
      </c>
      <c r="U265" s="154" t="s">
        <v>710</v>
      </c>
      <c r="V265" s="154" t="s">
        <v>109</v>
      </c>
      <c r="W265" s="154" t="s">
        <v>110</v>
      </c>
      <c r="X265" s="154" t="s">
        <v>130</v>
      </c>
      <c r="Y265" s="154" t="s">
        <v>711</v>
      </c>
    </row>
    <row r="266" spans="2:25">
      <c r="B266" s="154" t="s">
        <v>102</v>
      </c>
      <c r="C266" s="154" t="s">
        <v>1401</v>
      </c>
      <c r="D266" s="155">
        <v>45071</v>
      </c>
      <c r="E266" s="155">
        <v>45063</v>
      </c>
      <c r="F266" s="159">
        <v>43724.87</v>
      </c>
      <c r="G266" s="159">
        <v>20.480000000164999</v>
      </c>
      <c r="H266" s="159">
        <v>20.480000000164999</v>
      </c>
      <c r="I266" s="184">
        <f t="shared" si="10"/>
        <v>45978</v>
      </c>
      <c r="J266" s="159" cm="1">
        <f t="array" ref="J266">[15]!CalculateINPC(D266,I266,-1)*H266</f>
        <v>22.518598656181421</v>
      </c>
      <c r="K266" s="159">
        <f t="shared" si="11"/>
        <v>43.612934239651395</v>
      </c>
      <c r="L266" s="159" cm="1">
        <f t="array" ref="L266">[15]!CalculateDICetip(D266,I266,1)*H266</f>
        <v>27.447642521821134</v>
      </c>
      <c r="M266" s="154">
        <v>173769</v>
      </c>
      <c r="N266" s="154" t="s">
        <v>258</v>
      </c>
      <c r="O266" s="154" t="s">
        <v>290</v>
      </c>
      <c r="P266" s="154" t="s">
        <v>291</v>
      </c>
      <c r="Q266" s="154">
        <v>10027</v>
      </c>
      <c r="R266" s="154" t="s">
        <v>106</v>
      </c>
      <c r="S266" s="154">
        <v>44</v>
      </c>
      <c r="T266" s="154" t="s">
        <v>107</v>
      </c>
      <c r="U266" s="154" t="s">
        <v>753</v>
      </c>
      <c r="V266" s="154" t="s">
        <v>109</v>
      </c>
      <c r="W266" s="154" t="s">
        <v>110</v>
      </c>
      <c r="X266" s="154" t="s">
        <v>117</v>
      </c>
      <c r="Y266" s="154" t="s">
        <v>754</v>
      </c>
    </row>
    <row r="267" spans="2:25">
      <c r="B267" s="154" t="s">
        <v>102</v>
      </c>
      <c r="C267" s="154" t="s">
        <v>1401</v>
      </c>
      <c r="D267" s="155">
        <v>45894</v>
      </c>
      <c r="E267" s="155">
        <v>45876</v>
      </c>
      <c r="F267" s="159">
        <v>105.42</v>
      </c>
      <c r="G267" s="159">
        <v>105.42</v>
      </c>
      <c r="H267" s="159">
        <v>105.42</v>
      </c>
      <c r="I267" s="184">
        <f t="shared" si="10"/>
        <v>45978</v>
      </c>
      <c r="J267" s="159" cm="1">
        <f t="array" ref="J267">[15]!CalculateINPC(D267,I267,-1)*H267</f>
        <v>105.77729578920001</v>
      </c>
      <c r="K267" s="159">
        <f t="shared" si="11"/>
        <v>112.45512230417584</v>
      </c>
      <c r="L267" s="159" cm="1">
        <f t="array" ref="L267">[15]!CalculateDICetip(D267,I267,1)*H267</f>
        <v>108.96446919120001</v>
      </c>
      <c r="M267" s="154">
        <v>266631</v>
      </c>
      <c r="N267" s="154" t="s">
        <v>236</v>
      </c>
      <c r="O267" s="154" t="s">
        <v>237</v>
      </c>
      <c r="P267" s="154" t="s">
        <v>238</v>
      </c>
      <c r="Q267" s="154">
        <v>10027</v>
      </c>
      <c r="R267" s="154" t="s">
        <v>106</v>
      </c>
      <c r="S267" s="154">
        <v>44</v>
      </c>
      <c r="T267" s="154" t="s">
        <v>107</v>
      </c>
      <c r="U267" s="154" t="s">
        <v>898</v>
      </c>
      <c r="V267" s="154" t="s">
        <v>109</v>
      </c>
      <c r="W267" s="154" t="s">
        <v>110</v>
      </c>
      <c r="X267" s="154" t="s">
        <v>240</v>
      </c>
      <c r="Y267" s="154" t="s">
        <v>899</v>
      </c>
    </row>
    <row r="268" spans="2:25">
      <c r="B268" s="154" t="s">
        <v>102</v>
      </c>
      <c r="C268" s="154" t="s">
        <v>1401</v>
      </c>
      <c r="D268" s="155">
        <v>45590</v>
      </c>
      <c r="E268" s="155">
        <v>45586</v>
      </c>
      <c r="F268" s="159">
        <v>402.2</v>
      </c>
      <c r="G268" s="159">
        <v>402.2</v>
      </c>
      <c r="H268" s="159">
        <v>402.2</v>
      </c>
      <c r="I268" s="184">
        <f t="shared" si="10"/>
        <v>45978</v>
      </c>
      <c r="J268" s="159" cm="1">
        <f t="array" ref="J268">[15]!CalculateINPC(D268,I268,-1)*H268</f>
        <v>422.82319915599999</v>
      </c>
      <c r="K268" s="159">
        <f t="shared" si="11"/>
        <v>561.0020146544548</v>
      </c>
      <c r="L268" s="159" cm="1">
        <f t="array" ref="L268">[15]!CalculateDICetip(D268,I268,1)*H268</f>
        <v>460.77493996999999</v>
      </c>
      <c r="M268" s="154">
        <v>222346</v>
      </c>
      <c r="N268" s="154" t="s">
        <v>148</v>
      </c>
      <c r="O268" s="154" t="s">
        <v>149</v>
      </c>
      <c r="P268" s="154" t="s">
        <v>150</v>
      </c>
      <c r="Q268" s="154">
        <v>10027</v>
      </c>
      <c r="R268" s="154" t="s">
        <v>106</v>
      </c>
      <c r="S268" s="154">
        <v>44</v>
      </c>
      <c r="T268" s="154" t="s">
        <v>107</v>
      </c>
      <c r="U268" s="154" t="s">
        <v>151</v>
      </c>
      <c r="V268" s="154" t="s">
        <v>109</v>
      </c>
      <c r="W268" s="154" t="s">
        <v>110</v>
      </c>
      <c r="X268" s="154" t="s">
        <v>117</v>
      </c>
      <c r="Y268" s="154" t="s">
        <v>152</v>
      </c>
    </row>
    <row r="269" spans="2:25">
      <c r="B269" s="154" t="s">
        <v>102</v>
      </c>
      <c r="C269" s="154" t="s">
        <v>1401</v>
      </c>
      <c r="D269" s="155">
        <v>44952</v>
      </c>
      <c r="E269" s="155">
        <v>44950</v>
      </c>
      <c r="F269" s="159">
        <v>922.5</v>
      </c>
      <c r="G269" s="159">
        <v>922.5</v>
      </c>
      <c r="H269" s="159">
        <v>922.5</v>
      </c>
      <c r="I269" s="184">
        <f t="shared" si="10"/>
        <v>45978</v>
      </c>
      <c r="J269" s="159" cm="1">
        <f t="array" ref="J269">[15]!CalculateINPC(D269,I269,-1)*H269</f>
        <v>1038.8870187750001</v>
      </c>
      <c r="K269" s="159">
        <f t="shared" si="11"/>
        <v>2194.3549251701484</v>
      </c>
      <c r="L269" s="159" cm="1">
        <f t="array" ref="L269">[15]!CalculateDICetip(D269,I269,1)*H269</f>
        <v>1287.604697625</v>
      </c>
      <c r="M269" s="154">
        <v>166214</v>
      </c>
      <c r="N269" s="154" t="s">
        <v>382</v>
      </c>
      <c r="O269" s="154" t="s">
        <v>387</v>
      </c>
      <c r="P269" s="154" t="s">
        <v>388</v>
      </c>
      <c r="Q269" s="154">
        <v>10027</v>
      </c>
      <c r="R269" s="154" t="s">
        <v>106</v>
      </c>
      <c r="S269" s="154">
        <v>44</v>
      </c>
      <c r="T269" s="154" t="s">
        <v>107</v>
      </c>
      <c r="U269" s="154" t="s">
        <v>389</v>
      </c>
      <c r="V269" s="154" t="s">
        <v>109</v>
      </c>
      <c r="W269" s="154" t="s">
        <v>110</v>
      </c>
      <c r="X269" s="154" t="s">
        <v>111</v>
      </c>
      <c r="Y269" s="154" t="s">
        <v>390</v>
      </c>
    </row>
    <row r="270" spans="2:25">
      <c r="B270" s="154" t="s">
        <v>102</v>
      </c>
      <c r="C270" s="154" t="s">
        <v>1401</v>
      </c>
      <c r="D270" s="155">
        <v>45742</v>
      </c>
      <c r="E270" s="155">
        <v>45737</v>
      </c>
      <c r="F270" s="159">
        <v>2921.66</v>
      </c>
      <c r="G270" s="159">
        <v>2921.66</v>
      </c>
      <c r="H270" s="159">
        <v>2921.66</v>
      </c>
      <c r="I270" s="184">
        <f t="shared" si="10"/>
        <v>45978</v>
      </c>
      <c r="J270" s="159" cm="1">
        <f t="array" ref="J270">[15]!CalculateINPC(D270,I270,-1)*H270</f>
        <v>2984.1062168763997</v>
      </c>
      <c r="K270" s="159">
        <f t="shared" si="11"/>
        <v>3544.1367853895099</v>
      </c>
      <c r="L270" s="159" cm="1">
        <f t="array" ref="L270">[15]!CalculateDICetip(D270,I270,1)*H270</f>
        <v>3194.8971784085998</v>
      </c>
      <c r="M270" s="154">
        <v>243435</v>
      </c>
      <c r="N270" s="154" t="s">
        <v>281</v>
      </c>
      <c r="O270" s="154" t="s">
        <v>282</v>
      </c>
      <c r="P270" s="154" t="s">
        <v>283</v>
      </c>
      <c r="Q270" s="154">
        <v>10027</v>
      </c>
      <c r="R270" s="154" t="s">
        <v>106</v>
      </c>
      <c r="S270" s="154">
        <v>44</v>
      </c>
      <c r="T270" s="154" t="s">
        <v>107</v>
      </c>
      <c r="U270" s="154" t="s">
        <v>284</v>
      </c>
      <c r="V270" s="154" t="s">
        <v>285</v>
      </c>
      <c r="W270" s="154" t="s">
        <v>286</v>
      </c>
      <c r="X270" s="154" t="s">
        <v>111</v>
      </c>
      <c r="Y270" s="154" t="s">
        <v>287</v>
      </c>
    </row>
    <row r="271" spans="2:25">
      <c r="B271" s="154" t="s">
        <v>102</v>
      </c>
      <c r="C271" s="154" t="s">
        <v>1401</v>
      </c>
      <c r="D271" s="155">
        <v>45803</v>
      </c>
      <c r="E271" s="155">
        <v>45790</v>
      </c>
      <c r="F271" s="159">
        <v>3000</v>
      </c>
      <c r="G271" s="159">
        <v>36.140000000009998</v>
      </c>
      <c r="H271" s="159">
        <v>36.140000000009998</v>
      </c>
      <c r="I271" s="184">
        <f t="shared" si="10"/>
        <v>45978</v>
      </c>
      <c r="J271" s="159" cm="1">
        <f t="array" ref="J271">[15]!CalculateINPC(D271,I271,-1)*H271</f>
        <v>36.549719902810111</v>
      </c>
      <c r="K271" s="159">
        <f t="shared" si="11"/>
        <v>41.521514180095586</v>
      </c>
      <c r="L271" s="159" cm="1">
        <f t="array" ref="L271">[15]!CalculateDICetip(D271,I271,1)*H271</f>
        <v>38.690274755610702</v>
      </c>
      <c r="M271" s="154">
        <v>253558</v>
      </c>
      <c r="N271" s="154" t="s">
        <v>808</v>
      </c>
      <c r="O271" s="154" t="s">
        <v>243</v>
      </c>
      <c r="P271" s="154" t="s">
        <v>244</v>
      </c>
      <c r="Q271" s="154">
        <v>10027</v>
      </c>
      <c r="R271" s="154" t="s">
        <v>106</v>
      </c>
      <c r="S271" s="154">
        <v>44</v>
      </c>
      <c r="T271" s="154" t="s">
        <v>107</v>
      </c>
      <c r="U271" s="154" t="s">
        <v>809</v>
      </c>
      <c r="V271" s="154" t="s">
        <v>109</v>
      </c>
      <c r="W271" s="154" t="s">
        <v>110</v>
      </c>
      <c r="X271" s="154" t="s">
        <v>130</v>
      </c>
      <c r="Y271" s="154" t="s">
        <v>810</v>
      </c>
    </row>
    <row r="272" spans="2:25">
      <c r="B272" s="154" t="s">
        <v>102</v>
      </c>
      <c r="C272" s="154" t="s">
        <v>1401</v>
      </c>
      <c r="D272" s="155">
        <v>45803</v>
      </c>
      <c r="E272" s="155">
        <v>45790</v>
      </c>
      <c r="F272" s="159">
        <v>23227.8</v>
      </c>
      <c r="G272" s="159">
        <v>490.10000000001401</v>
      </c>
      <c r="H272" s="159">
        <v>490.10000000001401</v>
      </c>
      <c r="I272" s="184">
        <f t="shared" si="10"/>
        <v>45978</v>
      </c>
      <c r="J272" s="159" cm="1">
        <f t="array" ref="J272">[15]!CalculateINPC(D272,I272,-1)*H272</f>
        <v>495.65627350201419</v>
      </c>
      <c r="K272" s="159">
        <f t="shared" si="11"/>
        <v>563.07952683065298</v>
      </c>
      <c r="L272" s="159" cm="1">
        <f t="array" ref="L272">[15]!CalculateDICetip(D272,I272,1)*H272</f>
        <v>524.68466125401494</v>
      </c>
      <c r="M272" s="154">
        <v>253557</v>
      </c>
      <c r="N272" s="154" t="s">
        <v>808</v>
      </c>
      <c r="O272" s="154" t="s">
        <v>243</v>
      </c>
      <c r="P272" s="154" t="s">
        <v>244</v>
      </c>
      <c r="Q272" s="154">
        <v>10027</v>
      </c>
      <c r="R272" s="154" t="s">
        <v>106</v>
      </c>
      <c r="S272" s="154">
        <v>44</v>
      </c>
      <c r="T272" s="154" t="s">
        <v>107</v>
      </c>
      <c r="U272" s="154" t="s">
        <v>811</v>
      </c>
      <c r="V272" s="154" t="s">
        <v>109</v>
      </c>
      <c r="W272" s="154" t="s">
        <v>110</v>
      </c>
      <c r="X272" s="154" t="s">
        <v>130</v>
      </c>
      <c r="Y272" s="154" t="s">
        <v>812</v>
      </c>
    </row>
    <row r="273" spans="2:25">
      <c r="B273" s="154" t="s">
        <v>102</v>
      </c>
      <c r="C273" s="154" t="s">
        <v>1401</v>
      </c>
      <c r="D273" s="155">
        <v>44768</v>
      </c>
      <c r="E273" s="155">
        <v>44767</v>
      </c>
      <c r="F273" s="159">
        <v>711.87</v>
      </c>
      <c r="G273" s="159">
        <v>711.87</v>
      </c>
      <c r="H273" s="159">
        <v>711.87</v>
      </c>
      <c r="I273" s="184">
        <f t="shared" si="10"/>
        <v>45978</v>
      </c>
      <c r="J273" s="159" cm="1">
        <f t="array" ref="J273">[15]!CalculateINPC(D273,I273,-1)*H273</f>
        <v>804.11584444409993</v>
      </c>
      <c r="K273" s="159">
        <f t="shared" si="11"/>
        <v>1942.2041917170875</v>
      </c>
      <c r="L273" s="159" cm="1">
        <f t="array" ref="L273">[15]!CalculateDICetip(D273,I273,1)*H273</f>
        <v>1060.2038799384002</v>
      </c>
      <c r="M273" s="154">
        <v>154786</v>
      </c>
      <c r="N273" s="154" t="s">
        <v>200</v>
      </c>
      <c r="O273" s="154" t="s">
        <v>119</v>
      </c>
      <c r="P273" s="154" t="s">
        <v>120</v>
      </c>
      <c r="Q273" s="154">
        <v>10027</v>
      </c>
      <c r="R273" s="154" t="s">
        <v>106</v>
      </c>
      <c r="S273" s="154">
        <v>44</v>
      </c>
      <c r="T273" s="154" t="s">
        <v>107</v>
      </c>
      <c r="U273" s="154" t="s">
        <v>520</v>
      </c>
      <c r="V273" s="154" t="s">
        <v>109</v>
      </c>
      <c r="W273" s="154" t="s">
        <v>110</v>
      </c>
      <c r="X273" s="154" t="s">
        <v>117</v>
      </c>
      <c r="Y273" s="154" t="s">
        <v>521</v>
      </c>
    </row>
    <row r="274" spans="2:25">
      <c r="B274" s="154" t="s">
        <v>102</v>
      </c>
      <c r="C274" s="154" t="s">
        <v>1401</v>
      </c>
      <c r="D274" s="155">
        <v>44768</v>
      </c>
      <c r="E274" s="155">
        <v>44767</v>
      </c>
      <c r="F274" s="159">
        <v>942.5</v>
      </c>
      <c r="G274" s="159">
        <v>942.5</v>
      </c>
      <c r="H274" s="159">
        <v>942.5</v>
      </c>
      <c r="I274" s="184">
        <f t="shared" si="10"/>
        <v>45978</v>
      </c>
      <c r="J274" s="159" cm="1">
        <f t="array" ref="J274">[15]!CalculateINPC(D274,I274,-1)*H274</f>
        <v>1064.6314402749999</v>
      </c>
      <c r="K274" s="159">
        <f t="shared" si="11"/>
        <v>2571.4350242226178</v>
      </c>
      <c r="L274" s="159" cm="1">
        <f t="array" ref="L274">[15]!CalculateDICetip(D274,I274,1)*H274</f>
        <v>1403.6862866000001</v>
      </c>
      <c r="M274" s="154">
        <v>154785</v>
      </c>
      <c r="N274" s="154" t="s">
        <v>200</v>
      </c>
      <c r="O274" s="154" t="s">
        <v>119</v>
      </c>
      <c r="P274" s="154" t="s">
        <v>120</v>
      </c>
      <c r="Q274" s="154">
        <v>10027</v>
      </c>
      <c r="R274" s="154" t="s">
        <v>106</v>
      </c>
      <c r="S274" s="154">
        <v>44</v>
      </c>
      <c r="T274" s="154" t="s">
        <v>107</v>
      </c>
      <c r="U274" s="154" t="s">
        <v>437</v>
      </c>
      <c r="V274" s="154" t="s">
        <v>109</v>
      </c>
      <c r="W274" s="154" t="s">
        <v>110</v>
      </c>
      <c r="X274" s="154" t="s">
        <v>117</v>
      </c>
      <c r="Y274" s="154" t="s">
        <v>438</v>
      </c>
    </row>
    <row r="275" spans="2:25">
      <c r="B275" s="154" t="s">
        <v>102</v>
      </c>
      <c r="C275" s="154" t="s">
        <v>1401</v>
      </c>
      <c r="D275" s="155">
        <v>44768</v>
      </c>
      <c r="E275" s="155">
        <v>44762</v>
      </c>
      <c r="F275" s="159">
        <v>3007.36</v>
      </c>
      <c r="G275" s="159">
        <v>1242.8199999999961</v>
      </c>
      <c r="H275" s="159">
        <v>1242.8199999999961</v>
      </c>
      <c r="I275" s="184">
        <f t="shared" si="10"/>
        <v>45978</v>
      </c>
      <c r="J275" s="159" cm="1">
        <f t="array" ref="J275">[15]!CalculateINPC(D275,I275,-1)*H275</f>
        <v>1403.8676356525955</v>
      </c>
      <c r="K275" s="159">
        <f t="shared" si="11"/>
        <v>3390.8019913043436</v>
      </c>
      <c r="L275" s="159" cm="1">
        <f t="array" ref="L275">[15]!CalculateDICetip(D275,I275,1)*H275</f>
        <v>1850.9595657423943</v>
      </c>
      <c r="M275" s="154">
        <v>154803</v>
      </c>
      <c r="N275" s="154" t="s">
        <v>341</v>
      </c>
      <c r="O275" s="154" t="s">
        <v>342</v>
      </c>
      <c r="P275" s="154" t="s">
        <v>343</v>
      </c>
      <c r="Q275" s="154">
        <v>10027</v>
      </c>
      <c r="R275" s="154" t="s">
        <v>106</v>
      </c>
      <c r="S275" s="154">
        <v>44</v>
      </c>
      <c r="T275" s="154" t="s">
        <v>107</v>
      </c>
      <c r="U275" s="154" t="s">
        <v>344</v>
      </c>
      <c r="V275" s="154" t="s">
        <v>137</v>
      </c>
      <c r="W275" s="154" t="s">
        <v>138</v>
      </c>
      <c r="X275" s="154" t="s">
        <v>333</v>
      </c>
      <c r="Y275" s="154" t="s">
        <v>345</v>
      </c>
    </row>
    <row r="276" spans="2:25">
      <c r="B276" s="154" t="s">
        <v>102</v>
      </c>
      <c r="C276" s="154" t="s">
        <v>1401</v>
      </c>
      <c r="D276" s="155">
        <v>45530</v>
      </c>
      <c r="E276" s="155">
        <v>45453</v>
      </c>
      <c r="F276" s="159">
        <v>2513.88</v>
      </c>
      <c r="G276" s="159">
        <v>2513.88</v>
      </c>
      <c r="H276" s="159">
        <v>2513.88</v>
      </c>
      <c r="I276" s="184">
        <f t="shared" si="10"/>
        <v>45978</v>
      </c>
      <c r="J276" s="159" cm="1">
        <f t="array" ref="J276">[15]!CalculateINPC(D276,I276,-1)*H276</f>
        <v>2651.7514358304002</v>
      </c>
      <c r="K276" s="159">
        <f t="shared" si="11"/>
        <v>3675.6062763174759</v>
      </c>
      <c r="L276" s="159" cm="1">
        <f t="array" ref="L276">[15]!CalculateDICetip(D276,I276,1)*H276</f>
        <v>2930.8615240571999</v>
      </c>
      <c r="M276" s="154">
        <v>205712</v>
      </c>
      <c r="N276" s="154" t="s">
        <v>236</v>
      </c>
      <c r="O276" s="154" t="s">
        <v>237</v>
      </c>
      <c r="P276" s="154" t="s">
        <v>238</v>
      </c>
      <c r="Q276" s="154">
        <v>10027</v>
      </c>
      <c r="R276" s="154" t="s">
        <v>106</v>
      </c>
      <c r="S276" s="154">
        <v>44</v>
      </c>
      <c r="T276" s="154" t="s">
        <v>107</v>
      </c>
      <c r="U276" s="154" t="s">
        <v>305</v>
      </c>
      <c r="V276" s="154" t="s">
        <v>109</v>
      </c>
      <c r="W276" s="154" t="s">
        <v>110</v>
      </c>
      <c r="X276" s="154" t="s">
        <v>240</v>
      </c>
      <c r="Y276" s="154" t="s">
        <v>306</v>
      </c>
    </row>
    <row r="277" spans="2:25">
      <c r="B277" s="154" t="s">
        <v>102</v>
      </c>
      <c r="C277" s="154" t="s">
        <v>1401</v>
      </c>
      <c r="D277" s="155">
        <v>44830</v>
      </c>
      <c r="E277" s="155">
        <v>44798</v>
      </c>
      <c r="F277" s="159">
        <v>12600</v>
      </c>
      <c r="G277" s="159">
        <v>254.54999999998799</v>
      </c>
      <c r="H277" s="159">
        <v>254.54999999998799</v>
      </c>
      <c r="I277" s="184">
        <f t="shared" si="10"/>
        <v>45978</v>
      </c>
      <c r="J277" s="159" cm="1">
        <f t="array" ref="J277">[15]!CalculateINPC(D277,I277,-1)*H277</f>
        <v>290.17049497798632</v>
      </c>
      <c r="K277" s="159">
        <f t="shared" si="11"/>
        <v>669.89377279383757</v>
      </c>
      <c r="L277" s="159" cm="1">
        <f t="array" ref="L277">[15]!CalculateDICetip(D277,I277,1)*H277</f>
        <v>370.96499080198248</v>
      </c>
      <c r="M277" s="154">
        <v>156928</v>
      </c>
      <c r="N277" s="154" t="s">
        <v>307</v>
      </c>
      <c r="O277" s="154" t="s">
        <v>232</v>
      </c>
      <c r="P277" s="154" t="s">
        <v>233</v>
      </c>
      <c r="Q277" s="154">
        <v>10027</v>
      </c>
      <c r="R277" s="154" t="s">
        <v>106</v>
      </c>
      <c r="S277" s="154">
        <v>44</v>
      </c>
      <c r="T277" s="154" t="s">
        <v>107</v>
      </c>
      <c r="U277" s="154" t="s">
        <v>577</v>
      </c>
      <c r="V277" s="154" t="s">
        <v>109</v>
      </c>
      <c r="W277" s="154" t="s">
        <v>110</v>
      </c>
      <c r="X277" s="154" t="s">
        <v>130</v>
      </c>
      <c r="Y277" s="154" t="s">
        <v>578</v>
      </c>
    </row>
    <row r="278" spans="2:25">
      <c r="B278" s="154" t="s">
        <v>102</v>
      </c>
      <c r="C278" s="154" t="s">
        <v>1401</v>
      </c>
      <c r="D278" s="155">
        <v>44130</v>
      </c>
      <c r="E278" s="155">
        <v>44008</v>
      </c>
      <c r="F278" s="159">
        <v>1686.51</v>
      </c>
      <c r="G278" s="159">
        <v>1686.51</v>
      </c>
      <c r="H278" s="159">
        <v>1686.51</v>
      </c>
      <c r="I278" s="184">
        <f t="shared" si="10"/>
        <v>45978</v>
      </c>
      <c r="J278" s="159" cm="1">
        <f t="array" ref="J278">[15]!CalculateINPC(D278,I278,-1)*H278</f>
        <v>2290.3047308232003</v>
      </c>
      <c r="K278" s="159">
        <f t="shared" si="11"/>
        <v>8806.4825456910839</v>
      </c>
      <c r="L278" s="159" cm="1">
        <f t="array" ref="L278">[15]!CalculateDICetip(D278,I278,1)*H278</f>
        <v>2797.8799847922</v>
      </c>
      <c r="M278" s="154">
        <v>96885</v>
      </c>
      <c r="N278" s="154" t="s">
        <v>236</v>
      </c>
      <c r="O278" s="154" t="s">
        <v>237</v>
      </c>
      <c r="P278" s="154" t="s">
        <v>238</v>
      </c>
      <c r="Q278" s="154">
        <v>10027</v>
      </c>
      <c r="R278" s="154" t="s">
        <v>106</v>
      </c>
      <c r="S278" s="154">
        <v>44</v>
      </c>
      <c r="T278" s="154" t="s">
        <v>107</v>
      </c>
      <c r="U278" s="154" t="s">
        <v>324</v>
      </c>
      <c r="V278" s="154" t="s">
        <v>109</v>
      </c>
      <c r="W278" s="154" t="s">
        <v>110</v>
      </c>
      <c r="X278" s="154" t="s">
        <v>240</v>
      </c>
      <c r="Y278" s="154" t="s">
        <v>325</v>
      </c>
    </row>
    <row r="279" spans="2:25">
      <c r="B279" s="154" t="s">
        <v>102</v>
      </c>
      <c r="C279" s="154" t="s">
        <v>1401</v>
      </c>
      <c r="D279" s="155">
        <v>44130</v>
      </c>
      <c r="E279" s="155">
        <v>44110</v>
      </c>
      <c r="F279" s="159">
        <v>120</v>
      </c>
      <c r="G279" s="159">
        <v>120</v>
      </c>
      <c r="H279" s="159">
        <v>120</v>
      </c>
      <c r="I279" s="184">
        <f t="shared" si="10"/>
        <v>45978</v>
      </c>
      <c r="J279" s="159" cm="1">
        <f t="array" ref="J279">[15]!CalculateINPC(D279,I279,-1)*H279</f>
        <v>162.96171840000002</v>
      </c>
      <c r="K279" s="159">
        <f t="shared" si="11"/>
        <v>626.60636787385204</v>
      </c>
      <c r="L279" s="159" cm="1">
        <f t="array" ref="L279">[15]!CalculateDICetip(D279,I279,1)*H279</f>
        <v>199.0771464</v>
      </c>
      <c r="M279" s="154">
        <v>96884</v>
      </c>
      <c r="N279" s="154" t="s">
        <v>236</v>
      </c>
      <c r="O279" s="154" t="s">
        <v>237</v>
      </c>
      <c r="P279" s="154" t="s">
        <v>238</v>
      </c>
      <c r="Q279" s="154">
        <v>10027</v>
      </c>
      <c r="R279" s="154" t="s">
        <v>106</v>
      </c>
      <c r="S279" s="154">
        <v>44</v>
      </c>
      <c r="T279" s="154" t="s">
        <v>107</v>
      </c>
      <c r="U279" s="154" t="s">
        <v>639</v>
      </c>
      <c r="V279" s="154" t="s">
        <v>109</v>
      </c>
      <c r="W279" s="154" t="s">
        <v>110</v>
      </c>
      <c r="X279" s="154" t="s">
        <v>240</v>
      </c>
      <c r="Y279" s="154" t="s">
        <v>640</v>
      </c>
    </row>
    <row r="280" spans="2:25">
      <c r="B280" s="154" t="s">
        <v>102</v>
      </c>
      <c r="C280" s="154" t="s">
        <v>1401</v>
      </c>
      <c r="D280" s="155">
        <v>45225</v>
      </c>
      <c r="E280" s="155">
        <v>45197</v>
      </c>
      <c r="F280" s="159">
        <v>15505</v>
      </c>
      <c r="G280" s="159">
        <v>2680.0000000000082</v>
      </c>
      <c r="H280" s="159">
        <v>2515.179567881336</v>
      </c>
      <c r="I280" s="184">
        <f t="shared" si="10"/>
        <v>45978</v>
      </c>
      <c r="J280" s="159" cm="1">
        <f t="array" ref="J280">[15]!CalculateINPC(D280,I280,-1)*H280</f>
        <v>2752.3273228781318</v>
      </c>
      <c r="K280" s="159">
        <f t="shared" si="11"/>
        <v>4764.6564673325774</v>
      </c>
      <c r="L280" s="159" cm="1">
        <f t="array" ref="L280">[15]!CalculateDICetip(D280,I280,1)*H280</f>
        <v>3197.2245589212739</v>
      </c>
      <c r="M280" s="154">
        <v>184489</v>
      </c>
      <c r="N280" s="154" t="s">
        <v>242</v>
      </c>
      <c r="O280" s="154" t="s">
        <v>189</v>
      </c>
      <c r="P280" s="154" t="s">
        <v>190</v>
      </c>
      <c r="Q280" s="154">
        <v>10027</v>
      </c>
      <c r="R280" s="154" t="s">
        <v>106</v>
      </c>
      <c r="S280" s="154">
        <v>44</v>
      </c>
      <c r="T280" s="154" t="s">
        <v>107</v>
      </c>
      <c r="U280" s="154" t="s">
        <v>303</v>
      </c>
      <c r="V280" s="154" t="s">
        <v>109</v>
      </c>
      <c r="W280" s="154" t="s">
        <v>110</v>
      </c>
      <c r="X280" s="154" t="s">
        <v>130</v>
      </c>
      <c r="Y280" s="154" t="s">
        <v>304</v>
      </c>
    </row>
    <row r="281" spans="2:25">
      <c r="B281" s="154" t="s">
        <v>257</v>
      </c>
      <c r="C281" s="154" t="s">
        <v>1401</v>
      </c>
      <c r="D281" s="155">
        <v>45622</v>
      </c>
      <c r="E281" s="155">
        <v>45597</v>
      </c>
      <c r="F281" s="159">
        <v>2385.71</v>
      </c>
      <c r="G281" s="159">
        <v>36.480000000010001</v>
      </c>
      <c r="H281" s="159">
        <v>36.480000000010001</v>
      </c>
      <c r="I281" s="184">
        <f t="shared" si="10"/>
        <v>45978</v>
      </c>
      <c r="J281" s="159" cm="1">
        <f t="array" ref="J281">[15]!CalculateINPC(D281,I281,-1)*H281</f>
        <v>38.118036268810449</v>
      </c>
      <c r="K281" s="159">
        <f t="shared" si="11"/>
        <v>49.409201348921918</v>
      </c>
      <c r="L281" s="159" cm="1">
        <f t="array" ref="L281">[15]!CalculateDICetip(D281,I281,1)*H281</f>
        <v>41.450324486411361</v>
      </c>
      <c r="M281" s="154">
        <v>226025</v>
      </c>
      <c r="N281" s="154" t="s">
        <v>258</v>
      </c>
      <c r="O281" s="154" t="s">
        <v>243</v>
      </c>
      <c r="P281" s="154" t="s">
        <v>244</v>
      </c>
      <c r="Q281" s="154">
        <v>10027</v>
      </c>
      <c r="R281" s="154" t="s">
        <v>106</v>
      </c>
      <c r="S281" s="154">
        <v>44</v>
      </c>
      <c r="T281" s="154" t="s">
        <v>107</v>
      </c>
      <c r="U281" s="154" t="s">
        <v>738</v>
      </c>
      <c r="V281" s="154" t="s">
        <v>260</v>
      </c>
      <c r="W281" s="154" t="s">
        <v>261</v>
      </c>
      <c r="X281" s="154" t="s">
        <v>262</v>
      </c>
      <c r="Y281" s="154" t="s">
        <v>739</v>
      </c>
    </row>
    <row r="282" spans="2:25">
      <c r="B282" s="154" t="s">
        <v>102</v>
      </c>
      <c r="C282" s="154" t="s">
        <v>1402</v>
      </c>
      <c r="D282" s="155">
        <v>43825</v>
      </c>
      <c r="E282" s="155">
        <v>43825</v>
      </c>
      <c r="F282" s="159">
        <v>180480.79</v>
      </c>
      <c r="G282" s="159">
        <v>180480.79</v>
      </c>
      <c r="H282" s="159">
        <v>180480.79</v>
      </c>
      <c r="I282" s="184">
        <f t="shared" si="10"/>
        <v>45978</v>
      </c>
      <c r="J282" s="159" cm="1">
        <f t="array" ref="J282">[15]!CalculateINPC(D282,I282,-1)*H282</f>
        <v>253156.4750662017</v>
      </c>
      <c r="K282" s="159">
        <f t="shared" si="11"/>
        <v>1215720.0761742848</v>
      </c>
      <c r="L282" s="159" cm="1">
        <f t="array" ref="L282">[15]!CalculateDICetip(D282,I282,1)*H282</f>
        <v>306802.11403093982</v>
      </c>
      <c r="M282" s="154">
        <v>83575</v>
      </c>
      <c r="N282" s="154" t="s">
        <v>103</v>
      </c>
      <c r="O282" s="154" t="s">
        <v>104</v>
      </c>
      <c r="P282" s="154" t="s">
        <v>105</v>
      </c>
      <c r="Q282" s="154">
        <v>10027</v>
      </c>
      <c r="R282" s="154" t="s">
        <v>106</v>
      </c>
      <c r="S282" s="154">
        <v>44</v>
      </c>
      <c r="T282" s="154" t="s">
        <v>107</v>
      </c>
      <c r="U282" s="154" t="s">
        <v>136</v>
      </c>
      <c r="V282" s="154" t="s">
        <v>137</v>
      </c>
      <c r="W282" s="154" t="s">
        <v>138</v>
      </c>
      <c r="X282" s="154" t="s">
        <v>111</v>
      </c>
      <c r="Y282" s="154" t="s">
        <v>139</v>
      </c>
    </row>
    <row r="283" spans="2:25">
      <c r="B283" s="154" t="s">
        <v>102</v>
      </c>
      <c r="C283" s="154" t="s">
        <v>1402</v>
      </c>
      <c r="D283" s="155">
        <v>43825</v>
      </c>
      <c r="E283" s="155">
        <v>43825</v>
      </c>
      <c r="F283" s="159">
        <v>29.34</v>
      </c>
      <c r="G283" s="159">
        <v>29.34</v>
      </c>
      <c r="H283" s="159">
        <v>29.34</v>
      </c>
      <c r="I283" s="184">
        <f t="shared" si="10"/>
        <v>45978</v>
      </c>
      <c r="J283" s="159" cm="1">
        <f t="array" ref="J283">[15]!CalculateINPC(D283,I283,-1)*H283</f>
        <v>41.154579268200003</v>
      </c>
      <c r="K283" s="159">
        <f t="shared" si="11"/>
        <v>197.63447974132603</v>
      </c>
      <c r="L283" s="159" cm="1">
        <f t="array" ref="L283">[15]!CalculateDICetip(D283,I283,1)*H283</f>
        <v>49.875524290800001</v>
      </c>
      <c r="M283" s="154">
        <v>83577</v>
      </c>
      <c r="N283" s="154" t="s">
        <v>164</v>
      </c>
      <c r="O283" s="154" t="s">
        <v>104</v>
      </c>
      <c r="P283" s="154" t="s">
        <v>105</v>
      </c>
      <c r="Q283" s="154">
        <v>10027</v>
      </c>
      <c r="R283" s="154" t="s">
        <v>106</v>
      </c>
      <c r="S283" s="154">
        <v>44</v>
      </c>
      <c r="T283" s="154" t="s">
        <v>107</v>
      </c>
      <c r="U283" s="154" t="s">
        <v>748</v>
      </c>
      <c r="V283" s="154" t="s">
        <v>137</v>
      </c>
      <c r="W283" s="154" t="s">
        <v>138</v>
      </c>
      <c r="X283" s="154" t="s">
        <v>111</v>
      </c>
      <c r="Y283" s="154" t="s">
        <v>122</v>
      </c>
    </row>
    <row r="284" spans="2:25">
      <c r="B284" s="154" t="s">
        <v>102</v>
      </c>
      <c r="C284" s="154" t="s">
        <v>1402</v>
      </c>
      <c r="D284" s="155">
        <v>43825</v>
      </c>
      <c r="E284" s="155">
        <v>43825</v>
      </c>
      <c r="F284" s="159">
        <v>154903.85</v>
      </c>
      <c r="G284" s="159">
        <v>154903.85</v>
      </c>
      <c r="H284" s="159">
        <v>154903.85</v>
      </c>
      <c r="I284" s="184">
        <f t="shared" si="10"/>
        <v>45978</v>
      </c>
      <c r="J284" s="159" cm="1">
        <f t="array" ref="J284">[15]!CalculateINPC(D284,I284,-1)*H284</f>
        <v>217280.25813818551</v>
      </c>
      <c r="K284" s="159">
        <f t="shared" si="11"/>
        <v>1043433.5993414589</v>
      </c>
      <c r="L284" s="159" cm="1">
        <f t="array" ref="L284">[15]!CalculateDICetip(D284,I284,1)*H284</f>
        <v>263323.474213137</v>
      </c>
      <c r="M284" s="154">
        <v>83576</v>
      </c>
      <c r="N284" s="154" t="s">
        <v>103</v>
      </c>
      <c r="O284" s="154" t="s">
        <v>104</v>
      </c>
      <c r="P284" s="154" t="s">
        <v>105</v>
      </c>
      <c r="Q284" s="154">
        <v>10027</v>
      </c>
      <c r="R284" s="154" t="s">
        <v>106</v>
      </c>
      <c r="S284" s="154">
        <v>44</v>
      </c>
      <c r="T284" s="154" t="s">
        <v>107</v>
      </c>
      <c r="U284" s="154" t="s">
        <v>142</v>
      </c>
      <c r="V284" s="154" t="s">
        <v>137</v>
      </c>
      <c r="W284" s="154" t="s">
        <v>138</v>
      </c>
      <c r="X284" s="154" t="s">
        <v>111</v>
      </c>
      <c r="Y284" s="154" t="s">
        <v>143</v>
      </c>
    </row>
    <row r="285" spans="2:25">
      <c r="B285" s="154" t="s">
        <v>102</v>
      </c>
      <c r="C285" s="154" t="s">
        <v>1402</v>
      </c>
      <c r="D285" s="155">
        <v>43825</v>
      </c>
      <c r="E285" s="155">
        <v>43825</v>
      </c>
      <c r="F285" s="159">
        <v>33384.49</v>
      </c>
      <c r="G285" s="159">
        <v>33384.49</v>
      </c>
      <c r="H285" s="159">
        <v>33384.49</v>
      </c>
      <c r="I285" s="184">
        <f t="shared" si="10"/>
        <v>45978</v>
      </c>
      <c r="J285" s="159" cm="1">
        <f t="array" ref="J285">[15]!CalculateINPC(D285,I285,-1)*H285</f>
        <v>46827.697342652697</v>
      </c>
      <c r="K285" s="159">
        <f t="shared" si="11"/>
        <v>224878.19742943082</v>
      </c>
      <c r="L285" s="159" cm="1">
        <f t="array" ref="L285">[15]!CalculateDICetip(D285,I285,1)*H285</f>
        <v>56750.816016733799</v>
      </c>
      <c r="M285" s="154">
        <v>83574</v>
      </c>
      <c r="N285" s="154" t="s">
        <v>164</v>
      </c>
      <c r="O285" s="154" t="s">
        <v>104</v>
      </c>
      <c r="P285" s="154" t="s">
        <v>105</v>
      </c>
      <c r="Q285" s="154">
        <v>10027</v>
      </c>
      <c r="R285" s="154" t="s">
        <v>106</v>
      </c>
      <c r="S285" s="154">
        <v>44</v>
      </c>
      <c r="T285" s="154" t="s">
        <v>107</v>
      </c>
      <c r="U285" s="154" t="s">
        <v>165</v>
      </c>
      <c r="V285" s="154" t="s">
        <v>137</v>
      </c>
      <c r="W285" s="154" t="s">
        <v>138</v>
      </c>
      <c r="X285" s="154" t="s">
        <v>111</v>
      </c>
      <c r="Y285" s="154" t="s">
        <v>122</v>
      </c>
    </row>
    <row r="286" spans="2:25">
      <c r="B286" s="154" t="s">
        <v>102</v>
      </c>
      <c r="C286" s="154" t="s">
        <v>1402</v>
      </c>
      <c r="D286" s="155">
        <v>43825</v>
      </c>
      <c r="E286" s="155">
        <v>43825</v>
      </c>
      <c r="F286" s="159">
        <v>1105423.32</v>
      </c>
      <c r="G286" s="159">
        <v>1105423.32</v>
      </c>
      <c r="H286" s="159">
        <v>1105423.32</v>
      </c>
      <c r="I286" s="184">
        <f t="shared" si="10"/>
        <v>45978</v>
      </c>
      <c r="J286" s="159" cm="1">
        <f t="array" ref="J286">[15]!CalculateINPC(D286,I286,-1)*H286</f>
        <v>1550553.2258983238</v>
      </c>
      <c r="K286" s="159">
        <f t="shared" si="11"/>
        <v>7446140.5160916625</v>
      </c>
      <c r="L286" s="159" cm="1">
        <f t="array" ref="L286">[15]!CalculateDICetip(D286,I286,1)*H286</f>
        <v>1879126.3683802586</v>
      </c>
      <c r="M286" s="154">
        <v>83573</v>
      </c>
      <c r="N286" s="154" t="s">
        <v>103</v>
      </c>
      <c r="O286" s="154" t="s">
        <v>104</v>
      </c>
      <c r="P286" s="154" t="s">
        <v>105</v>
      </c>
      <c r="Q286" s="154">
        <v>10027</v>
      </c>
      <c r="R286" s="154" t="s">
        <v>106</v>
      </c>
      <c r="S286" s="154">
        <v>44</v>
      </c>
      <c r="T286" s="154" t="s">
        <v>107</v>
      </c>
      <c r="U286" s="154" t="s">
        <v>108</v>
      </c>
      <c r="V286" s="154" t="s">
        <v>109</v>
      </c>
      <c r="W286" s="154" t="s">
        <v>110</v>
      </c>
      <c r="X286" s="154" t="s">
        <v>111</v>
      </c>
      <c r="Y286" s="154" t="s">
        <v>112</v>
      </c>
    </row>
    <row r="287" spans="2:25">
      <c r="B287" s="154" t="s">
        <v>102</v>
      </c>
      <c r="C287" s="154" t="s">
        <v>1401</v>
      </c>
      <c r="D287" s="155">
        <v>45378</v>
      </c>
      <c r="E287" s="155">
        <v>45351</v>
      </c>
      <c r="F287" s="159">
        <v>28051.75</v>
      </c>
      <c r="G287" s="159">
        <v>452.4900000001</v>
      </c>
      <c r="H287" s="159">
        <v>452.4900000001</v>
      </c>
      <c r="I287" s="184">
        <f t="shared" si="10"/>
        <v>45978</v>
      </c>
      <c r="J287" s="159" cm="1">
        <f t="array" ref="J287">[15]!CalculateINPC(D287,I287,-1)*H287</f>
        <v>484.65380820700705</v>
      </c>
      <c r="K287" s="159">
        <f t="shared" si="11"/>
        <v>750.47670603509277</v>
      </c>
      <c r="L287" s="159" cm="1">
        <f t="array" ref="L287">[15]!CalculateDICetip(D287,I287,1)*H287</f>
        <v>549.89119196502156</v>
      </c>
      <c r="M287" s="154">
        <v>194284</v>
      </c>
      <c r="N287" s="154" t="s">
        <v>395</v>
      </c>
      <c r="O287" s="154" t="s">
        <v>396</v>
      </c>
      <c r="P287" s="154" t="s">
        <v>397</v>
      </c>
      <c r="Q287" s="154">
        <v>10027</v>
      </c>
      <c r="R287" s="154" t="s">
        <v>106</v>
      </c>
      <c r="S287" s="154">
        <v>44</v>
      </c>
      <c r="T287" s="154" t="s">
        <v>107</v>
      </c>
      <c r="U287" s="154" t="s">
        <v>515</v>
      </c>
      <c r="V287" s="154" t="s">
        <v>109</v>
      </c>
      <c r="W287" s="154" t="s">
        <v>110</v>
      </c>
      <c r="X287" s="154" t="s">
        <v>399</v>
      </c>
      <c r="Y287" s="154" t="s">
        <v>516</v>
      </c>
    </row>
    <row r="288" spans="2:25">
      <c r="B288" s="154" t="s">
        <v>102</v>
      </c>
      <c r="C288" s="154" t="s">
        <v>1401</v>
      </c>
      <c r="D288" s="155">
        <v>45804</v>
      </c>
      <c r="E288" s="155">
        <v>45793</v>
      </c>
      <c r="F288" s="159">
        <v>16680</v>
      </c>
      <c r="G288" s="159">
        <v>144.00000000000199</v>
      </c>
      <c r="H288" s="159">
        <v>144.00000000000199</v>
      </c>
      <c r="I288" s="184">
        <f t="shared" si="10"/>
        <v>45978</v>
      </c>
      <c r="J288" s="159" cm="1">
        <f t="array" ref="J288">[15]!CalculateINPC(D288,I288,-1)*H288</f>
        <v>145.63253088000201</v>
      </c>
      <c r="K288" s="159">
        <f t="shared" si="11"/>
        <v>165.32213959013905</v>
      </c>
      <c r="L288" s="159" cm="1">
        <f t="array" ref="L288">[15]!CalculateDICetip(D288,I288,1)*H288</f>
        <v>154.07796960000215</v>
      </c>
      <c r="M288" s="154">
        <v>253899</v>
      </c>
      <c r="N288" s="154" t="s">
        <v>813</v>
      </c>
      <c r="O288" s="154" t="s">
        <v>533</v>
      </c>
      <c r="P288" s="154" t="s">
        <v>534</v>
      </c>
      <c r="Q288" s="154">
        <v>10027</v>
      </c>
      <c r="R288" s="154" t="s">
        <v>106</v>
      </c>
      <c r="S288" s="154">
        <v>44</v>
      </c>
      <c r="T288" s="154" t="s">
        <v>107</v>
      </c>
      <c r="U288" s="154" t="s">
        <v>814</v>
      </c>
      <c r="V288" s="154" t="s">
        <v>109</v>
      </c>
      <c r="W288" s="154" t="s">
        <v>110</v>
      </c>
      <c r="X288" s="154" t="s">
        <v>130</v>
      </c>
      <c r="Y288" s="154" t="s">
        <v>815</v>
      </c>
    </row>
    <row r="289" spans="2:25">
      <c r="B289" s="154" t="s">
        <v>102</v>
      </c>
      <c r="C289" s="154" t="s">
        <v>1401</v>
      </c>
      <c r="D289" s="155">
        <v>45835</v>
      </c>
      <c r="E289" s="155">
        <v>45826</v>
      </c>
      <c r="F289" s="159">
        <v>12319.49</v>
      </c>
      <c r="G289" s="159">
        <v>503.78999999994301</v>
      </c>
      <c r="H289" s="159">
        <v>503.78999999994301</v>
      </c>
      <c r="I289" s="184">
        <f t="shared" si="10"/>
        <v>45978</v>
      </c>
      <c r="J289" s="159" cm="1">
        <f t="array" ref="J289">[15]!CalculateINPC(D289,I289,-1)*H289</f>
        <v>507.72420694374256</v>
      </c>
      <c r="K289" s="159">
        <f t="shared" si="11"/>
        <v>563.49322852974888</v>
      </c>
      <c r="L289" s="159" cm="1">
        <f t="array" ref="L289">[15]!CalculateDICetip(D289,I289,1)*H289</f>
        <v>532.62972555863985</v>
      </c>
      <c r="M289" s="154">
        <v>258240</v>
      </c>
      <c r="N289" s="154" t="s">
        <v>395</v>
      </c>
      <c r="O289" s="154" t="s">
        <v>396</v>
      </c>
      <c r="P289" s="154" t="s">
        <v>397</v>
      </c>
      <c r="Q289" s="154">
        <v>10027</v>
      </c>
      <c r="R289" s="154" t="s">
        <v>106</v>
      </c>
      <c r="S289" s="154">
        <v>44</v>
      </c>
      <c r="T289" s="154" t="s">
        <v>107</v>
      </c>
      <c r="U289" s="154" t="s">
        <v>900</v>
      </c>
      <c r="V289" s="154" t="s">
        <v>109</v>
      </c>
      <c r="W289" s="154" t="s">
        <v>110</v>
      </c>
      <c r="X289" s="154" t="s">
        <v>399</v>
      </c>
      <c r="Y289" s="154" t="s">
        <v>901</v>
      </c>
    </row>
    <row r="290" spans="2:25">
      <c r="B290" s="154" t="s">
        <v>257</v>
      </c>
      <c r="C290" s="154" t="s">
        <v>1401</v>
      </c>
      <c r="D290" s="155">
        <v>45531</v>
      </c>
      <c r="E290" s="155">
        <v>45505</v>
      </c>
      <c r="F290" s="159">
        <v>53768.72</v>
      </c>
      <c r="G290" s="159">
        <v>2542.469999999767</v>
      </c>
      <c r="H290" s="159">
        <v>2542.469999999767</v>
      </c>
      <c r="I290" s="184">
        <f t="shared" si="10"/>
        <v>45978</v>
      </c>
      <c r="J290" s="159" cm="1">
        <f t="array" ref="J290">[15]!CalculateINPC(D290,I290,-1)*H290</f>
        <v>2681.9094280773543</v>
      </c>
      <c r="K290" s="159">
        <f t="shared" si="11"/>
        <v>3714.7002024641174</v>
      </c>
      <c r="L290" s="159" cm="1">
        <f t="array" ref="L290">[15]!CalculateDICetip(D290,I290,1)*H290</f>
        <v>2963.0302088538283</v>
      </c>
      <c r="M290" s="154">
        <v>205812</v>
      </c>
      <c r="N290" s="154" t="s">
        <v>258</v>
      </c>
      <c r="O290" s="154" t="s">
        <v>290</v>
      </c>
      <c r="P290" s="154" t="s">
        <v>291</v>
      </c>
      <c r="Q290" s="154">
        <v>10027</v>
      </c>
      <c r="R290" s="154" t="s">
        <v>106</v>
      </c>
      <c r="S290" s="154">
        <v>44</v>
      </c>
      <c r="T290" s="154" t="s">
        <v>107</v>
      </c>
      <c r="U290" s="154" t="s">
        <v>301</v>
      </c>
      <c r="V290" s="154" t="s">
        <v>260</v>
      </c>
      <c r="W290" s="154" t="s">
        <v>261</v>
      </c>
      <c r="X290" s="154" t="s">
        <v>262</v>
      </c>
      <c r="Y290" s="154" t="s">
        <v>302</v>
      </c>
    </row>
    <row r="291" spans="2:25">
      <c r="B291" s="154" t="s">
        <v>102</v>
      </c>
      <c r="C291" s="154" t="s">
        <v>1401</v>
      </c>
      <c r="D291" s="155">
        <v>45896</v>
      </c>
      <c r="E291" s="155">
        <v>45870</v>
      </c>
      <c r="F291" s="159">
        <v>200</v>
      </c>
      <c r="G291" s="159">
        <v>200</v>
      </c>
      <c r="H291" s="159">
        <v>200</v>
      </c>
      <c r="I291" s="184">
        <f t="shared" si="10"/>
        <v>45978</v>
      </c>
      <c r="J291" s="159" cm="1">
        <f t="array" ref="J291">[15]!CalculateINPC(D291,I291,-1)*H291</f>
        <v>200.677852</v>
      </c>
      <c r="K291" s="159">
        <f t="shared" si="11"/>
        <v>213.0361021650769</v>
      </c>
      <c r="L291" s="159" cm="1">
        <f t="array" ref="L291">[15]!CalculateDICetip(D291,I291,1)*H291</f>
        <v>206.49672200000003</v>
      </c>
      <c r="M291" s="154">
        <v>267517</v>
      </c>
      <c r="N291" s="154" t="s">
        <v>411</v>
      </c>
      <c r="O291" s="154" t="s">
        <v>294</v>
      </c>
      <c r="P291" s="154" t="s">
        <v>295</v>
      </c>
      <c r="Q291" s="154">
        <v>10027</v>
      </c>
      <c r="R291" s="154" t="s">
        <v>106</v>
      </c>
      <c r="S291" s="154">
        <v>44</v>
      </c>
      <c r="T291" s="154" t="s">
        <v>107</v>
      </c>
      <c r="U291" s="154" t="s">
        <v>902</v>
      </c>
      <c r="V291" s="154" t="s">
        <v>109</v>
      </c>
      <c r="W291" s="154" t="s">
        <v>110</v>
      </c>
      <c r="X291" s="154" t="s">
        <v>333</v>
      </c>
      <c r="Y291" s="154" t="s">
        <v>903</v>
      </c>
    </row>
    <row r="292" spans="2:25">
      <c r="B292" s="154" t="s">
        <v>102</v>
      </c>
      <c r="C292" s="154" t="s">
        <v>1401</v>
      </c>
      <c r="D292" s="155">
        <v>45562</v>
      </c>
      <c r="E292" s="155">
        <v>45560</v>
      </c>
      <c r="F292" s="159">
        <v>410.59</v>
      </c>
      <c r="G292" s="159">
        <v>365.389999999998</v>
      </c>
      <c r="H292" s="159">
        <v>365.389999999998</v>
      </c>
      <c r="I292" s="184">
        <f t="shared" si="10"/>
        <v>45978</v>
      </c>
      <c r="J292" s="159" cm="1">
        <f t="array" ref="J292">[15]!CalculateINPC(D292,I292,-1)*H292</f>
        <v>385.96965269769788</v>
      </c>
      <c r="K292" s="159">
        <f t="shared" si="11"/>
        <v>522.6621286656391</v>
      </c>
      <c r="L292" s="159" cm="1">
        <f t="array" ref="L292">[15]!CalculateDICetip(D292,I292,1)*H292</f>
        <v>421.97982740459764</v>
      </c>
      <c r="M292" s="154">
        <v>218571</v>
      </c>
      <c r="N292" s="154" t="s">
        <v>411</v>
      </c>
      <c r="O292" s="154" t="s">
        <v>316</v>
      </c>
      <c r="P292" s="154" t="s">
        <v>317</v>
      </c>
      <c r="Q292" s="154">
        <v>10027</v>
      </c>
      <c r="R292" s="154" t="s">
        <v>106</v>
      </c>
      <c r="S292" s="154">
        <v>44</v>
      </c>
      <c r="T292" s="154" t="s">
        <v>107</v>
      </c>
      <c r="U292" s="154" t="s">
        <v>537</v>
      </c>
      <c r="V292" s="154" t="s">
        <v>109</v>
      </c>
      <c r="W292" s="154" t="s">
        <v>110</v>
      </c>
      <c r="X292" s="154" t="s">
        <v>333</v>
      </c>
      <c r="Y292" s="154" t="s">
        <v>538</v>
      </c>
    </row>
    <row r="293" spans="2:25">
      <c r="B293" s="154" t="s">
        <v>102</v>
      </c>
      <c r="C293" s="154" t="s">
        <v>1401</v>
      </c>
      <c r="D293" s="155">
        <v>45562</v>
      </c>
      <c r="E293" s="155">
        <v>45560</v>
      </c>
      <c r="F293" s="159">
        <v>410.59</v>
      </c>
      <c r="G293" s="159">
        <v>45.200000000001999</v>
      </c>
      <c r="H293" s="159">
        <v>45.200000000001999</v>
      </c>
      <c r="I293" s="184">
        <f t="shared" si="10"/>
        <v>45978</v>
      </c>
      <c r="J293" s="159" cm="1">
        <f t="array" ref="J293">[15]!CalculateINPC(D293,I293,-1)*H293</f>
        <v>47.745773836002115</v>
      </c>
      <c r="K293" s="159">
        <f t="shared" si="11"/>
        <v>64.655103357202066</v>
      </c>
      <c r="L293" s="159" cm="1">
        <f t="array" ref="L293">[15]!CalculateDICetip(D293,I293,1)*H293</f>
        <v>52.200356328002307</v>
      </c>
      <c r="M293" s="154">
        <v>218571</v>
      </c>
      <c r="N293" s="154" t="s">
        <v>411</v>
      </c>
      <c r="O293" s="154" t="s">
        <v>635</v>
      </c>
      <c r="P293" s="154" t="s">
        <v>636</v>
      </c>
      <c r="Q293" s="154">
        <v>10027</v>
      </c>
      <c r="R293" s="154" t="s">
        <v>106</v>
      </c>
      <c r="S293" s="154">
        <v>44</v>
      </c>
      <c r="T293" s="154" t="s">
        <v>107</v>
      </c>
      <c r="U293" s="154" t="s">
        <v>537</v>
      </c>
      <c r="V293" s="154" t="s">
        <v>109</v>
      </c>
      <c r="W293" s="154" t="s">
        <v>110</v>
      </c>
      <c r="X293" s="154" t="s">
        <v>333</v>
      </c>
      <c r="Y293" s="154" t="s">
        <v>538</v>
      </c>
    </row>
    <row r="294" spans="2:25">
      <c r="B294" s="154" t="s">
        <v>102</v>
      </c>
      <c r="C294" s="154" t="s">
        <v>1401</v>
      </c>
      <c r="D294" s="155">
        <v>45562</v>
      </c>
      <c r="E294" s="155">
        <v>45560</v>
      </c>
      <c r="F294" s="159">
        <v>1369.79</v>
      </c>
      <c r="G294" s="159">
        <v>846.94</v>
      </c>
      <c r="H294" s="159">
        <v>846.94</v>
      </c>
      <c r="I294" s="184">
        <f t="shared" si="10"/>
        <v>45978</v>
      </c>
      <c r="J294" s="159" cm="1">
        <f t="array" ref="J294">[15]!CalculateINPC(D294,I294,-1)*H294</f>
        <v>894.64171886420013</v>
      </c>
      <c r="K294" s="159">
        <f t="shared" si="11"/>
        <v>1211.4821512687233</v>
      </c>
      <c r="L294" s="159" cm="1">
        <f t="array" ref="L294">[15]!CalculateDICetip(D294,I294,1)*H294</f>
        <v>978.10995107159999</v>
      </c>
      <c r="M294" s="154">
        <v>218569</v>
      </c>
      <c r="N294" s="154" t="s">
        <v>411</v>
      </c>
      <c r="O294" s="154" t="s">
        <v>316</v>
      </c>
      <c r="P294" s="154" t="s">
        <v>317</v>
      </c>
      <c r="Q294" s="154">
        <v>10027</v>
      </c>
      <c r="R294" s="154" t="s">
        <v>106</v>
      </c>
      <c r="S294" s="154">
        <v>44</v>
      </c>
      <c r="T294" s="154" t="s">
        <v>107</v>
      </c>
      <c r="U294" s="154" t="s">
        <v>412</v>
      </c>
      <c r="V294" s="154" t="s">
        <v>109</v>
      </c>
      <c r="W294" s="154" t="s">
        <v>110</v>
      </c>
      <c r="X294" s="154" t="s">
        <v>333</v>
      </c>
      <c r="Y294" s="154" t="s">
        <v>413</v>
      </c>
    </row>
    <row r="295" spans="2:25">
      <c r="B295" s="154" t="s">
        <v>102</v>
      </c>
      <c r="C295" s="154" t="s">
        <v>1401</v>
      </c>
      <c r="D295" s="155">
        <v>45562</v>
      </c>
      <c r="E295" s="155">
        <v>45560</v>
      </c>
      <c r="F295" s="159">
        <v>1369.79</v>
      </c>
      <c r="G295" s="159">
        <v>119.360000000003</v>
      </c>
      <c r="H295" s="159">
        <v>119.360000000003</v>
      </c>
      <c r="I295" s="184">
        <f t="shared" si="10"/>
        <v>45978</v>
      </c>
      <c r="J295" s="159" cm="1">
        <f t="array" ref="J295">[15]!CalculateINPC(D295,I295,-1)*H295</f>
        <v>126.08264524480317</v>
      </c>
      <c r="K295" s="159">
        <f t="shared" si="11"/>
        <v>170.73524638751087</v>
      </c>
      <c r="L295" s="159" cm="1">
        <f t="array" ref="L295">[15]!CalculateDICetip(D295,I295,1)*H295</f>
        <v>137.84589671040345</v>
      </c>
      <c r="M295" s="154">
        <v>218569</v>
      </c>
      <c r="N295" s="154" t="s">
        <v>411</v>
      </c>
      <c r="O295" s="154" t="s">
        <v>645</v>
      </c>
      <c r="P295" s="154" t="s">
        <v>646</v>
      </c>
      <c r="Q295" s="154">
        <v>10027</v>
      </c>
      <c r="R295" s="154" t="s">
        <v>106</v>
      </c>
      <c r="S295" s="154">
        <v>44</v>
      </c>
      <c r="T295" s="154" t="s">
        <v>107</v>
      </c>
      <c r="U295" s="154" t="s">
        <v>412</v>
      </c>
      <c r="V295" s="154" t="s">
        <v>109</v>
      </c>
      <c r="W295" s="154" t="s">
        <v>110</v>
      </c>
      <c r="X295" s="154" t="s">
        <v>333</v>
      </c>
      <c r="Y295" s="154" t="s">
        <v>413</v>
      </c>
    </row>
    <row r="296" spans="2:25">
      <c r="B296" s="154" t="s">
        <v>102</v>
      </c>
      <c r="C296" s="154" t="s">
        <v>1401</v>
      </c>
      <c r="D296" s="155">
        <v>45562</v>
      </c>
      <c r="E296" s="155">
        <v>45560</v>
      </c>
      <c r="F296" s="159">
        <v>1369.79</v>
      </c>
      <c r="G296" s="159">
        <v>271.80999999999602</v>
      </c>
      <c r="H296" s="159">
        <v>271.80999999999602</v>
      </c>
      <c r="I296" s="184">
        <f t="shared" si="10"/>
        <v>45978</v>
      </c>
      <c r="J296" s="159" cm="1">
        <f t="array" ref="J296">[15]!CalculateINPC(D296,I296,-1)*H296</f>
        <v>287.1189996982958</v>
      </c>
      <c r="K296" s="159">
        <f t="shared" si="11"/>
        <v>388.80317795398355</v>
      </c>
      <c r="L296" s="159" cm="1">
        <f t="array" ref="L296">[15]!CalculateDICetip(D296,I296,1)*H296</f>
        <v>313.90661180339538</v>
      </c>
      <c r="M296" s="154">
        <v>218569</v>
      </c>
      <c r="N296" s="154" t="s">
        <v>411</v>
      </c>
      <c r="O296" s="154" t="s">
        <v>560</v>
      </c>
      <c r="P296" s="154" t="s">
        <v>561</v>
      </c>
      <c r="Q296" s="154">
        <v>10027</v>
      </c>
      <c r="R296" s="154" t="s">
        <v>106</v>
      </c>
      <c r="S296" s="154">
        <v>44</v>
      </c>
      <c r="T296" s="154" t="s">
        <v>107</v>
      </c>
      <c r="U296" s="154" t="s">
        <v>412</v>
      </c>
      <c r="V296" s="154" t="s">
        <v>109</v>
      </c>
      <c r="W296" s="154" t="s">
        <v>110</v>
      </c>
      <c r="X296" s="154" t="s">
        <v>333</v>
      </c>
      <c r="Y296" s="154" t="s">
        <v>413</v>
      </c>
    </row>
    <row r="297" spans="2:25">
      <c r="B297" s="154" t="s">
        <v>102</v>
      </c>
      <c r="C297" s="154" t="s">
        <v>1401</v>
      </c>
      <c r="D297" s="155">
        <v>45562</v>
      </c>
      <c r="E297" s="155">
        <v>45560</v>
      </c>
      <c r="F297" s="159">
        <v>1369.79</v>
      </c>
      <c r="G297" s="159">
        <v>12.999999999998</v>
      </c>
      <c r="H297" s="159">
        <v>12.999999999998</v>
      </c>
      <c r="I297" s="184">
        <f t="shared" si="10"/>
        <v>45978</v>
      </c>
      <c r="J297" s="159" cm="1">
        <f t="array" ref="J297">[15]!CalculateINPC(D297,I297,-1)*H297</f>
        <v>13.732191589997887</v>
      </c>
      <c r="K297" s="159">
        <f t="shared" si="11"/>
        <v>18.595494328395141</v>
      </c>
      <c r="L297" s="159" cm="1">
        <f t="array" ref="L297">[15]!CalculateDICetip(D297,I297,1)*H297</f>
        <v>15.013376819997688</v>
      </c>
      <c r="M297" s="154">
        <v>218569</v>
      </c>
      <c r="N297" s="154" t="s">
        <v>411</v>
      </c>
      <c r="O297" s="154" t="s">
        <v>742</v>
      </c>
      <c r="P297" s="154" t="s">
        <v>743</v>
      </c>
      <c r="Q297" s="154">
        <v>10027</v>
      </c>
      <c r="R297" s="154" t="s">
        <v>106</v>
      </c>
      <c r="S297" s="154">
        <v>44</v>
      </c>
      <c r="T297" s="154" t="s">
        <v>107</v>
      </c>
      <c r="U297" s="154" t="s">
        <v>412</v>
      </c>
      <c r="V297" s="154" t="s">
        <v>109</v>
      </c>
      <c r="W297" s="154" t="s">
        <v>110</v>
      </c>
      <c r="X297" s="154" t="s">
        <v>333</v>
      </c>
      <c r="Y297" s="154" t="s">
        <v>413</v>
      </c>
    </row>
    <row r="298" spans="2:25">
      <c r="B298" s="154" t="s">
        <v>102</v>
      </c>
      <c r="C298" s="154" t="s">
        <v>1401</v>
      </c>
      <c r="D298" s="155">
        <v>45562</v>
      </c>
      <c r="E298" s="155">
        <v>45560</v>
      </c>
      <c r="F298" s="159">
        <v>1369.79</v>
      </c>
      <c r="G298" s="159">
        <v>118.68000000000301</v>
      </c>
      <c r="H298" s="159">
        <v>118.68000000000301</v>
      </c>
      <c r="I298" s="184">
        <f t="shared" si="10"/>
        <v>45978</v>
      </c>
      <c r="J298" s="159" cm="1">
        <f t="array" ref="J298">[15]!CalculateINPC(D298,I298,-1)*H298</f>
        <v>125.36434599240317</v>
      </c>
      <c r="K298" s="159">
        <f t="shared" si="11"/>
        <v>169.76255899187157</v>
      </c>
      <c r="L298" s="159" cm="1">
        <f t="array" ref="L298">[15]!CalculateDICetip(D298,I298,1)*H298</f>
        <v>137.06058161520346</v>
      </c>
      <c r="M298" s="154">
        <v>218569</v>
      </c>
      <c r="N298" s="154" t="s">
        <v>411</v>
      </c>
      <c r="O298" s="154" t="s">
        <v>635</v>
      </c>
      <c r="P298" s="154" t="s">
        <v>636</v>
      </c>
      <c r="Q298" s="154">
        <v>10027</v>
      </c>
      <c r="R298" s="154" t="s">
        <v>106</v>
      </c>
      <c r="S298" s="154">
        <v>44</v>
      </c>
      <c r="T298" s="154" t="s">
        <v>107</v>
      </c>
      <c r="U298" s="154" t="s">
        <v>412</v>
      </c>
      <c r="V298" s="154" t="s">
        <v>109</v>
      </c>
      <c r="W298" s="154" t="s">
        <v>110</v>
      </c>
      <c r="X298" s="154" t="s">
        <v>333</v>
      </c>
      <c r="Y298" s="154" t="s">
        <v>413</v>
      </c>
    </row>
    <row r="299" spans="2:25">
      <c r="B299" s="154" t="s">
        <v>102</v>
      </c>
      <c r="C299" s="154" t="s">
        <v>1401</v>
      </c>
      <c r="D299" s="155">
        <v>45562</v>
      </c>
      <c r="E299" s="155">
        <v>45560</v>
      </c>
      <c r="F299" s="159">
        <v>361.35</v>
      </c>
      <c r="G299" s="159">
        <v>89.54</v>
      </c>
      <c r="H299" s="159">
        <v>89.54</v>
      </c>
      <c r="I299" s="184">
        <f t="shared" si="10"/>
        <v>45978</v>
      </c>
      <c r="J299" s="159" cm="1">
        <f t="array" ref="J299">[15]!CalculateINPC(D299,I299,-1)*H299</f>
        <v>94.583110382200005</v>
      </c>
      <c r="K299" s="159">
        <f t="shared" si="11"/>
        <v>128.08004324344284</v>
      </c>
      <c r="L299" s="159" cm="1">
        <f t="array" ref="L299">[15]!CalculateDICetip(D299,I299,1)*H299</f>
        <v>103.4075200356</v>
      </c>
      <c r="M299" s="154">
        <v>218576</v>
      </c>
      <c r="N299" s="154" t="s">
        <v>559</v>
      </c>
      <c r="O299" s="154" t="s">
        <v>645</v>
      </c>
      <c r="P299" s="154" t="s">
        <v>646</v>
      </c>
      <c r="Q299" s="154">
        <v>10027</v>
      </c>
      <c r="R299" s="154" t="s">
        <v>106</v>
      </c>
      <c r="S299" s="154">
        <v>44</v>
      </c>
      <c r="T299" s="154" t="s">
        <v>107</v>
      </c>
      <c r="U299" s="154" t="s">
        <v>562</v>
      </c>
      <c r="V299" s="154" t="s">
        <v>109</v>
      </c>
      <c r="W299" s="154" t="s">
        <v>110</v>
      </c>
      <c r="X299" s="154" t="s">
        <v>333</v>
      </c>
      <c r="Y299" s="154" t="s">
        <v>563</v>
      </c>
    </row>
    <row r="300" spans="2:25">
      <c r="B300" s="154" t="s">
        <v>102</v>
      </c>
      <c r="C300" s="154" t="s">
        <v>1401</v>
      </c>
      <c r="D300" s="155">
        <v>45562</v>
      </c>
      <c r="E300" s="155">
        <v>45560</v>
      </c>
      <c r="F300" s="159">
        <v>361.35</v>
      </c>
      <c r="G300" s="159">
        <v>271.81</v>
      </c>
      <c r="H300" s="159">
        <v>271.81</v>
      </c>
      <c r="I300" s="184">
        <f t="shared" si="10"/>
        <v>45978</v>
      </c>
      <c r="J300" s="159" cm="1">
        <f t="array" ref="J300">[15]!CalculateINPC(D300,I300,-1)*H300</f>
        <v>287.1189996983</v>
      </c>
      <c r="K300" s="159">
        <f t="shared" si="11"/>
        <v>388.80317795398929</v>
      </c>
      <c r="L300" s="159" cm="1">
        <f t="array" ref="L300">[15]!CalculateDICetip(D300,I300,1)*H300</f>
        <v>313.90661180339998</v>
      </c>
      <c r="M300" s="154">
        <v>218576</v>
      </c>
      <c r="N300" s="154" t="s">
        <v>559</v>
      </c>
      <c r="O300" s="154" t="s">
        <v>560</v>
      </c>
      <c r="P300" s="154" t="s">
        <v>561</v>
      </c>
      <c r="Q300" s="154">
        <v>10027</v>
      </c>
      <c r="R300" s="154" t="s">
        <v>106</v>
      </c>
      <c r="S300" s="154">
        <v>44</v>
      </c>
      <c r="T300" s="154" t="s">
        <v>107</v>
      </c>
      <c r="U300" s="154" t="s">
        <v>562</v>
      </c>
      <c r="V300" s="154" t="s">
        <v>109</v>
      </c>
      <c r="W300" s="154" t="s">
        <v>110</v>
      </c>
      <c r="X300" s="154" t="s">
        <v>333</v>
      </c>
      <c r="Y300" s="154" t="s">
        <v>563</v>
      </c>
    </row>
    <row r="301" spans="2:25">
      <c r="B301" s="154" t="s">
        <v>102</v>
      </c>
      <c r="C301" s="154" t="s">
        <v>1401</v>
      </c>
      <c r="D301" s="155">
        <v>45226</v>
      </c>
      <c r="E301" s="155">
        <v>45197</v>
      </c>
      <c r="F301" s="159">
        <v>232.58</v>
      </c>
      <c r="G301" s="159">
        <v>40.200864237342998</v>
      </c>
      <c r="H301" s="159">
        <v>40.862870041922001</v>
      </c>
      <c r="I301" s="184">
        <f t="shared" si="10"/>
        <v>45978</v>
      </c>
      <c r="J301" s="159" cm="1">
        <f t="array" ref="J301">[15]!CalculateINPC(D301,I301,-1)*H301</f>
        <v>44.71569153304538</v>
      </c>
      <c r="K301" s="159">
        <f t="shared" si="11"/>
        <v>77.352606808180482</v>
      </c>
      <c r="L301" s="159" cm="1">
        <f t="array" ref="L301">[15]!CalculateDICetip(D301,I301,1)*H301</f>
        <v>51.919168662203468</v>
      </c>
      <c r="M301" s="154">
        <v>184519</v>
      </c>
      <c r="N301" s="154" t="s">
        <v>103</v>
      </c>
      <c r="O301" s="154" t="s">
        <v>587</v>
      </c>
      <c r="P301" s="154" t="s">
        <v>588</v>
      </c>
      <c r="Q301" s="154">
        <v>10027</v>
      </c>
      <c r="R301" s="154" t="s">
        <v>106</v>
      </c>
      <c r="S301" s="154">
        <v>44</v>
      </c>
      <c r="T301" s="154" t="s">
        <v>107</v>
      </c>
      <c r="U301" s="154" t="s">
        <v>726</v>
      </c>
      <c r="V301" s="154" t="s">
        <v>109</v>
      </c>
      <c r="W301" s="154" t="s">
        <v>110</v>
      </c>
      <c r="X301" s="154" t="s">
        <v>111</v>
      </c>
      <c r="Y301" s="154" t="s">
        <v>304</v>
      </c>
    </row>
    <row r="302" spans="2:25">
      <c r="B302" s="154" t="s">
        <v>102</v>
      </c>
      <c r="C302" s="154" t="s">
        <v>1401</v>
      </c>
      <c r="D302" s="155">
        <v>44985</v>
      </c>
      <c r="E302" s="155">
        <v>44960</v>
      </c>
      <c r="F302" s="159">
        <v>22234.41</v>
      </c>
      <c r="G302" s="159">
        <v>731.94000000003302</v>
      </c>
      <c r="H302" s="159">
        <v>731.94000000003302</v>
      </c>
      <c r="I302" s="184">
        <f t="shared" si="10"/>
        <v>45978</v>
      </c>
      <c r="J302" s="159" cm="1">
        <f t="array" ref="J302">[15]!CalculateINPC(D302,I302,-1)*H302</f>
        <v>820.51050036783693</v>
      </c>
      <c r="K302" s="159">
        <f t="shared" si="11"/>
        <v>1691.9124648872623</v>
      </c>
      <c r="L302" s="159" cm="1">
        <f t="array" ref="L302">[15]!CalculateDICetip(D302,I302,1)*H302</f>
        <v>1010.7898533810456</v>
      </c>
      <c r="M302" s="154">
        <v>168690</v>
      </c>
      <c r="N302" s="154" t="s">
        <v>441</v>
      </c>
      <c r="O302" s="154" t="s">
        <v>442</v>
      </c>
      <c r="P302" s="154" t="s">
        <v>443</v>
      </c>
      <c r="Q302" s="154">
        <v>10027</v>
      </c>
      <c r="R302" s="154" t="s">
        <v>106</v>
      </c>
      <c r="S302" s="154">
        <v>44</v>
      </c>
      <c r="T302" s="154" t="s">
        <v>107</v>
      </c>
      <c r="U302" s="154" t="s">
        <v>444</v>
      </c>
      <c r="V302" s="154" t="s">
        <v>109</v>
      </c>
      <c r="W302" s="154" t="s">
        <v>110</v>
      </c>
      <c r="X302" s="154" t="s">
        <v>130</v>
      </c>
      <c r="Y302" s="154" t="s">
        <v>445</v>
      </c>
    </row>
    <row r="303" spans="2:25">
      <c r="B303" s="154" t="s">
        <v>102</v>
      </c>
      <c r="C303" s="154" t="s">
        <v>1401</v>
      </c>
      <c r="D303" s="155">
        <v>45744</v>
      </c>
      <c r="E303" s="155">
        <v>45741</v>
      </c>
      <c r="F303" s="159">
        <v>863.6</v>
      </c>
      <c r="G303" s="159">
        <v>11.999999999999</v>
      </c>
      <c r="H303" s="159">
        <v>11.999999999999</v>
      </c>
      <c r="I303" s="184">
        <f t="shared" si="10"/>
        <v>45978</v>
      </c>
      <c r="J303" s="159" cm="1">
        <f t="array" ref="J303">[15]!CalculateINPC(D303,I303,-1)*H303</f>
        <v>12.256482479998978</v>
      </c>
      <c r="K303" s="159">
        <f t="shared" si="11"/>
        <v>14.535468281014111</v>
      </c>
      <c r="L303" s="159" cm="1">
        <f t="array" ref="L303">[15]!CalculateDICetip(D303,I303,1)*H303</f>
        <v>13.108478879998906</v>
      </c>
      <c r="M303" s="154">
        <v>244168</v>
      </c>
      <c r="N303" s="154" t="s">
        <v>450</v>
      </c>
      <c r="O303" s="154" t="s">
        <v>742</v>
      </c>
      <c r="P303" s="154" t="s">
        <v>743</v>
      </c>
      <c r="Q303" s="154">
        <v>10027</v>
      </c>
      <c r="R303" s="154" t="s">
        <v>106</v>
      </c>
      <c r="S303" s="154">
        <v>44</v>
      </c>
      <c r="T303" s="154" t="s">
        <v>107</v>
      </c>
      <c r="U303" s="154" t="s">
        <v>451</v>
      </c>
      <c r="V303" s="154" t="s">
        <v>109</v>
      </c>
      <c r="W303" s="154" t="s">
        <v>110</v>
      </c>
      <c r="X303" s="154" t="s">
        <v>333</v>
      </c>
      <c r="Y303" s="154" t="s">
        <v>452</v>
      </c>
    </row>
    <row r="304" spans="2:25">
      <c r="B304" s="154" t="s">
        <v>102</v>
      </c>
      <c r="C304" s="154" t="s">
        <v>1401</v>
      </c>
      <c r="D304" s="155">
        <v>45744</v>
      </c>
      <c r="E304" s="155">
        <v>45741</v>
      </c>
      <c r="F304" s="159">
        <v>863.6</v>
      </c>
      <c r="G304" s="159">
        <v>120.599999999997</v>
      </c>
      <c r="H304" s="159">
        <v>120.599999999997</v>
      </c>
      <c r="I304" s="184">
        <f t="shared" si="10"/>
        <v>45978</v>
      </c>
      <c r="J304" s="159" cm="1">
        <f t="array" ref="J304">[15]!CalculateINPC(D304,I304,-1)*H304</f>
        <v>123.17764892399693</v>
      </c>
      <c r="K304" s="159">
        <f t="shared" si="11"/>
        <v>146.08145622420037</v>
      </c>
      <c r="L304" s="159" cm="1">
        <f t="array" ref="L304">[15]!CalculateDICetip(D304,I304,1)*H304</f>
        <v>131.74021274399672</v>
      </c>
      <c r="M304" s="154">
        <v>244168</v>
      </c>
      <c r="N304" s="154" t="s">
        <v>450</v>
      </c>
      <c r="O304" s="154" t="s">
        <v>635</v>
      </c>
      <c r="P304" s="154" t="s">
        <v>636</v>
      </c>
      <c r="Q304" s="154">
        <v>10027</v>
      </c>
      <c r="R304" s="154" t="s">
        <v>106</v>
      </c>
      <c r="S304" s="154">
        <v>44</v>
      </c>
      <c r="T304" s="154" t="s">
        <v>107</v>
      </c>
      <c r="U304" s="154" t="s">
        <v>451</v>
      </c>
      <c r="V304" s="154" t="s">
        <v>109</v>
      </c>
      <c r="W304" s="154" t="s">
        <v>110</v>
      </c>
      <c r="X304" s="154" t="s">
        <v>333</v>
      </c>
      <c r="Y304" s="154" t="s">
        <v>452</v>
      </c>
    </row>
    <row r="305" spans="2:25">
      <c r="B305" s="154" t="s">
        <v>102</v>
      </c>
      <c r="C305" s="154" t="s">
        <v>1401</v>
      </c>
      <c r="D305" s="155">
        <v>45744</v>
      </c>
      <c r="E305" s="155">
        <v>45741</v>
      </c>
      <c r="F305" s="159">
        <v>863.6</v>
      </c>
      <c r="G305" s="159">
        <v>701.45</v>
      </c>
      <c r="H305" s="159">
        <v>701.45</v>
      </c>
      <c r="I305" s="184">
        <f t="shared" si="10"/>
        <v>45978</v>
      </c>
      <c r="J305" s="159" cm="1">
        <f t="array" ref="J305">[15]!CalculateINPC(D305,I305,-1)*H305</f>
        <v>716.44246963299997</v>
      </c>
      <c r="K305" s="159">
        <f t="shared" si="11"/>
        <v>849.65868547651655</v>
      </c>
      <c r="L305" s="159" cm="1">
        <f t="array" ref="L305">[15]!CalculateDICetip(D305,I305,1)*H305</f>
        <v>766.245209198</v>
      </c>
      <c r="M305" s="154">
        <v>244168</v>
      </c>
      <c r="N305" s="154" t="s">
        <v>450</v>
      </c>
      <c r="O305" s="154" t="s">
        <v>316</v>
      </c>
      <c r="P305" s="154" t="s">
        <v>317</v>
      </c>
      <c r="Q305" s="154">
        <v>10027</v>
      </c>
      <c r="R305" s="154" t="s">
        <v>106</v>
      </c>
      <c r="S305" s="154">
        <v>44</v>
      </c>
      <c r="T305" s="154" t="s">
        <v>107</v>
      </c>
      <c r="U305" s="154" t="s">
        <v>451</v>
      </c>
      <c r="V305" s="154" t="s">
        <v>109</v>
      </c>
      <c r="W305" s="154" t="s">
        <v>110</v>
      </c>
      <c r="X305" s="154" t="s">
        <v>333</v>
      </c>
      <c r="Y305" s="154" t="s">
        <v>452</v>
      </c>
    </row>
    <row r="306" spans="2:25">
      <c r="B306" s="154" t="s">
        <v>102</v>
      </c>
      <c r="C306" s="154" t="s">
        <v>1401</v>
      </c>
      <c r="D306" s="155">
        <v>45744</v>
      </c>
      <c r="E306" s="155">
        <v>45741</v>
      </c>
      <c r="F306" s="159">
        <v>863.6</v>
      </c>
      <c r="G306" s="159">
        <v>29.550000000002999</v>
      </c>
      <c r="H306" s="159">
        <v>29.550000000002999</v>
      </c>
      <c r="I306" s="184">
        <f t="shared" si="10"/>
        <v>45978</v>
      </c>
      <c r="J306" s="159" cm="1">
        <f t="array" ref="J306">[15]!CalculateINPC(D306,I306,-1)*H306</f>
        <v>30.181588107003062</v>
      </c>
      <c r="K306" s="159">
        <f t="shared" si="11"/>
        <v>35.793590642003871</v>
      </c>
      <c r="L306" s="159" cm="1">
        <f t="array" ref="L306">[15]!CalculateDICetip(D306,I306,1)*H306</f>
        <v>32.279629242003274</v>
      </c>
      <c r="M306" s="154">
        <v>244168</v>
      </c>
      <c r="N306" s="154" t="s">
        <v>450</v>
      </c>
      <c r="O306" s="154" t="s">
        <v>645</v>
      </c>
      <c r="P306" s="154" t="s">
        <v>646</v>
      </c>
      <c r="Q306" s="154">
        <v>10027</v>
      </c>
      <c r="R306" s="154" t="s">
        <v>106</v>
      </c>
      <c r="S306" s="154">
        <v>44</v>
      </c>
      <c r="T306" s="154" t="s">
        <v>107</v>
      </c>
      <c r="U306" s="154" t="s">
        <v>451</v>
      </c>
      <c r="V306" s="154" t="s">
        <v>109</v>
      </c>
      <c r="W306" s="154" t="s">
        <v>110</v>
      </c>
      <c r="X306" s="154" t="s">
        <v>333</v>
      </c>
      <c r="Y306" s="154" t="s">
        <v>452</v>
      </c>
    </row>
    <row r="307" spans="2:25">
      <c r="B307" s="154" t="s">
        <v>102</v>
      </c>
      <c r="C307" s="154" t="s">
        <v>1401</v>
      </c>
      <c r="D307" s="155">
        <v>45044</v>
      </c>
      <c r="E307" s="155">
        <v>45035</v>
      </c>
      <c r="F307" s="159">
        <v>922.5</v>
      </c>
      <c r="G307" s="159">
        <v>922.5</v>
      </c>
      <c r="H307" s="159">
        <v>922.5</v>
      </c>
      <c r="I307" s="184">
        <f t="shared" si="10"/>
        <v>45978</v>
      </c>
      <c r="J307" s="159" cm="1">
        <f t="array" ref="J307">[15]!CalculateINPC(D307,I307,-1)*H307</f>
        <v>1019.702265975</v>
      </c>
      <c r="K307" s="159">
        <f t="shared" si="11"/>
        <v>2014.1558949811272</v>
      </c>
      <c r="L307" s="159" cm="1">
        <f t="array" ref="L307">[15]!CalculateDICetip(D307,I307,1)*H307</f>
        <v>1247.7015542249999</v>
      </c>
      <c r="M307" s="154">
        <v>172709</v>
      </c>
      <c r="N307" s="154" t="s">
        <v>382</v>
      </c>
      <c r="O307" s="154" t="s">
        <v>387</v>
      </c>
      <c r="P307" s="154" t="s">
        <v>388</v>
      </c>
      <c r="Q307" s="154">
        <v>10027</v>
      </c>
      <c r="R307" s="154" t="s">
        <v>106</v>
      </c>
      <c r="S307" s="154">
        <v>44</v>
      </c>
      <c r="T307" s="154" t="s">
        <v>107</v>
      </c>
      <c r="U307" s="154" t="s">
        <v>391</v>
      </c>
      <c r="V307" s="154" t="s">
        <v>109</v>
      </c>
      <c r="W307" s="154" t="s">
        <v>110</v>
      </c>
      <c r="X307" s="154" t="s">
        <v>111</v>
      </c>
      <c r="Y307" s="154" t="s">
        <v>392</v>
      </c>
    </row>
    <row r="308" spans="2:25">
      <c r="B308" s="154" t="s">
        <v>102</v>
      </c>
      <c r="C308" s="154" t="s">
        <v>1401</v>
      </c>
      <c r="D308" s="155">
        <v>45805</v>
      </c>
      <c r="E308" s="155">
        <v>45799</v>
      </c>
      <c r="F308" s="159">
        <v>9359.07</v>
      </c>
      <c r="G308" s="159">
        <v>368.59999999999502</v>
      </c>
      <c r="H308" s="159">
        <v>368.59999999999502</v>
      </c>
      <c r="I308" s="184">
        <f t="shared" si="10"/>
        <v>45978</v>
      </c>
      <c r="J308" s="159" cm="1">
        <f t="array" ref="J308">[15]!CalculateINPC(D308,I308,-1)*H308</f>
        <v>372.77882557199496</v>
      </c>
      <c r="K308" s="159">
        <f t="shared" si="11"/>
        <v>422.87045860407551</v>
      </c>
      <c r="L308" s="159" cm="1">
        <f t="array" ref="L308">[15]!CalculateDICetip(D308,I308,1)*H308</f>
        <v>394.18289678799465</v>
      </c>
      <c r="M308" s="154">
        <v>254110</v>
      </c>
      <c r="N308" s="154" t="s">
        <v>649</v>
      </c>
      <c r="O308" s="154" t="s">
        <v>243</v>
      </c>
      <c r="P308" s="154" t="s">
        <v>244</v>
      </c>
      <c r="Q308" s="154">
        <v>10027</v>
      </c>
      <c r="R308" s="154" t="s">
        <v>106</v>
      </c>
      <c r="S308" s="154">
        <v>44</v>
      </c>
      <c r="T308" s="154" t="s">
        <v>107</v>
      </c>
      <c r="U308" s="154" t="s">
        <v>816</v>
      </c>
      <c r="V308" s="154" t="s">
        <v>109</v>
      </c>
      <c r="W308" s="154" t="s">
        <v>110</v>
      </c>
      <c r="X308" s="154" t="s">
        <v>240</v>
      </c>
      <c r="Y308" s="154" t="s">
        <v>817</v>
      </c>
    </row>
    <row r="309" spans="2:25">
      <c r="B309" s="154" t="s">
        <v>102</v>
      </c>
      <c r="C309" s="154" t="s">
        <v>1401</v>
      </c>
      <c r="D309" s="155">
        <v>45135</v>
      </c>
      <c r="E309" s="155">
        <v>45128</v>
      </c>
      <c r="F309" s="159">
        <v>220</v>
      </c>
      <c r="G309" s="159">
        <v>220</v>
      </c>
      <c r="H309" s="159">
        <v>220</v>
      </c>
      <c r="I309" s="184">
        <f t="shared" si="10"/>
        <v>45978</v>
      </c>
      <c r="J309" s="159" cm="1">
        <f t="array" ref="J309">[15]!CalculateINPC(D309,I309,-1)*H309</f>
        <v>241.27233899999999</v>
      </c>
      <c r="K309" s="159">
        <f t="shared" si="11"/>
        <v>445.98975702804427</v>
      </c>
      <c r="L309" s="159" cm="1">
        <f t="array" ref="L309">[15]!CalculateDICetip(D309,I309,1)*H309</f>
        <v>288.18718940000002</v>
      </c>
      <c r="M309" s="154">
        <v>178083</v>
      </c>
      <c r="N309" s="154" t="s">
        <v>236</v>
      </c>
      <c r="O309" s="154" t="s">
        <v>237</v>
      </c>
      <c r="P309" s="154" t="s">
        <v>238</v>
      </c>
      <c r="Q309" s="154">
        <v>10027</v>
      </c>
      <c r="R309" s="154" t="s">
        <v>106</v>
      </c>
      <c r="S309" s="154">
        <v>44</v>
      </c>
      <c r="T309" s="154" t="s">
        <v>107</v>
      </c>
      <c r="U309" s="154" t="s">
        <v>590</v>
      </c>
      <c r="V309" s="154" t="s">
        <v>109</v>
      </c>
      <c r="W309" s="154" t="s">
        <v>110</v>
      </c>
      <c r="X309" s="154" t="s">
        <v>240</v>
      </c>
      <c r="Y309" s="154" t="s">
        <v>591</v>
      </c>
    </row>
    <row r="310" spans="2:25">
      <c r="B310" s="154" t="s">
        <v>102</v>
      </c>
      <c r="C310" s="154" t="s">
        <v>1401</v>
      </c>
      <c r="D310" s="155">
        <v>44467</v>
      </c>
      <c r="E310" s="155">
        <v>44449</v>
      </c>
      <c r="F310" s="159">
        <v>400</v>
      </c>
      <c r="G310" s="159">
        <v>400</v>
      </c>
      <c r="H310" s="159">
        <v>400</v>
      </c>
      <c r="I310" s="184">
        <f t="shared" si="10"/>
        <v>45978</v>
      </c>
      <c r="J310" s="159" cm="1">
        <f t="array" ref="J310">[15]!CalculateINPC(D310,I310,-1)*H310</f>
        <v>496.217376</v>
      </c>
      <c r="K310" s="159">
        <f t="shared" si="11"/>
        <v>1492.5109917889763</v>
      </c>
      <c r="L310" s="159" cm="1">
        <f t="array" ref="L310">[15]!CalculateDICetip(D310,I310,1)*H310</f>
        <v>645.444796</v>
      </c>
      <c r="M310" s="154">
        <v>116037</v>
      </c>
      <c r="N310" s="154" t="s">
        <v>236</v>
      </c>
      <c r="O310" s="154" t="s">
        <v>126</v>
      </c>
      <c r="P310" s="154" t="s">
        <v>127</v>
      </c>
      <c r="Q310" s="154">
        <v>10027</v>
      </c>
      <c r="R310" s="154" t="s">
        <v>106</v>
      </c>
      <c r="S310" s="154">
        <v>44</v>
      </c>
      <c r="T310" s="154" t="s">
        <v>107</v>
      </c>
      <c r="U310" s="154" t="s">
        <v>526</v>
      </c>
      <c r="V310" s="154" t="s">
        <v>109</v>
      </c>
      <c r="W310" s="154" t="s">
        <v>110</v>
      </c>
      <c r="X310" s="154" t="s">
        <v>399</v>
      </c>
      <c r="Y310" s="154" t="s">
        <v>527</v>
      </c>
    </row>
    <row r="311" spans="2:25">
      <c r="B311" s="154" t="s">
        <v>102</v>
      </c>
      <c r="C311" s="154" t="s">
        <v>1401</v>
      </c>
      <c r="D311" s="155">
        <v>45958</v>
      </c>
      <c r="E311" s="155">
        <v>45957</v>
      </c>
      <c r="F311" s="159">
        <v>361.18</v>
      </c>
      <c r="G311" s="159">
        <v>361.18</v>
      </c>
      <c r="H311" s="159">
        <v>361.18</v>
      </c>
      <c r="I311" s="184">
        <f t="shared" si="10"/>
        <v>45978</v>
      </c>
      <c r="J311" s="159" cm="1">
        <f t="array" ref="J311">[15]!CalculateINPC(D311,I311,-1)*H311</f>
        <v>361.28811562120001</v>
      </c>
      <c r="K311" s="159">
        <f t="shared" si="11"/>
        <v>366.59274186686554</v>
      </c>
      <c r="L311" s="159" cm="1">
        <f t="array" ref="L311">[15]!CalculateDICetip(D311,I311,1)*H311</f>
        <v>363.97772195080006</v>
      </c>
      <c r="M311" s="154">
        <v>277150</v>
      </c>
      <c r="N311" s="154" t="s">
        <v>236</v>
      </c>
      <c r="O311" s="154" t="s">
        <v>237</v>
      </c>
      <c r="P311" s="154" t="s">
        <v>238</v>
      </c>
      <c r="Q311" s="154">
        <v>10027</v>
      </c>
      <c r="R311" s="154" t="s">
        <v>106</v>
      </c>
      <c r="S311" s="154">
        <v>44</v>
      </c>
      <c r="T311" s="154" t="s">
        <v>107</v>
      </c>
      <c r="U311" s="154" t="s">
        <v>904</v>
      </c>
      <c r="V311" s="154" t="s">
        <v>109</v>
      </c>
      <c r="W311" s="154" t="s">
        <v>110</v>
      </c>
      <c r="X311" s="154" t="s">
        <v>240</v>
      </c>
      <c r="Y311" s="154" t="s">
        <v>905</v>
      </c>
    </row>
    <row r="312" spans="2:25">
      <c r="B312" s="154" t="s">
        <v>102</v>
      </c>
      <c r="C312" s="154" t="s">
        <v>1401</v>
      </c>
      <c r="D312" s="155">
        <v>45258</v>
      </c>
      <c r="E312" s="155">
        <v>45223</v>
      </c>
      <c r="F312" s="159">
        <v>26012.51</v>
      </c>
      <c r="G312" s="159">
        <v>4535.230000000106</v>
      </c>
      <c r="H312" s="159">
        <v>4535.230000000106</v>
      </c>
      <c r="I312" s="184">
        <f t="shared" si="10"/>
        <v>45978</v>
      </c>
      <c r="J312" s="159" cm="1">
        <f t="array" ref="J312">[15]!CalculateINPC(D312,I312,-1)*H312</f>
        <v>4956.8945058760155</v>
      </c>
      <c r="K312" s="159">
        <f t="shared" si="11"/>
        <v>8377.1517149304673</v>
      </c>
      <c r="L312" s="159" cm="1">
        <f t="array" ref="L312">[15]!CalculateDICetip(D312,I312,1)*H312</f>
        <v>5709.7251798882335</v>
      </c>
      <c r="M312" s="154">
        <v>186043</v>
      </c>
      <c r="N312" s="154" t="s">
        <v>242</v>
      </c>
      <c r="O312" s="154" t="s">
        <v>243</v>
      </c>
      <c r="P312" s="154" t="s">
        <v>244</v>
      </c>
      <c r="Q312" s="154">
        <v>10027</v>
      </c>
      <c r="R312" s="154" t="s">
        <v>106</v>
      </c>
      <c r="S312" s="154">
        <v>44</v>
      </c>
      <c r="T312" s="154" t="s">
        <v>107</v>
      </c>
      <c r="U312" s="154" t="s">
        <v>245</v>
      </c>
      <c r="V312" s="154" t="s">
        <v>109</v>
      </c>
      <c r="W312" s="154" t="s">
        <v>110</v>
      </c>
      <c r="X312" s="154" t="s">
        <v>240</v>
      </c>
      <c r="Y312" s="154" t="s">
        <v>246</v>
      </c>
    </row>
    <row r="313" spans="2:25">
      <c r="B313" s="154" t="s">
        <v>102</v>
      </c>
      <c r="C313" s="154" t="s">
        <v>1401</v>
      </c>
      <c r="D313" s="155">
        <v>45624</v>
      </c>
      <c r="E313" s="155">
        <v>45622</v>
      </c>
      <c r="F313" s="159">
        <v>472.62</v>
      </c>
      <c r="G313" s="159">
        <v>472.62</v>
      </c>
      <c r="H313" s="159">
        <v>472.62</v>
      </c>
      <c r="I313" s="184">
        <f t="shared" si="10"/>
        <v>45978</v>
      </c>
      <c r="J313" s="159" cm="1">
        <f t="array" ref="J313">[15]!CalculateINPC(D313,I313,-1)*H313</f>
        <v>493.84172975219997</v>
      </c>
      <c r="K313" s="159">
        <f t="shared" si="11"/>
        <v>639.19310499378321</v>
      </c>
      <c r="L313" s="159" cm="1">
        <f t="array" ref="L313">[15]!CalculateDICetip(D313,I313,1)*H313</f>
        <v>536.56315125720005</v>
      </c>
      <c r="M313" s="154">
        <v>226475</v>
      </c>
      <c r="N313" s="154" t="s">
        <v>171</v>
      </c>
      <c r="O313" s="154" t="s">
        <v>149</v>
      </c>
      <c r="P313" s="154" t="s">
        <v>150</v>
      </c>
      <c r="Q313" s="154">
        <v>10027</v>
      </c>
      <c r="R313" s="154" t="s">
        <v>106</v>
      </c>
      <c r="S313" s="154">
        <v>44</v>
      </c>
      <c r="T313" s="154" t="s">
        <v>107</v>
      </c>
      <c r="U313" s="154" t="s">
        <v>172</v>
      </c>
      <c r="V313" s="154" t="s">
        <v>109</v>
      </c>
      <c r="W313" s="154" t="s">
        <v>110</v>
      </c>
      <c r="X313" s="154" t="s">
        <v>173</v>
      </c>
      <c r="Y313" s="154" t="s">
        <v>174</v>
      </c>
    </row>
    <row r="314" spans="2:25">
      <c r="B314" s="154" t="s">
        <v>102</v>
      </c>
      <c r="C314" s="154" t="s">
        <v>1402</v>
      </c>
      <c r="D314" s="155">
        <v>43980</v>
      </c>
      <c r="E314" s="155">
        <v>43980</v>
      </c>
      <c r="F314" s="159">
        <v>20008.939999999999</v>
      </c>
      <c r="G314" s="159">
        <v>20008.939999999999</v>
      </c>
      <c r="H314" s="159">
        <v>24758</v>
      </c>
      <c r="I314" s="184">
        <f t="shared" si="10"/>
        <v>45978</v>
      </c>
      <c r="J314" s="159" cm="1">
        <f t="array" ref="J314">[15]!CalculateINPC(D314,I314,-1)*H314</f>
        <v>34202.979183580006</v>
      </c>
      <c r="K314" s="159">
        <f t="shared" si="11"/>
        <v>146706.56255875534</v>
      </c>
      <c r="L314" s="159" cm="1">
        <f t="array" ref="L314">[15]!CalculateDICetip(D314,I314,1)*H314</f>
        <v>41425.079658080002</v>
      </c>
      <c r="M314" s="154">
        <v>89559</v>
      </c>
      <c r="N314" s="154" t="s">
        <v>166</v>
      </c>
      <c r="O314" s="154" t="s">
        <v>167</v>
      </c>
      <c r="P314" s="154" t="s">
        <v>168</v>
      </c>
      <c r="Q314" s="154">
        <v>10027</v>
      </c>
      <c r="R314" s="154" t="s">
        <v>106</v>
      </c>
      <c r="S314" s="154">
        <v>44</v>
      </c>
      <c r="T314" s="154" t="s">
        <v>107</v>
      </c>
      <c r="U314" s="154" t="s">
        <v>169</v>
      </c>
      <c r="V314" s="154" t="s">
        <v>137</v>
      </c>
      <c r="W314" s="154" t="s">
        <v>138</v>
      </c>
      <c r="X314" s="154" t="s">
        <v>111</v>
      </c>
      <c r="Y314" s="154" t="s">
        <v>170</v>
      </c>
    </row>
    <row r="315" spans="2:25">
      <c r="B315" s="154" t="s">
        <v>102</v>
      </c>
      <c r="C315" s="154" t="s">
        <v>1401</v>
      </c>
      <c r="D315" s="155">
        <v>45075</v>
      </c>
      <c r="E315" s="155">
        <v>45071</v>
      </c>
      <c r="F315" s="159">
        <v>600</v>
      </c>
      <c r="G315" s="159">
        <v>600</v>
      </c>
      <c r="H315" s="159">
        <v>600</v>
      </c>
      <c r="I315" s="184">
        <f t="shared" si="10"/>
        <v>45978</v>
      </c>
      <c r="J315" s="159" cm="1">
        <f t="array" ref="J315">[15]!CalculateINPC(D315,I315,-1)*H315</f>
        <v>659.72456999999997</v>
      </c>
      <c r="K315" s="159">
        <f t="shared" si="11"/>
        <v>1274.0033425273102</v>
      </c>
      <c r="L315" s="159" cm="1">
        <f t="array" ref="L315">[15]!CalculateDICetip(D315,I315,1)*H315</f>
        <v>803.31397200000004</v>
      </c>
      <c r="M315" s="154">
        <v>174427</v>
      </c>
      <c r="N315" s="154" t="s">
        <v>236</v>
      </c>
      <c r="O315" s="154" t="s">
        <v>237</v>
      </c>
      <c r="P315" s="154" t="s">
        <v>238</v>
      </c>
      <c r="Q315" s="154">
        <v>10027</v>
      </c>
      <c r="R315" s="154" t="s">
        <v>106</v>
      </c>
      <c r="S315" s="154">
        <v>44</v>
      </c>
      <c r="T315" s="154" t="s">
        <v>107</v>
      </c>
      <c r="U315" s="154" t="s">
        <v>489</v>
      </c>
      <c r="V315" s="154" t="s">
        <v>109</v>
      </c>
      <c r="W315" s="154" t="s">
        <v>110</v>
      </c>
      <c r="X315" s="154" t="s">
        <v>240</v>
      </c>
      <c r="Y315" s="154" t="s">
        <v>490</v>
      </c>
    </row>
    <row r="316" spans="2:25">
      <c r="B316" s="154" t="s">
        <v>102</v>
      </c>
      <c r="C316" s="154" t="s">
        <v>1401</v>
      </c>
      <c r="D316" s="155">
        <v>45806</v>
      </c>
      <c r="E316" s="155">
        <v>45789</v>
      </c>
      <c r="F316" s="159">
        <v>132145.79999999999</v>
      </c>
      <c r="G316" s="159">
        <v>2.00000000012</v>
      </c>
      <c r="H316" s="159">
        <v>2.00000000012</v>
      </c>
      <c r="I316" s="184">
        <f t="shared" si="10"/>
        <v>45978</v>
      </c>
      <c r="J316" s="159" cm="1">
        <f t="array" ref="J316">[15]!CalculateINPC(D316,I316,-1)*H316</f>
        <v>2.0226740401213603</v>
      </c>
      <c r="K316" s="159">
        <f t="shared" si="11"/>
        <v>2.2927964584934371</v>
      </c>
      <c r="L316" s="159" cm="1">
        <f t="array" ref="L316">[15]!CalculateDICetip(D316,I316,1)*H316</f>
        <v>2.1376511401282592</v>
      </c>
      <c r="M316" s="154">
        <v>254289</v>
      </c>
      <c r="N316" s="154" t="s">
        <v>629</v>
      </c>
      <c r="O316" s="154" t="s">
        <v>442</v>
      </c>
      <c r="P316" s="154" t="s">
        <v>443</v>
      </c>
      <c r="Q316" s="154">
        <v>10027</v>
      </c>
      <c r="R316" s="154" t="s">
        <v>106</v>
      </c>
      <c r="S316" s="154">
        <v>44</v>
      </c>
      <c r="T316" s="154" t="s">
        <v>107</v>
      </c>
      <c r="U316" s="154" t="s">
        <v>818</v>
      </c>
      <c r="V316" s="154" t="s">
        <v>109</v>
      </c>
      <c r="W316" s="154" t="s">
        <v>110</v>
      </c>
      <c r="X316" s="154" t="s">
        <v>130</v>
      </c>
      <c r="Y316" s="154" t="s">
        <v>819</v>
      </c>
    </row>
    <row r="317" spans="2:25">
      <c r="B317" s="154" t="s">
        <v>102</v>
      </c>
      <c r="C317" s="154" t="s">
        <v>1401</v>
      </c>
      <c r="D317" s="155">
        <v>45106</v>
      </c>
      <c r="E317" s="155">
        <v>45084</v>
      </c>
      <c r="F317" s="159">
        <v>30</v>
      </c>
      <c r="G317" s="159">
        <v>30</v>
      </c>
      <c r="H317" s="159">
        <v>30</v>
      </c>
      <c r="I317" s="184">
        <f t="shared" si="10"/>
        <v>45978</v>
      </c>
      <c r="J317" s="159" cm="1">
        <f t="array" ref="J317">[15]!CalculateINPC(D317,I317,-1)*H317</f>
        <v>32.867888400000005</v>
      </c>
      <c r="K317" s="159">
        <f t="shared" si="11"/>
        <v>62.053734574438536</v>
      </c>
      <c r="L317" s="159" cm="1">
        <f t="array" ref="L317">[15]!CalculateDICetip(D317,I317,1)*H317</f>
        <v>39.719523299999999</v>
      </c>
      <c r="M317" s="154">
        <v>175954</v>
      </c>
      <c r="N317" s="154" t="s">
        <v>236</v>
      </c>
      <c r="O317" s="154" t="s">
        <v>237</v>
      </c>
      <c r="P317" s="154" t="s">
        <v>238</v>
      </c>
      <c r="Q317" s="154">
        <v>10027</v>
      </c>
      <c r="R317" s="154" t="s">
        <v>106</v>
      </c>
      <c r="S317" s="154">
        <v>44</v>
      </c>
      <c r="T317" s="154" t="s">
        <v>107</v>
      </c>
      <c r="U317" s="154" t="s">
        <v>744</v>
      </c>
      <c r="V317" s="154" t="s">
        <v>109</v>
      </c>
      <c r="W317" s="154" t="s">
        <v>110</v>
      </c>
      <c r="X317" s="154" t="s">
        <v>240</v>
      </c>
      <c r="Y317" s="154" t="s">
        <v>745</v>
      </c>
    </row>
    <row r="318" spans="2:25">
      <c r="B318" s="154" t="s">
        <v>102</v>
      </c>
      <c r="C318" s="154" t="s">
        <v>1401</v>
      </c>
      <c r="D318" s="155">
        <v>45594</v>
      </c>
      <c r="E318" s="155">
        <v>45583</v>
      </c>
      <c r="F318" s="159">
        <v>41700</v>
      </c>
      <c r="G318" s="159">
        <v>279.99999999991201</v>
      </c>
      <c r="H318" s="159">
        <v>279.99999999991201</v>
      </c>
      <c r="I318" s="184">
        <f t="shared" si="10"/>
        <v>45978</v>
      </c>
      <c r="J318" s="159" cm="1">
        <f t="array" ref="J318">[15]!CalculateINPC(D318,I318,-1)*H318</f>
        <v>294.35727439990751</v>
      </c>
      <c r="K318" s="159">
        <f t="shared" si="11"/>
        <v>389.41649965544809</v>
      </c>
      <c r="L318" s="159" cm="1">
        <f t="array" ref="L318">[15]!CalculateDICetip(D318,I318,1)*H318</f>
        <v>320.52063119989924</v>
      </c>
      <c r="M318" s="154">
        <v>222529</v>
      </c>
      <c r="N318" s="154" t="s">
        <v>225</v>
      </c>
      <c r="O318" s="154" t="s">
        <v>226</v>
      </c>
      <c r="P318" s="154" t="s">
        <v>227</v>
      </c>
      <c r="Q318" s="154">
        <v>10027</v>
      </c>
      <c r="R318" s="154" t="s">
        <v>106</v>
      </c>
      <c r="S318" s="154">
        <v>44</v>
      </c>
      <c r="T318" s="154" t="s">
        <v>107</v>
      </c>
      <c r="U318" s="154" t="s">
        <v>553</v>
      </c>
      <c r="V318" s="154" t="s">
        <v>109</v>
      </c>
      <c r="W318" s="154" t="s">
        <v>110</v>
      </c>
      <c r="X318" s="154" t="s">
        <v>130</v>
      </c>
      <c r="Y318" s="154" t="s">
        <v>554</v>
      </c>
    </row>
    <row r="319" spans="2:25">
      <c r="B319" s="154" t="s">
        <v>102</v>
      </c>
      <c r="C319" s="154" t="s">
        <v>1401</v>
      </c>
      <c r="D319" s="155">
        <v>44894</v>
      </c>
      <c r="E319" s="155">
        <v>44890</v>
      </c>
      <c r="F319" s="159">
        <v>3401.7</v>
      </c>
      <c r="G319" s="159">
        <v>3401.7</v>
      </c>
      <c r="H319" s="159">
        <v>3401.7</v>
      </c>
      <c r="I319" s="184">
        <f t="shared" si="10"/>
        <v>45978</v>
      </c>
      <c r="J319" s="159" cm="1">
        <f t="array" ref="J319">[15]!CalculateINPC(D319,I319,-1)*H319</f>
        <v>3871.9665877860002</v>
      </c>
      <c r="K319" s="159">
        <f t="shared" si="11"/>
        <v>8531.5451838050976</v>
      </c>
      <c r="L319" s="159" cm="1">
        <f t="array" ref="L319">[15]!CalculateDICetip(D319,I319,1)*H319</f>
        <v>4850.357554794</v>
      </c>
      <c r="M319" s="154">
        <v>162287</v>
      </c>
      <c r="N319" s="154" t="s">
        <v>236</v>
      </c>
      <c r="O319" s="154" t="s">
        <v>167</v>
      </c>
      <c r="P319" s="154" t="s">
        <v>168</v>
      </c>
      <c r="Q319" s="154">
        <v>10027</v>
      </c>
      <c r="R319" s="154" t="s">
        <v>106</v>
      </c>
      <c r="S319" s="154">
        <v>44</v>
      </c>
      <c r="T319" s="154" t="s">
        <v>107</v>
      </c>
      <c r="U319" s="154" t="s">
        <v>268</v>
      </c>
      <c r="V319" s="154" t="s">
        <v>109</v>
      </c>
      <c r="W319" s="154" t="s">
        <v>110</v>
      </c>
      <c r="X319" s="154" t="s">
        <v>173</v>
      </c>
      <c r="Y319" s="154" t="s">
        <v>269</v>
      </c>
    </row>
    <row r="320" spans="2:25">
      <c r="B320" s="154" t="s">
        <v>102</v>
      </c>
      <c r="C320" s="154" t="s">
        <v>1401</v>
      </c>
      <c r="D320" s="155">
        <v>44894</v>
      </c>
      <c r="E320" s="155">
        <v>44855</v>
      </c>
      <c r="F320" s="159">
        <v>3012.7</v>
      </c>
      <c r="G320" s="159">
        <v>3012.7</v>
      </c>
      <c r="H320" s="159">
        <v>3012.7</v>
      </c>
      <c r="I320" s="184">
        <f t="shared" si="10"/>
        <v>45978</v>
      </c>
      <c r="J320" s="159" cm="1">
        <f t="array" ref="J320">[15]!CalculateINPC(D320,I320,-1)*H320</f>
        <v>3429.1894461659999</v>
      </c>
      <c r="K320" s="159">
        <f t="shared" si="11"/>
        <v>7555.9238543227266</v>
      </c>
      <c r="L320" s="159" cm="1">
        <f t="array" ref="L320">[15]!CalculateDICetip(D320,I320,1)*H320</f>
        <v>4295.6969178139998</v>
      </c>
      <c r="M320" s="154">
        <v>162163</v>
      </c>
      <c r="N320" s="154" t="s">
        <v>236</v>
      </c>
      <c r="O320" s="154" t="s">
        <v>237</v>
      </c>
      <c r="P320" s="154" t="s">
        <v>238</v>
      </c>
      <c r="Q320" s="154">
        <v>10027</v>
      </c>
      <c r="R320" s="154" t="s">
        <v>106</v>
      </c>
      <c r="S320" s="154">
        <v>44</v>
      </c>
      <c r="T320" s="154" t="s">
        <v>107</v>
      </c>
      <c r="U320" s="154" t="s">
        <v>277</v>
      </c>
      <c r="V320" s="154" t="s">
        <v>109</v>
      </c>
      <c r="W320" s="154" t="s">
        <v>110</v>
      </c>
      <c r="X320" s="154" t="s">
        <v>240</v>
      </c>
      <c r="Y320" s="154" t="s">
        <v>278</v>
      </c>
    </row>
    <row r="321" spans="2:25">
      <c r="B321" s="154" t="s">
        <v>102</v>
      </c>
      <c r="C321" s="154" t="s">
        <v>1401</v>
      </c>
      <c r="D321" s="155">
        <v>45687</v>
      </c>
      <c r="E321" s="155">
        <v>45671</v>
      </c>
      <c r="F321" s="159">
        <v>5136.03</v>
      </c>
      <c r="G321" s="159">
        <v>710.05999999999699</v>
      </c>
      <c r="H321" s="159">
        <v>710.05999999999699</v>
      </c>
      <c r="I321" s="184">
        <f t="shared" si="10"/>
        <v>45978</v>
      </c>
      <c r="J321" s="159" cm="1">
        <f t="array" ref="J321">[15]!CalculateINPC(D321,I321,-1)*H321</f>
        <v>735.97019590899697</v>
      </c>
      <c r="K321" s="159">
        <f t="shared" si="11"/>
        <v>909.83876606531794</v>
      </c>
      <c r="L321" s="159" cm="1">
        <f t="array" ref="L321">[15]!CalculateDICetip(D321,I321,1)*H321</f>
        <v>790.78914270459666</v>
      </c>
      <c r="M321" s="154">
        <v>234934</v>
      </c>
      <c r="N321" s="154" t="s">
        <v>395</v>
      </c>
      <c r="O321" s="154" t="s">
        <v>396</v>
      </c>
      <c r="P321" s="154" t="s">
        <v>397</v>
      </c>
      <c r="Q321" s="154">
        <v>10027</v>
      </c>
      <c r="R321" s="154" t="s">
        <v>106</v>
      </c>
      <c r="S321" s="154">
        <v>44</v>
      </c>
      <c r="T321" s="154" t="s">
        <v>107</v>
      </c>
      <c r="U321" s="154" t="s">
        <v>448</v>
      </c>
      <c r="V321" s="154" t="s">
        <v>109</v>
      </c>
      <c r="W321" s="154" t="s">
        <v>110</v>
      </c>
      <c r="X321" s="154" t="s">
        <v>399</v>
      </c>
      <c r="Y321" s="154" t="s">
        <v>449</v>
      </c>
    </row>
    <row r="322" spans="2:25">
      <c r="B322" s="154" t="s">
        <v>257</v>
      </c>
      <c r="C322" s="154" t="s">
        <v>1401</v>
      </c>
      <c r="D322" s="155">
        <v>45777</v>
      </c>
      <c r="E322" s="155">
        <v>45748</v>
      </c>
      <c r="F322" s="159">
        <v>24067.09</v>
      </c>
      <c r="G322" s="159">
        <v>663.47999999996705</v>
      </c>
      <c r="H322" s="159">
        <v>663.47999999996705</v>
      </c>
      <c r="I322" s="184">
        <f t="shared" si="10"/>
        <v>45978</v>
      </c>
      <c r="J322" s="159" cm="1">
        <f t="array" ref="J322">[15]!CalculateINPC(D322,I322,-1)*H322</f>
        <v>674.22241131476653</v>
      </c>
      <c r="K322" s="159">
        <f t="shared" si="11"/>
        <v>780.58743491844041</v>
      </c>
      <c r="L322" s="159" cm="1">
        <f t="array" ref="L322">[15]!CalculateDICetip(D322,I322,1)*H322</f>
        <v>716.81853060356445</v>
      </c>
      <c r="M322" s="154">
        <v>250893</v>
      </c>
      <c r="N322" s="154" t="s">
        <v>258</v>
      </c>
      <c r="O322" s="154" t="s">
        <v>243</v>
      </c>
      <c r="P322" s="154" t="s">
        <v>244</v>
      </c>
      <c r="Q322" s="154">
        <v>10027</v>
      </c>
      <c r="R322" s="154" t="s">
        <v>106</v>
      </c>
      <c r="S322" s="154">
        <v>44</v>
      </c>
      <c r="T322" s="154" t="s">
        <v>107</v>
      </c>
      <c r="U322" s="154" t="s">
        <v>259</v>
      </c>
      <c r="V322" s="154" t="s">
        <v>260</v>
      </c>
      <c r="W322" s="154" t="s">
        <v>261</v>
      </c>
      <c r="X322" s="154" t="s">
        <v>262</v>
      </c>
      <c r="Y322" s="154" t="s">
        <v>481</v>
      </c>
    </row>
    <row r="323" spans="2:25">
      <c r="B323" s="154" t="s">
        <v>102</v>
      </c>
      <c r="C323" s="154" t="s">
        <v>1401</v>
      </c>
      <c r="D323" s="155">
        <v>44012</v>
      </c>
      <c r="E323" s="155">
        <v>44012</v>
      </c>
      <c r="F323" s="159">
        <v>735.22</v>
      </c>
      <c r="G323" s="159">
        <v>12.499999999993999</v>
      </c>
      <c r="H323" s="159">
        <v>12.499999999993999</v>
      </c>
      <c r="I323" s="184">
        <f t="shared" si="10"/>
        <v>45978</v>
      </c>
      <c r="J323" s="159" cm="1">
        <f t="array" ref="J323">[15]!CalculateINPC(D323,I323,-1)*H323</f>
        <v>17.31194012499169</v>
      </c>
      <c r="K323" s="159">
        <f t="shared" si="11"/>
        <v>72.54425895285425</v>
      </c>
      <c r="L323" s="159" cm="1">
        <f t="array" ref="L323">[15]!CalculateDICetip(D323,I323,1)*H323</f>
        <v>20.870075999989982</v>
      </c>
      <c r="M323" s="154">
        <v>90782</v>
      </c>
      <c r="N323" s="154" t="s">
        <v>567</v>
      </c>
      <c r="O323" s="154" t="s">
        <v>568</v>
      </c>
      <c r="P323" s="154" t="s">
        <v>569</v>
      </c>
      <c r="Q323" s="154">
        <v>10027</v>
      </c>
      <c r="R323" s="154" t="s">
        <v>106</v>
      </c>
      <c r="S323" s="154">
        <v>44</v>
      </c>
      <c r="T323" s="154" t="s">
        <v>107</v>
      </c>
      <c r="U323" s="154" t="s">
        <v>767</v>
      </c>
      <c r="V323" s="154" t="s">
        <v>571</v>
      </c>
      <c r="W323" s="154" t="s">
        <v>572</v>
      </c>
      <c r="X323" s="154" t="s">
        <v>573</v>
      </c>
      <c r="Y323" s="154" t="s">
        <v>768</v>
      </c>
    </row>
    <row r="324" spans="2:25">
      <c r="B324" s="154" t="s">
        <v>102</v>
      </c>
      <c r="C324" s="154" t="s">
        <v>1401</v>
      </c>
      <c r="D324" s="155">
        <v>45168</v>
      </c>
      <c r="E324" s="155">
        <v>45111</v>
      </c>
      <c r="F324" s="159">
        <v>84689.3</v>
      </c>
      <c r="G324" s="159">
        <v>6.9200000001679998</v>
      </c>
      <c r="H324" s="159">
        <v>6.9200000001679998</v>
      </c>
      <c r="I324" s="184">
        <f t="shared" si="10"/>
        <v>45978</v>
      </c>
      <c r="J324" s="159" cm="1">
        <f t="array" ref="J324">[15]!CalculateINPC(D324,I324,-1)*H324</f>
        <v>7.5959506517844098</v>
      </c>
      <c r="K324" s="159">
        <f t="shared" si="11"/>
        <v>13.707387092873095</v>
      </c>
      <c r="L324" s="159" cm="1">
        <f t="array" ref="L324">[15]!CalculateDICetip(D324,I324,1)*H324</f>
        <v>8.9625313510175868</v>
      </c>
      <c r="M324" s="154">
        <v>178286</v>
      </c>
      <c r="N324" s="154" t="s">
        <v>629</v>
      </c>
      <c r="O324" s="154" t="s">
        <v>442</v>
      </c>
      <c r="P324" s="154" t="s">
        <v>443</v>
      </c>
      <c r="Q324" s="154">
        <v>10027</v>
      </c>
      <c r="R324" s="154" t="s">
        <v>106</v>
      </c>
      <c r="S324" s="154">
        <v>44</v>
      </c>
      <c r="T324" s="154" t="s">
        <v>107</v>
      </c>
      <c r="U324" s="154" t="s">
        <v>772</v>
      </c>
      <c r="V324" s="154" t="s">
        <v>109</v>
      </c>
      <c r="W324" s="154" t="s">
        <v>110</v>
      </c>
      <c r="X324" s="154" t="s">
        <v>130</v>
      </c>
      <c r="Y324" s="154" t="s">
        <v>773</v>
      </c>
    </row>
    <row r="325" spans="2:25">
      <c r="B325" s="154" t="s">
        <v>257</v>
      </c>
      <c r="C325" s="154" t="s">
        <v>1401</v>
      </c>
      <c r="D325" s="155">
        <v>45930</v>
      </c>
      <c r="E325" s="155">
        <v>45901</v>
      </c>
      <c r="F325" s="159">
        <v>70852.399999999994</v>
      </c>
      <c r="G325" s="159">
        <v>510.35999999972501</v>
      </c>
      <c r="H325" s="159">
        <v>510.35999999972501</v>
      </c>
      <c r="I325" s="184">
        <f t="shared" si="10"/>
        <v>45978</v>
      </c>
      <c r="J325" s="159" cm="1">
        <f t="array" ref="J325">[15]!CalculateINPC(D325,I325,-1)*H325</f>
        <v>513.16765877852345</v>
      </c>
      <c r="K325" s="159">
        <f t="shared" si="11"/>
        <v>531.4369232793947</v>
      </c>
      <c r="L325" s="159" cm="1">
        <f t="array" ref="L325">[15]!CalculateDICetip(D325,I325,1)*H325</f>
        <v>520.01400038131976</v>
      </c>
      <c r="M325" s="154">
        <v>273532</v>
      </c>
      <c r="N325" s="154" t="s">
        <v>258</v>
      </c>
      <c r="O325" s="154" t="s">
        <v>243</v>
      </c>
      <c r="P325" s="154" t="s">
        <v>244</v>
      </c>
      <c r="Q325" s="154">
        <v>10027</v>
      </c>
      <c r="R325" s="154" t="s">
        <v>106</v>
      </c>
      <c r="S325" s="154">
        <v>44</v>
      </c>
      <c r="T325" s="154" t="s">
        <v>107</v>
      </c>
      <c r="U325" s="154" t="s">
        <v>906</v>
      </c>
      <c r="V325" s="154" t="s">
        <v>260</v>
      </c>
      <c r="W325" s="154" t="s">
        <v>261</v>
      </c>
      <c r="X325" s="154" t="s">
        <v>262</v>
      </c>
      <c r="Y325" s="154" t="s">
        <v>907</v>
      </c>
    </row>
    <row r="326" spans="2:25">
      <c r="B326" s="154" t="s">
        <v>102</v>
      </c>
      <c r="C326" s="154" t="s">
        <v>1401</v>
      </c>
      <c r="D326" s="155">
        <v>44895</v>
      </c>
      <c r="E326" s="155">
        <v>44894</v>
      </c>
      <c r="F326" s="159">
        <v>18510.71</v>
      </c>
      <c r="G326" s="159">
        <v>18510.71</v>
      </c>
      <c r="H326" s="159">
        <v>18510.71</v>
      </c>
      <c r="I326" s="184">
        <f t="shared" si="10"/>
        <v>45978</v>
      </c>
      <c r="J326" s="159" cm="1">
        <f t="array" ref="J326">[15]!CalculateINPC(D326,I326,-1)*H326</f>
        <v>21069.715329451799</v>
      </c>
      <c r="K326" s="159">
        <f t="shared" si="11"/>
        <v>46391.482672656995</v>
      </c>
      <c r="L326" s="159" cm="1">
        <f t="array" ref="L326">[15]!CalculateDICetip(D326,I326,1)*H326</f>
        <v>26380.335108904201</v>
      </c>
      <c r="M326" s="154">
        <v>162400</v>
      </c>
      <c r="N326" s="154" t="s">
        <v>200</v>
      </c>
      <c r="O326" s="154" t="s">
        <v>119</v>
      </c>
      <c r="P326" s="154" t="s">
        <v>120</v>
      </c>
      <c r="Q326" s="154">
        <v>10027</v>
      </c>
      <c r="R326" s="154" t="s">
        <v>106</v>
      </c>
      <c r="S326" s="154">
        <v>44</v>
      </c>
      <c r="T326" s="154" t="s">
        <v>107</v>
      </c>
      <c r="U326" s="154" t="s">
        <v>356</v>
      </c>
      <c r="V326" s="154" t="s">
        <v>109</v>
      </c>
      <c r="W326" s="154" t="s">
        <v>110</v>
      </c>
      <c r="X326" s="154" t="s">
        <v>117</v>
      </c>
      <c r="Y326" s="154" t="s">
        <v>357</v>
      </c>
    </row>
    <row r="327" spans="2:25">
      <c r="B327" s="154" t="s">
        <v>102</v>
      </c>
      <c r="C327" s="154" t="s">
        <v>1401</v>
      </c>
      <c r="D327" s="155">
        <v>44895</v>
      </c>
      <c r="E327" s="155">
        <v>44894</v>
      </c>
      <c r="F327" s="159">
        <v>19018.57</v>
      </c>
      <c r="G327" s="159">
        <v>19018.57</v>
      </c>
      <c r="H327" s="159">
        <v>19018.57</v>
      </c>
      <c r="I327" s="184">
        <f t="shared" ref="I327:I335" si="12">$B$4</f>
        <v>45978</v>
      </c>
      <c r="J327" s="159" cm="1">
        <f t="array" ref="J327">[15]!CalculateINPC(D327,I327,-1)*H327</f>
        <v>21647.784221850601</v>
      </c>
      <c r="K327" s="159">
        <f t="shared" ref="K327:K335" si="13">J327*1.3^((I327-D327)/360)</f>
        <v>47664.279793358233</v>
      </c>
      <c r="L327" s="159" cm="1">
        <f t="array" ref="L327">[15]!CalculateDICetip(D327,I327,1)*H327</f>
        <v>27104.1062116014</v>
      </c>
      <c r="M327" s="154">
        <v>162410</v>
      </c>
      <c r="N327" s="154" t="s">
        <v>200</v>
      </c>
      <c r="O327" s="154" t="s">
        <v>119</v>
      </c>
      <c r="P327" s="154" t="s">
        <v>120</v>
      </c>
      <c r="Q327" s="154">
        <v>10027</v>
      </c>
      <c r="R327" s="154" t="s">
        <v>106</v>
      </c>
      <c r="S327" s="154">
        <v>44</v>
      </c>
      <c r="T327" s="154" t="s">
        <v>107</v>
      </c>
      <c r="U327" s="154" t="s">
        <v>322</v>
      </c>
      <c r="V327" s="154" t="s">
        <v>109</v>
      </c>
      <c r="W327" s="154" t="s">
        <v>110</v>
      </c>
      <c r="X327" s="154" t="s">
        <v>117</v>
      </c>
      <c r="Y327" s="154" t="s">
        <v>323</v>
      </c>
    </row>
    <row r="328" spans="2:25">
      <c r="B328" s="154" t="s">
        <v>102</v>
      </c>
      <c r="C328" s="154" t="s">
        <v>1401</v>
      </c>
      <c r="D328" s="155">
        <v>43861</v>
      </c>
      <c r="E328" s="155">
        <v>43861</v>
      </c>
      <c r="F328" s="159">
        <v>747.14</v>
      </c>
      <c r="G328" s="159">
        <v>119.539999999998</v>
      </c>
      <c r="H328" s="159">
        <v>119.539999999998</v>
      </c>
      <c r="I328" s="184">
        <f t="shared" si="12"/>
        <v>45978</v>
      </c>
      <c r="J328" s="159" cm="1">
        <f t="array" ref="J328">[15]!CalculateINPC(D328,I328,-1)*H328</f>
        <v>165.65506055839725</v>
      </c>
      <c r="K328" s="159">
        <f t="shared" si="13"/>
        <v>774.91652275396291</v>
      </c>
      <c r="L328" s="159" cm="1">
        <f t="array" ref="L328">[15]!CalculateDICetip(D328,I328,1)*H328</f>
        <v>202.3416833403966</v>
      </c>
      <c r="M328" s="154">
        <v>85252</v>
      </c>
      <c r="N328" s="154" t="s">
        <v>567</v>
      </c>
      <c r="O328" s="154" t="s">
        <v>568</v>
      </c>
      <c r="P328" s="154" t="s">
        <v>569</v>
      </c>
      <c r="Q328" s="154">
        <v>10027</v>
      </c>
      <c r="R328" s="154" t="s">
        <v>106</v>
      </c>
      <c r="S328" s="154">
        <v>44</v>
      </c>
      <c r="T328" s="154" t="s">
        <v>107</v>
      </c>
      <c r="U328" s="154" t="s">
        <v>643</v>
      </c>
      <c r="V328" s="154" t="s">
        <v>571</v>
      </c>
      <c r="W328" s="154" t="s">
        <v>572</v>
      </c>
      <c r="X328" s="154" t="s">
        <v>573</v>
      </c>
      <c r="Y328" s="154" t="s">
        <v>644</v>
      </c>
    </row>
    <row r="329" spans="2:25">
      <c r="B329" s="154" t="s">
        <v>257</v>
      </c>
      <c r="C329" s="154" t="s">
        <v>1401</v>
      </c>
      <c r="D329" s="155">
        <v>45688</v>
      </c>
      <c r="E329" s="155">
        <v>45658</v>
      </c>
      <c r="F329" s="159">
        <v>5277.52</v>
      </c>
      <c r="G329" s="159">
        <v>3856.9699999999812</v>
      </c>
      <c r="H329" s="159">
        <v>3856.9699999999812</v>
      </c>
      <c r="I329" s="184">
        <f t="shared" si="12"/>
        <v>45978</v>
      </c>
      <c r="J329" s="159" cm="1">
        <f t="array" ref="J329">[15]!CalculateINPC(D329,I329,-1)*H329</f>
        <v>3997.7114138454808</v>
      </c>
      <c r="K329" s="159">
        <f t="shared" si="13"/>
        <v>4938.5464235896816</v>
      </c>
      <c r="L329" s="159" cm="1">
        <f t="array" ref="L329">[15]!CalculateDICetip(D329,I329,1)*H329</f>
        <v>4293.3767444931791</v>
      </c>
      <c r="M329" s="154">
        <v>235492</v>
      </c>
      <c r="N329" s="154" t="s">
        <v>258</v>
      </c>
      <c r="O329" s="154" t="s">
        <v>243</v>
      </c>
      <c r="P329" s="154" t="s">
        <v>244</v>
      </c>
      <c r="Q329" s="154">
        <v>10027</v>
      </c>
      <c r="R329" s="154" t="s">
        <v>106</v>
      </c>
      <c r="S329" s="154">
        <v>44</v>
      </c>
      <c r="T329" s="154" t="s">
        <v>107</v>
      </c>
      <c r="U329" s="154" t="s">
        <v>266</v>
      </c>
      <c r="V329" s="154" t="s">
        <v>260</v>
      </c>
      <c r="W329" s="154" t="s">
        <v>261</v>
      </c>
      <c r="X329" s="154" t="s">
        <v>262</v>
      </c>
      <c r="Y329" s="154" t="s">
        <v>267</v>
      </c>
    </row>
    <row r="330" spans="2:25">
      <c r="B330" s="154" t="s">
        <v>102</v>
      </c>
      <c r="C330" s="154" t="s">
        <v>1401</v>
      </c>
      <c r="D330" s="155">
        <v>45016</v>
      </c>
      <c r="E330" s="155">
        <v>44995</v>
      </c>
      <c r="F330" s="159">
        <v>99.6</v>
      </c>
      <c r="G330" s="159">
        <v>99.6</v>
      </c>
      <c r="H330" s="159">
        <v>99.6</v>
      </c>
      <c r="I330" s="184">
        <f t="shared" si="12"/>
        <v>45978</v>
      </c>
      <c r="J330" s="159" cm="1">
        <f t="array" ref="J330">[15]!CalculateINPC(D330,I330,-1)*H330</f>
        <v>110.79930985199999</v>
      </c>
      <c r="K330" s="159">
        <f t="shared" si="13"/>
        <v>223.36700105513148</v>
      </c>
      <c r="L330" s="159" cm="1">
        <f t="array" ref="L330">[15]!CalculateDICetip(D330,I330,1)*H330</f>
        <v>135.948030972</v>
      </c>
      <c r="M330" s="154">
        <v>170983</v>
      </c>
      <c r="N330" s="154" t="s">
        <v>236</v>
      </c>
      <c r="O330" s="154" t="s">
        <v>237</v>
      </c>
      <c r="P330" s="154" t="s">
        <v>238</v>
      </c>
      <c r="Q330" s="154">
        <v>10027</v>
      </c>
      <c r="R330" s="154" t="s">
        <v>106</v>
      </c>
      <c r="S330" s="154">
        <v>44</v>
      </c>
      <c r="T330" s="154" t="s">
        <v>107</v>
      </c>
      <c r="U330" s="154" t="s">
        <v>666</v>
      </c>
      <c r="V330" s="154" t="s">
        <v>109</v>
      </c>
      <c r="W330" s="154" t="s">
        <v>110</v>
      </c>
      <c r="X330" s="154" t="s">
        <v>240</v>
      </c>
      <c r="Y330" s="154" t="s">
        <v>667</v>
      </c>
    </row>
    <row r="331" spans="2:25">
      <c r="B331" s="154" t="s">
        <v>102</v>
      </c>
      <c r="C331" s="154" t="s">
        <v>1401</v>
      </c>
      <c r="D331" s="155">
        <v>45016</v>
      </c>
      <c r="E331" s="155">
        <v>45008</v>
      </c>
      <c r="F331" s="159">
        <v>4750</v>
      </c>
      <c r="G331" s="159">
        <v>100.000000000013</v>
      </c>
      <c r="H331" s="159">
        <v>100.000000000013</v>
      </c>
      <c r="I331" s="184">
        <f t="shared" si="12"/>
        <v>45978</v>
      </c>
      <c r="J331" s="159" cm="1">
        <f t="array" ref="J331">[15]!CalculateINPC(D331,I331,-1)*H331</f>
        <v>111.24428700001447</v>
      </c>
      <c r="K331" s="159">
        <f t="shared" si="13"/>
        <v>224.26405728429773</v>
      </c>
      <c r="L331" s="159" cm="1">
        <f t="array" ref="L331">[15]!CalculateDICetip(D331,I331,1)*H331</f>
        <v>136.49400700001775</v>
      </c>
      <c r="M331" s="154">
        <v>171006</v>
      </c>
      <c r="N331" s="154" t="s">
        <v>649</v>
      </c>
      <c r="O331" s="154" t="s">
        <v>290</v>
      </c>
      <c r="P331" s="154" t="s">
        <v>291</v>
      </c>
      <c r="Q331" s="154">
        <v>10027</v>
      </c>
      <c r="R331" s="154" t="s">
        <v>106</v>
      </c>
      <c r="S331" s="154">
        <v>44</v>
      </c>
      <c r="T331" s="154" t="s">
        <v>107</v>
      </c>
      <c r="U331" s="154" t="s">
        <v>650</v>
      </c>
      <c r="V331" s="154" t="s">
        <v>109</v>
      </c>
      <c r="W331" s="154" t="s">
        <v>110</v>
      </c>
      <c r="X331" s="154" t="s">
        <v>130</v>
      </c>
      <c r="Y331" s="154" t="s">
        <v>651</v>
      </c>
    </row>
    <row r="332" spans="2:25">
      <c r="B332" s="154" t="s">
        <v>257</v>
      </c>
      <c r="C332" s="154" t="s">
        <v>1401</v>
      </c>
      <c r="D332" s="155">
        <v>45961</v>
      </c>
      <c r="E332" s="155">
        <v>45931</v>
      </c>
      <c r="F332" s="159">
        <v>78066.42</v>
      </c>
      <c r="G332" s="159">
        <v>379.83999999982302</v>
      </c>
      <c r="H332" s="159">
        <v>379.83999999982302</v>
      </c>
      <c r="I332" s="184">
        <f t="shared" si="12"/>
        <v>45978</v>
      </c>
      <c r="J332" s="159" cm="1">
        <f t="array" ref="J332">[15]!CalculateINPC(D332,I332,-1)*H332</f>
        <v>379.95370130542295</v>
      </c>
      <c r="K332" s="159">
        <f t="shared" si="13"/>
        <v>384.69039049450777</v>
      </c>
      <c r="L332" s="159" cm="1">
        <f t="array" ref="L332">[15]!CalculateDICetip(D332,I332,1)*H332</f>
        <v>382.14986401582195</v>
      </c>
      <c r="M332" s="154">
        <v>277917</v>
      </c>
      <c r="N332" s="154" t="s">
        <v>258</v>
      </c>
      <c r="O332" s="154" t="s">
        <v>243</v>
      </c>
      <c r="P332" s="154" t="s">
        <v>244</v>
      </c>
      <c r="Q332" s="154">
        <v>10027</v>
      </c>
      <c r="R332" s="154" t="s">
        <v>106</v>
      </c>
      <c r="S332" s="154">
        <v>44</v>
      </c>
      <c r="T332" s="154" t="s">
        <v>107</v>
      </c>
      <c r="U332" s="154" t="s">
        <v>908</v>
      </c>
      <c r="V332" s="154" t="s">
        <v>260</v>
      </c>
      <c r="W332" s="154" t="s">
        <v>261</v>
      </c>
      <c r="X332" s="154" t="s">
        <v>262</v>
      </c>
      <c r="Y332" s="154" t="s">
        <v>909</v>
      </c>
    </row>
    <row r="333" spans="2:25">
      <c r="B333" s="154" t="s">
        <v>102</v>
      </c>
      <c r="C333" s="154" t="s">
        <v>1401</v>
      </c>
      <c r="D333" s="155">
        <v>43830</v>
      </c>
      <c r="E333" s="155">
        <v>43830</v>
      </c>
      <c r="F333" s="159">
        <v>652.46</v>
      </c>
      <c r="G333" s="159">
        <v>267.50000000000102</v>
      </c>
      <c r="H333" s="159">
        <v>267.50000000000102</v>
      </c>
      <c r="I333" s="184">
        <f t="shared" si="12"/>
        <v>45978</v>
      </c>
      <c r="J333" s="159" cm="1">
        <f t="array" ref="J333">[15]!CalculateINPC(D333,I333,-1)*H333</f>
        <v>375.21642652500145</v>
      </c>
      <c r="K333" s="159">
        <f t="shared" si="13"/>
        <v>1795.3281690822714</v>
      </c>
      <c r="L333" s="159" cm="1">
        <f t="array" ref="L333">[15]!CalculateDICetip(D333,I333,1)*H333</f>
        <v>454.49438235000179</v>
      </c>
      <c r="M333" s="154">
        <v>83732</v>
      </c>
      <c r="N333" s="154" t="s">
        <v>567</v>
      </c>
      <c r="O333" s="154" t="s">
        <v>568</v>
      </c>
      <c r="P333" s="154" t="s">
        <v>569</v>
      </c>
      <c r="Q333" s="154">
        <v>10027</v>
      </c>
      <c r="R333" s="154" t="s">
        <v>106</v>
      </c>
      <c r="S333" s="154">
        <v>44</v>
      </c>
      <c r="T333" s="154" t="s">
        <v>107</v>
      </c>
      <c r="U333" s="154" t="s">
        <v>570</v>
      </c>
      <c r="V333" s="154" t="s">
        <v>571</v>
      </c>
      <c r="W333" s="154" t="s">
        <v>572</v>
      </c>
      <c r="X333" s="154" t="s">
        <v>573</v>
      </c>
      <c r="Y333" s="154" t="s">
        <v>574</v>
      </c>
    </row>
    <row r="334" spans="2:25">
      <c r="B334" s="154" t="s">
        <v>102</v>
      </c>
      <c r="C334" s="154" t="s">
        <v>1401</v>
      </c>
      <c r="D334" s="155">
        <v>45509</v>
      </c>
      <c r="E334" s="155">
        <v>45503</v>
      </c>
      <c r="F334" s="159">
        <v>250000</v>
      </c>
      <c r="G334" s="159">
        <v>250000</v>
      </c>
      <c r="H334" s="159">
        <v>250000</v>
      </c>
      <c r="I334" s="184">
        <f t="shared" si="12"/>
        <v>45978</v>
      </c>
      <c r="J334" s="159" cm="1">
        <f t="array" ref="J334">[15]!CalculateINPC(D334,I334,-1)*H334</f>
        <v>263711.02</v>
      </c>
      <c r="K334" s="159">
        <f t="shared" si="13"/>
        <v>371168.52911173378</v>
      </c>
      <c r="L334" s="159" cm="1">
        <f t="array" ref="L334">[15]!CalculateDICetip(D334,I334,1)*H334</f>
        <v>293189.54250000004</v>
      </c>
      <c r="M334" s="154">
        <v>203921</v>
      </c>
      <c r="N334" s="154" t="s">
        <v>125</v>
      </c>
      <c r="O334" s="154" t="s">
        <v>126</v>
      </c>
      <c r="P334" s="154" t="s">
        <v>127</v>
      </c>
      <c r="Q334" s="154">
        <v>18799</v>
      </c>
      <c r="R334" s="154" t="s">
        <v>106</v>
      </c>
      <c r="S334" s="154">
        <v>243</v>
      </c>
      <c r="T334" s="154" t="s">
        <v>107</v>
      </c>
      <c r="U334" s="154" t="s">
        <v>128</v>
      </c>
      <c r="V334" s="154" t="s">
        <v>129</v>
      </c>
      <c r="W334" s="154" t="s">
        <v>129</v>
      </c>
      <c r="X334" s="154" t="s">
        <v>130</v>
      </c>
      <c r="Y334" s="154" t="s">
        <v>131</v>
      </c>
    </row>
    <row r="335" spans="2:25">
      <c r="B335" s="154" t="s">
        <v>102</v>
      </c>
      <c r="C335" s="154" t="s">
        <v>1401</v>
      </c>
      <c r="D335" s="155">
        <v>45905</v>
      </c>
      <c r="E335" s="155">
        <v>45890</v>
      </c>
      <c r="F335" s="159">
        <v>917578.64</v>
      </c>
      <c r="G335" s="159">
        <v>917578.64</v>
      </c>
      <c r="H335" s="159">
        <v>917578.64</v>
      </c>
      <c r="I335" s="184">
        <f t="shared" si="12"/>
        <v>45978</v>
      </c>
      <c r="J335" s="159" cm="1">
        <f t="array" ref="J335">[15]!CalculateINPC(D335,I335,-1)*H335</f>
        <v>922626.54289959115</v>
      </c>
      <c r="K335" s="159">
        <f t="shared" si="13"/>
        <v>973040.96485618071</v>
      </c>
      <c r="L335" s="159" cm="1">
        <f t="array" ref="L335">[15]!CalculateDICetip(D335,I335,1)*H335</f>
        <v>943736.83423232404</v>
      </c>
      <c r="M335" s="154">
        <v>267952</v>
      </c>
      <c r="N335" s="154" t="s">
        <v>236</v>
      </c>
      <c r="O335" s="154" t="s">
        <v>910</v>
      </c>
      <c r="P335" s="154" t="s">
        <v>857</v>
      </c>
      <c r="Q335" s="154">
        <v>18799</v>
      </c>
      <c r="R335" s="154" t="s">
        <v>106</v>
      </c>
      <c r="S335" s="154">
        <v>243</v>
      </c>
      <c r="T335" s="154" t="s">
        <v>107</v>
      </c>
      <c r="U335" s="154" t="s">
        <v>911</v>
      </c>
      <c r="V335" s="154" t="s">
        <v>129</v>
      </c>
      <c r="W335" s="154" t="s">
        <v>129</v>
      </c>
      <c r="X335" s="154" t="s">
        <v>130</v>
      </c>
      <c r="Y335" s="154" t="s">
        <v>912</v>
      </c>
    </row>
  </sheetData>
  <autoFilter ref="B5:Y335" xr:uid="{7B1141A4-D593-4D8D-8FE6-CE44FAB4461C}"/>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E0224-9275-4336-9473-81CBC337CAED}">
  <dimension ref="A2:X545"/>
  <sheetViews>
    <sheetView workbookViewId="0"/>
  </sheetViews>
  <sheetFormatPr defaultRowHeight="15"/>
  <cols>
    <col min="1" max="12" width="15.7109375" customWidth="1"/>
    <col min="13" max="13" width="72.42578125" customWidth="1"/>
    <col min="14" max="14" width="15.7109375" customWidth="1"/>
    <col min="15" max="15" width="38.7109375" customWidth="1"/>
    <col min="16" max="16" width="15.7109375" customWidth="1"/>
    <col min="17" max="17" width="40.28515625" customWidth="1"/>
    <col min="18" max="18" width="15.7109375" customWidth="1"/>
    <col min="19" max="19" width="36" customWidth="1"/>
    <col min="20" max="20" width="131.28515625" customWidth="1"/>
    <col min="21" max="21" width="25.140625" customWidth="1"/>
    <col min="22" max="22" width="29.7109375" customWidth="1"/>
    <col min="23" max="23" width="38.85546875" customWidth="1"/>
    <col min="24" max="24" width="22.5703125" customWidth="1"/>
  </cols>
  <sheetData>
    <row r="2" spans="1:24">
      <c r="A2" s="182">
        <f>Contrato!$C$2</f>
        <v>45978</v>
      </c>
      <c r="G2" s="185">
        <f>SUM(G4:G545)</f>
        <v>2227253.3726610034</v>
      </c>
      <c r="I2" s="185">
        <f>SUM(I4:I545)</f>
        <v>2230144.9666148126</v>
      </c>
      <c r="J2" s="181">
        <f>SUM(J4:J545)</f>
        <v>2291142.0364428232</v>
      </c>
      <c r="K2" s="181">
        <f>SUM(K4:K545)</f>
        <v>2260325.0995809231</v>
      </c>
    </row>
    <row r="3" spans="1:24">
      <c r="A3" s="151" t="s">
        <v>81</v>
      </c>
      <c r="B3" s="151" t="s">
        <v>70</v>
      </c>
      <c r="C3" s="151" t="s">
        <v>82</v>
      </c>
      <c r="D3" s="151" t="s">
        <v>83</v>
      </c>
      <c r="E3" s="151" t="s">
        <v>84</v>
      </c>
      <c r="F3" s="151" t="s">
        <v>85</v>
      </c>
      <c r="G3" s="151" t="s">
        <v>86</v>
      </c>
      <c r="H3" s="183" t="s">
        <v>1371</v>
      </c>
      <c r="I3" s="183" t="s">
        <v>1372</v>
      </c>
      <c r="J3" s="183" t="s">
        <v>1373</v>
      </c>
      <c r="K3" s="183" t="s">
        <v>1407</v>
      </c>
      <c r="L3" s="151" t="s">
        <v>87</v>
      </c>
      <c r="M3" s="151" t="s">
        <v>88</v>
      </c>
      <c r="N3" s="151" t="s">
        <v>89</v>
      </c>
      <c r="O3" s="151" t="s">
        <v>90</v>
      </c>
      <c r="P3" s="151" t="s">
        <v>91</v>
      </c>
      <c r="Q3" s="151" t="s">
        <v>92</v>
      </c>
      <c r="R3" s="151" t="s">
        <v>93</v>
      </c>
      <c r="S3" s="151" t="s">
        <v>94</v>
      </c>
      <c r="T3" s="151" t="s">
        <v>95</v>
      </c>
      <c r="U3" s="151" t="s">
        <v>96</v>
      </c>
      <c r="V3" s="151" t="s">
        <v>97</v>
      </c>
      <c r="W3" s="151" t="s">
        <v>98</v>
      </c>
      <c r="X3" s="151" t="s">
        <v>99</v>
      </c>
    </row>
    <row r="4" spans="1:24">
      <c r="A4" s="154" t="s">
        <v>102</v>
      </c>
      <c r="B4" s="154" t="s">
        <v>1401</v>
      </c>
      <c r="C4" s="155">
        <v>45901</v>
      </c>
      <c r="D4" s="155">
        <v>45870</v>
      </c>
      <c r="E4" s="159">
        <v>192.3</v>
      </c>
      <c r="F4" s="159">
        <v>77.2</v>
      </c>
      <c r="G4" s="159">
        <v>77.2</v>
      </c>
      <c r="H4" s="184">
        <f t="shared" ref="H4:H67" si="0">$A$2</f>
        <v>45978</v>
      </c>
      <c r="I4" s="187" cm="1">
        <f t="array" ref="I4">G4*[15]!CalculateINPC(C4,H4,-1)</f>
        <v>77.624702675999998</v>
      </c>
      <c r="J4" s="187">
        <f t="shared" ref="J4:J67" si="1">G4*1.3^((H4-C4)/360)</f>
        <v>81.656078139981915</v>
      </c>
      <c r="K4" s="187" cm="1">
        <f t="array" ref="K4">[15]!CalculateDICetip(C4,H4,1)*G4</f>
        <v>79.576048475999997</v>
      </c>
      <c r="L4" s="154">
        <v>273258</v>
      </c>
      <c r="M4" s="154" t="s">
        <v>258</v>
      </c>
      <c r="N4" s="154" t="s">
        <v>243</v>
      </c>
      <c r="O4" s="154" t="s">
        <v>244</v>
      </c>
      <c r="P4" s="154">
        <v>27143</v>
      </c>
      <c r="Q4" s="154" t="s">
        <v>913</v>
      </c>
      <c r="R4" s="154">
        <v>4</v>
      </c>
      <c r="S4" s="154" t="s">
        <v>914</v>
      </c>
      <c r="T4" s="154" t="s">
        <v>915</v>
      </c>
      <c r="U4" s="154" t="s">
        <v>916</v>
      </c>
      <c r="V4" s="154" t="s">
        <v>916</v>
      </c>
      <c r="W4" s="154" t="s">
        <v>262</v>
      </c>
      <c r="X4" s="154" t="s">
        <v>917</v>
      </c>
    </row>
    <row r="5" spans="1:24">
      <c r="A5" s="154" t="s">
        <v>102</v>
      </c>
      <c r="B5" s="154" t="s">
        <v>1401</v>
      </c>
      <c r="C5" s="155">
        <v>45901</v>
      </c>
      <c r="D5" s="155">
        <v>45870</v>
      </c>
      <c r="E5" s="159">
        <v>192.3</v>
      </c>
      <c r="F5" s="159">
        <v>77.2</v>
      </c>
      <c r="G5" s="159">
        <v>77.2</v>
      </c>
      <c r="H5" s="184">
        <f t="shared" si="0"/>
        <v>45978</v>
      </c>
      <c r="I5" s="187" cm="1">
        <f t="array" ref="I5">G5*[15]!CalculateINPC(C5,H5,-1)</f>
        <v>77.624702675999998</v>
      </c>
      <c r="J5" s="187">
        <f t="shared" si="1"/>
        <v>81.656078139981915</v>
      </c>
      <c r="K5" s="187" cm="1">
        <f t="array" ref="K5">[15]!CalculateDICetip(C5,H5,1)*G5</f>
        <v>79.576048475999997</v>
      </c>
      <c r="L5" s="154">
        <v>273258</v>
      </c>
      <c r="M5" s="154" t="s">
        <v>258</v>
      </c>
      <c r="N5" s="154" t="s">
        <v>243</v>
      </c>
      <c r="O5" s="154" t="s">
        <v>244</v>
      </c>
      <c r="P5" s="154">
        <v>27159</v>
      </c>
      <c r="Q5" s="154" t="s">
        <v>918</v>
      </c>
      <c r="R5" s="154">
        <v>4</v>
      </c>
      <c r="S5" s="154" t="s">
        <v>914</v>
      </c>
      <c r="T5" s="154" t="s">
        <v>915</v>
      </c>
      <c r="U5" s="154" t="s">
        <v>916</v>
      </c>
      <c r="V5" s="154" t="s">
        <v>916</v>
      </c>
      <c r="W5" s="154" t="s">
        <v>262</v>
      </c>
      <c r="X5" s="154" t="s">
        <v>917</v>
      </c>
    </row>
    <row r="6" spans="1:24">
      <c r="A6" s="154" t="s">
        <v>102</v>
      </c>
      <c r="B6" s="154" t="s">
        <v>1401</v>
      </c>
      <c r="C6" s="155">
        <v>45903</v>
      </c>
      <c r="D6" s="155">
        <v>45896</v>
      </c>
      <c r="E6" s="159">
        <v>20261.52</v>
      </c>
      <c r="F6" s="159">
        <v>18.235368000000001</v>
      </c>
      <c r="G6" s="159">
        <v>18.235368000000001</v>
      </c>
      <c r="H6" s="184">
        <f t="shared" si="0"/>
        <v>45978</v>
      </c>
      <c r="I6" s="187" cm="1">
        <f t="array" ref="I6">G6*[15]!CalculateINPC(C6,H6,-1)</f>
        <v>18.335686777039442</v>
      </c>
      <c r="J6" s="187">
        <f t="shared" si="1"/>
        <v>19.259842461967249</v>
      </c>
      <c r="K6" s="187" cm="1">
        <f t="array" ref="K6">[15]!CalculateDICetip(C6,H6,1)*G6</f>
        <v>18.77590460768328</v>
      </c>
      <c r="L6" s="154">
        <v>268023</v>
      </c>
      <c r="M6" s="154" t="s">
        <v>919</v>
      </c>
      <c r="N6" s="154" t="s">
        <v>920</v>
      </c>
      <c r="O6" s="154" t="s">
        <v>921</v>
      </c>
      <c r="P6" s="154">
        <v>29661</v>
      </c>
      <c r="Q6" s="154" t="s">
        <v>922</v>
      </c>
      <c r="R6" s="154">
        <v>4</v>
      </c>
      <c r="S6" s="154" t="s">
        <v>914</v>
      </c>
      <c r="T6" s="154" t="s">
        <v>923</v>
      </c>
      <c r="U6" s="154" t="s">
        <v>924</v>
      </c>
      <c r="V6" s="154" t="s">
        <v>925</v>
      </c>
      <c r="W6" s="154" t="s">
        <v>130</v>
      </c>
      <c r="X6" s="154" t="s">
        <v>926</v>
      </c>
    </row>
    <row r="7" spans="1:24">
      <c r="A7" s="154" t="s">
        <v>102</v>
      </c>
      <c r="B7" s="154" t="s">
        <v>1401</v>
      </c>
      <c r="C7" s="155">
        <v>45903</v>
      </c>
      <c r="D7" s="155">
        <v>45897</v>
      </c>
      <c r="E7" s="159">
        <v>6191.74</v>
      </c>
      <c r="F7" s="159">
        <v>5.5725660000000001</v>
      </c>
      <c r="G7" s="159">
        <v>5.5725660000000001</v>
      </c>
      <c r="H7" s="184">
        <f t="shared" si="0"/>
        <v>45978</v>
      </c>
      <c r="I7" s="187" cm="1">
        <f t="array" ref="I7">G7*[15]!CalculateINPC(C7,H7,-1)</f>
        <v>5.6032225245127796</v>
      </c>
      <c r="J7" s="187">
        <f t="shared" si="1"/>
        <v>5.8856362684271017</v>
      </c>
      <c r="K7" s="187" cm="1">
        <f t="array" ref="K7">[15]!CalculateDICetip(C7,H7,1)*G7</f>
        <v>5.7377491716108597</v>
      </c>
      <c r="L7" s="154">
        <v>267044</v>
      </c>
      <c r="M7" s="154" t="s">
        <v>927</v>
      </c>
      <c r="N7" s="154" t="s">
        <v>920</v>
      </c>
      <c r="O7" s="154" t="s">
        <v>921</v>
      </c>
      <c r="P7" s="154">
        <v>29661</v>
      </c>
      <c r="Q7" s="154" t="s">
        <v>922</v>
      </c>
      <c r="R7" s="154">
        <v>4</v>
      </c>
      <c r="S7" s="154" t="s">
        <v>914</v>
      </c>
      <c r="T7" s="154" t="s">
        <v>928</v>
      </c>
      <c r="U7" s="154" t="s">
        <v>924</v>
      </c>
      <c r="V7" s="154" t="s">
        <v>925</v>
      </c>
      <c r="W7" s="154" t="s">
        <v>130</v>
      </c>
      <c r="X7" s="154" t="s">
        <v>929</v>
      </c>
    </row>
    <row r="8" spans="1:24">
      <c r="A8" s="154" t="s">
        <v>102</v>
      </c>
      <c r="B8" s="154" t="s">
        <v>1401</v>
      </c>
      <c r="C8" s="155">
        <v>45933</v>
      </c>
      <c r="D8" s="155">
        <v>45922</v>
      </c>
      <c r="E8" s="159">
        <v>19598.759999999998</v>
      </c>
      <c r="F8" s="159">
        <v>84.274668000000005</v>
      </c>
      <c r="G8" s="159">
        <v>84.274668000000005</v>
      </c>
      <c r="H8" s="184">
        <f t="shared" si="0"/>
        <v>45978</v>
      </c>
      <c r="I8" s="187" cm="1">
        <f t="array" ref="I8">G8*[15]!CalculateINPC(C8,H8,-1)</f>
        <v>84.299894779119128</v>
      </c>
      <c r="J8" s="187">
        <f t="shared" si="1"/>
        <v>87.084320870556027</v>
      </c>
      <c r="K8" s="187" cm="1">
        <f t="array" ref="K8">[15]!CalculateDICetip(C8,H8,1)*G8</f>
        <v>85.726948071243612</v>
      </c>
      <c r="L8" s="154">
        <v>272962</v>
      </c>
      <c r="M8" s="154" t="s">
        <v>919</v>
      </c>
      <c r="N8" s="154" t="s">
        <v>920</v>
      </c>
      <c r="O8" s="154" t="s">
        <v>921</v>
      </c>
      <c r="P8" s="154">
        <v>29661</v>
      </c>
      <c r="Q8" s="154" t="s">
        <v>922</v>
      </c>
      <c r="R8" s="154">
        <v>4</v>
      </c>
      <c r="S8" s="154" t="s">
        <v>914</v>
      </c>
      <c r="T8" s="154" t="s">
        <v>930</v>
      </c>
      <c r="U8" s="154" t="s">
        <v>924</v>
      </c>
      <c r="V8" s="154" t="s">
        <v>925</v>
      </c>
      <c r="W8" s="154" t="s">
        <v>130</v>
      </c>
      <c r="X8" s="154" t="s">
        <v>931</v>
      </c>
    </row>
    <row r="9" spans="1:24">
      <c r="A9" s="154" t="s">
        <v>102</v>
      </c>
      <c r="B9" s="154" t="s">
        <v>1401</v>
      </c>
      <c r="C9" s="155">
        <v>45933</v>
      </c>
      <c r="D9" s="155">
        <v>45925</v>
      </c>
      <c r="E9" s="159">
        <v>6191.74</v>
      </c>
      <c r="F9" s="159">
        <v>26.624482</v>
      </c>
      <c r="G9" s="159">
        <v>26.624482</v>
      </c>
      <c r="H9" s="184">
        <f t="shared" si="0"/>
        <v>45978</v>
      </c>
      <c r="I9" s="187" cm="1">
        <f t="array" ref="I9">G9*[15]!CalculateINPC(C9,H9,-1)</f>
        <v>26.632451772441879</v>
      </c>
      <c r="J9" s="187">
        <f t="shared" si="1"/>
        <v>27.512121833578071</v>
      </c>
      <c r="K9" s="187" cm="1">
        <f t="array" ref="K9">[15]!CalculateDICetip(C9,H9,1)*G9</f>
        <v>27.083293710961403</v>
      </c>
      <c r="L9" s="154">
        <v>272990</v>
      </c>
      <c r="M9" s="154" t="s">
        <v>927</v>
      </c>
      <c r="N9" s="154" t="s">
        <v>920</v>
      </c>
      <c r="O9" s="154" t="s">
        <v>921</v>
      </c>
      <c r="P9" s="154">
        <v>29661</v>
      </c>
      <c r="Q9" s="154" t="s">
        <v>922</v>
      </c>
      <c r="R9" s="154">
        <v>4</v>
      </c>
      <c r="S9" s="154" t="s">
        <v>914</v>
      </c>
      <c r="T9" s="154" t="s">
        <v>932</v>
      </c>
      <c r="U9" s="154" t="s">
        <v>924</v>
      </c>
      <c r="V9" s="154" t="s">
        <v>925</v>
      </c>
      <c r="W9" s="154" t="s">
        <v>130</v>
      </c>
      <c r="X9" s="154" t="s">
        <v>933</v>
      </c>
    </row>
    <row r="10" spans="1:24">
      <c r="A10" s="154" t="s">
        <v>102</v>
      </c>
      <c r="B10" s="154" t="s">
        <v>1401</v>
      </c>
      <c r="C10" s="155">
        <v>45966</v>
      </c>
      <c r="D10" s="155">
        <v>45954</v>
      </c>
      <c r="E10" s="159">
        <v>6191.74</v>
      </c>
      <c r="F10" s="159">
        <v>27.862829999999999</v>
      </c>
      <c r="G10" s="159">
        <v>27.862829999999999</v>
      </c>
      <c r="H10" s="184">
        <f t="shared" si="0"/>
        <v>45978</v>
      </c>
      <c r="I10" s="187" cm="1">
        <f t="array" ref="I10">G10*[15]!CalculateINPC(C10,H10,-1)</f>
        <v>27.862829999999999</v>
      </c>
      <c r="J10" s="187">
        <f t="shared" si="1"/>
        <v>28.107572330767074</v>
      </c>
      <c r="K10" s="187" cm="1">
        <f t="array" ref="K10">[15]!CalculateDICetip(C10,H10,1)*G10</f>
        <v>27.985955845769997</v>
      </c>
      <c r="L10" s="154">
        <v>276951</v>
      </c>
      <c r="M10" s="154" t="s">
        <v>927</v>
      </c>
      <c r="N10" s="154" t="s">
        <v>920</v>
      </c>
      <c r="O10" s="154" t="s">
        <v>921</v>
      </c>
      <c r="P10" s="154">
        <v>29661</v>
      </c>
      <c r="Q10" s="154" t="s">
        <v>922</v>
      </c>
      <c r="R10" s="154">
        <v>4</v>
      </c>
      <c r="S10" s="154" t="s">
        <v>914</v>
      </c>
      <c r="T10" s="154" t="s">
        <v>934</v>
      </c>
      <c r="U10" s="154" t="s">
        <v>924</v>
      </c>
      <c r="V10" s="154" t="s">
        <v>925</v>
      </c>
      <c r="W10" s="154" t="s">
        <v>130</v>
      </c>
      <c r="X10" s="154" t="s">
        <v>935</v>
      </c>
    </row>
    <row r="11" spans="1:24">
      <c r="A11" s="154" t="s">
        <v>102</v>
      </c>
      <c r="B11" s="154" t="s">
        <v>1401</v>
      </c>
      <c r="C11" s="155">
        <v>45966</v>
      </c>
      <c r="D11" s="155">
        <v>45925</v>
      </c>
      <c r="E11" s="159">
        <v>273.39999999999998</v>
      </c>
      <c r="F11" s="159">
        <v>20.88</v>
      </c>
      <c r="G11" s="159">
        <v>20.88</v>
      </c>
      <c r="H11" s="184">
        <f t="shared" si="0"/>
        <v>45978</v>
      </c>
      <c r="I11" s="187" cm="1">
        <f t="array" ref="I11">G11*[15]!CalculateINPC(C11,H11,-1)</f>
        <v>20.88</v>
      </c>
      <c r="J11" s="187">
        <f t="shared" si="1"/>
        <v>21.063406346965348</v>
      </c>
      <c r="K11" s="187" cm="1">
        <f t="array" ref="K11">[15]!CalculateDICetip(C11,H11,1)*G11</f>
        <v>20.972268719999999</v>
      </c>
      <c r="L11" s="154">
        <v>272410</v>
      </c>
      <c r="M11" s="154" t="s">
        <v>200</v>
      </c>
      <c r="N11" s="154" t="s">
        <v>119</v>
      </c>
      <c r="O11" s="154" t="s">
        <v>120</v>
      </c>
      <c r="P11" s="154">
        <v>27162</v>
      </c>
      <c r="Q11" s="154" t="s">
        <v>936</v>
      </c>
      <c r="R11" s="154">
        <v>4</v>
      </c>
      <c r="S11" s="154" t="s">
        <v>914</v>
      </c>
      <c r="T11" s="154" t="s">
        <v>937</v>
      </c>
      <c r="U11" s="154" t="s">
        <v>924</v>
      </c>
      <c r="V11" s="154" t="s">
        <v>925</v>
      </c>
      <c r="W11" s="154" t="s">
        <v>111</v>
      </c>
      <c r="X11" s="154" t="s">
        <v>938</v>
      </c>
    </row>
    <row r="12" spans="1:24">
      <c r="A12" s="154" t="s">
        <v>102</v>
      </c>
      <c r="B12" s="154" t="s">
        <v>1401</v>
      </c>
      <c r="C12" s="155">
        <v>45966</v>
      </c>
      <c r="D12" s="155">
        <v>45954</v>
      </c>
      <c r="E12" s="159">
        <v>19958.16</v>
      </c>
      <c r="F12" s="159">
        <v>89.811719999999994</v>
      </c>
      <c r="G12" s="159">
        <v>89.811719999999994</v>
      </c>
      <c r="H12" s="184">
        <f t="shared" si="0"/>
        <v>45978</v>
      </c>
      <c r="I12" s="187" cm="1">
        <f t="array" ref="I12">G12*[15]!CalculateINPC(C12,H12,-1)</f>
        <v>89.811719999999994</v>
      </c>
      <c r="J12" s="187">
        <f t="shared" si="1"/>
        <v>90.600610779687472</v>
      </c>
      <c r="K12" s="187" cm="1">
        <f t="array" ref="K12">[15]!CalculateDICetip(C12,H12,1)*G12</f>
        <v>90.208597990679991</v>
      </c>
      <c r="L12" s="154">
        <v>276989</v>
      </c>
      <c r="M12" s="154" t="s">
        <v>919</v>
      </c>
      <c r="N12" s="154" t="s">
        <v>920</v>
      </c>
      <c r="O12" s="154" t="s">
        <v>921</v>
      </c>
      <c r="P12" s="154">
        <v>29661</v>
      </c>
      <c r="Q12" s="154" t="s">
        <v>922</v>
      </c>
      <c r="R12" s="154">
        <v>4</v>
      </c>
      <c r="S12" s="154" t="s">
        <v>914</v>
      </c>
      <c r="T12" s="154" t="s">
        <v>939</v>
      </c>
      <c r="U12" s="154" t="s">
        <v>924</v>
      </c>
      <c r="V12" s="154" t="s">
        <v>925</v>
      </c>
      <c r="W12" s="154" t="s">
        <v>130</v>
      </c>
      <c r="X12" s="154" t="s">
        <v>940</v>
      </c>
    </row>
    <row r="13" spans="1:24">
      <c r="A13" s="154" t="s">
        <v>102</v>
      </c>
      <c r="B13" s="154" t="s">
        <v>1401</v>
      </c>
      <c r="C13" s="155">
        <v>45967</v>
      </c>
      <c r="D13" s="155">
        <v>45967</v>
      </c>
      <c r="E13" s="159">
        <v>35684.879999999997</v>
      </c>
      <c r="F13" s="159">
        <v>30403.82</v>
      </c>
      <c r="G13" s="159">
        <v>30403.82</v>
      </c>
      <c r="H13" s="184">
        <f t="shared" si="0"/>
        <v>45978</v>
      </c>
      <c r="I13" s="187" cm="1">
        <f t="array" ref="I13">G13*[15]!CalculateINPC(C13,H13,-1)</f>
        <v>30403.82</v>
      </c>
      <c r="J13" s="187">
        <f t="shared" si="1"/>
        <v>30648.537474796562</v>
      </c>
      <c r="K13" s="187" cm="1">
        <f t="array" ref="K13">[15]!CalculateDICetip(C13,H13,1)*G13</f>
        <v>30521.347790439198</v>
      </c>
      <c r="L13" s="154">
        <v>278941</v>
      </c>
      <c r="M13" s="154" t="s">
        <v>200</v>
      </c>
      <c r="N13" s="154" t="s">
        <v>119</v>
      </c>
      <c r="O13" s="154" t="s">
        <v>120</v>
      </c>
      <c r="P13" s="154">
        <v>27143</v>
      </c>
      <c r="Q13" s="154" t="s">
        <v>913</v>
      </c>
      <c r="R13" s="154">
        <v>4</v>
      </c>
      <c r="S13" s="154" t="s">
        <v>914</v>
      </c>
      <c r="T13" s="154" t="s">
        <v>941</v>
      </c>
      <c r="U13" s="154" t="s">
        <v>924</v>
      </c>
      <c r="V13" s="154" t="s">
        <v>925</v>
      </c>
      <c r="W13" s="154" t="s">
        <v>111</v>
      </c>
      <c r="X13" s="154" t="s">
        <v>942</v>
      </c>
    </row>
    <row r="14" spans="1:24">
      <c r="A14" s="154" t="s">
        <v>102</v>
      </c>
      <c r="B14" s="154" t="s">
        <v>1401</v>
      </c>
      <c r="C14" s="155">
        <v>45967</v>
      </c>
      <c r="D14" s="155">
        <v>45967</v>
      </c>
      <c r="E14" s="159">
        <v>3330.33</v>
      </c>
      <c r="F14" s="159">
        <v>3330.33</v>
      </c>
      <c r="G14" s="159">
        <v>3330.33</v>
      </c>
      <c r="H14" s="184">
        <f t="shared" si="0"/>
        <v>45978</v>
      </c>
      <c r="I14" s="187" cm="1">
        <f t="array" ref="I14">G14*[15]!CalculateINPC(C14,H14,-1)</f>
        <v>3330.33</v>
      </c>
      <c r="J14" s="187">
        <f t="shared" si="1"/>
        <v>3357.1355115389852</v>
      </c>
      <c r="K14" s="187" cm="1">
        <f t="array" ref="K14">[15]!CalculateDICetip(C14,H14,1)*G14</f>
        <v>3343.2035904347999</v>
      </c>
      <c r="L14" s="154">
        <v>278997</v>
      </c>
      <c r="M14" s="154" t="s">
        <v>258</v>
      </c>
      <c r="N14" s="154" t="s">
        <v>149</v>
      </c>
      <c r="O14" s="154" t="s">
        <v>150</v>
      </c>
      <c r="P14" s="154">
        <v>27156</v>
      </c>
      <c r="Q14" s="154" t="s">
        <v>943</v>
      </c>
      <c r="R14" s="154">
        <v>4</v>
      </c>
      <c r="S14" s="154" t="s">
        <v>914</v>
      </c>
      <c r="T14" s="154" t="s">
        <v>944</v>
      </c>
      <c r="U14" s="154" t="s">
        <v>924</v>
      </c>
      <c r="V14" s="154" t="s">
        <v>925</v>
      </c>
      <c r="W14" s="154" t="s">
        <v>117</v>
      </c>
      <c r="X14" s="154" t="s">
        <v>945</v>
      </c>
    </row>
    <row r="15" spans="1:24">
      <c r="A15" s="154" t="s">
        <v>102</v>
      </c>
      <c r="B15" s="154" t="s">
        <v>1401</v>
      </c>
      <c r="C15" s="155">
        <v>45967</v>
      </c>
      <c r="D15" s="155">
        <v>45967</v>
      </c>
      <c r="E15" s="159">
        <v>3863.26</v>
      </c>
      <c r="F15" s="159">
        <v>3863.26</v>
      </c>
      <c r="G15" s="159">
        <v>3863.26</v>
      </c>
      <c r="H15" s="184">
        <f t="shared" si="0"/>
        <v>45978</v>
      </c>
      <c r="I15" s="187" cm="1">
        <f t="array" ref="I15">G15*[15]!CalculateINPC(C15,H15,-1)</f>
        <v>3863.26</v>
      </c>
      <c r="J15" s="187">
        <f t="shared" si="1"/>
        <v>3894.3550147607298</v>
      </c>
      <c r="K15" s="187" cm="1">
        <f t="array" ref="K15">[15]!CalculateDICetip(C15,H15,1)*G15</f>
        <v>3878.1936633256</v>
      </c>
      <c r="L15" s="154">
        <v>278990</v>
      </c>
      <c r="M15" s="154" t="s">
        <v>258</v>
      </c>
      <c r="N15" s="154" t="s">
        <v>149</v>
      </c>
      <c r="O15" s="154" t="s">
        <v>150</v>
      </c>
      <c r="P15" s="154">
        <v>27154</v>
      </c>
      <c r="Q15" s="154" t="s">
        <v>946</v>
      </c>
      <c r="R15" s="154">
        <v>4</v>
      </c>
      <c r="S15" s="154" t="s">
        <v>914</v>
      </c>
      <c r="T15" s="154" t="s">
        <v>947</v>
      </c>
      <c r="U15" s="154" t="s">
        <v>924</v>
      </c>
      <c r="V15" s="154" t="s">
        <v>925</v>
      </c>
      <c r="W15" s="154" t="s">
        <v>221</v>
      </c>
      <c r="X15" s="154" t="s">
        <v>948</v>
      </c>
    </row>
    <row r="16" spans="1:24">
      <c r="A16" s="154" t="s">
        <v>102</v>
      </c>
      <c r="B16" s="154" t="s">
        <v>1401</v>
      </c>
      <c r="C16" s="155">
        <v>45967</v>
      </c>
      <c r="D16" s="155">
        <v>45967</v>
      </c>
      <c r="E16" s="159">
        <v>7217.43</v>
      </c>
      <c r="F16" s="159">
        <v>7217.43</v>
      </c>
      <c r="G16" s="159">
        <v>7217.43</v>
      </c>
      <c r="H16" s="184">
        <f t="shared" si="0"/>
        <v>45978</v>
      </c>
      <c r="I16" s="187" cm="1">
        <f t="array" ref="I16">G16*[15]!CalculateINPC(C16,H16,-1)</f>
        <v>7217.43</v>
      </c>
      <c r="J16" s="187">
        <f t="shared" si="1"/>
        <v>7275.5224122074451</v>
      </c>
      <c r="K16" s="187" cm="1">
        <f t="array" ref="K16">[15]!CalculateDICetip(C16,H16,1)*G16</f>
        <v>7245.3294087107997</v>
      </c>
      <c r="L16" s="154">
        <v>278992</v>
      </c>
      <c r="M16" s="154" t="s">
        <v>258</v>
      </c>
      <c r="N16" s="154" t="s">
        <v>149</v>
      </c>
      <c r="O16" s="154" t="s">
        <v>150</v>
      </c>
      <c r="P16" s="154">
        <v>27149</v>
      </c>
      <c r="Q16" s="154" t="s">
        <v>949</v>
      </c>
      <c r="R16" s="154">
        <v>4</v>
      </c>
      <c r="S16" s="154" t="s">
        <v>914</v>
      </c>
      <c r="T16" s="154" t="s">
        <v>950</v>
      </c>
      <c r="U16" s="154" t="s">
        <v>924</v>
      </c>
      <c r="V16" s="154" t="s">
        <v>925</v>
      </c>
      <c r="W16" s="154" t="s">
        <v>117</v>
      </c>
      <c r="X16" s="154" t="s">
        <v>951</v>
      </c>
    </row>
    <row r="17" spans="1:24">
      <c r="A17" s="154" t="s">
        <v>102</v>
      </c>
      <c r="B17" s="154" t="s">
        <v>1401</v>
      </c>
      <c r="C17" s="155">
        <v>45967</v>
      </c>
      <c r="D17" s="155">
        <v>45967</v>
      </c>
      <c r="E17" s="159">
        <v>3824.66</v>
      </c>
      <c r="F17" s="159">
        <v>3824.66</v>
      </c>
      <c r="G17" s="159">
        <v>3824.66</v>
      </c>
      <c r="H17" s="184">
        <f t="shared" si="0"/>
        <v>45978</v>
      </c>
      <c r="I17" s="187" cm="1">
        <f t="array" ref="I17">G17*[15]!CalculateINPC(C17,H17,-1)</f>
        <v>3824.66</v>
      </c>
      <c r="J17" s="187">
        <f t="shared" si="1"/>
        <v>3855.4443270074421</v>
      </c>
      <c r="K17" s="187" cm="1">
        <f t="array" ref="K17">[15]!CalculateDICetip(C17,H17,1)*G17</f>
        <v>3839.4444527095998</v>
      </c>
      <c r="L17" s="154">
        <v>278995</v>
      </c>
      <c r="M17" s="154" t="s">
        <v>258</v>
      </c>
      <c r="N17" s="154" t="s">
        <v>149</v>
      </c>
      <c r="O17" s="154" t="s">
        <v>150</v>
      </c>
      <c r="P17" s="154">
        <v>27149</v>
      </c>
      <c r="Q17" s="154" t="s">
        <v>949</v>
      </c>
      <c r="R17" s="154">
        <v>4</v>
      </c>
      <c r="S17" s="154" t="s">
        <v>914</v>
      </c>
      <c r="T17" s="154" t="s">
        <v>952</v>
      </c>
      <c r="U17" s="154" t="s">
        <v>924</v>
      </c>
      <c r="V17" s="154" t="s">
        <v>925</v>
      </c>
      <c r="W17" s="154" t="s">
        <v>117</v>
      </c>
      <c r="X17" s="154" t="s">
        <v>953</v>
      </c>
    </row>
    <row r="18" spans="1:24">
      <c r="A18" s="154" t="s">
        <v>102</v>
      </c>
      <c r="B18" s="154" t="s">
        <v>1401</v>
      </c>
      <c r="C18" s="155">
        <v>45876</v>
      </c>
      <c r="D18" s="155">
        <v>45870</v>
      </c>
      <c r="E18" s="159">
        <v>5930</v>
      </c>
      <c r="F18" s="159">
        <v>309.99999999998403</v>
      </c>
      <c r="G18" s="159">
        <v>309.99999999998403</v>
      </c>
      <c r="H18" s="184">
        <f t="shared" si="0"/>
        <v>45978</v>
      </c>
      <c r="I18" s="187" cm="1">
        <f t="array" ref="I18">G18*[15]!CalculateINPC(C18,H18,-1)</f>
        <v>311.05067059998402</v>
      </c>
      <c r="J18" s="187">
        <f t="shared" si="1"/>
        <v>333.92246959776264</v>
      </c>
      <c r="K18" s="187" cm="1">
        <f t="array" ref="K18">[15]!CalculateDICetip(C18,H18,1)*G18</f>
        <v>322.54919989998336</v>
      </c>
      <c r="L18" s="154">
        <v>267268</v>
      </c>
      <c r="M18" s="154" t="s">
        <v>797</v>
      </c>
      <c r="N18" s="154" t="s">
        <v>706</v>
      </c>
      <c r="O18" s="154" t="s">
        <v>707</v>
      </c>
      <c r="P18" s="154">
        <v>27156</v>
      </c>
      <c r="Q18" s="154" t="s">
        <v>943</v>
      </c>
      <c r="R18" s="154">
        <v>4</v>
      </c>
      <c r="S18" s="154" t="s">
        <v>914</v>
      </c>
      <c r="T18" s="154" t="s">
        <v>954</v>
      </c>
      <c r="U18" s="154" t="s">
        <v>916</v>
      </c>
      <c r="V18" s="154" t="s">
        <v>916</v>
      </c>
      <c r="W18" s="154" t="s">
        <v>130</v>
      </c>
      <c r="X18" s="154" t="s">
        <v>955</v>
      </c>
    </row>
    <row r="19" spans="1:24">
      <c r="A19" s="154" t="s">
        <v>102</v>
      </c>
      <c r="B19" s="154" t="s">
        <v>1401</v>
      </c>
      <c r="C19" s="155">
        <v>45876</v>
      </c>
      <c r="D19" s="155">
        <v>45870</v>
      </c>
      <c r="E19" s="159">
        <v>5930</v>
      </c>
      <c r="F19" s="159">
        <v>310.00000000004297</v>
      </c>
      <c r="G19" s="159">
        <v>310.00000000004297</v>
      </c>
      <c r="H19" s="184">
        <f t="shared" si="0"/>
        <v>45978</v>
      </c>
      <c r="I19" s="187" cm="1">
        <f t="array" ref="I19">G19*[15]!CalculateINPC(C19,H19,-1)</f>
        <v>311.05067060004313</v>
      </c>
      <c r="J19" s="187">
        <f t="shared" si="1"/>
        <v>333.92246959782614</v>
      </c>
      <c r="K19" s="187" cm="1">
        <f t="array" ref="K19">[15]!CalculateDICetip(C19,H19,1)*G19</f>
        <v>322.5491999000447</v>
      </c>
      <c r="L19" s="154">
        <v>267268</v>
      </c>
      <c r="M19" s="154" t="s">
        <v>797</v>
      </c>
      <c r="N19" s="154" t="s">
        <v>706</v>
      </c>
      <c r="O19" s="154" t="s">
        <v>707</v>
      </c>
      <c r="P19" s="154">
        <v>27162</v>
      </c>
      <c r="Q19" s="154" t="s">
        <v>936</v>
      </c>
      <c r="R19" s="154">
        <v>4</v>
      </c>
      <c r="S19" s="154" t="s">
        <v>914</v>
      </c>
      <c r="T19" s="154" t="s">
        <v>954</v>
      </c>
      <c r="U19" s="154" t="s">
        <v>916</v>
      </c>
      <c r="V19" s="154" t="s">
        <v>916</v>
      </c>
      <c r="W19" s="154" t="s">
        <v>130</v>
      </c>
      <c r="X19" s="154" t="s">
        <v>955</v>
      </c>
    </row>
    <row r="20" spans="1:24">
      <c r="A20" s="154" t="s">
        <v>102</v>
      </c>
      <c r="B20" s="154" t="s">
        <v>1401</v>
      </c>
      <c r="C20" s="155">
        <v>45876</v>
      </c>
      <c r="D20" s="155">
        <v>45870</v>
      </c>
      <c r="E20" s="159">
        <v>5930</v>
      </c>
      <c r="F20" s="159">
        <v>309.99999999998403</v>
      </c>
      <c r="G20" s="159">
        <v>309.99999999998403</v>
      </c>
      <c r="H20" s="184">
        <f t="shared" si="0"/>
        <v>45978</v>
      </c>
      <c r="I20" s="187" cm="1">
        <f t="array" ref="I20">G20*[15]!CalculateINPC(C20,H20,-1)</f>
        <v>311.05067059998402</v>
      </c>
      <c r="J20" s="187">
        <f t="shared" si="1"/>
        <v>333.92246959776264</v>
      </c>
      <c r="K20" s="187" cm="1">
        <f t="array" ref="K20">[15]!CalculateDICetip(C20,H20,1)*G20</f>
        <v>322.54919989998336</v>
      </c>
      <c r="L20" s="154">
        <v>267268</v>
      </c>
      <c r="M20" s="154" t="s">
        <v>797</v>
      </c>
      <c r="N20" s="154" t="s">
        <v>706</v>
      </c>
      <c r="O20" s="154" t="s">
        <v>707</v>
      </c>
      <c r="P20" s="154">
        <v>27159</v>
      </c>
      <c r="Q20" s="154" t="s">
        <v>918</v>
      </c>
      <c r="R20" s="154">
        <v>4</v>
      </c>
      <c r="S20" s="154" t="s">
        <v>914</v>
      </c>
      <c r="T20" s="154" t="s">
        <v>954</v>
      </c>
      <c r="U20" s="154" t="s">
        <v>916</v>
      </c>
      <c r="V20" s="154" t="s">
        <v>916</v>
      </c>
      <c r="W20" s="154" t="s">
        <v>130</v>
      </c>
      <c r="X20" s="154" t="s">
        <v>955</v>
      </c>
    </row>
    <row r="21" spans="1:24">
      <c r="A21" s="154" t="s">
        <v>102</v>
      </c>
      <c r="B21" s="154" t="s">
        <v>1401</v>
      </c>
      <c r="C21" s="155">
        <v>45908</v>
      </c>
      <c r="D21" s="155">
        <v>45901</v>
      </c>
      <c r="E21" s="159">
        <v>1526.34</v>
      </c>
      <c r="F21" s="159">
        <v>1526.34</v>
      </c>
      <c r="G21" s="159">
        <v>1526.34</v>
      </c>
      <c r="H21" s="184">
        <f t="shared" si="0"/>
        <v>45978</v>
      </c>
      <c r="I21" s="187" cm="1">
        <f t="array" ref="I21">G21*[15]!CalculateINPC(C21,H21,-1)</f>
        <v>1534.7369000321999</v>
      </c>
      <c r="J21" s="187">
        <f t="shared" si="1"/>
        <v>1606.2270576907406</v>
      </c>
      <c r="K21" s="187" cm="1">
        <f t="array" ref="K21">[15]!CalculateDICetip(C21,H21,1)*G21</f>
        <v>1568.9876643642001</v>
      </c>
      <c r="L21" s="154">
        <v>273265</v>
      </c>
      <c r="M21" s="154" t="s">
        <v>258</v>
      </c>
      <c r="N21" s="154" t="s">
        <v>149</v>
      </c>
      <c r="O21" s="154" t="s">
        <v>150</v>
      </c>
      <c r="P21" s="154">
        <v>27162</v>
      </c>
      <c r="Q21" s="154" t="s">
        <v>936</v>
      </c>
      <c r="R21" s="154">
        <v>4</v>
      </c>
      <c r="S21" s="154" t="s">
        <v>914</v>
      </c>
      <c r="T21" s="154" t="s">
        <v>956</v>
      </c>
      <c r="U21" s="154" t="s">
        <v>916</v>
      </c>
      <c r="V21" s="154" t="s">
        <v>916</v>
      </c>
      <c r="W21" s="154" t="s">
        <v>117</v>
      </c>
      <c r="X21" s="154" t="s">
        <v>957</v>
      </c>
    </row>
    <row r="22" spans="1:24">
      <c r="A22" s="154" t="s">
        <v>102</v>
      </c>
      <c r="B22" s="154" t="s">
        <v>1401</v>
      </c>
      <c r="C22" s="155">
        <v>45938</v>
      </c>
      <c r="D22" s="155">
        <v>45925</v>
      </c>
      <c r="E22" s="159">
        <v>273.39999999999998</v>
      </c>
      <c r="F22" s="159">
        <v>20.88</v>
      </c>
      <c r="G22" s="159">
        <v>20.88</v>
      </c>
      <c r="H22" s="184">
        <f t="shared" si="0"/>
        <v>45978</v>
      </c>
      <c r="I22" s="187" cm="1">
        <f t="array" ref="I22">G22*[15]!CalculateINPC(C22,H22,-1)</f>
        <v>20.886250219199997</v>
      </c>
      <c r="J22" s="187">
        <f t="shared" si="1"/>
        <v>21.497644004761337</v>
      </c>
      <c r="K22" s="187" cm="1">
        <f t="array" ref="K22">[15]!CalculateDICetip(C22,H22,1)*G22</f>
        <v>21.204728265599996</v>
      </c>
      <c r="L22" s="154">
        <v>272410</v>
      </c>
      <c r="M22" s="154" t="s">
        <v>200</v>
      </c>
      <c r="N22" s="154" t="s">
        <v>119</v>
      </c>
      <c r="O22" s="154" t="s">
        <v>120</v>
      </c>
      <c r="P22" s="154">
        <v>27162</v>
      </c>
      <c r="Q22" s="154" t="s">
        <v>936</v>
      </c>
      <c r="R22" s="154">
        <v>4</v>
      </c>
      <c r="S22" s="154" t="s">
        <v>914</v>
      </c>
      <c r="T22" s="154" t="s">
        <v>937</v>
      </c>
      <c r="U22" s="154" t="s">
        <v>924</v>
      </c>
      <c r="V22" s="154" t="s">
        <v>925</v>
      </c>
      <c r="W22" s="154" t="s">
        <v>111</v>
      </c>
      <c r="X22" s="154" t="s">
        <v>938</v>
      </c>
    </row>
    <row r="23" spans="1:24">
      <c r="A23" s="154" t="s">
        <v>102</v>
      </c>
      <c r="B23" s="154" t="s">
        <v>1401</v>
      </c>
      <c r="C23" s="155">
        <v>45938</v>
      </c>
      <c r="D23" s="155">
        <v>45925</v>
      </c>
      <c r="E23" s="159">
        <v>932.8</v>
      </c>
      <c r="F23" s="159">
        <v>232.04</v>
      </c>
      <c r="G23" s="159">
        <v>232.04</v>
      </c>
      <c r="H23" s="184">
        <f t="shared" si="0"/>
        <v>45978</v>
      </c>
      <c r="I23" s="187" cm="1">
        <f t="array" ref="I23">G23*[15]!CalculateINPC(C23,H23,-1)</f>
        <v>232.10945885359999</v>
      </c>
      <c r="J23" s="187">
        <f t="shared" si="1"/>
        <v>238.90389439007762</v>
      </c>
      <c r="K23" s="187" cm="1">
        <f t="array" ref="K23">[15]!CalculateDICetip(C23,H23,1)*G23</f>
        <v>235.64871392479998</v>
      </c>
      <c r="L23" s="154">
        <v>272387</v>
      </c>
      <c r="M23" s="154" t="s">
        <v>200</v>
      </c>
      <c r="N23" s="154" t="s">
        <v>119</v>
      </c>
      <c r="O23" s="154" t="s">
        <v>120</v>
      </c>
      <c r="P23" s="154">
        <v>27159</v>
      </c>
      <c r="Q23" s="154" t="s">
        <v>918</v>
      </c>
      <c r="R23" s="154">
        <v>4</v>
      </c>
      <c r="S23" s="154" t="s">
        <v>914</v>
      </c>
      <c r="T23" s="154" t="s">
        <v>958</v>
      </c>
      <c r="U23" s="154" t="s">
        <v>924</v>
      </c>
      <c r="V23" s="154" t="s">
        <v>925</v>
      </c>
      <c r="W23" s="154" t="s">
        <v>111</v>
      </c>
      <c r="X23" s="154" t="s">
        <v>959</v>
      </c>
    </row>
    <row r="24" spans="1:24">
      <c r="A24" s="154" t="s">
        <v>102</v>
      </c>
      <c r="B24" s="154" t="s">
        <v>1401</v>
      </c>
      <c r="C24" s="155">
        <v>45909</v>
      </c>
      <c r="D24" s="155">
        <v>45902</v>
      </c>
      <c r="E24" s="159">
        <v>1820</v>
      </c>
      <c r="F24" s="159">
        <v>309.99999999999898</v>
      </c>
      <c r="G24" s="159">
        <v>309.99999999999898</v>
      </c>
      <c r="H24" s="184">
        <f t="shared" si="0"/>
        <v>45978</v>
      </c>
      <c r="I24" s="187" cm="1">
        <f t="array" ref="I24">G24*[15]!CalculateINPC(C24,H24,-1)</f>
        <v>311.70541229999895</v>
      </c>
      <c r="J24" s="187">
        <f t="shared" si="1"/>
        <v>325.98741668700455</v>
      </c>
      <c r="K24" s="187" cm="1">
        <f t="array" ref="K24">[15]!CalculateDICetip(C24,H24,1)*G24</f>
        <v>318.48616629999896</v>
      </c>
      <c r="L24" s="154">
        <v>273270</v>
      </c>
      <c r="M24" s="154" t="s">
        <v>797</v>
      </c>
      <c r="N24" s="154" t="s">
        <v>706</v>
      </c>
      <c r="O24" s="154" t="s">
        <v>707</v>
      </c>
      <c r="P24" s="154">
        <v>27158</v>
      </c>
      <c r="Q24" s="154" t="s">
        <v>960</v>
      </c>
      <c r="R24" s="154">
        <v>4</v>
      </c>
      <c r="S24" s="154" t="s">
        <v>914</v>
      </c>
      <c r="T24" s="154" t="s">
        <v>961</v>
      </c>
      <c r="U24" s="154" t="s">
        <v>916</v>
      </c>
      <c r="V24" s="154" t="s">
        <v>916</v>
      </c>
      <c r="W24" s="154" t="s">
        <v>130</v>
      </c>
      <c r="X24" s="154" t="s">
        <v>962</v>
      </c>
    </row>
    <row r="25" spans="1:24">
      <c r="A25" s="154" t="s">
        <v>102</v>
      </c>
      <c r="B25" s="154" t="s">
        <v>1401</v>
      </c>
      <c r="C25" s="155">
        <v>45909</v>
      </c>
      <c r="D25" s="155">
        <v>45902</v>
      </c>
      <c r="E25" s="159">
        <v>1820</v>
      </c>
      <c r="F25" s="159">
        <v>600.00000000000102</v>
      </c>
      <c r="G25" s="159">
        <v>600.00000000000102</v>
      </c>
      <c r="H25" s="184">
        <f t="shared" si="0"/>
        <v>45978</v>
      </c>
      <c r="I25" s="187" cm="1">
        <f t="array" ref="I25">G25*[15]!CalculateINPC(C25,H25,-1)</f>
        <v>603.30079800000101</v>
      </c>
      <c r="J25" s="187">
        <f t="shared" si="1"/>
        <v>630.94338713614093</v>
      </c>
      <c r="K25" s="187" cm="1">
        <f t="array" ref="K25">[15]!CalculateDICetip(C25,H25,1)*G25</f>
        <v>616.42483800000105</v>
      </c>
      <c r="L25" s="154">
        <v>273270</v>
      </c>
      <c r="M25" s="154" t="s">
        <v>797</v>
      </c>
      <c r="N25" s="154" t="s">
        <v>706</v>
      </c>
      <c r="O25" s="154" t="s">
        <v>707</v>
      </c>
      <c r="P25" s="154">
        <v>27143</v>
      </c>
      <c r="Q25" s="154" t="s">
        <v>913</v>
      </c>
      <c r="R25" s="154">
        <v>4</v>
      </c>
      <c r="S25" s="154" t="s">
        <v>914</v>
      </c>
      <c r="T25" s="154" t="s">
        <v>961</v>
      </c>
      <c r="U25" s="154" t="s">
        <v>916</v>
      </c>
      <c r="V25" s="154" t="s">
        <v>916</v>
      </c>
      <c r="W25" s="154" t="s">
        <v>130</v>
      </c>
      <c r="X25" s="154" t="s">
        <v>962</v>
      </c>
    </row>
    <row r="26" spans="1:24">
      <c r="A26" s="154" t="s">
        <v>102</v>
      </c>
      <c r="B26" s="154" t="s">
        <v>1401</v>
      </c>
      <c r="C26" s="155">
        <v>45909</v>
      </c>
      <c r="D26" s="155">
        <v>45902</v>
      </c>
      <c r="E26" s="159">
        <v>1820</v>
      </c>
      <c r="F26" s="159">
        <v>600.00000000000102</v>
      </c>
      <c r="G26" s="159">
        <v>600.00000000000102</v>
      </c>
      <c r="H26" s="184">
        <f t="shared" si="0"/>
        <v>45978</v>
      </c>
      <c r="I26" s="187" cm="1">
        <f t="array" ref="I26">G26*[15]!CalculateINPC(C26,H26,-1)</f>
        <v>603.30079800000101</v>
      </c>
      <c r="J26" s="187">
        <f t="shared" si="1"/>
        <v>630.94338713614093</v>
      </c>
      <c r="K26" s="187" cm="1">
        <f t="array" ref="K26">[15]!CalculateDICetip(C26,H26,1)*G26</f>
        <v>616.42483800000105</v>
      </c>
      <c r="L26" s="154">
        <v>273270</v>
      </c>
      <c r="M26" s="154" t="s">
        <v>797</v>
      </c>
      <c r="N26" s="154" t="s">
        <v>706</v>
      </c>
      <c r="O26" s="154" t="s">
        <v>707</v>
      </c>
      <c r="P26" s="154">
        <v>27156</v>
      </c>
      <c r="Q26" s="154" t="s">
        <v>943</v>
      </c>
      <c r="R26" s="154">
        <v>4</v>
      </c>
      <c r="S26" s="154" t="s">
        <v>914</v>
      </c>
      <c r="T26" s="154" t="s">
        <v>961</v>
      </c>
      <c r="U26" s="154" t="s">
        <v>916</v>
      </c>
      <c r="V26" s="154" t="s">
        <v>916</v>
      </c>
      <c r="W26" s="154" t="s">
        <v>130</v>
      </c>
      <c r="X26" s="154" t="s">
        <v>962</v>
      </c>
    </row>
    <row r="27" spans="1:24">
      <c r="A27" s="154" t="s">
        <v>102</v>
      </c>
      <c r="B27" s="154" t="s">
        <v>1401</v>
      </c>
      <c r="C27" s="155">
        <v>45909</v>
      </c>
      <c r="D27" s="155">
        <v>45902</v>
      </c>
      <c r="E27" s="159">
        <v>1820</v>
      </c>
      <c r="F27" s="159">
        <v>309.99999999999898</v>
      </c>
      <c r="G27" s="159">
        <v>309.99999999999898</v>
      </c>
      <c r="H27" s="184">
        <f t="shared" si="0"/>
        <v>45978</v>
      </c>
      <c r="I27" s="187" cm="1">
        <f t="array" ref="I27">G27*[15]!CalculateINPC(C27,H27,-1)</f>
        <v>311.70541229999895</v>
      </c>
      <c r="J27" s="187">
        <f t="shared" si="1"/>
        <v>325.98741668700455</v>
      </c>
      <c r="K27" s="187" cm="1">
        <f t="array" ref="K27">[15]!CalculateDICetip(C27,H27,1)*G27</f>
        <v>318.48616629999896</v>
      </c>
      <c r="L27" s="154">
        <v>273270</v>
      </c>
      <c r="M27" s="154" t="s">
        <v>797</v>
      </c>
      <c r="N27" s="154" t="s">
        <v>706</v>
      </c>
      <c r="O27" s="154" t="s">
        <v>707</v>
      </c>
      <c r="P27" s="154">
        <v>27149</v>
      </c>
      <c r="Q27" s="154" t="s">
        <v>949</v>
      </c>
      <c r="R27" s="154">
        <v>4</v>
      </c>
      <c r="S27" s="154" t="s">
        <v>914</v>
      </c>
      <c r="T27" s="154" t="s">
        <v>961</v>
      </c>
      <c r="U27" s="154" t="s">
        <v>916</v>
      </c>
      <c r="V27" s="154" t="s">
        <v>916</v>
      </c>
      <c r="W27" s="154" t="s">
        <v>130</v>
      </c>
      <c r="X27" s="154" t="s">
        <v>962</v>
      </c>
    </row>
    <row r="28" spans="1:24">
      <c r="A28" s="154" t="s">
        <v>102</v>
      </c>
      <c r="B28" s="154" t="s">
        <v>1401</v>
      </c>
      <c r="C28" s="155">
        <v>45971</v>
      </c>
      <c r="D28" s="155">
        <v>45967</v>
      </c>
      <c r="E28" s="159">
        <v>35684.879999999997</v>
      </c>
      <c r="F28" s="159">
        <v>2640.53</v>
      </c>
      <c r="G28" s="159">
        <v>2640.53</v>
      </c>
      <c r="H28" s="184">
        <f t="shared" si="0"/>
        <v>45978</v>
      </c>
      <c r="I28" s="187" cm="1">
        <f t="array" ref="I28">G28*[15]!CalculateINPC(C28,H28,-1)</f>
        <v>2640.53</v>
      </c>
      <c r="J28" s="187">
        <f t="shared" si="1"/>
        <v>2654.0351552216848</v>
      </c>
      <c r="K28" s="187" cm="1">
        <f t="array" ref="K28">[15]!CalculateDICetip(C28,H28,1)*G28</f>
        <v>2647.8167801826999</v>
      </c>
      <c r="L28" s="154">
        <v>278941</v>
      </c>
      <c r="M28" s="154" t="s">
        <v>200</v>
      </c>
      <c r="N28" s="154" t="s">
        <v>119</v>
      </c>
      <c r="O28" s="154" t="s">
        <v>120</v>
      </c>
      <c r="P28" s="154">
        <v>27143</v>
      </c>
      <c r="Q28" s="154" t="s">
        <v>913</v>
      </c>
      <c r="R28" s="154">
        <v>4</v>
      </c>
      <c r="S28" s="154" t="s">
        <v>914</v>
      </c>
      <c r="T28" s="154" t="s">
        <v>941</v>
      </c>
      <c r="U28" s="154" t="s">
        <v>924</v>
      </c>
      <c r="V28" s="154" t="s">
        <v>925</v>
      </c>
      <c r="W28" s="154" t="s">
        <v>111</v>
      </c>
      <c r="X28" s="154" t="s">
        <v>942</v>
      </c>
    </row>
    <row r="29" spans="1:24">
      <c r="A29" s="154" t="s">
        <v>102</v>
      </c>
      <c r="B29" s="154" t="s">
        <v>1401</v>
      </c>
      <c r="C29" s="155">
        <v>45912</v>
      </c>
      <c r="D29" s="155">
        <v>45901</v>
      </c>
      <c r="E29" s="159">
        <v>3350.33</v>
      </c>
      <c r="F29" s="159">
        <v>1675.160000000006</v>
      </c>
      <c r="G29" s="159">
        <v>1675.160000000006</v>
      </c>
      <c r="H29" s="184">
        <f t="shared" si="0"/>
        <v>45978</v>
      </c>
      <c r="I29" s="187" cm="1">
        <f t="array" ref="I29">G29*[15]!CalculateINPC(C29,H29,-1)</f>
        <v>1684.375607962806</v>
      </c>
      <c r="J29" s="187">
        <f t="shared" si="1"/>
        <v>1757.7046790366337</v>
      </c>
      <c r="K29" s="187" cm="1">
        <f t="array" ref="K29">[15]!CalculateDICetip(C29,H29,1)*G29</f>
        <v>1718.173753384006</v>
      </c>
      <c r="L29" s="154">
        <v>273273</v>
      </c>
      <c r="M29" s="154" t="s">
        <v>258</v>
      </c>
      <c r="N29" s="154" t="s">
        <v>149</v>
      </c>
      <c r="O29" s="154" t="s">
        <v>150</v>
      </c>
      <c r="P29" s="154">
        <v>27159</v>
      </c>
      <c r="Q29" s="154" t="s">
        <v>918</v>
      </c>
      <c r="R29" s="154">
        <v>4</v>
      </c>
      <c r="S29" s="154" t="s">
        <v>914</v>
      </c>
      <c r="T29" s="154" t="s">
        <v>963</v>
      </c>
      <c r="U29" s="154" t="s">
        <v>916</v>
      </c>
      <c r="V29" s="154" t="s">
        <v>916</v>
      </c>
      <c r="W29" s="154" t="s">
        <v>117</v>
      </c>
      <c r="X29" s="154" t="s">
        <v>964</v>
      </c>
    </row>
    <row r="30" spans="1:24">
      <c r="A30" s="154" t="s">
        <v>102</v>
      </c>
      <c r="B30" s="154" t="s">
        <v>1401</v>
      </c>
      <c r="C30" s="155">
        <v>45912</v>
      </c>
      <c r="D30" s="155">
        <v>45901</v>
      </c>
      <c r="E30" s="159">
        <v>3350.33</v>
      </c>
      <c r="F30" s="159">
        <v>1675.1699999999939</v>
      </c>
      <c r="G30" s="159">
        <v>1675.1699999999939</v>
      </c>
      <c r="H30" s="184">
        <f t="shared" si="0"/>
        <v>45978</v>
      </c>
      <c r="I30" s="187" cm="1">
        <f t="array" ref="I30">G30*[15]!CalculateINPC(C30,H30,-1)</f>
        <v>1684.385662976094</v>
      </c>
      <c r="J30" s="187">
        <f t="shared" si="1"/>
        <v>1757.7151717936058</v>
      </c>
      <c r="K30" s="187" cm="1">
        <f t="array" ref="K30">[15]!CalculateDICetip(C30,H30,1)*G30</f>
        <v>1718.1840101579937</v>
      </c>
      <c r="L30" s="154">
        <v>273273</v>
      </c>
      <c r="M30" s="154" t="s">
        <v>258</v>
      </c>
      <c r="N30" s="154" t="s">
        <v>149</v>
      </c>
      <c r="O30" s="154" t="s">
        <v>150</v>
      </c>
      <c r="P30" s="154">
        <v>27162</v>
      </c>
      <c r="Q30" s="154" t="s">
        <v>936</v>
      </c>
      <c r="R30" s="154">
        <v>4</v>
      </c>
      <c r="S30" s="154" t="s">
        <v>914</v>
      </c>
      <c r="T30" s="154" t="s">
        <v>963</v>
      </c>
      <c r="U30" s="154" t="s">
        <v>916</v>
      </c>
      <c r="V30" s="154" t="s">
        <v>916</v>
      </c>
      <c r="W30" s="154" t="s">
        <v>117</v>
      </c>
      <c r="X30" s="154" t="s">
        <v>964</v>
      </c>
    </row>
    <row r="31" spans="1:24">
      <c r="A31" s="154" t="s">
        <v>102</v>
      </c>
      <c r="B31" s="154" t="s">
        <v>1401</v>
      </c>
      <c r="C31" s="155">
        <v>45975</v>
      </c>
      <c r="D31" s="155">
        <v>45972</v>
      </c>
      <c r="E31" s="159">
        <v>12026.67</v>
      </c>
      <c r="F31" s="159">
        <v>12026.67</v>
      </c>
      <c r="G31" s="159">
        <v>12026.67</v>
      </c>
      <c r="H31" s="184">
        <f t="shared" si="0"/>
        <v>45978</v>
      </c>
      <c r="I31" s="187" cm="1">
        <f t="array" ref="I31">G31*[15]!CalculateINPC(C31,H31,-1)</f>
        <v>12026.67</v>
      </c>
      <c r="J31" s="187">
        <f t="shared" si="1"/>
        <v>12052.993502862151</v>
      </c>
      <c r="K31" s="187" cm="1">
        <f t="array" ref="K31">[15]!CalculateDICetip(C31,H31,1)*G31</f>
        <v>12033.3004234377</v>
      </c>
      <c r="L31" s="154">
        <v>280320</v>
      </c>
      <c r="M31" s="154" t="s">
        <v>200</v>
      </c>
      <c r="N31" s="154" t="s">
        <v>965</v>
      </c>
      <c r="O31" s="154" t="s">
        <v>966</v>
      </c>
      <c r="P31" s="154">
        <v>27145</v>
      </c>
      <c r="Q31" s="154" t="s">
        <v>967</v>
      </c>
      <c r="R31" s="154">
        <v>4</v>
      </c>
      <c r="S31" s="154" t="s">
        <v>914</v>
      </c>
      <c r="T31" s="154" t="s">
        <v>968</v>
      </c>
      <c r="U31" s="154" t="s">
        <v>924</v>
      </c>
      <c r="V31" s="154" t="s">
        <v>925</v>
      </c>
      <c r="W31" s="154" t="s">
        <v>111</v>
      </c>
      <c r="X31" s="154" t="s">
        <v>969</v>
      </c>
    </row>
    <row r="32" spans="1:24">
      <c r="A32" s="154" t="s">
        <v>102</v>
      </c>
      <c r="B32" s="154" t="s">
        <v>1401</v>
      </c>
      <c r="C32" s="155">
        <v>45975</v>
      </c>
      <c r="D32" s="155">
        <v>45972</v>
      </c>
      <c r="E32" s="159">
        <v>4613.33</v>
      </c>
      <c r="F32" s="159">
        <v>4613.33</v>
      </c>
      <c r="G32" s="159">
        <v>4613.33</v>
      </c>
      <c r="H32" s="184">
        <f t="shared" si="0"/>
        <v>45978</v>
      </c>
      <c r="I32" s="187" cm="1">
        <f t="array" ref="I32">G32*[15]!CalculateINPC(C32,H32,-1)</f>
        <v>4613.33</v>
      </c>
      <c r="J32" s="187">
        <f t="shared" si="1"/>
        <v>4623.4274754823282</v>
      </c>
      <c r="K32" s="187" cm="1">
        <f t="array" ref="K32">[15]!CalculateDICetip(C32,H32,1)*G32</f>
        <v>4615.8733749623007</v>
      </c>
      <c r="L32" s="154">
        <v>280140</v>
      </c>
      <c r="M32" s="154" t="s">
        <v>200</v>
      </c>
      <c r="N32" s="154" t="s">
        <v>965</v>
      </c>
      <c r="O32" s="154" t="s">
        <v>966</v>
      </c>
      <c r="P32" s="154">
        <v>27151</v>
      </c>
      <c r="Q32" s="154" t="s">
        <v>970</v>
      </c>
      <c r="R32" s="154">
        <v>4</v>
      </c>
      <c r="S32" s="154" t="s">
        <v>914</v>
      </c>
      <c r="T32" s="154" t="s">
        <v>971</v>
      </c>
      <c r="U32" s="154" t="s">
        <v>924</v>
      </c>
      <c r="V32" s="154" t="s">
        <v>925</v>
      </c>
      <c r="W32" s="154" t="s">
        <v>111</v>
      </c>
      <c r="X32" s="154" t="s">
        <v>972</v>
      </c>
    </row>
    <row r="33" spans="1:24">
      <c r="A33" s="154" t="s">
        <v>102</v>
      </c>
      <c r="B33" s="154" t="s">
        <v>1401</v>
      </c>
      <c r="C33" s="155">
        <v>45975</v>
      </c>
      <c r="D33" s="155">
        <v>45972</v>
      </c>
      <c r="E33" s="159">
        <v>11460</v>
      </c>
      <c r="F33" s="159">
        <v>11460</v>
      </c>
      <c r="G33" s="159">
        <v>11460</v>
      </c>
      <c r="H33" s="184">
        <f t="shared" si="0"/>
        <v>45978</v>
      </c>
      <c r="I33" s="187" cm="1">
        <f t="array" ref="I33">G33*[15]!CalculateINPC(C33,H33,-1)</f>
        <v>11460</v>
      </c>
      <c r="J33" s="187">
        <f t="shared" si="1"/>
        <v>11485.083197826185</v>
      </c>
      <c r="K33" s="187" cm="1">
        <f t="array" ref="K33">[15]!CalculateDICetip(C33,H33,1)*G33</f>
        <v>11466.318012600001</v>
      </c>
      <c r="L33" s="154">
        <v>280315</v>
      </c>
      <c r="M33" s="154" t="s">
        <v>200</v>
      </c>
      <c r="N33" s="154" t="s">
        <v>965</v>
      </c>
      <c r="O33" s="154" t="s">
        <v>966</v>
      </c>
      <c r="P33" s="154">
        <v>27146</v>
      </c>
      <c r="Q33" s="154" t="s">
        <v>973</v>
      </c>
      <c r="R33" s="154">
        <v>4</v>
      </c>
      <c r="S33" s="154" t="s">
        <v>914</v>
      </c>
      <c r="T33" s="154" t="s">
        <v>974</v>
      </c>
      <c r="U33" s="154" t="s">
        <v>924</v>
      </c>
      <c r="V33" s="154" t="s">
        <v>925</v>
      </c>
      <c r="W33" s="154" t="s">
        <v>111</v>
      </c>
      <c r="X33" s="154" t="s">
        <v>975</v>
      </c>
    </row>
    <row r="34" spans="1:24">
      <c r="A34" s="154" t="s">
        <v>102</v>
      </c>
      <c r="B34" s="154" t="s">
        <v>1401</v>
      </c>
      <c r="C34" s="155">
        <v>45975</v>
      </c>
      <c r="D34" s="155">
        <v>45972</v>
      </c>
      <c r="E34" s="159">
        <v>9140</v>
      </c>
      <c r="F34" s="159">
        <v>9140</v>
      </c>
      <c r="G34" s="159">
        <v>9140</v>
      </c>
      <c r="H34" s="184">
        <f t="shared" si="0"/>
        <v>45978</v>
      </c>
      <c r="I34" s="187" cm="1">
        <f t="array" ref="I34">G34*[15]!CalculateINPC(C34,H34,-1)</f>
        <v>9140</v>
      </c>
      <c r="J34" s="187">
        <f t="shared" si="1"/>
        <v>9160.0052729608506</v>
      </c>
      <c r="K34" s="187" cm="1">
        <f t="array" ref="K34">[15]!CalculateDICetip(C34,H34,1)*G34</f>
        <v>9145.0389734</v>
      </c>
      <c r="L34" s="154">
        <v>280313</v>
      </c>
      <c r="M34" s="154" t="s">
        <v>200</v>
      </c>
      <c r="N34" s="154" t="s">
        <v>965</v>
      </c>
      <c r="O34" s="154" t="s">
        <v>966</v>
      </c>
      <c r="P34" s="154">
        <v>27160</v>
      </c>
      <c r="Q34" s="154" t="s">
        <v>976</v>
      </c>
      <c r="R34" s="154">
        <v>4</v>
      </c>
      <c r="S34" s="154" t="s">
        <v>914</v>
      </c>
      <c r="T34" s="154" t="s">
        <v>977</v>
      </c>
      <c r="U34" s="154" t="s">
        <v>924</v>
      </c>
      <c r="V34" s="154" t="s">
        <v>925</v>
      </c>
      <c r="W34" s="154" t="s">
        <v>111</v>
      </c>
      <c r="X34" s="154" t="s">
        <v>978</v>
      </c>
    </row>
    <row r="35" spans="1:24">
      <c r="A35" s="154" t="s">
        <v>102</v>
      </c>
      <c r="B35" s="154" t="s">
        <v>1401</v>
      </c>
      <c r="C35" s="155">
        <v>45945</v>
      </c>
      <c r="D35" s="155">
        <v>45922</v>
      </c>
      <c r="E35" s="159">
        <v>2216.41</v>
      </c>
      <c r="F35" s="159">
        <v>9.9738450000000007</v>
      </c>
      <c r="G35" s="159">
        <v>9.9738450000000007</v>
      </c>
      <c r="H35" s="184">
        <f t="shared" si="0"/>
        <v>45978</v>
      </c>
      <c r="I35" s="187" cm="1">
        <f t="array" ref="I35">G35*[15]!CalculateINPC(C35,H35,-1)</f>
        <v>9.9768305707623011</v>
      </c>
      <c r="J35" s="187">
        <f t="shared" si="1"/>
        <v>10.216624272289673</v>
      </c>
      <c r="K35" s="187" cm="1">
        <f t="array" ref="K35">[15]!CalculateDICetip(C35,H35,1)*G35</f>
        <v>10.101084532295401</v>
      </c>
      <c r="L35" s="154">
        <v>277639</v>
      </c>
      <c r="M35" s="154" t="s">
        <v>979</v>
      </c>
      <c r="N35" s="154" t="s">
        <v>980</v>
      </c>
      <c r="O35" s="154" t="s">
        <v>981</v>
      </c>
      <c r="P35" s="154">
        <v>29661</v>
      </c>
      <c r="Q35" s="154" t="s">
        <v>922</v>
      </c>
      <c r="R35" s="154">
        <v>4</v>
      </c>
      <c r="S35" s="154" t="s">
        <v>914</v>
      </c>
      <c r="T35" s="154" t="s">
        <v>982</v>
      </c>
      <c r="U35" s="154" t="s">
        <v>916</v>
      </c>
      <c r="V35" s="154" t="s">
        <v>916</v>
      </c>
      <c r="W35" s="154" t="s">
        <v>130</v>
      </c>
      <c r="X35" s="154" t="s">
        <v>983</v>
      </c>
    </row>
    <row r="36" spans="1:24">
      <c r="A36" s="154" t="s">
        <v>102</v>
      </c>
      <c r="B36" s="154" t="s">
        <v>1401</v>
      </c>
      <c r="C36" s="155">
        <v>45916</v>
      </c>
      <c r="D36" s="155">
        <v>45912</v>
      </c>
      <c r="E36" s="159">
        <v>439.91</v>
      </c>
      <c r="F36" s="159">
        <v>1.5400000000009999</v>
      </c>
      <c r="G36" s="159">
        <v>1.5400000000009999</v>
      </c>
      <c r="H36" s="184">
        <f t="shared" si="0"/>
        <v>45978</v>
      </c>
      <c r="I36" s="187" cm="1">
        <f t="array" ref="I36">G36*[15]!CalculateINPC(C36,H36,-1)</f>
        <v>1.5484720482010053</v>
      </c>
      <c r="J36" s="187">
        <f t="shared" si="1"/>
        <v>1.6111808753343562</v>
      </c>
      <c r="K36" s="187" cm="1">
        <f t="array" ref="K36">[15]!CalculateDICetip(C36,H36,1)*G36</f>
        <v>1.5778029960010247</v>
      </c>
      <c r="L36" s="154">
        <v>273607</v>
      </c>
      <c r="M36" s="154" t="s">
        <v>411</v>
      </c>
      <c r="N36" s="154" t="s">
        <v>645</v>
      </c>
      <c r="O36" s="154" t="s">
        <v>646</v>
      </c>
      <c r="P36" s="154">
        <v>27146</v>
      </c>
      <c r="Q36" s="154" t="s">
        <v>973</v>
      </c>
      <c r="R36" s="154">
        <v>4</v>
      </c>
      <c r="S36" s="154" t="s">
        <v>914</v>
      </c>
      <c r="T36" s="154" t="s">
        <v>984</v>
      </c>
      <c r="U36" s="154" t="s">
        <v>916</v>
      </c>
      <c r="V36" s="154" t="s">
        <v>916</v>
      </c>
      <c r="W36" s="154" t="s">
        <v>333</v>
      </c>
      <c r="X36" s="154" t="s">
        <v>985</v>
      </c>
    </row>
    <row r="37" spans="1:24">
      <c r="A37" s="154" t="s">
        <v>102</v>
      </c>
      <c r="B37" s="154" t="s">
        <v>1401</v>
      </c>
      <c r="C37" s="155">
        <v>45916</v>
      </c>
      <c r="D37" s="155">
        <v>45912</v>
      </c>
      <c r="E37" s="159">
        <v>439.91</v>
      </c>
      <c r="F37" s="159">
        <v>7.9800000000009996</v>
      </c>
      <c r="G37" s="159">
        <v>7.9800000000009996</v>
      </c>
      <c r="H37" s="184">
        <f t="shared" si="0"/>
        <v>45978</v>
      </c>
      <c r="I37" s="187" cm="1">
        <f t="array" ref="I37">G37*[15]!CalculateINPC(C37,H37,-1)</f>
        <v>8.023900613401004</v>
      </c>
      <c r="J37" s="187">
        <f t="shared" si="1"/>
        <v>8.3488463540009246</v>
      </c>
      <c r="K37" s="187" cm="1">
        <f t="array" ref="K37">[15]!CalculateDICetip(C37,H37,1)*G37</f>
        <v>8.175888252001025</v>
      </c>
      <c r="L37" s="154">
        <v>273607</v>
      </c>
      <c r="M37" s="154" t="s">
        <v>411</v>
      </c>
      <c r="N37" s="154" t="s">
        <v>560</v>
      </c>
      <c r="O37" s="154" t="s">
        <v>561</v>
      </c>
      <c r="P37" s="154">
        <v>27146</v>
      </c>
      <c r="Q37" s="154" t="s">
        <v>973</v>
      </c>
      <c r="R37" s="154">
        <v>4</v>
      </c>
      <c r="S37" s="154" t="s">
        <v>914</v>
      </c>
      <c r="T37" s="154" t="s">
        <v>984</v>
      </c>
      <c r="U37" s="154" t="s">
        <v>916</v>
      </c>
      <c r="V37" s="154" t="s">
        <v>916</v>
      </c>
      <c r="W37" s="154" t="s">
        <v>333</v>
      </c>
      <c r="X37" s="154" t="s">
        <v>985</v>
      </c>
    </row>
    <row r="38" spans="1:24">
      <c r="A38" s="154" t="s">
        <v>102</v>
      </c>
      <c r="B38" s="154" t="s">
        <v>1401</v>
      </c>
      <c r="C38" s="155">
        <v>45916</v>
      </c>
      <c r="D38" s="155">
        <v>45912</v>
      </c>
      <c r="E38" s="159">
        <v>439.91</v>
      </c>
      <c r="F38" s="159">
        <v>7.9800000000009996</v>
      </c>
      <c r="G38" s="159">
        <v>7.9800000000009996</v>
      </c>
      <c r="H38" s="184">
        <f t="shared" si="0"/>
        <v>45978</v>
      </c>
      <c r="I38" s="187" cm="1">
        <f t="array" ref="I38">G38*[15]!CalculateINPC(C38,H38,-1)</f>
        <v>8.023900613401004</v>
      </c>
      <c r="J38" s="187">
        <f t="shared" si="1"/>
        <v>8.3488463540009246</v>
      </c>
      <c r="K38" s="187" cm="1">
        <f t="array" ref="K38">[15]!CalculateDICetip(C38,H38,1)*G38</f>
        <v>8.175888252001025</v>
      </c>
      <c r="L38" s="154">
        <v>273607</v>
      </c>
      <c r="M38" s="154" t="s">
        <v>411</v>
      </c>
      <c r="N38" s="154" t="s">
        <v>560</v>
      </c>
      <c r="O38" s="154" t="s">
        <v>561</v>
      </c>
      <c r="P38" s="154">
        <v>27165</v>
      </c>
      <c r="Q38" s="154" t="s">
        <v>986</v>
      </c>
      <c r="R38" s="154">
        <v>4</v>
      </c>
      <c r="S38" s="154" t="s">
        <v>914</v>
      </c>
      <c r="T38" s="154" t="s">
        <v>984</v>
      </c>
      <c r="U38" s="154" t="s">
        <v>916</v>
      </c>
      <c r="V38" s="154" t="s">
        <v>916</v>
      </c>
      <c r="W38" s="154" t="s">
        <v>333</v>
      </c>
      <c r="X38" s="154" t="s">
        <v>985</v>
      </c>
    </row>
    <row r="39" spans="1:24">
      <c r="A39" s="154" t="s">
        <v>102</v>
      </c>
      <c r="B39" s="154" t="s">
        <v>1401</v>
      </c>
      <c r="C39" s="155">
        <v>45916</v>
      </c>
      <c r="D39" s="155">
        <v>45912</v>
      </c>
      <c r="E39" s="159">
        <v>439.91</v>
      </c>
      <c r="F39" s="159">
        <v>20.529999999998999</v>
      </c>
      <c r="G39" s="159">
        <v>20.529999999998999</v>
      </c>
      <c r="H39" s="184">
        <f t="shared" si="0"/>
        <v>45978</v>
      </c>
      <c r="I39" s="187" cm="1">
        <f t="array" ref="I39">G39*[15]!CalculateINPC(C39,H39,-1)</f>
        <v>20.642942304898995</v>
      </c>
      <c r="J39" s="187">
        <f t="shared" si="1"/>
        <v>21.478924266617689</v>
      </c>
      <c r="K39" s="187" cm="1">
        <f t="array" ref="K39">[15]!CalculateDICetip(C39,H39,1)*G39</f>
        <v>21.033958121998978</v>
      </c>
      <c r="L39" s="154">
        <v>273607</v>
      </c>
      <c r="M39" s="154" t="s">
        <v>411</v>
      </c>
      <c r="N39" s="154" t="s">
        <v>316</v>
      </c>
      <c r="O39" s="154" t="s">
        <v>317</v>
      </c>
      <c r="P39" s="154">
        <v>27151</v>
      </c>
      <c r="Q39" s="154" t="s">
        <v>970</v>
      </c>
      <c r="R39" s="154">
        <v>4</v>
      </c>
      <c r="S39" s="154" t="s">
        <v>914</v>
      </c>
      <c r="T39" s="154" t="s">
        <v>984</v>
      </c>
      <c r="U39" s="154" t="s">
        <v>916</v>
      </c>
      <c r="V39" s="154" t="s">
        <v>916</v>
      </c>
      <c r="W39" s="154" t="s">
        <v>333</v>
      </c>
      <c r="X39" s="154" t="s">
        <v>985</v>
      </c>
    </row>
    <row r="40" spans="1:24">
      <c r="A40" s="154" t="s">
        <v>102</v>
      </c>
      <c r="B40" s="154" t="s">
        <v>1401</v>
      </c>
      <c r="C40" s="155">
        <v>45916</v>
      </c>
      <c r="D40" s="155">
        <v>45912</v>
      </c>
      <c r="E40" s="159">
        <v>439.91</v>
      </c>
      <c r="F40" s="159">
        <v>20.529999999998999</v>
      </c>
      <c r="G40" s="159">
        <v>20.529999999998999</v>
      </c>
      <c r="H40" s="184">
        <f t="shared" si="0"/>
        <v>45978</v>
      </c>
      <c r="I40" s="187" cm="1">
        <f t="array" ref="I40">G40*[15]!CalculateINPC(C40,H40,-1)</f>
        <v>20.642942304898995</v>
      </c>
      <c r="J40" s="187">
        <f t="shared" si="1"/>
        <v>21.478924266617689</v>
      </c>
      <c r="K40" s="187" cm="1">
        <f t="array" ref="K40">[15]!CalculateDICetip(C40,H40,1)*G40</f>
        <v>21.033958121998978</v>
      </c>
      <c r="L40" s="154">
        <v>273607</v>
      </c>
      <c r="M40" s="154" t="s">
        <v>411</v>
      </c>
      <c r="N40" s="154" t="s">
        <v>316</v>
      </c>
      <c r="O40" s="154" t="s">
        <v>317</v>
      </c>
      <c r="P40" s="154">
        <v>27165</v>
      </c>
      <c r="Q40" s="154" t="s">
        <v>986</v>
      </c>
      <c r="R40" s="154">
        <v>4</v>
      </c>
      <c r="S40" s="154" t="s">
        <v>914</v>
      </c>
      <c r="T40" s="154" t="s">
        <v>984</v>
      </c>
      <c r="U40" s="154" t="s">
        <v>916</v>
      </c>
      <c r="V40" s="154" t="s">
        <v>916</v>
      </c>
      <c r="W40" s="154" t="s">
        <v>333</v>
      </c>
      <c r="X40" s="154" t="s">
        <v>985</v>
      </c>
    </row>
    <row r="41" spans="1:24">
      <c r="A41" s="154" t="s">
        <v>102</v>
      </c>
      <c r="B41" s="154" t="s">
        <v>1401</v>
      </c>
      <c r="C41" s="155">
        <v>45916</v>
      </c>
      <c r="D41" s="155">
        <v>45912</v>
      </c>
      <c r="E41" s="159">
        <v>439.91</v>
      </c>
      <c r="F41" s="159">
        <v>3.79</v>
      </c>
      <c r="G41" s="159">
        <v>3.79</v>
      </c>
      <c r="H41" s="184">
        <f t="shared" si="0"/>
        <v>45978</v>
      </c>
      <c r="I41" s="187" cm="1">
        <f t="array" ref="I41">G41*[15]!CalculateINPC(C41,H41,-1)</f>
        <v>3.8108500407000001</v>
      </c>
      <c r="J41" s="187">
        <f t="shared" si="1"/>
        <v>3.9651789074761332</v>
      </c>
      <c r="K41" s="187" cm="1">
        <f t="array" ref="K41">[15]!CalculateDICetip(C41,H41,1)*G41</f>
        <v>3.8830346460000005</v>
      </c>
      <c r="L41" s="154">
        <v>273607</v>
      </c>
      <c r="M41" s="154" t="s">
        <v>411</v>
      </c>
      <c r="N41" s="154" t="s">
        <v>635</v>
      </c>
      <c r="O41" s="154" t="s">
        <v>636</v>
      </c>
      <c r="P41" s="154">
        <v>27151</v>
      </c>
      <c r="Q41" s="154" t="s">
        <v>970</v>
      </c>
      <c r="R41" s="154">
        <v>4</v>
      </c>
      <c r="S41" s="154" t="s">
        <v>914</v>
      </c>
      <c r="T41" s="154" t="s">
        <v>984</v>
      </c>
      <c r="U41" s="154" t="s">
        <v>916</v>
      </c>
      <c r="V41" s="154" t="s">
        <v>916</v>
      </c>
      <c r="W41" s="154" t="s">
        <v>333</v>
      </c>
      <c r="X41" s="154" t="s">
        <v>985</v>
      </c>
    </row>
    <row r="42" spans="1:24">
      <c r="A42" s="154" t="s">
        <v>102</v>
      </c>
      <c r="B42" s="154" t="s">
        <v>1401</v>
      </c>
      <c r="C42" s="155">
        <v>45916</v>
      </c>
      <c r="D42" s="155">
        <v>45912</v>
      </c>
      <c r="E42" s="159">
        <v>439.91</v>
      </c>
      <c r="F42" s="159">
        <v>1.5400000000009999</v>
      </c>
      <c r="G42" s="159">
        <v>1.5400000000009999</v>
      </c>
      <c r="H42" s="184">
        <f t="shared" si="0"/>
        <v>45978</v>
      </c>
      <c r="I42" s="187" cm="1">
        <f t="array" ref="I42">G42*[15]!CalculateINPC(C42,H42,-1)</f>
        <v>1.5484720482010053</v>
      </c>
      <c r="J42" s="187">
        <f t="shared" si="1"/>
        <v>1.6111808753343562</v>
      </c>
      <c r="K42" s="187" cm="1">
        <f t="array" ref="K42">[15]!CalculateDICetip(C42,H42,1)*G42</f>
        <v>1.5778029960010247</v>
      </c>
      <c r="L42" s="154">
        <v>273607</v>
      </c>
      <c r="M42" s="154" t="s">
        <v>411</v>
      </c>
      <c r="N42" s="154" t="s">
        <v>645</v>
      </c>
      <c r="O42" s="154" t="s">
        <v>646</v>
      </c>
      <c r="P42" s="154">
        <v>27165</v>
      </c>
      <c r="Q42" s="154" t="s">
        <v>986</v>
      </c>
      <c r="R42" s="154">
        <v>4</v>
      </c>
      <c r="S42" s="154" t="s">
        <v>914</v>
      </c>
      <c r="T42" s="154" t="s">
        <v>984</v>
      </c>
      <c r="U42" s="154" t="s">
        <v>916</v>
      </c>
      <c r="V42" s="154" t="s">
        <v>916</v>
      </c>
      <c r="W42" s="154" t="s">
        <v>333</v>
      </c>
      <c r="X42" s="154" t="s">
        <v>985</v>
      </c>
    </row>
    <row r="43" spans="1:24">
      <c r="A43" s="154" t="s">
        <v>102</v>
      </c>
      <c r="B43" s="154" t="s">
        <v>1401</v>
      </c>
      <c r="C43" s="155">
        <v>45916</v>
      </c>
      <c r="D43" s="155">
        <v>45912</v>
      </c>
      <c r="E43" s="159">
        <v>439.91</v>
      </c>
      <c r="F43" s="159">
        <v>1.5400000000009999</v>
      </c>
      <c r="G43" s="159">
        <v>1.5400000000009999</v>
      </c>
      <c r="H43" s="184">
        <f t="shared" si="0"/>
        <v>45978</v>
      </c>
      <c r="I43" s="187" cm="1">
        <f t="array" ref="I43">G43*[15]!CalculateINPC(C43,H43,-1)</f>
        <v>1.5484720482010053</v>
      </c>
      <c r="J43" s="187">
        <f t="shared" si="1"/>
        <v>1.6111808753343562</v>
      </c>
      <c r="K43" s="187" cm="1">
        <f t="array" ref="K43">[15]!CalculateDICetip(C43,H43,1)*G43</f>
        <v>1.5778029960010247</v>
      </c>
      <c r="L43" s="154">
        <v>273607</v>
      </c>
      <c r="M43" s="154" t="s">
        <v>411</v>
      </c>
      <c r="N43" s="154" t="s">
        <v>645</v>
      </c>
      <c r="O43" s="154" t="s">
        <v>646</v>
      </c>
      <c r="P43" s="154">
        <v>27151</v>
      </c>
      <c r="Q43" s="154" t="s">
        <v>970</v>
      </c>
      <c r="R43" s="154">
        <v>4</v>
      </c>
      <c r="S43" s="154" t="s">
        <v>914</v>
      </c>
      <c r="T43" s="154" t="s">
        <v>984</v>
      </c>
      <c r="U43" s="154" t="s">
        <v>916</v>
      </c>
      <c r="V43" s="154" t="s">
        <v>916</v>
      </c>
      <c r="W43" s="154" t="s">
        <v>333</v>
      </c>
      <c r="X43" s="154" t="s">
        <v>985</v>
      </c>
    </row>
    <row r="44" spans="1:24">
      <c r="A44" s="154" t="s">
        <v>102</v>
      </c>
      <c r="B44" s="154" t="s">
        <v>1401</v>
      </c>
      <c r="C44" s="155">
        <v>45916</v>
      </c>
      <c r="D44" s="155">
        <v>45912</v>
      </c>
      <c r="E44" s="159">
        <v>439.91</v>
      </c>
      <c r="F44" s="159">
        <v>3.79</v>
      </c>
      <c r="G44" s="159">
        <v>3.79</v>
      </c>
      <c r="H44" s="184">
        <f t="shared" si="0"/>
        <v>45978</v>
      </c>
      <c r="I44" s="187" cm="1">
        <f t="array" ref="I44">G44*[15]!CalculateINPC(C44,H44,-1)</f>
        <v>3.8108500407000001</v>
      </c>
      <c r="J44" s="187">
        <f t="shared" si="1"/>
        <v>3.9651789074761332</v>
      </c>
      <c r="K44" s="187" cm="1">
        <f t="array" ref="K44">[15]!CalculateDICetip(C44,H44,1)*G44</f>
        <v>3.8830346460000005</v>
      </c>
      <c r="L44" s="154">
        <v>273607</v>
      </c>
      <c r="M44" s="154" t="s">
        <v>411</v>
      </c>
      <c r="N44" s="154" t="s">
        <v>635</v>
      </c>
      <c r="O44" s="154" t="s">
        <v>636</v>
      </c>
      <c r="P44" s="154">
        <v>27165</v>
      </c>
      <c r="Q44" s="154" t="s">
        <v>986</v>
      </c>
      <c r="R44" s="154">
        <v>4</v>
      </c>
      <c r="S44" s="154" t="s">
        <v>914</v>
      </c>
      <c r="T44" s="154" t="s">
        <v>984</v>
      </c>
      <c r="U44" s="154" t="s">
        <v>916</v>
      </c>
      <c r="V44" s="154" t="s">
        <v>916</v>
      </c>
      <c r="W44" s="154" t="s">
        <v>333</v>
      </c>
      <c r="X44" s="154" t="s">
        <v>985</v>
      </c>
    </row>
    <row r="45" spans="1:24">
      <c r="A45" s="154" t="s">
        <v>102</v>
      </c>
      <c r="B45" s="154" t="s">
        <v>1401</v>
      </c>
      <c r="C45" s="155">
        <v>45916</v>
      </c>
      <c r="D45" s="155">
        <v>45912</v>
      </c>
      <c r="E45" s="159">
        <v>439.91</v>
      </c>
      <c r="F45" s="159">
        <v>7.9800000000009996</v>
      </c>
      <c r="G45" s="159">
        <v>7.9800000000009996</v>
      </c>
      <c r="H45" s="184">
        <f t="shared" si="0"/>
        <v>45978</v>
      </c>
      <c r="I45" s="187" cm="1">
        <f t="array" ref="I45">G45*[15]!CalculateINPC(C45,H45,-1)</f>
        <v>8.023900613401004</v>
      </c>
      <c r="J45" s="187">
        <f t="shared" si="1"/>
        <v>8.3488463540009246</v>
      </c>
      <c r="K45" s="187" cm="1">
        <f t="array" ref="K45">[15]!CalculateDICetip(C45,H45,1)*G45</f>
        <v>8.175888252001025</v>
      </c>
      <c r="L45" s="154">
        <v>273607</v>
      </c>
      <c r="M45" s="154" t="s">
        <v>411</v>
      </c>
      <c r="N45" s="154" t="s">
        <v>560</v>
      </c>
      <c r="O45" s="154" t="s">
        <v>561</v>
      </c>
      <c r="P45" s="154">
        <v>27151</v>
      </c>
      <c r="Q45" s="154" t="s">
        <v>970</v>
      </c>
      <c r="R45" s="154">
        <v>4</v>
      </c>
      <c r="S45" s="154" t="s">
        <v>914</v>
      </c>
      <c r="T45" s="154" t="s">
        <v>984</v>
      </c>
      <c r="U45" s="154" t="s">
        <v>916</v>
      </c>
      <c r="V45" s="154" t="s">
        <v>916</v>
      </c>
      <c r="W45" s="154" t="s">
        <v>333</v>
      </c>
      <c r="X45" s="154" t="s">
        <v>985</v>
      </c>
    </row>
    <row r="46" spans="1:24">
      <c r="A46" s="154" t="s">
        <v>102</v>
      </c>
      <c r="B46" s="154" t="s">
        <v>1401</v>
      </c>
      <c r="C46" s="155">
        <v>45916</v>
      </c>
      <c r="D46" s="155">
        <v>45912</v>
      </c>
      <c r="E46" s="159">
        <v>439.91</v>
      </c>
      <c r="F46" s="159">
        <v>20.529999999998999</v>
      </c>
      <c r="G46" s="159">
        <v>20.529999999998999</v>
      </c>
      <c r="H46" s="184">
        <f t="shared" si="0"/>
        <v>45978</v>
      </c>
      <c r="I46" s="187" cm="1">
        <f t="array" ref="I46">G46*[15]!CalculateINPC(C46,H46,-1)</f>
        <v>20.642942304898995</v>
      </c>
      <c r="J46" s="187">
        <f t="shared" si="1"/>
        <v>21.478924266617689</v>
      </c>
      <c r="K46" s="187" cm="1">
        <f t="array" ref="K46">[15]!CalculateDICetip(C46,H46,1)*G46</f>
        <v>21.033958121998978</v>
      </c>
      <c r="L46" s="154">
        <v>273607</v>
      </c>
      <c r="M46" s="154" t="s">
        <v>411</v>
      </c>
      <c r="N46" s="154" t="s">
        <v>316</v>
      </c>
      <c r="O46" s="154" t="s">
        <v>317</v>
      </c>
      <c r="P46" s="154">
        <v>27146</v>
      </c>
      <c r="Q46" s="154" t="s">
        <v>973</v>
      </c>
      <c r="R46" s="154">
        <v>4</v>
      </c>
      <c r="S46" s="154" t="s">
        <v>914</v>
      </c>
      <c r="T46" s="154" t="s">
        <v>984</v>
      </c>
      <c r="U46" s="154" t="s">
        <v>916</v>
      </c>
      <c r="V46" s="154" t="s">
        <v>916</v>
      </c>
      <c r="W46" s="154" t="s">
        <v>333</v>
      </c>
      <c r="X46" s="154" t="s">
        <v>985</v>
      </c>
    </row>
    <row r="47" spans="1:24">
      <c r="A47" s="154" t="s">
        <v>102</v>
      </c>
      <c r="B47" s="154" t="s">
        <v>1401</v>
      </c>
      <c r="C47" s="155">
        <v>45916</v>
      </c>
      <c r="D47" s="155">
        <v>45912</v>
      </c>
      <c r="E47" s="159">
        <v>439.91</v>
      </c>
      <c r="F47" s="159">
        <v>3.79</v>
      </c>
      <c r="G47" s="159">
        <v>3.79</v>
      </c>
      <c r="H47" s="184">
        <f t="shared" si="0"/>
        <v>45978</v>
      </c>
      <c r="I47" s="187" cm="1">
        <f t="array" ref="I47">G47*[15]!CalculateINPC(C47,H47,-1)</f>
        <v>3.8108500407000001</v>
      </c>
      <c r="J47" s="187">
        <f t="shared" si="1"/>
        <v>3.9651789074761332</v>
      </c>
      <c r="K47" s="187" cm="1">
        <f t="array" ref="K47">[15]!CalculateDICetip(C47,H47,1)*G47</f>
        <v>3.8830346460000005</v>
      </c>
      <c r="L47" s="154">
        <v>273607</v>
      </c>
      <c r="M47" s="154" t="s">
        <v>411</v>
      </c>
      <c r="N47" s="154" t="s">
        <v>635</v>
      </c>
      <c r="O47" s="154" t="s">
        <v>636</v>
      </c>
      <c r="P47" s="154">
        <v>27146</v>
      </c>
      <c r="Q47" s="154" t="s">
        <v>973</v>
      </c>
      <c r="R47" s="154">
        <v>4</v>
      </c>
      <c r="S47" s="154" t="s">
        <v>914</v>
      </c>
      <c r="T47" s="154" t="s">
        <v>984</v>
      </c>
      <c r="U47" s="154" t="s">
        <v>916</v>
      </c>
      <c r="V47" s="154" t="s">
        <v>916</v>
      </c>
      <c r="W47" s="154" t="s">
        <v>333</v>
      </c>
      <c r="X47" s="154" t="s">
        <v>985</v>
      </c>
    </row>
    <row r="48" spans="1:24">
      <c r="A48" s="154" t="s">
        <v>102</v>
      </c>
      <c r="B48" s="154" t="s">
        <v>1401</v>
      </c>
      <c r="C48" s="155">
        <v>45916</v>
      </c>
      <c r="D48" s="155">
        <v>45912</v>
      </c>
      <c r="E48" s="159">
        <v>439.91</v>
      </c>
      <c r="F48" s="159">
        <v>7.9800000000009996</v>
      </c>
      <c r="G48" s="159">
        <v>7.9800000000009996</v>
      </c>
      <c r="H48" s="184">
        <f t="shared" si="0"/>
        <v>45978</v>
      </c>
      <c r="I48" s="187" cm="1">
        <f t="array" ref="I48">G48*[15]!CalculateINPC(C48,H48,-1)</f>
        <v>8.023900613401004</v>
      </c>
      <c r="J48" s="187">
        <f t="shared" si="1"/>
        <v>8.3488463540009246</v>
      </c>
      <c r="K48" s="187" cm="1">
        <f t="array" ref="K48">[15]!CalculateDICetip(C48,H48,1)*G48</f>
        <v>8.175888252001025</v>
      </c>
      <c r="L48" s="154">
        <v>273607</v>
      </c>
      <c r="M48" s="154" t="s">
        <v>411</v>
      </c>
      <c r="N48" s="154" t="s">
        <v>560</v>
      </c>
      <c r="O48" s="154" t="s">
        <v>561</v>
      </c>
      <c r="P48" s="154">
        <v>27154</v>
      </c>
      <c r="Q48" s="154" t="s">
        <v>946</v>
      </c>
      <c r="R48" s="154">
        <v>4</v>
      </c>
      <c r="S48" s="154" t="s">
        <v>914</v>
      </c>
      <c r="T48" s="154" t="s">
        <v>984</v>
      </c>
      <c r="U48" s="154" t="s">
        <v>916</v>
      </c>
      <c r="V48" s="154" t="s">
        <v>916</v>
      </c>
      <c r="W48" s="154" t="s">
        <v>333</v>
      </c>
      <c r="X48" s="154" t="s">
        <v>985</v>
      </c>
    </row>
    <row r="49" spans="1:24">
      <c r="A49" s="154" t="s">
        <v>102</v>
      </c>
      <c r="B49" s="154" t="s">
        <v>1401</v>
      </c>
      <c r="C49" s="155">
        <v>45916</v>
      </c>
      <c r="D49" s="155">
        <v>45912</v>
      </c>
      <c r="E49" s="159">
        <v>439.91</v>
      </c>
      <c r="F49" s="159">
        <v>3.79</v>
      </c>
      <c r="G49" s="159">
        <v>3.79</v>
      </c>
      <c r="H49" s="184">
        <f t="shared" si="0"/>
        <v>45978</v>
      </c>
      <c r="I49" s="187" cm="1">
        <f t="array" ref="I49">G49*[15]!CalculateINPC(C49,H49,-1)</f>
        <v>3.8108500407000001</v>
      </c>
      <c r="J49" s="187">
        <f t="shared" si="1"/>
        <v>3.9651789074761332</v>
      </c>
      <c r="K49" s="187" cm="1">
        <f t="array" ref="K49">[15]!CalculateDICetip(C49,H49,1)*G49</f>
        <v>3.8830346460000005</v>
      </c>
      <c r="L49" s="154">
        <v>273607</v>
      </c>
      <c r="M49" s="154" t="s">
        <v>411</v>
      </c>
      <c r="N49" s="154" t="s">
        <v>635</v>
      </c>
      <c r="O49" s="154" t="s">
        <v>636</v>
      </c>
      <c r="P49" s="154">
        <v>27154</v>
      </c>
      <c r="Q49" s="154" t="s">
        <v>946</v>
      </c>
      <c r="R49" s="154">
        <v>4</v>
      </c>
      <c r="S49" s="154" t="s">
        <v>914</v>
      </c>
      <c r="T49" s="154" t="s">
        <v>984</v>
      </c>
      <c r="U49" s="154" t="s">
        <v>916</v>
      </c>
      <c r="V49" s="154" t="s">
        <v>916</v>
      </c>
      <c r="W49" s="154" t="s">
        <v>333</v>
      </c>
      <c r="X49" s="154" t="s">
        <v>985</v>
      </c>
    </row>
    <row r="50" spans="1:24">
      <c r="A50" s="154" t="s">
        <v>102</v>
      </c>
      <c r="B50" s="154" t="s">
        <v>1401</v>
      </c>
      <c r="C50" s="155">
        <v>45916</v>
      </c>
      <c r="D50" s="155">
        <v>45912</v>
      </c>
      <c r="E50" s="159">
        <v>439.91</v>
      </c>
      <c r="F50" s="159">
        <v>20.529999999998999</v>
      </c>
      <c r="G50" s="159">
        <v>20.529999999998999</v>
      </c>
      <c r="H50" s="184">
        <f t="shared" si="0"/>
        <v>45978</v>
      </c>
      <c r="I50" s="187" cm="1">
        <f t="array" ref="I50">G50*[15]!CalculateINPC(C50,H50,-1)</f>
        <v>20.642942304898995</v>
      </c>
      <c r="J50" s="187">
        <f t="shared" si="1"/>
        <v>21.478924266617689</v>
      </c>
      <c r="K50" s="187" cm="1">
        <f t="array" ref="K50">[15]!CalculateDICetip(C50,H50,1)*G50</f>
        <v>21.033958121998978</v>
      </c>
      <c r="L50" s="154">
        <v>273607</v>
      </c>
      <c r="M50" s="154" t="s">
        <v>411</v>
      </c>
      <c r="N50" s="154" t="s">
        <v>316</v>
      </c>
      <c r="O50" s="154" t="s">
        <v>317</v>
      </c>
      <c r="P50" s="154">
        <v>27154</v>
      </c>
      <c r="Q50" s="154" t="s">
        <v>946</v>
      </c>
      <c r="R50" s="154">
        <v>4</v>
      </c>
      <c r="S50" s="154" t="s">
        <v>914</v>
      </c>
      <c r="T50" s="154" t="s">
        <v>984</v>
      </c>
      <c r="U50" s="154" t="s">
        <v>916</v>
      </c>
      <c r="V50" s="154" t="s">
        <v>916</v>
      </c>
      <c r="W50" s="154" t="s">
        <v>333</v>
      </c>
      <c r="X50" s="154" t="s">
        <v>985</v>
      </c>
    </row>
    <row r="51" spans="1:24">
      <c r="A51" s="154" t="s">
        <v>102</v>
      </c>
      <c r="B51" s="154" t="s">
        <v>1401</v>
      </c>
      <c r="C51" s="155">
        <v>45916</v>
      </c>
      <c r="D51" s="155">
        <v>45912</v>
      </c>
      <c r="E51" s="159">
        <v>439.91</v>
      </c>
      <c r="F51" s="159">
        <v>1.5400000000009999</v>
      </c>
      <c r="G51" s="159">
        <v>1.5400000000009999</v>
      </c>
      <c r="H51" s="184">
        <f t="shared" si="0"/>
        <v>45978</v>
      </c>
      <c r="I51" s="187" cm="1">
        <f t="array" ref="I51">G51*[15]!CalculateINPC(C51,H51,-1)</f>
        <v>1.5484720482010053</v>
      </c>
      <c r="J51" s="187">
        <f t="shared" si="1"/>
        <v>1.6111808753343562</v>
      </c>
      <c r="K51" s="187" cm="1">
        <f t="array" ref="K51">[15]!CalculateDICetip(C51,H51,1)*G51</f>
        <v>1.5778029960010247</v>
      </c>
      <c r="L51" s="154">
        <v>273607</v>
      </c>
      <c r="M51" s="154" t="s">
        <v>411</v>
      </c>
      <c r="N51" s="154" t="s">
        <v>645</v>
      </c>
      <c r="O51" s="154" t="s">
        <v>646</v>
      </c>
      <c r="P51" s="154">
        <v>27154</v>
      </c>
      <c r="Q51" s="154" t="s">
        <v>946</v>
      </c>
      <c r="R51" s="154">
        <v>4</v>
      </c>
      <c r="S51" s="154" t="s">
        <v>914</v>
      </c>
      <c r="T51" s="154" t="s">
        <v>984</v>
      </c>
      <c r="U51" s="154" t="s">
        <v>916</v>
      </c>
      <c r="V51" s="154" t="s">
        <v>916</v>
      </c>
      <c r="W51" s="154" t="s">
        <v>333</v>
      </c>
      <c r="X51" s="154" t="s">
        <v>985</v>
      </c>
    </row>
    <row r="52" spans="1:24">
      <c r="A52" s="154" t="s">
        <v>102</v>
      </c>
      <c r="B52" s="154" t="s">
        <v>1401</v>
      </c>
      <c r="C52" s="155">
        <v>45916</v>
      </c>
      <c r="D52" s="155">
        <v>45912</v>
      </c>
      <c r="E52" s="159">
        <v>439.91</v>
      </c>
      <c r="F52" s="159">
        <v>20.529999999998999</v>
      </c>
      <c r="G52" s="159">
        <v>20.529999999998999</v>
      </c>
      <c r="H52" s="184">
        <f t="shared" si="0"/>
        <v>45978</v>
      </c>
      <c r="I52" s="187" cm="1">
        <f t="array" ref="I52">G52*[15]!CalculateINPC(C52,H52,-1)</f>
        <v>20.642942304898995</v>
      </c>
      <c r="J52" s="187">
        <f t="shared" si="1"/>
        <v>21.478924266617689</v>
      </c>
      <c r="K52" s="187" cm="1">
        <f t="array" ref="K52">[15]!CalculateDICetip(C52,H52,1)*G52</f>
        <v>21.033958121998978</v>
      </c>
      <c r="L52" s="154">
        <v>273607</v>
      </c>
      <c r="M52" s="154" t="s">
        <v>411</v>
      </c>
      <c r="N52" s="154" t="s">
        <v>316</v>
      </c>
      <c r="O52" s="154" t="s">
        <v>317</v>
      </c>
      <c r="P52" s="154">
        <v>27158</v>
      </c>
      <c r="Q52" s="154" t="s">
        <v>960</v>
      </c>
      <c r="R52" s="154">
        <v>4</v>
      </c>
      <c r="S52" s="154" t="s">
        <v>914</v>
      </c>
      <c r="T52" s="154" t="s">
        <v>984</v>
      </c>
      <c r="U52" s="154" t="s">
        <v>916</v>
      </c>
      <c r="V52" s="154" t="s">
        <v>916</v>
      </c>
      <c r="W52" s="154" t="s">
        <v>333</v>
      </c>
      <c r="X52" s="154" t="s">
        <v>985</v>
      </c>
    </row>
    <row r="53" spans="1:24">
      <c r="A53" s="154" t="s">
        <v>102</v>
      </c>
      <c r="B53" s="154" t="s">
        <v>1401</v>
      </c>
      <c r="C53" s="155">
        <v>45916</v>
      </c>
      <c r="D53" s="155">
        <v>45912</v>
      </c>
      <c r="E53" s="159">
        <v>439.91</v>
      </c>
      <c r="F53" s="159">
        <v>1.5400000000009999</v>
      </c>
      <c r="G53" s="159">
        <v>1.5400000000009999</v>
      </c>
      <c r="H53" s="184">
        <f t="shared" si="0"/>
        <v>45978</v>
      </c>
      <c r="I53" s="187" cm="1">
        <f t="array" ref="I53">G53*[15]!CalculateINPC(C53,H53,-1)</f>
        <v>1.5484720482010053</v>
      </c>
      <c r="J53" s="187">
        <f t="shared" si="1"/>
        <v>1.6111808753343562</v>
      </c>
      <c r="K53" s="187" cm="1">
        <f t="array" ref="K53">[15]!CalculateDICetip(C53,H53,1)*G53</f>
        <v>1.5778029960010247</v>
      </c>
      <c r="L53" s="154">
        <v>273607</v>
      </c>
      <c r="M53" s="154" t="s">
        <v>411</v>
      </c>
      <c r="N53" s="154" t="s">
        <v>645</v>
      </c>
      <c r="O53" s="154" t="s">
        <v>646</v>
      </c>
      <c r="P53" s="154">
        <v>27158</v>
      </c>
      <c r="Q53" s="154" t="s">
        <v>960</v>
      </c>
      <c r="R53" s="154">
        <v>4</v>
      </c>
      <c r="S53" s="154" t="s">
        <v>914</v>
      </c>
      <c r="T53" s="154" t="s">
        <v>984</v>
      </c>
      <c r="U53" s="154" t="s">
        <v>916</v>
      </c>
      <c r="V53" s="154" t="s">
        <v>916</v>
      </c>
      <c r="W53" s="154" t="s">
        <v>333</v>
      </c>
      <c r="X53" s="154" t="s">
        <v>985</v>
      </c>
    </row>
    <row r="54" spans="1:24">
      <c r="A54" s="154" t="s">
        <v>102</v>
      </c>
      <c r="B54" s="154" t="s">
        <v>1401</v>
      </c>
      <c r="C54" s="155">
        <v>45916</v>
      </c>
      <c r="D54" s="155">
        <v>45912</v>
      </c>
      <c r="E54" s="159">
        <v>439.91</v>
      </c>
      <c r="F54" s="159">
        <v>3.79</v>
      </c>
      <c r="G54" s="159">
        <v>3.79</v>
      </c>
      <c r="H54" s="184">
        <f t="shared" si="0"/>
        <v>45978</v>
      </c>
      <c r="I54" s="187" cm="1">
        <f t="array" ref="I54">G54*[15]!CalculateINPC(C54,H54,-1)</f>
        <v>3.8108500407000001</v>
      </c>
      <c r="J54" s="187">
        <f t="shared" si="1"/>
        <v>3.9651789074761332</v>
      </c>
      <c r="K54" s="187" cm="1">
        <f t="array" ref="K54">[15]!CalculateDICetip(C54,H54,1)*G54</f>
        <v>3.8830346460000005</v>
      </c>
      <c r="L54" s="154">
        <v>273607</v>
      </c>
      <c r="M54" s="154" t="s">
        <v>411</v>
      </c>
      <c r="N54" s="154" t="s">
        <v>635</v>
      </c>
      <c r="O54" s="154" t="s">
        <v>636</v>
      </c>
      <c r="P54" s="154">
        <v>27158</v>
      </c>
      <c r="Q54" s="154" t="s">
        <v>960</v>
      </c>
      <c r="R54" s="154">
        <v>4</v>
      </c>
      <c r="S54" s="154" t="s">
        <v>914</v>
      </c>
      <c r="T54" s="154" t="s">
        <v>984</v>
      </c>
      <c r="U54" s="154" t="s">
        <v>916</v>
      </c>
      <c r="V54" s="154" t="s">
        <v>916</v>
      </c>
      <c r="W54" s="154" t="s">
        <v>333</v>
      </c>
      <c r="X54" s="154" t="s">
        <v>985</v>
      </c>
    </row>
    <row r="55" spans="1:24">
      <c r="A55" s="154" t="s">
        <v>102</v>
      </c>
      <c r="B55" s="154" t="s">
        <v>1401</v>
      </c>
      <c r="C55" s="155">
        <v>45916</v>
      </c>
      <c r="D55" s="155">
        <v>45912</v>
      </c>
      <c r="E55" s="159">
        <v>439.91</v>
      </c>
      <c r="F55" s="159">
        <v>7.9800000000009996</v>
      </c>
      <c r="G55" s="159">
        <v>7.9800000000009996</v>
      </c>
      <c r="H55" s="184">
        <f t="shared" si="0"/>
        <v>45978</v>
      </c>
      <c r="I55" s="187" cm="1">
        <f t="array" ref="I55">G55*[15]!CalculateINPC(C55,H55,-1)</f>
        <v>8.023900613401004</v>
      </c>
      <c r="J55" s="187">
        <f t="shared" si="1"/>
        <v>8.3488463540009246</v>
      </c>
      <c r="K55" s="187" cm="1">
        <f t="array" ref="K55">[15]!CalculateDICetip(C55,H55,1)*G55</f>
        <v>8.175888252001025</v>
      </c>
      <c r="L55" s="154">
        <v>273607</v>
      </c>
      <c r="M55" s="154" t="s">
        <v>411</v>
      </c>
      <c r="N55" s="154" t="s">
        <v>560</v>
      </c>
      <c r="O55" s="154" t="s">
        <v>561</v>
      </c>
      <c r="P55" s="154">
        <v>27158</v>
      </c>
      <c r="Q55" s="154" t="s">
        <v>960</v>
      </c>
      <c r="R55" s="154">
        <v>4</v>
      </c>
      <c r="S55" s="154" t="s">
        <v>914</v>
      </c>
      <c r="T55" s="154" t="s">
        <v>984</v>
      </c>
      <c r="U55" s="154" t="s">
        <v>916</v>
      </c>
      <c r="V55" s="154" t="s">
        <v>916</v>
      </c>
      <c r="W55" s="154" t="s">
        <v>333</v>
      </c>
      <c r="X55" s="154" t="s">
        <v>985</v>
      </c>
    </row>
    <row r="56" spans="1:24">
      <c r="A56" s="154" t="s">
        <v>102</v>
      </c>
      <c r="B56" s="154" t="s">
        <v>1401</v>
      </c>
      <c r="C56" s="155">
        <v>45916</v>
      </c>
      <c r="D56" s="155">
        <v>45912</v>
      </c>
      <c r="E56" s="159">
        <v>439.91</v>
      </c>
      <c r="F56" s="159">
        <v>3.79</v>
      </c>
      <c r="G56" s="159">
        <v>3.79</v>
      </c>
      <c r="H56" s="184">
        <f t="shared" si="0"/>
        <v>45978</v>
      </c>
      <c r="I56" s="187" cm="1">
        <f t="array" ref="I56">G56*[15]!CalculateINPC(C56,H56,-1)</f>
        <v>3.8108500407000001</v>
      </c>
      <c r="J56" s="187">
        <f t="shared" si="1"/>
        <v>3.9651789074761332</v>
      </c>
      <c r="K56" s="187" cm="1">
        <f t="array" ref="K56">[15]!CalculateDICetip(C56,H56,1)*G56</f>
        <v>3.8830346460000005</v>
      </c>
      <c r="L56" s="154">
        <v>273607</v>
      </c>
      <c r="M56" s="154" t="s">
        <v>411</v>
      </c>
      <c r="N56" s="154" t="s">
        <v>635</v>
      </c>
      <c r="O56" s="154" t="s">
        <v>636</v>
      </c>
      <c r="P56" s="154">
        <v>27162</v>
      </c>
      <c r="Q56" s="154" t="s">
        <v>936</v>
      </c>
      <c r="R56" s="154">
        <v>4</v>
      </c>
      <c r="S56" s="154" t="s">
        <v>914</v>
      </c>
      <c r="T56" s="154" t="s">
        <v>984</v>
      </c>
      <c r="U56" s="154" t="s">
        <v>916</v>
      </c>
      <c r="V56" s="154" t="s">
        <v>916</v>
      </c>
      <c r="W56" s="154" t="s">
        <v>333</v>
      </c>
      <c r="X56" s="154" t="s">
        <v>985</v>
      </c>
    </row>
    <row r="57" spans="1:24">
      <c r="A57" s="154" t="s">
        <v>102</v>
      </c>
      <c r="B57" s="154" t="s">
        <v>1401</v>
      </c>
      <c r="C57" s="155">
        <v>45916</v>
      </c>
      <c r="D57" s="155">
        <v>45912</v>
      </c>
      <c r="E57" s="159">
        <v>439.91</v>
      </c>
      <c r="F57" s="159">
        <v>20.529999999998999</v>
      </c>
      <c r="G57" s="159">
        <v>20.529999999998999</v>
      </c>
      <c r="H57" s="184">
        <f t="shared" si="0"/>
        <v>45978</v>
      </c>
      <c r="I57" s="187" cm="1">
        <f t="array" ref="I57">G57*[15]!CalculateINPC(C57,H57,-1)</f>
        <v>20.642942304898995</v>
      </c>
      <c r="J57" s="187">
        <f t="shared" si="1"/>
        <v>21.478924266617689</v>
      </c>
      <c r="K57" s="187" cm="1">
        <f t="array" ref="K57">[15]!CalculateDICetip(C57,H57,1)*G57</f>
        <v>21.033958121998978</v>
      </c>
      <c r="L57" s="154">
        <v>273607</v>
      </c>
      <c r="M57" s="154" t="s">
        <v>411</v>
      </c>
      <c r="N57" s="154" t="s">
        <v>316</v>
      </c>
      <c r="O57" s="154" t="s">
        <v>317</v>
      </c>
      <c r="P57" s="154">
        <v>27162</v>
      </c>
      <c r="Q57" s="154" t="s">
        <v>936</v>
      </c>
      <c r="R57" s="154">
        <v>4</v>
      </c>
      <c r="S57" s="154" t="s">
        <v>914</v>
      </c>
      <c r="T57" s="154" t="s">
        <v>984</v>
      </c>
      <c r="U57" s="154" t="s">
        <v>916</v>
      </c>
      <c r="V57" s="154" t="s">
        <v>916</v>
      </c>
      <c r="W57" s="154" t="s">
        <v>333</v>
      </c>
      <c r="X57" s="154" t="s">
        <v>985</v>
      </c>
    </row>
    <row r="58" spans="1:24">
      <c r="A58" s="154" t="s">
        <v>102</v>
      </c>
      <c r="B58" s="154" t="s">
        <v>1401</v>
      </c>
      <c r="C58" s="155">
        <v>45916</v>
      </c>
      <c r="D58" s="155">
        <v>45912</v>
      </c>
      <c r="E58" s="159">
        <v>439.91</v>
      </c>
      <c r="F58" s="159">
        <v>1.5400000000009999</v>
      </c>
      <c r="G58" s="159">
        <v>1.5400000000009999</v>
      </c>
      <c r="H58" s="184">
        <f t="shared" si="0"/>
        <v>45978</v>
      </c>
      <c r="I58" s="187" cm="1">
        <f t="array" ref="I58">G58*[15]!CalculateINPC(C58,H58,-1)</f>
        <v>1.5484720482010053</v>
      </c>
      <c r="J58" s="187">
        <f t="shared" si="1"/>
        <v>1.6111808753343562</v>
      </c>
      <c r="K58" s="187" cm="1">
        <f t="array" ref="K58">[15]!CalculateDICetip(C58,H58,1)*G58</f>
        <v>1.5778029960010247</v>
      </c>
      <c r="L58" s="154">
        <v>273607</v>
      </c>
      <c r="M58" s="154" t="s">
        <v>411</v>
      </c>
      <c r="N58" s="154" t="s">
        <v>645</v>
      </c>
      <c r="O58" s="154" t="s">
        <v>646</v>
      </c>
      <c r="P58" s="154">
        <v>27162</v>
      </c>
      <c r="Q58" s="154" t="s">
        <v>936</v>
      </c>
      <c r="R58" s="154">
        <v>4</v>
      </c>
      <c r="S58" s="154" t="s">
        <v>914</v>
      </c>
      <c r="T58" s="154" t="s">
        <v>984</v>
      </c>
      <c r="U58" s="154" t="s">
        <v>916</v>
      </c>
      <c r="V58" s="154" t="s">
        <v>916</v>
      </c>
      <c r="W58" s="154" t="s">
        <v>333</v>
      </c>
      <c r="X58" s="154" t="s">
        <v>985</v>
      </c>
    </row>
    <row r="59" spans="1:24">
      <c r="A59" s="154" t="s">
        <v>102</v>
      </c>
      <c r="B59" s="154" t="s">
        <v>1401</v>
      </c>
      <c r="C59" s="155">
        <v>45916</v>
      </c>
      <c r="D59" s="155">
        <v>45912</v>
      </c>
      <c r="E59" s="159">
        <v>439.91</v>
      </c>
      <c r="F59" s="159">
        <v>1.5400000000009999</v>
      </c>
      <c r="G59" s="159">
        <v>1.5400000000009999</v>
      </c>
      <c r="H59" s="184">
        <f t="shared" si="0"/>
        <v>45978</v>
      </c>
      <c r="I59" s="187" cm="1">
        <f t="array" ref="I59">G59*[15]!CalculateINPC(C59,H59,-1)</f>
        <v>1.5484720482010053</v>
      </c>
      <c r="J59" s="187">
        <f t="shared" si="1"/>
        <v>1.6111808753343562</v>
      </c>
      <c r="K59" s="187" cm="1">
        <f t="array" ref="K59">[15]!CalculateDICetip(C59,H59,1)*G59</f>
        <v>1.5778029960010247</v>
      </c>
      <c r="L59" s="154">
        <v>273607</v>
      </c>
      <c r="M59" s="154" t="s">
        <v>411</v>
      </c>
      <c r="N59" s="154" t="s">
        <v>645</v>
      </c>
      <c r="O59" s="154" t="s">
        <v>646</v>
      </c>
      <c r="P59" s="154">
        <v>27145</v>
      </c>
      <c r="Q59" s="154" t="s">
        <v>967</v>
      </c>
      <c r="R59" s="154">
        <v>4</v>
      </c>
      <c r="S59" s="154" t="s">
        <v>914</v>
      </c>
      <c r="T59" s="154" t="s">
        <v>984</v>
      </c>
      <c r="U59" s="154" t="s">
        <v>916</v>
      </c>
      <c r="V59" s="154" t="s">
        <v>916</v>
      </c>
      <c r="W59" s="154" t="s">
        <v>333</v>
      </c>
      <c r="X59" s="154" t="s">
        <v>985</v>
      </c>
    </row>
    <row r="60" spans="1:24">
      <c r="A60" s="154" t="s">
        <v>102</v>
      </c>
      <c r="B60" s="154" t="s">
        <v>1401</v>
      </c>
      <c r="C60" s="155">
        <v>45916</v>
      </c>
      <c r="D60" s="155">
        <v>45912</v>
      </c>
      <c r="E60" s="159">
        <v>439.91</v>
      </c>
      <c r="F60" s="159">
        <v>7.9800000000009996</v>
      </c>
      <c r="G60" s="159">
        <v>7.9800000000009996</v>
      </c>
      <c r="H60" s="184">
        <f t="shared" si="0"/>
        <v>45978</v>
      </c>
      <c r="I60" s="187" cm="1">
        <f t="array" ref="I60">G60*[15]!CalculateINPC(C60,H60,-1)</f>
        <v>8.023900613401004</v>
      </c>
      <c r="J60" s="187">
        <f t="shared" si="1"/>
        <v>8.3488463540009246</v>
      </c>
      <c r="K60" s="187" cm="1">
        <f t="array" ref="K60">[15]!CalculateDICetip(C60,H60,1)*G60</f>
        <v>8.175888252001025</v>
      </c>
      <c r="L60" s="154">
        <v>273607</v>
      </c>
      <c r="M60" s="154" t="s">
        <v>411</v>
      </c>
      <c r="N60" s="154" t="s">
        <v>560</v>
      </c>
      <c r="O60" s="154" t="s">
        <v>561</v>
      </c>
      <c r="P60" s="154">
        <v>27149</v>
      </c>
      <c r="Q60" s="154" t="s">
        <v>949</v>
      </c>
      <c r="R60" s="154">
        <v>4</v>
      </c>
      <c r="S60" s="154" t="s">
        <v>914</v>
      </c>
      <c r="T60" s="154" t="s">
        <v>984</v>
      </c>
      <c r="U60" s="154" t="s">
        <v>916</v>
      </c>
      <c r="V60" s="154" t="s">
        <v>916</v>
      </c>
      <c r="W60" s="154" t="s">
        <v>333</v>
      </c>
      <c r="X60" s="154" t="s">
        <v>985</v>
      </c>
    </row>
    <row r="61" spans="1:24">
      <c r="A61" s="154" t="s">
        <v>102</v>
      </c>
      <c r="B61" s="154" t="s">
        <v>1401</v>
      </c>
      <c r="C61" s="155">
        <v>45916</v>
      </c>
      <c r="D61" s="155">
        <v>45912</v>
      </c>
      <c r="E61" s="159">
        <v>439.91</v>
      </c>
      <c r="F61" s="159">
        <v>20.529999999998999</v>
      </c>
      <c r="G61" s="159">
        <v>20.529999999998999</v>
      </c>
      <c r="H61" s="184">
        <f t="shared" si="0"/>
        <v>45978</v>
      </c>
      <c r="I61" s="187" cm="1">
        <f t="array" ref="I61">G61*[15]!CalculateINPC(C61,H61,-1)</f>
        <v>20.642942304898995</v>
      </c>
      <c r="J61" s="187">
        <f t="shared" si="1"/>
        <v>21.478924266617689</v>
      </c>
      <c r="K61" s="187" cm="1">
        <f t="array" ref="K61">[15]!CalculateDICetip(C61,H61,1)*G61</f>
        <v>21.033958121998978</v>
      </c>
      <c r="L61" s="154">
        <v>273607</v>
      </c>
      <c r="M61" s="154" t="s">
        <v>411</v>
      </c>
      <c r="N61" s="154" t="s">
        <v>316</v>
      </c>
      <c r="O61" s="154" t="s">
        <v>317</v>
      </c>
      <c r="P61" s="154">
        <v>27145</v>
      </c>
      <c r="Q61" s="154" t="s">
        <v>967</v>
      </c>
      <c r="R61" s="154">
        <v>4</v>
      </c>
      <c r="S61" s="154" t="s">
        <v>914</v>
      </c>
      <c r="T61" s="154" t="s">
        <v>984</v>
      </c>
      <c r="U61" s="154" t="s">
        <v>916</v>
      </c>
      <c r="V61" s="154" t="s">
        <v>916</v>
      </c>
      <c r="W61" s="154" t="s">
        <v>333</v>
      </c>
      <c r="X61" s="154" t="s">
        <v>985</v>
      </c>
    </row>
    <row r="62" spans="1:24">
      <c r="A62" s="154" t="s">
        <v>102</v>
      </c>
      <c r="B62" s="154" t="s">
        <v>1401</v>
      </c>
      <c r="C62" s="155">
        <v>45916</v>
      </c>
      <c r="D62" s="155">
        <v>45912</v>
      </c>
      <c r="E62" s="159">
        <v>439.91</v>
      </c>
      <c r="F62" s="159">
        <v>7.9800000000009996</v>
      </c>
      <c r="G62" s="159">
        <v>7.9800000000009996</v>
      </c>
      <c r="H62" s="184">
        <f t="shared" si="0"/>
        <v>45978</v>
      </c>
      <c r="I62" s="187" cm="1">
        <f t="array" ref="I62">G62*[15]!CalculateINPC(C62,H62,-1)</f>
        <v>8.023900613401004</v>
      </c>
      <c r="J62" s="187">
        <f t="shared" si="1"/>
        <v>8.3488463540009246</v>
      </c>
      <c r="K62" s="187" cm="1">
        <f t="array" ref="K62">[15]!CalculateDICetip(C62,H62,1)*G62</f>
        <v>8.175888252001025</v>
      </c>
      <c r="L62" s="154">
        <v>273607</v>
      </c>
      <c r="M62" s="154" t="s">
        <v>411</v>
      </c>
      <c r="N62" s="154" t="s">
        <v>560</v>
      </c>
      <c r="O62" s="154" t="s">
        <v>561</v>
      </c>
      <c r="P62" s="154">
        <v>27145</v>
      </c>
      <c r="Q62" s="154" t="s">
        <v>967</v>
      </c>
      <c r="R62" s="154">
        <v>4</v>
      </c>
      <c r="S62" s="154" t="s">
        <v>914</v>
      </c>
      <c r="T62" s="154" t="s">
        <v>984</v>
      </c>
      <c r="U62" s="154" t="s">
        <v>916</v>
      </c>
      <c r="V62" s="154" t="s">
        <v>916</v>
      </c>
      <c r="W62" s="154" t="s">
        <v>333</v>
      </c>
      <c r="X62" s="154" t="s">
        <v>985</v>
      </c>
    </row>
    <row r="63" spans="1:24">
      <c r="A63" s="154" t="s">
        <v>102</v>
      </c>
      <c r="B63" s="154" t="s">
        <v>1401</v>
      </c>
      <c r="C63" s="155">
        <v>45916</v>
      </c>
      <c r="D63" s="155">
        <v>45912</v>
      </c>
      <c r="E63" s="159">
        <v>439.91</v>
      </c>
      <c r="F63" s="159">
        <v>1.5400000000009999</v>
      </c>
      <c r="G63" s="159">
        <v>1.5400000000009999</v>
      </c>
      <c r="H63" s="184">
        <f t="shared" si="0"/>
        <v>45978</v>
      </c>
      <c r="I63" s="187" cm="1">
        <f t="array" ref="I63">G63*[15]!CalculateINPC(C63,H63,-1)</f>
        <v>1.5484720482010053</v>
      </c>
      <c r="J63" s="187">
        <f t="shared" si="1"/>
        <v>1.6111808753343562</v>
      </c>
      <c r="K63" s="187" cm="1">
        <f t="array" ref="K63">[15]!CalculateDICetip(C63,H63,1)*G63</f>
        <v>1.5778029960010247</v>
      </c>
      <c r="L63" s="154">
        <v>273607</v>
      </c>
      <c r="M63" s="154" t="s">
        <v>411</v>
      </c>
      <c r="N63" s="154" t="s">
        <v>645</v>
      </c>
      <c r="O63" s="154" t="s">
        <v>646</v>
      </c>
      <c r="P63" s="154">
        <v>27149</v>
      </c>
      <c r="Q63" s="154" t="s">
        <v>949</v>
      </c>
      <c r="R63" s="154">
        <v>4</v>
      </c>
      <c r="S63" s="154" t="s">
        <v>914</v>
      </c>
      <c r="T63" s="154" t="s">
        <v>984</v>
      </c>
      <c r="U63" s="154" t="s">
        <v>916</v>
      </c>
      <c r="V63" s="154" t="s">
        <v>916</v>
      </c>
      <c r="W63" s="154" t="s">
        <v>333</v>
      </c>
      <c r="X63" s="154" t="s">
        <v>985</v>
      </c>
    </row>
    <row r="64" spans="1:24">
      <c r="A64" s="154" t="s">
        <v>102</v>
      </c>
      <c r="B64" s="154" t="s">
        <v>1401</v>
      </c>
      <c r="C64" s="155">
        <v>45916</v>
      </c>
      <c r="D64" s="155">
        <v>45912</v>
      </c>
      <c r="E64" s="159">
        <v>439.91</v>
      </c>
      <c r="F64" s="159">
        <v>20.529999999998999</v>
      </c>
      <c r="G64" s="159">
        <v>20.529999999998999</v>
      </c>
      <c r="H64" s="184">
        <f t="shared" si="0"/>
        <v>45978</v>
      </c>
      <c r="I64" s="187" cm="1">
        <f t="array" ref="I64">G64*[15]!CalculateINPC(C64,H64,-1)</f>
        <v>20.642942304898995</v>
      </c>
      <c r="J64" s="187">
        <f t="shared" si="1"/>
        <v>21.478924266617689</v>
      </c>
      <c r="K64" s="187" cm="1">
        <f t="array" ref="K64">[15]!CalculateDICetip(C64,H64,1)*G64</f>
        <v>21.033958121998978</v>
      </c>
      <c r="L64" s="154">
        <v>273607</v>
      </c>
      <c r="M64" s="154" t="s">
        <v>411</v>
      </c>
      <c r="N64" s="154" t="s">
        <v>316</v>
      </c>
      <c r="O64" s="154" t="s">
        <v>317</v>
      </c>
      <c r="P64" s="154">
        <v>27149</v>
      </c>
      <c r="Q64" s="154" t="s">
        <v>949</v>
      </c>
      <c r="R64" s="154">
        <v>4</v>
      </c>
      <c r="S64" s="154" t="s">
        <v>914</v>
      </c>
      <c r="T64" s="154" t="s">
        <v>984</v>
      </c>
      <c r="U64" s="154" t="s">
        <v>916</v>
      </c>
      <c r="V64" s="154" t="s">
        <v>916</v>
      </c>
      <c r="W64" s="154" t="s">
        <v>333</v>
      </c>
      <c r="X64" s="154" t="s">
        <v>985</v>
      </c>
    </row>
    <row r="65" spans="1:24">
      <c r="A65" s="154" t="s">
        <v>102</v>
      </c>
      <c r="B65" s="154" t="s">
        <v>1401</v>
      </c>
      <c r="C65" s="155">
        <v>45916</v>
      </c>
      <c r="D65" s="155">
        <v>45912</v>
      </c>
      <c r="E65" s="159">
        <v>439.91</v>
      </c>
      <c r="F65" s="159">
        <v>3.79</v>
      </c>
      <c r="G65" s="159">
        <v>3.79</v>
      </c>
      <c r="H65" s="184">
        <f t="shared" si="0"/>
        <v>45978</v>
      </c>
      <c r="I65" s="187" cm="1">
        <f t="array" ref="I65">G65*[15]!CalculateINPC(C65,H65,-1)</f>
        <v>3.8108500407000001</v>
      </c>
      <c r="J65" s="187">
        <f t="shared" si="1"/>
        <v>3.9651789074761332</v>
      </c>
      <c r="K65" s="187" cm="1">
        <f t="array" ref="K65">[15]!CalculateDICetip(C65,H65,1)*G65</f>
        <v>3.8830346460000005</v>
      </c>
      <c r="L65" s="154">
        <v>273607</v>
      </c>
      <c r="M65" s="154" t="s">
        <v>411</v>
      </c>
      <c r="N65" s="154" t="s">
        <v>635</v>
      </c>
      <c r="O65" s="154" t="s">
        <v>636</v>
      </c>
      <c r="P65" s="154">
        <v>27149</v>
      </c>
      <c r="Q65" s="154" t="s">
        <v>949</v>
      </c>
      <c r="R65" s="154">
        <v>4</v>
      </c>
      <c r="S65" s="154" t="s">
        <v>914</v>
      </c>
      <c r="T65" s="154" t="s">
        <v>984</v>
      </c>
      <c r="U65" s="154" t="s">
        <v>916</v>
      </c>
      <c r="V65" s="154" t="s">
        <v>916</v>
      </c>
      <c r="W65" s="154" t="s">
        <v>333</v>
      </c>
      <c r="X65" s="154" t="s">
        <v>985</v>
      </c>
    </row>
    <row r="66" spans="1:24">
      <c r="A66" s="154" t="s">
        <v>102</v>
      </c>
      <c r="B66" s="154" t="s">
        <v>1401</v>
      </c>
      <c r="C66" s="155">
        <v>45916</v>
      </c>
      <c r="D66" s="155">
        <v>45912</v>
      </c>
      <c r="E66" s="159">
        <v>439.91</v>
      </c>
      <c r="F66" s="159">
        <v>7.9800000000009996</v>
      </c>
      <c r="G66" s="159">
        <v>7.9800000000009996</v>
      </c>
      <c r="H66" s="184">
        <f t="shared" si="0"/>
        <v>45978</v>
      </c>
      <c r="I66" s="187" cm="1">
        <f t="array" ref="I66">G66*[15]!CalculateINPC(C66,H66,-1)</f>
        <v>8.023900613401004</v>
      </c>
      <c r="J66" s="187">
        <f t="shared" si="1"/>
        <v>8.3488463540009246</v>
      </c>
      <c r="K66" s="187" cm="1">
        <f t="array" ref="K66">[15]!CalculateDICetip(C66,H66,1)*G66</f>
        <v>8.175888252001025</v>
      </c>
      <c r="L66" s="154">
        <v>273607</v>
      </c>
      <c r="M66" s="154" t="s">
        <v>411</v>
      </c>
      <c r="N66" s="154" t="s">
        <v>560</v>
      </c>
      <c r="O66" s="154" t="s">
        <v>561</v>
      </c>
      <c r="P66" s="154">
        <v>27162</v>
      </c>
      <c r="Q66" s="154" t="s">
        <v>936</v>
      </c>
      <c r="R66" s="154">
        <v>4</v>
      </c>
      <c r="S66" s="154" t="s">
        <v>914</v>
      </c>
      <c r="T66" s="154" t="s">
        <v>984</v>
      </c>
      <c r="U66" s="154" t="s">
        <v>916</v>
      </c>
      <c r="V66" s="154" t="s">
        <v>916</v>
      </c>
      <c r="W66" s="154" t="s">
        <v>333</v>
      </c>
      <c r="X66" s="154" t="s">
        <v>985</v>
      </c>
    </row>
    <row r="67" spans="1:24">
      <c r="A67" s="154" t="s">
        <v>102</v>
      </c>
      <c r="B67" s="154" t="s">
        <v>1401</v>
      </c>
      <c r="C67" s="155">
        <v>45916</v>
      </c>
      <c r="D67" s="155">
        <v>45912</v>
      </c>
      <c r="E67" s="159">
        <v>439.91</v>
      </c>
      <c r="F67" s="159">
        <v>3.79</v>
      </c>
      <c r="G67" s="159">
        <v>3.79</v>
      </c>
      <c r="H67" s="184">
        <f t="shared" si="0"/>
        <v>45978</v>
      </c>
      <c r="I67" s="187" cm="1">
        <f t="array" ref="I67">G67*[15]!CalculateINPC(C67,H67,-1)</f>
        <v>3.8108500407000001</v>
      </c>
      <c r="J67" s="187">
        <f t="shared" si="1"/>
        <v>3.9651789074761332</v>
      </c>
      <c r="K67" s="187" cm="1">
        <f t="array" ref="K67">[15]!CalculateDICetip(C67,H67,1)*G67</f>
        <v>3.8830346460000005</v>
      </c>
      <c r="L67" s="154">
        <v>273607</v>
      </c>
      <c r="M67" s="154" t="s">
        <v>411</v>
      </c>
      <c r="N67" s="154" t="s">
        <v>635</v>
      </c>
      <c r="O67" s="154" t="s">
        <v>636</v>
      </c>
      <c r="P67" s="154">
        <v>27145</v>
      </c>
      <c r="Q67" s="154" t="s">
        <v>967</v>
      </c>
      <c r="R67" s="154">
        <v>4</v>
      </c>
      <c r="S67" s="154" t="s">
        <v>914</v>
      </c>
      <c r="T67" s="154" t="s">
        <v>984</v>
      </c>
      <c r="U67" s="154" t="s">
        <v>916</v>
      </c>
      <c r="V67" s="154" t="s">
        <v>916</v>
      </c>
      <c r="W67" s="154" t="s">
        <v>333</v>
      </c>
      <c r="X67" s="154" t="s">
        <v>985</v>
      </c>
    </row>
    <row r="68" spans="1:24">
      <c r="A68" s="154" t="s">
        <v>102</v>
      </c>
      <c r="B68" s="154" t="s">
        <v>1401</v>
      </c>
      <c r="C68" s="155">
        <v>45916</v>
      </c>
      <c r="D68" s="155">
        <v>45912</v>
      </c>
      <c r="E68" s="159">
        <v>439.91</v>
      </c>
      <c r="F68" s="159">
        <v>3.79</v>
      </c>
      <c r="G68" s="159">
        <v>3.79</v>
      </c>
      <c r="H68" s="184">
        <f t="shared" ref="H68:H131" si="2">$A$2</f>
        <v>45978</v>
      </c>
      <c r="I68" s="187" cm="1">
        <f t="array" ref="I68">G68*[15]!CalculateINPC(C68,H68,-1)</f>
        <v>3.8108500407000001</v>
      </c>
      <c r="J68" s="187">
        <f t="shared" ref="J68:J131" si="3">G68*1.3^((H68-C68)/360)</f>
        <v>3.9651789074761332</v>
      </c>
      <c r="K68" s="187" cm="1">
        <f t="array" ref="K68">[15]!CalculateDICetip(C68,H68,1)*G68</f>
        <v>3.8830346460000005</v>
      </c>
      <c r="L68" s="154">
        <v>273607</v>
      </c>
      <c r="M68" s="154" t="s">
        <v>411</v>
      </c>
      <c r="N68" s="154" t="s">
        <v>635</v>
      </c>
      <c r="O68" s="154" t="s">
        <v>636</v>
      </c>
      <c r="P68" s="154">
        <v>27156</v>
      </c>
      <c r="Q68" s="154" t="s">
        <v>943</v>
      </c>
      <c r="R68" s="154">
        <v>4</v>
      </c>
      <c r="S68" s="154" t="s">
        <v>914</v>
      </c>
      <c r="T68" s="154" t="s">
        <v>984</v>
      </c>
      <c r="U68" s="154" t="s">
        <v>916</v>
      </c>
      <c r="V68" s="154" t="s">
        <v>916</v>
      </c>
      <c r="W68" s="154" t="s">
        <v>333</v>
      </c>
      <c r="X68" s="154" t="s">
        <v>985</v>
      </c>
    </row>
    <row r="69" spans="1:24">
      <c r="A69" s="154" t="s">
        <v>102</v>
      </c>
      <c r="B69" s="154" t="s">
        <v>1401</v>
      </c>
      <c r="C69" s="155">
        <v>45916</v>
      </c>
      <c r="D69" s="155">
        <v>45912</v>
      </c>
      <c r="E69" s="159">
        <v>439.91</v>
      </c>
      <c r="F69" s="159">
        <v>1.5400000000009999</v>
      </c>
      <c r="G69" s="159">
        <v>1.5400000000009999</v>
      </c>
      <c r="H69" s="184">
        <f t="shared" si="2"/>
        <v>45978</v>
      </c>
      <c r="I69" s="187" cm="1">
        <f t="array" ref="I69">G69*[15]!CalculateINPC(C69,H69,-1)</f>
        <v>1.5484720482010053</v>
      </c>
      <c r="J69" s="187">
        <f t="shared" si="3"/>
        <v>1.6111808753343562</v>
      </c>
      <c r="K69" s="187" cm="1">
        <f t="array" ref="K69">[15]!CalculateDICetip(C69,H69,1)*G69</f>
        <v>1.5778029960010247</v>
      </c>
      <c r="L69" s="154">
        <v>273607</v>
      </c>
      <c r="M69" s="154" t="s">
        <v>411</v>
      </c>
      <c r="N69" s="154" t="s">
        <v>645</v>
      </c>
      <c r="O69" s="154" t="s">
        <v>646</v>
      </c>
      <c r="P69" s="154">
        <v>27167</v>
      </c>
      <c r="Q69" s="154" t="s">
        <v>987</v>
      </c>
      <c r="R69" s="154">
        <v>4</v>
      </c>
      <c r="S69" s="154" t="s">
        <v>914</v>
      </c>
      <c r="T69" s="154" t="s">
        <v>984</v>
      </c>
      <c r="U69" s="154" t="s">
        <v>916</v>
      </c>
      <c r="V69" s="154" t="s">
        <v>916</v>
      </c>
      <c r="W69" s="154" t="s">
        <v>333</v>
      </c>
      <c r="X69" s="154" t="s">
        <v>985</v>
      </c>
    </row>
    <row r="70" spans="1:24">
      <c r="A70" s="154" t="s">
        <v>102</v>
      </c>
      <c r="B70" s="154" t="s">
        <v>1401</v>
      </c>
      <c r="C70" s="155">
        <v>45916</v>
      </c>
      <c r="D70" s="155">
        <v>45912</v>
      </c>
      <c r="E70" s="159">
        <v>439.91</v>
      </c>
      <c r="F70" s="159">
        <v>20.529999999998999</v>
      </c>
      <c r="G70" s="159">
        <v>20.529999999998999</v>
      </c>
      <c r="H70" s="184">
        <f t="shared" si="2"/>
        <v>45978</v>
      </c>
      <c r="I70" s="187" cm="1">
        <f t="array" ref="I70">G70*[15]!CalculateINPC(C70,H70,-1)</f>
        <v>20.642942304898995</v>
      </c>
      <c r="J70" s="187">
        <f t="shared" si="3"/>
        <v>21.478924266617689</v>
      </c>
      <c r="K70" s="187" cm="1">
        <f t="array" ref="K70">[15]!CalculateDICetip(C70,H70,1)*G70</f>
        <v>21.033958121998978</v>
      </c>
      <c r="L70" s="154">
        <v>273607</v>
      </c>
      <c r="M70" s="154" t="s">
        <v>411</v>
      </c>
      <c r="N70" s="154" t="s">
        <v>316</v>
      </c>
      <c r="O70" s="154" t="s">
        <v>317</v>
      </c>
      <c r="P70" s="154">
        <v>27167</v>
      </c>
      <c r="Q70" s="154" t="s">
        <v>987</v>
      </c>
      <c r="R70" s="154">
        <v>4</v>
      </c>
      <c r="S70" s="154" t="s">
        <v>914</v>
      </c>
      <c r="T70" s="154" t="s">
        <v>984</v>
      </c>
      <c r="U70" s="154" t="s">
        <v>916</v>
      </c>
      <c r="V70" s="154" t="s">
        <v>916</v>
      </c>
      <c r="W70" s="154" t="s">
        <v>333</v>
      </c>
      <c r="X70" s="154" t="s">
        <v>985</v>
      </c>
    </row>
    <row r="71" spans="1:24">
      <c r="A71" s="154" t="s">
        <v>102</v>
      </c>
      <c r="B71" s="154" t="s">
        <v>1401</v>
      </c>
      <c r="C71" s="155">
        <v>45916</v>
      </c>
      <c r="D71" s="155">
        <v>45912</v>
      </c>
      <c r="E71" s="159">
        <v>439.91</v>
      </c>
      <c r="F71" s="159">
        <v>7.9800000000009996</v>
      </c>
      <c r="G71" s="159">
        <v>7.9800000000009996</v>
      </c>
      <c r="H71" s="184">
        <f t="shared" si="2"/>
        <v>45978</v>
      </c>
      <c r="I71" s="187" cm="1">
        <f t="array" ref="I71">G71*[15]!CalculateINPC(C71,H71,-1)</f>
        <v>8.023900613401004</v>
      </c>
      <c r="J71" s="187">
        <f t="shared" si="3"/>
        <v>8.3488463540009246</v>
      </c>
      <c r="K71" s="187" cm="1">
        <f t="array" ref="K71">[15]!CalculateDICetip(C71,H71,1)*G71</f>
        <v>8.175888252001025</v>
      </c>
      <c r="L71" s="154">
        <v>273607</v>
      </c>
      <c r="M71" s="154" t="s">
        <v>411</v>
      </c>
      <c r="N71" s="154" t="s">
        <v>560</v>
      </c>
      <c r="O71" s="154" t="s">
        <v>561</v>
      </c>
      <c r="P71" s="154">
        <v>27167</v>
      </c>
      <c r="Q71" s="154" t="s">
        <v>987</v>
      </c>
      <c r="R71" s="154">
        <v>4</v>
      </c>
      <c r="S71" s="154" t="s">
        <v>914</v>
      </c>
      <c r="T71" s="154" t="s">
        <v>984</v>
      </c>
      <c r="U71" s="154" t="s">
        <v>916</v>
      </c>
      <c r="V71" s="154" t="s">
        <v>916</v>
      </c>
      <c r="W71" s="154" t="s">
        <v>333</v>
      </c>
      <c r="X71" s="154" t="s">
        <v>985</v>
      </c>
    </row>
    <row r="72" spans="1:24">
      <c r="A72" s="154" t="s">
        <v>102</v>
      </c>
      <c r="B72" s="154" t="s">
        <v>1401</v>
      </c>
      <c r="C72" s="155">
        <v>45916</v>
      </c>
      <c r="D72" s="155">
        <v>45912</v>
      </c>
      <c r="E72" s="159">
        <v>439.91</v>
      </c>
      <c r="F72" s="159">
        <v>20.529999999998999</v>
      </c>
      <c r="G72" s="159">
        <v>20.529999999998999</v>
      </c>
      <c r="H72" s="184">
        <f t="shared" si="2"/>
        <v>45978</v>
      </c>
      <c r="I72" s="187" cm="1">
        <f t="array" ref="I72">G72*[15]!CalculateINPC(C72,H72,-1)</f>
        <v>20.642942304898995</v>
      </c>
      <c r="J72" s="187">
        <f t="shared" si="3"/>
        <v>21.478924266617689</v>
      </c>
      <c r="K72" s="187" cm="1">
        <f t="array" ref="K72">[15]!CalculateDICetip(C72,H72,1)*G72</f>
        <v>21.033958121998978</v>
      </c>
      <c r="L72" s="154">
        <v>273607</v>
      </c>
      <c r="M72" s="154" t="s">
        <v>411</v>
      </c>
      <c r="N72" s="154" t="s">
        <v>316</v>
      </c>
      <c r="O72" s="154" t="s">
        <v>317</v>
      </c>
      <c r="P72" s="154">
        <v>27143</v>
      </c>
      <c r="Q72" s="154" t="s">
        <v>913</v>
      </c>
      <c r="R72" s="154">
        <v>4</v>
      </c>
      <c r="S72" s="154" t="s">
        <v>914</v>
      </c>
      <c r="T72" s="154" t="s">
        <v>984</v>
      </c>
      <c r="U72" s="154" t="s">
        <v>916</v>
      </c>
      <c r="V72" s="154" t="s">
        <v>916</v>
      </c>
      <c r="W72" s="154" t="s">
        <v>333</v>
      </c>
      <c r="X72" s="154" t="s">
        <v>985</v>
      </c>
    </row>
    <row r="73" spans="1:24">
      <c r="A73" s="154" t="s">
        <v>102</v>
      </c>
      <c r="B73" s="154" t="s">
        <v>1401</v>
      </c>
      <c r="C73" s="155">
        <v>45916</v>
      </c>
      <c r="D73" s="155">
        <v>45912</v>
      </c>
      <c r="E73" s="159">
        <v>439.91</v>
      </c>
      <c r="F73" s="159">
        <v>1.539999999975</v>
      </c>
      <c r="G73" s="159">
        <v>1.539999999975</v>
      </c>
      <c r="H73" s="184">
        <f t="shared" si="2"/>
        <v>45978</v>
      </c>
      <c r="I73" s="187" cm="1">
        <f t="array" ref="I73">G73*[15]!CalculateINPC(C73,H73,-1)</f>
        <v>1.5484720481748624</v>
      </c>
      <c r="J73" s="187">
        <f t="shared" si="3"/>
        <v>1.6111808753071546</v>
      </c>
      <c r="K73" s="187" cm="1">
        <f t="array" ref="K73">[15]!CalculateDICetip(C73,H73,1)*G73</f>
        <v>1.5778029959743864</v>
      </c>
      <c r="L73" s="154">
        <v>273607</v>
      </c>
      <c r="M73" s="154" t="s">
        <v>411</v>
      </c>
      <c r="N73" s="154" t="s">
        <v>645</v>
      </c>
      <c r="O73" s="154" t="s">
        <v>646</v>
      </c>
      <c r="P73" s="154">
        <v>27143</v>
      </c>
      <c r="Q73" s="154" t="s">
        <v>913</v>
      </c>
      <c r="R73" s="154">
        <v>4</v>
      </c>
      <c r="S73" s="154" t="s">
        <v>914</v>
      </c>
      <c r="T73" s="154" t="s">
        <v>984</v>
      </c>
      <c r="U73" s="154" t="s">
        <v>916</v>
      </c>
      <c r="V73" s="154" t="s">
        <v>916</v>
      </c>
      <c r="W73" s="154" t="s">
        <v>333</v>
      </c>
      <c r="X73" s="154" t="s">
        <v>985</v>
      </c>
    </row>
    <row r="74" spans="1:24">
      <c r="A74" s="154" t="s">
        <v>102</v>
      </c>
      <c r="B74" s="154" t="s">
        <v>1401</v>
      </c>
      <c r="C74" s="155">
        <v>45916</v>
      </c>
      <c r="D74" s="155">
        <v>45912</v>
      </c>
      <c r="E74" s="159">
        <v>439.91</v>
      </c>
      <c r="F74" s="159">
        <v>3.7799999999990002</v>
      </c>
      <c r="G74" s="159">
        <v>3.7799999999990002</v>
      </c>
      <c r="H74" s="184">
        <f t="shared" si="2"/>
        <v>45978</v>
      </c>
      <c r="I74" s="187" cm="1">
        <f t="array" ref="I74">G74*[15]!CalculateINPC(C74,H74,-1)</f>
        <v>3.8007950273989946</v>
      </c>
      <c r="J74" s="187">
        <f t="shared" si="3"/>
        <v>3.9547166939988969</v>
      </c>
      <c r="K74" s="187" cm="1">
        <f t="array" ref="K74">[15]!CalculateDICetip(C74,H74,1)*G74</f>
        <v>3.872789171998976</v>
      </c>
      <c r="L74" s="154">
        <v>273607</v>
      </c>
      <c r="M74" s="154" t="s">
        <v>411</v>
      </c>
      <c r="N74" s="154" t="s">
        <v>635</v>
      </c>
      <c r="O74" s="154" t="s">
        <v>636</v>
      </c>
      <c r="P74" s="154">
        <v>27167</v>
      </c>
      <c r="Q74" s="154" t="s">
        <v>987</v>
      </c>
      <c r="R74" s="154">
        <v>4</v>
      </c>
      <c r="S74" s="154" t="s">
        <v>914</v>
      </c>
      <c r="T74" s="154" t="s">
        <v>984</v>
      </c>
      <c r="U74" s="154" t="s">
        <v>916</v>
      </c>
      <c r="V74" s="154" t="s">
        <v>916</v>
      </c>
      <c r="W74" s="154" t="s">
        <v>333</v>
      </c>
      <c r="X74" s="154" t="s">
        <v>985</v>
      </c>
    </row>
    <row r="75" spans="1:24">
      <c r="A75" s="154" t="s">
        <v>102</v>
      </c>
      <c r="B75" s="154" t="s">
        <v>1401</v>
      </c>
      <c r="C75" s="155">
        <v>45916</v>
      </c>
      <c r="D75" s="155">
        <v>45912</v>
      </c>
      <c r="E75" s="159">
        <v>439.91</v>
      </c>
      <c r="F75" s="159">
        <v>3.79</v>
      </c>
      <c r="G75" s="159">
        <v>3.79</v>
      </c>
      <c r="H75" s="184">
        <f t="shared" si="2"/>
        <v>45978</v>
      </c>
      <c r="I75" s="187" cm="1">
        <f t="array" ref="I75">G75*[15]!CalculateINPC(C75,H75,-1)</f>
        <v>3.8108500407000001</v>
      </c>
      <c r="J75" s="187">
        <f t="shared" si="3"/>
        <v>3.9651789074761332</v>
      </c>
      <c r="K75" s="187" cm="1">
        <f t="array" ref="K75">[15]!CalculateDICetip(C75,H75,1)*G75</f>
        <v>3.8830346460000005</v>
      </c>
      <c r="L75" s="154">
        <v>273607</v>
      </c>
      <c r="M75" s="154" t="s">
        <v>411</v>
      </c>
      <c r="N75" s="154" t="s">
        <v>635</v>
      </c>
      <c r="O75" s="154" t="s">
        <v>636</v>
      </c>
      <c r="P75" s="154">
        <v>27143</v>
      </c>
      <c r="Q75" s="154" t="s">
        <v>913</v>
      </c>
      <c r="R75" s="154">
        <v>4</v>
      </c>
      <c r="S75" s="154" t="s">
        <v>914</v>
      </c>
      <c r="T75" s="154" t="s">
        <v>984</v>
      </c>
      <c r="U75" s="154" t="s">
        <v>916</v>
      </c>
      <c r="V75" s="154" t="s">
        <v>916</v>
      </c>
      <c r="W75" s="154" t="s">
        <v>333</v>
      </c>
      <c r="X75" s="154" t="s">
        <v>985</v>
      </c>
    </row>
    <row r="76" spans="1:24">
      <c r="A76" s="154" t="s">
        <v>102</v>
      </c>
      <c r="B76" s="154" t="s">
        <v>1401</v>
      </c>
      <c r="C76" s="155">
        <v>45916</v>
      </c>
      <c r="D76" s="155">
        <v>45912</v>
      </c>
      <c r="E76" s="159">
        <v>439.91</v>
      </c>
      <c r="F76" s="159">
        <v>7.9800000000009996</v>
      </c>
      <c r="G76" s="159">
        <v>7.9800000000009996</v>
      </c>
      <c r="H76" s="184">
        <f t="shared" si="2"/>
        <v>45978</v>
      </c>
      <c r="I76" s="187" cm="1">
        <f t="array" ref="I76">G76*[15]!CalculateINPC(C76,H76,-1)</f>
        <v>8.023900613401004</v>
      </c>
      <c r="J76" s="187">
        <f t="shared" si="3"/>
        <v>8.3488463540009246</v>
      </c>
      <c r="K76" s="187" cm="1">
        <f t="array" ref="K76">[15]!CalculateDICetip(C76,H76,1)*G76</f>
        <v>8.175888252001025</v>
      </c>
      <c r="L76" s="154">
        <v>273607</v>
      </c>
      <c r="M76" s="154" t="s">
        <v>411</v>
      </c>
      <c r="N76" s="154" t="s">
        <v>560</v>
      </c>
      <c r="O76" s="154" t="s">
        <v>561</v>
      </c>
      <c r="P76" s="154">
        <v>27143</v>
      </c>
      <c r="Q76" s="154" t="s">
        <v>913</v>
      </c>
      <c r="R76" s="154">
        <v>4</v>
      </c>
      <c r="S76" s="154" t="s">
        <v>914</v>
      </c>
      <c r="T76" s="154" t="s">
        <v>984</v>
      </c>
      <c r="U76" s="154" t="s">
        <v>916</v>
      </c>
      <c r="V76" s="154" t="s">
        <v>916</v>
      </c>
      <c r="W76" s="154" t="s">
        <v>333</v>
      </c>
      <c r="X76" s="154" t="s">
        <v>985</v>
      </c>
    </row>
    <row r="77" spans="1:24">
      <c r="A77" s="154" t="s">
        <v>102</v>
      </c>
      <c r="B77" s="154" t="s">
        <v>1401</v>
      </c>
      <c r="C77" s="155">
        <v>45916</v>
      </c>
      <c r="D77" s="155">
        <v>45912</v>
      </c>
      <c r="E77" s="159">
        <v>439.91</v>
      </c>
      <c r="F77" s="159">
        <v>7.9800000000009996</v>
      </c>
      <c r="G77" s="159">
        <v>7.9800000000009996</v>
      </c>
      <c r="H77" s="184">
        <f t="shared" si="2"/>
        <v>45978</v>
      </c>
      <c r="I77" s="187" cm="1">
        <f t="array" ref="I77">G77*[15]!CalculateINPC(C77,H77,-1)</f>
        <v>8.023900613401004</v>
      </c>
      <c r="J77" s="187">
        <f t="shared" si="3"/>
        <v>8.3488463540009246</v>
      </c>
      <c r="K77" s="187" cm="1">
        <f t="array" ref="K77">[15]!CalculateDICetip(C77,H77,1)*G77</f>
        <v>8.175888252001025</v>
      </c>
      <c r="L77" s="154">
        <v>273607</v>
      </c>
      <c r="M77" s="154" t="s">
        <v>411</v>
      </c>
      <c r="N77" s="154" t="s">
        <v>560</v>
      </c>
      <c r="O77" s="154" t="s">
        <v>561</v>
      </c>
      <c r="P77" s="154">
        <v>27156</v>
      </c>
      <c r="Q77" s="154" t="s">
        <v>943</v>
      </c>
      <c r="R77" s="154">
        <v>4</v>
      </c>
      <c r="S77" s="154" t="s">
        <v>914</v>
      </c>
      <c r="T77" s="154" t="s">
        <v>984</v>
      </c>
      <c r="U77" s="154" t="s">
        <v>916</v>
      </c>
      <c r="V77" s="154" t="s">
        <v>916</v>
      </c>
      <c r="W77" s="154" t="s">
        <v>333</v>
      </c>
      <c r="X77" s="154" t="s">
        <v>985</v>
      </c>
    </row>
    <row r="78" spans="1:24">
      <c r="A78" s="154" t="s">
        <v>102</v>
      </c>
      <c r="B78" s="154" t="s">
        <v>1401</v>
      </c>
      <c r="C78" s="155">
        <v>45916</v>
      </c>
      <c r="D78" s="155">
        <v>45912</v>
      </c>
      <c r="E78" s="159">
        <v>439.91</v>
      </c>
      <c r="F78" s="159">
        <v>1.5400000000009999</v>
      </c>
      <c r="G78" s="159">
        <v>1.5400000000009999</v>
      </c>
      <c r="H78" s="184">
        <f t="shared" si="2"/>
        <v>45978</v>
      </c>
      <c r="I78" s="187" cm="1">
        <f t="array" ref="I78">G78*[15]!CalculateINPC(C78,H78,-1)</f>
        <v>1.5484720482010053</v>
      </c>
      <c r="J78" s="187">
        <f t="shared" si="3"/>
        <v>1.6111808753343562</v>
      </c>
      <c r="K78" s="187" cm="1">
        <f t="array" ref="K78">[15]!CalculateDICetip(C78,H78,1)*G78</f>
        <v>1.5778029960010247</v>
      </c>
      <c r="L78" s="154">
        <v>273607</v>
      </c>
      <c r="M78" s="154" t="s">
        <v>411</v>
      </c>
      <c r="N78" s="154" t="s">
        <v>645</v>
      </c>
      <c r="O78" s="154" t="s">
        <v>646</v>
      </c>
      <c r="P78" s="154">
        <v>27156</v>
      </c>
      <c r="Q78" s="154" t="s">
        <v>943</v>
      </c>
      <c r="R78" s="154">
        <v>4</v>
      </c>
      <c r="S78" s="154" t="s">
        <v>914</v>
      </c>
      <c r="T78" s="154" t="s">
        <v>984</v>
      </c>
      <c r="U78" s="154" t="s">
        <v>916</v>
      </c>
      <c r="V78" s="154" t="s">
        <v>916</v>
      </c>
      <c r="W78" s="154" t="s">
        <v>333</v>
      </c>
      <c r="X78" s="154" t="s">
        <v>985</v>
      </c>
    </row>
    <row r="79" spans="1:24">
      <c r="A79" s="154" t="s">
        <v>102</v>
      </c>
      <c r="B79" s="154" t="s">
        <v>1401</v>
      </c>
      <c r="C79" s="155">
        <v>45916</v>
      </c>
      <c r="D79" s="155">
        <v>45912</v>
      </c>
      <c r="E79" s="159">
        <v>439.91</v>
      </c>
      <c r="F79" s="159">
        <v>20.529999999998999</v>
      </c>
      <c r="G79" s="159">
        <v>20.529999999998999</v>
      </c>
      <c r="H79" s="184">
        <f t="shared" si="2"/>
        <v>45978</v>
      </c>
      <c r="I79" s="187" cm="1">
        <f t="array" ref="I79">G79*[15]!CalculateINPC(C79,H79,-1)</f>
        <v>20.642942304898995</v>
      </c>
      <c r="J79" s="187">
        <f t="shared" si="3"/>
        <v>21.478924266617689</v>
      </c>
      <c r="K79" s="187" cm="1">
        <f t="array" ref="K79">[15]!CalculateDICetip(C79,H79,1)*G79</f>
        <v>21.033958121998978</v>
      </c>
      <c r="L79" s="154">
        <v>273607</v>
      </c>
      <c r="M79" s="154" t="s">
        <v>411</v>
      </c>
      <c r="N79" s="154" t="s">
        <v>316</v>
      </c>
      <c r="O79" s="154" t="s">
        <v>317</v>
      </c>
      <c r="P79" s="154">
        <v>27156</v>
      </c>
      <c r="Q79" s="154" t="s">
        <v>943</v>
      </c>
      <c r="R79" s="154">
        <v>4</v>
      </c>
      <c r="S79" s="154" t="s">
        <v>914</v>
      </c>
      <c r="T79" s="154" t="s">
        <v>984</v>
      </c>
      <c r="U79" s="154" t="s">
        <v>916</v>
      </c>
      <c r="V79" s="154" t="s">
        <v>916</v>
      </c>
      <c r="W79" s="154" t="s">
        <v>333</v>
      </c>
      <c r="X79" s="154" t="s">
        <v>985</v>
      </c>
    </row>
    <row r="80" spans="1:24">
      <c r="A80" s="154" t="s">
        <v>102</v>
      </c>
      <c r="B80" s="154" t="s">
        <v>1401</v>
      </c>
      <c r="C80" s="155">
        <v>45916</v>
      </c>
      <c r="D80" s="155">
        <v>45912</v>
      </c>
      <c r="E80" s="159">
        <v>439.91</v>
      </c>
      <c r="F80" s="159">
        <v>1.5400000000009999</v>
      </c>
      <c r="G80" s="159">
        <v>1.5400000000009999</v>
      </c>
      <c r="H80" s="184">
        <f t="shared" si="2"/>
        <v>45978</v>
      </c>
      <c r="I80" s="187" cm="1">
        <f t="array" ref="I80">G80*[15]!CalculateINPC(C80,H80,-1)</f>
        <v>1.5484720482010053</v>
      </c>
      <c r="J80" s="187">
        <f t="shared" si="3"/>
        <v>1.6111808753343562</v>
      </c>
      <c r="K80" s="187" cm="1">
        <f t="array" ref="K80">[15]!CalculateDICetip(C80,H80,1)*G80</f>
        <v>1.5778029960010247</v>
      </c>
      <c r="L80" s="154">
        <v>273607</v>
      </c>
      <c r="M80" s="154" t="s">
        <v>411</v>
      </c>
      <c r="N80" s="154" t="s">
        <v>645</v>
      </c>
      <c r="O80" s="154" t="s">
        <v>646</v>
      </c>
      <c r="P80" s="154">
        <v>27160</v>
      </c>
      <c r="Q80" s="154" t="s">
        <v>976</v>
      </c>
      <c r="R80" s="154">
        <v>4</v>
      </c>
      <c r="S80" s="154" t="s">
        <v>914</v>
      </c>
      <c r="T80" s="154" t="s">
        <v>984</v>
      </c>
      <c r="U80" s="154" t="s">
        <v>916</v>
      </c>
      <c r="V80" s="154" t="s">
        <v>916</v>
      </c>
      <c r="W80" s="154" t="s">
        <v>333</v>
      </c>
      <c r="X80" s="154" t="s">
        <v>985</v>
      </c>
    </row>
    <row r="81" spans="1:24">
      <c r="A81" s="154" t="s">
        <v>102</v>
      </c>
      <c r="B81" s="154" t="s">
        <v>1401</v>
      </c>
      <c r="C81" s="155">
        <v>45916</v>
      </c>
      <c r="D81" s="155">
        <v>45912</v>
      </c>
      <c r="E81" s="159">
        <v>439.91</v>
      </c>
      <c r="F81" s="159">
        <v>7.9800000000009996</v>
      </c>
      <c r="G81" s="159">
        <v>7.9800000000009996</v>
      </c>
      <c r="H81" s="184">
        <f t="shared" si="2"/>
        <v>45978</v>
      </c>
      <c r="I81" s="187" cm="1">
        <f t="array" ref="I81">G81*[15]!CalculateINPC(C81,H81,-1)</f>
        <v>8.023900613401004</v>
      </c>
      <c r="J81" s="187">
        <f t="shared" si="3"/>
        <v>8.3488463540009246</v>
      </c>
      <c r="K81" s="187" cm="1">
        <f t="array" ref="K81">[15]!CalculateDICetip(C81,H81,1)*G81</f>
        <v>8.175888252001025</v>
      </c>
      <c r="L81" s="154">
        <v>273607</v>
      </c>
      <c r="M81" s="154" t="s">
        <v>411</v>
      </c>
      <c r="N81" s="154" t="s">
        <v>560</v>
      </c>
      <c r="O81" s="154" t="s">
        <v>561</v>
      </c>
      <c r="P81" s="154">
        <v>27160</v>
      </c>
      <c r="Q81" s="154" t="s">
        <v>976</v>
      </c>
      <c r="R81" s="154">
        <v>4</v>
      </c>
      <c r="S81" s="154" t="s">
        <v>914</v>
      </c>
      <c r="T81" s="154" t="s">
        <v>984</v>
      </c>
      <c r="U81" s="154" t="s">
        <v>916</v>
      </c>
      <c r="V81" s="154" t="s">
        <v>916</v>
      </c>
      <c r="W81" s="154" t="s">
        <v>333</v>
      </c>
      <c r="X81" s="154" t="s">
        <v>985</v>
      </c>
    </row>
    <row r="82" spans="1:24">
      <c r="A82" s="154" t="s">
        <v>102</v>
      </c>
      <c r="B82" s="154" t="s">
        <v>1401</v>
      </c>
      <c r="C82" s="155">
        <v>45916</v>
      </c>
      <c r="D82" s="155">
        <v>45912</v>
      </c>
      <c r="E82" s="159">
        <v>439.91</v>
      </c>
      <c r="F82" s="159">
        <v>3.79</v>
      </c>
      <c r="G82" s="159">
        <v>3.79</v>
      </c>
      <c r="H82" s="184">
        <f t="shared" si="2"/>
        <v>45978</v>
      </c>
      <c r="I82" s="187" cm="1">
        <f t="array" ref="I82">G82*[15]!CalculateINPC(C82,H82,-1)</f>
        <v>3.8108500407000001</v>
      </c>
      <c r="J82" s="187">
        <f t="shared" si="3"/>
        <v>3.9651789074761332</v>
      </c>
      <c r="K82" s="187" cm="1">
        <f t="array" ref="K82">[15]!CalculateDICetip(C82,H82,1)*G82</f>
        <v>3.8830346460000005</v>
      </c>
      <c r="L82" s="154">
        <v>273607</v>
      </c>
      <c r="M82" s="154" t="s">
        <v>411</v>
      </c>
      <c r="N82" s="154" t="s">
        <v>635</v>
      </c>
      <c r="O82" s="154" t="s">
        <v>636</v>
      </c>
      <c r="P82" s="154">
        <v>27160</v>
      </c>
      <c r="Q82" s="154" t="s">
        <v>976</v>
      </c>
      <c r="R82" s="154">
        <v>4</v>
      </c>
      <c r="S82" s="154" t="s">
        <v>914</v>
      </c>
      <c r="T82" s="154" t="s">
        <v>984</v>
      </c>
      <c r="U82" s="154" t="s">
        <v>916</v>
      </c>
      <c r="V82" s="154" t="s">
        <v>916</v>
      </c>
      <c r="W82" s="154" t="s">
        <v>333</v>
      </c>
      <c r="X82" s="154" t="s">
        <v>985</v>
      </c>
    </row>
    <row r="83" spans="1:24">
      <c r="A83" s="154" t="s">
        <v>102</v>
      </c>
      <c r="B83" s="154" t="s">
        <v>1401</v>
      </c>
      <c r="C83" s="155">
        <v>45916</v>
      </c>
      <c r="D83" s="155">
        <v>45912</v>
      </c>
      <c r="E83" s="159">
        <v>439.91</v>
      </c>
      <c r="F83" s="159">
        <v>20.529999999998999</v>
      </c>
      <c r="G83" s="159">
        <v>20.529999999998999</v>
      </c>
      <c r="H83" s="184">
        <f t="shared" si="2"/>
        <v>45978</v>
      </c>
      <c r="I83" s="187" cm="1">
        <f t="array" ref="I83">G83*[15]!CalculateINPC(C83,H83,-1)</f>
        <v>20.642942304898995</v>
      </c>
      <c r="J83" s="187">
        <f t="shared" si="3"/>
        <v>21.478924266617689</v>
      </c>
      <c r="K83" s="187" cm="1">
        <f t="array" ref="K83">[15]!CalculateDICetip(C83,H83,1)*G83</f>
        <v>21.033958121998978</v>
      </c>
      <c r="L83" s="154">
        <v>273607</v>
      </c>
      <c r="M83" s="154" t="s">
        <v>411</v>
      </c>
      <c r="N83" s="154" t="s">
        <v>316</v>
      </c>
      <c r="O83" s="154" t="s">
        <v>317</v>
      </c>
      <c r="P83" s="154">
        <v>27160</v>
      </c>
      <c r="Q83" s="154" t="s">
        <v>976</v>
      </c>
      <c r="R83" s="154">
        <v>4</v>
      </c>
      <c r="S83" s="154" t="s">
        <v>914</v>
      </c>
      <c r="T83" s="154" t="s">
        <v>984</v>
      </c>
      <c r="U83" s="154" t="s">
        <v>916</v>
      </c>
      <c r="V83" s="154" t="s">
        <v>916</v>
      </c>
      <c r="W83" s="154" t="s">
        <v>333</v>
      </c>
      <c r="X83" s="154" t="s">
        <v>985</v>
      </c>
    </row>
    <row r="84" spans="1:24">
      <c r="A84" s="154" t="s">
        <v>102</v>
      </c>
      <c r="B84" s="154" t="s">
        <v>1401</v>
      </c>
      <c r="C84" s="155">
        <v>45916</v>
      </c>
      <c r="D84" s="155">
        <v>45912</v>
      </c>
      <c r="E84" s="159">
        <v>439.91</v>
      </c>
      <c r="F84" s="159">
        <v>7.9800000000009996</v>
      </c>
      <c r="G84" s="159">
        <v>7.9800000000009996</v>
      </c>
      <c r="H84" s="184">
        <f t="shared" si="2"/>
        <v>45978</v>
      </c>
      <c r="I84" s="187" cm="1">
        <f t="array" ref="I84">G84*[15]!CalculateINPC(C84,H84,-1)</f>
        <v>8.023900613401004</v>
      </c>
      <c r="J84" s="187">
        <f t="shared" si="3"/>
        <v>8.3488463540009246</v>
      </c>
      <c r="K84" s="187" cm="1">
        <f t="array" ref="K84">[15]!CalculateDICetip(C84,H84,1)*G84</f>
        <v>8.175888252001025</v>
      </c>
      <c r="L84" s="154">
        <v>273607</v>
      </c>
      <c r="M84" s="154" t="s">
        <v>411</v>
      </c>
      <c r="N84" s="154" t="s">
        <v>560</v>
      </c>
      <c r="O84" s="154" t="s">
        <v>561</v>
      </c>
      <c r="P84" s="154">
        <v>27159</v>
      </c>
      <c r="Q84" s="154" t="s">
        <v>918</v>
      </c>
      <c r="R84" s="154">
        <v>4</v>
      </c>
      <c r="S84" s="154" t="s">
        <v>914</v>
      </c>
      <c r="T84" s="154" t="s">
        <v>984</v>
      </c>
      <c r="U84" s="154" t="s">
        <v>916</v>
      </c>
      <c r="V84" s="154" t="s">
        <v>916</v>
      </c>
      <c r="W84" s="154" t="s">
        <v>333</v>
      </c>
      <c r="X84" s="154" t="s">
        <v>985</v>
      </c>
    </row>
    <row r="85" spans="1:24">
      <c r="A85" s="154" t="s">
        <v>102</v>
      </c>
      <c r="B85" s="154" t="s">
        <v>1401</v>
      </c>
      <c r="C85" s="155">
        <v>45916</v>
      </c>
      <c r="D85" s="155">
        <v>45912</v>
      </c>
      <c r="E85" s="159">
        <v>439.91</v>
      </c>
      <c r="F85" s="159">
        <v>1.5400000000009999</v>
      </c>
      <c r="G85" s="159">
        <v>1.5400000000009999</v>
      </c>
      <c r="H85" s="184">
        <f t="shared" si="2"/>
        <v>45978</v>
      </c>
      <c r="I85" s="187" cm="1">
        <f t="array" ref="I85">G85*[15]!CalculateINPC(C85,H85,-1)</f>
        <v>1.5484720482010053</v>
      </c>
      <c r="J85" s="187">
        <f t="shared" si="3"/>
        <v>1.6111808753343562</v>
      </c>
      <c r="K85" s="187" cm="1">
        <f t="array" ref="K85">[15]!CalculateDICetip(C85,H85,1)*G85</f>
        <v>1.5778029960010247</v>
      </c>
      <c r="L85" s="154">
        <v>273607</v>
      </c>
      <c r="M85" s="154" t="s">
        <v>411</v>
      </c>
      <c r="N85" s="154" t="s">
        <v>645</v>
      </c>
      <c r="O85" s="154" t="s">
        <v>646</v>
      </c>
      <c r="P85" s="154">
        <v>27159</v>
      </c>
      <c r="Q85" s="154" t="s">
        <v>918</v>
      </c>
      <c r="R85" s="154">
        <v>4</v>
      </c>
      <c r="S85" s="154" t="s">
        <v>914</v>
      </c>
      <c r="T85" s="154" t="s">
        <v>984</v>
      </c>
      <c r="U85" s="154" t="s">
        <v>916</v>
      </c>
      <c r="V85" s="154" t="s">
        <v>916</v>
      </c>
      <c r="W85" s="154" t="s">
        <v>333</v>
      </c>
      <c r="X85" s="154" t="s">
        <v>985</v>
      </c>
    </row>
    <row r="86" spans="1:24">
      <c r="A86" s="154" t="s">
        <v>102</v>
      </c>
      <c r="B86" s="154" t="s">
        <v>1401</v>
      </c>
      <c r="C86" s="155">
        <v>45916</v>
      </c>
      <c r="D86" s="155">
        <v>45912</v>
      </c>
      <c r="E86" s="159">
        <v>439.91</v>
      </c>
      <c r="F86" s="159">
        <v>3.79</v>
      </c>
      <c r="G86" s="159">
        <v>3.79</v>
      </c>
      <c r="H86" s="184">
        <f t="shared" si="2"/>
        <v>45978</v>
      </c>
      <c r="I86" s="187" cm="1">
        <f t="array" ref="I86">G86*[15]!CalculateINPC(C86,H86,-1)</f>
        <v>3.8108500407000001</v>
      </c>
      <c r="J86" s="187">
        <f t="shared" si="3"/>
        <v>3.9651789074761332</v>
      </c>
      <c r="K86" s="187" cm="1">
        <f t="array" ref="K86">[15]!CalculateDICetip(C86,H86,1)*G86</f>
        <v>3.8830346460000005</v>
      </c>
      <c r="L86" s="154">
        <v>273607</v>
      </c>
      <c r="M86" s="154" t="s">
        <v>411</v>
      </c>
      <c r="N86" s="154" t="s">
        <v>635</v>
      </c>
      <c r="O86" s="154" t="s">
        <v>636</v>
      </c>
      <c r="P86" s="154">
        <v>27159</v>
      </c>
      <c r="Q86" s="154" t="s">
        <v>918</v>
      </c>
      <c r="R86" s="154">
        <v>4</v>
      </c>
      <c r="S86" s="154" t="s">
        <v>914</v>
      </c>
      <c r="T86" s="154" t="s">
        <v>984</v>
      </c>
      <c r="U86" s="154" t="s">
        <v>916</v>
      </c>
      <c r="V86" s="154" t="s">
        <v>916</v>
      </c>
      <c r="W86" s="154" t="s">
        <v>333</v>
      </c>
      <c r="X86" s="154" t="s">
        <v>985</v>
      </c>
    </row>
    <row r="87" spans="1:24">
      <c r="A87" s="154" t="s">
        <v>102</v>
      </c>
      <c r="B87" s="154" t="s">
        <v>1401</v>
      </c>
      <c r="C87" s="155">
        <v>45916</v>
      </c>
      <c r="D87" s="155">
        <v>45912</v>
      </c>
      <c r="E87" s="159">
        <v>439.91</v>
      </c>
      <c r="F87" s="159">
        <v>20.529999999998999</v>
      </c>
      <c r="G87" s="159">
        <v>20.529999999998999</v>
      </c>
      <c r="H87" s="184">
        <f t="shared" si="2"/>
        <v>45978</v>
      </c>
      <c r="I87" s="187" cm="1">
        <f t="array" ref="I87">G87*[15]!CalculateINPC(C87,H87,-1)</f>
        <v>20.642942304898995</v>
      </c>
      <c r="J87" s="187">
        <f t="shared" si="3"/>
        <v>21.478924266617689</v>
      </c>
      <c r="K87" s="187" cm="1">
        <f t="array" ref="K87">[15]!CalculateDICetip(C87,H87,1)*G87</f>
        <v>21.033958121998978</v>
      </c>
      <c r="L87" s="154">
        <v>273607</v>
      </c>
      <c r="M87" s="154" t="s">
        <v>411</v>
      </c>
      <c r="N87" s="154" t="s">
        <v>316</v>
      </c>
      <c r="O87" s="154" t="s">
        <v>317</v>
      </c>
      <c r="P87" s="154">
        <v>27159</v>
      </c>
      <c r="Q87" s="154" t="s">
        <v>918</v>
      </c>
      <c r="R87" s="154">
        <v>4</v>
      </c>
      <c r="S87" s="154" t="s">
        <v>914</v>
      </c>
      <c r="T87" s="154" t="s">
        <v>984</v>
      </c>
      <c r="U87" s="154" t="s">
        <v>916</v>
      </c>
      <c r="V87" s="154" t="s">
        <v>916</v>
      </c>
      <c r="W87" s="154" t="s">
        <v>333</v>
      </c>
      <c r="X87" s="154" t="s">
        <v>985</v>
      </c>
    </row>
    <row r="88" spans="1:24">
      <c r="A88" s="154" t="s">
        <v>102</v>
      </c>
      <c r="B88" s="154" t="s">
        <v>1401</v>
      </c>
      <c r="C88" s="155">
        <v>45918</v>
      </c>
      <c r="D88" s="155">
        <v>45890</v>
      </c>
      <c r="E88" s="159">
        <v>2216.41</v>
      </c>
      <c r="F88" s="159">
        <v>9.5305630000000008</v>
      </c>
      <c r="G88" s="159">
        <v>9.5305630000000008</v>
      </c>
      <c r="H88" s="184">
        <f t="shared" si="2"/>
        <v>45978</v>
      </c>
      <c r="I88" s="187" cm="1">
        <f t="array" ref="I88">G88*[15]!CalculateINPC(C88,H88,-1)</f>
        <v>9.5829937721487912</v>
      </c>
      <c r="J88" s="187">
        <f t="shared" si="3"/>
        <v>9.9565554152057931</v>
      </c>
      <c r="K88" s="187" cm="1">
        <f t="array" ref="K88">[15]!CalculateDICetip(C88,H88,1)*G88</f>
        <v>9.7537559191999499</v>
      </c>
      <c r="L88" s="154">
        <v>273443</v>
      </c>
      <c r="M88" s="154" t="s">
        <v>979</v>
      </c>
      <c r="N88" s="154" t="s">
        <v>980</v>
      </c>
      <c r="O88" s="154" t="s">
        <v>981</v>
      </c>
      <c r="P88" s="154">
        <v>29661</v>
      </c>
      <c r="Q88" s="154" t="s">
        <v>922</v>
      </c>
      <c r="R88" s="154">
        <v>4</v>
      </c>
      <c r="S88" s="154" t="s">
        <v>914</v>
      </c>
      <c r="T88" s="154" t="s">
        <v>988</v>
      </c>
      <c r="U88" s="154" t="s">
        <v>916</v>
      </c>
      <c r="V88" s="154" t="s">
        <v>916</v>
      </c>
      <c r="W88" s="154" t="s">
        <v>130</v>
      </c>
      <c r="X88" s="154" t="s">
        <v>989</v>
      </c>
    </row>
    <row r="89" spans="1:24">
      <c r="A89" s="154" t="s">
        <v>102</v>
      </c>
      <c r="B89" s="154" t="s">
        <v>1401</v>
      </c>
      <c r="C89" s="155">
        <v>45888</v>
      </c>
      <c r="D89" s="155">
        <v>45887</v>
      </c>
      <c r="E89" s="159">
        <v>1110.5999999999999</v>
      </c>
      <c r="F89" s="159">
        <v>222.12</v>
      </c>
      <c r="G89" s="159">
        <v>222.12</v>
      </c>
      <c r="H89" s="184">
        <f t="shared" si="2"/>
        <v>45978</v>
      </c>
      <c r="I89" s="187" cm="1">
        <f t="array" ref="I89">G89*[15]!CalculateINPC(C89,H89,-1)</f>
        <v>222.87282243120001</v>
      </c>
      <c r="J89" s="187">
        <f t="shared" si="3"/>
        <v>237.17750866336658</v>
      </c>
      <c r="K89" s="187" cm="1">
        <f t="array" ref="K89">[15]!CalculateDICetip(C89,H89,1)*G89</f>
        <v>230.09491429560001</v>
      </c>
      <c r="L89" s="154">
        <v>267275</v>
      </c>
      <c r="M89" s="154" t="s">
        <v>382</v>
      </c>
      <c r="N89" s="154" t="s">
        <v>282</v>
      </c>
      <c r="O89" s="154" t="s">
        <v>283</v>
      </c>
      <c r="P89" s="154">
        <v>27145</v>
      </c>
      <c r="Q89" s="154" t="s">
        <v>967</v>
      </c>
      <c r="R89" s="154">
        <v>4</v>
      </c>
      <c r="S89" s="154" t="s">
        <v>914</v>
      </c>
      <c r="T89" s="154" t="s">
        <v>990</v>
      </c>
      <c r="U89" s="154" t="s">
        <v>916</v>
      </c>
      <c r="V89" s="154" t="s">
        <v>916</v>
      </c>
      <c r="W89" s="154" t="s">
        <v>117</v>
      </c>
      <c r="X89" s="154" t="s">
        <v>991</v>
      </c>
    </row>
    <row r="90" spans="1:24">
      <c r="A90" s="154" t="s">
        <v>102</v>
      </c>
      <c r="B90" s="154" t="s">
        <v>1401</v>
      </c>
      <c r="C90" s="155">
        <v>45888</v>
      </c>
      <c r="D90" s="155">
        <v>45887</v>
      </c>
      <c r="E90" s="159">
        <v>1110.5999999999999</v>
      </c>
      <c r="F90" s="159">
        <v>222.12</v>
      </c>
      <c r="G90" s="159">
        <v>222.12</v>
      </c>
      <c r="H90" s="184">
        <f t="shared" si="2"/>
        <v>45978</v>
      </c>
      <c r="I90" s="187" cm="1">
        <f t="array" ref="I90">G90*[15]!CalculateINPC(C90,H90,-1)</f>
        <v>222.87282243120001</v>
      </c>
      <c r="J90" s="187">
        <f t="shared" si="3"/>
        <v>237.17750866336658</v>
      </c>
      <c r="K90" s="187" cm="1">
        <f t="array" ref="K90">[15]!CalculateDICetip(C90,H90,1)*G90</f>
        <v>230.09491429560001</v>
      </c>
      <c r="L90" s="154">
        <v>267275</v>
      </c>
      <c r="M90" s="154" t="s">
        <v>382</v>
      </c>
      <c r="N90" s="154" t="s">
        <v>282</v>
      </c>
      <c r="O90" s="154" t="s">
        <v>283</v>
      </c>
      <c r="P90" s="154">
        <v>27149</v>
      </c>
      <c r="Q90" s="154" t="s">
        <v>949</v>
      </c>
      <c r="R90" s="154">
        <v>4</v>
      </c>
      <c r="S90" s="154" t="s">
        <v>914</v>
      </c>
      <c r="T90" s="154" t="s">
        <v>990</v>
      </c>
      <c r="U90" s="154" t="s">
        <v>916</v>
      </c>
      <c r="V90" s="154" t="s">
        <v>916</v>
      </c>
      <c r="W90" s="154" t="s">
        <v>117</v>
      </c>
      <c r="X90" s="154" t="s">
        <v>991</v>
      </c>
    </row>
    <row r="91" spans="1:24">
      <c r="A91" s="154" t="s">
        <v>102</v>
      </c>
      <c r="B91" s="154" t="s">
        <v>1401</v>
      </c>
      <c r="C91" s="155">
        <v>45888</v>
      </c>
      <c r="D91" s="155">
        <v>45887</v>
      </c>
      <c r="E91" s="159">
        <v>1110.5999999999999</v>
      </c>
      <c r="F91" s="159">
        <v>222.12</v>
      </c>
      <c r="G91" s="159">
        <v>222.12</v>
      </c>
      <c r="H91" s="184">
        <f t="shared" si="2"/>
        <v>45978</v>
      </c>
      <c r="I91" s="187" cm="1">
        <f t="array" ref="I91">G91*[15]!CalculateINPC(C91,H91,-1)</f>
        <v>222.87282243120001</v>
      </c>
      <c r="J91" s="187">
        <f t="shared" si="3"/>
        <v>237.17750866336658</v>
      </c>
      <c r="K91" s="187" cm="1">
        <f t="array" ref="K91">[15]!CalculateDICetip(C91,H91,1)*G91</f>
        <v>230.09491429560001</v>
      </c>
      <c r="L91" s="154">
        <v>267275</v>
      </c>
      <c r="M91" s="154" t="s">
        <v>382</v>
      </c>
      <c r="N91" s="154" t="s">
        <v>282</v>
      </c>
      <c r="O91" s="154" t="s">
        <v>283</v>
      </c>
      <c r="P91" s="154">
        <v>27160</v>
      </c>
      <c r="Q91" s="154" t="s">
        <v>976</v>
      </c>
      <c r="R91" s="154">
        <v>4</v>
      </c>
      <c r="S91" s="154" t="s">
        <v>914</v>
      </c>
      <c r="T91" s="154" t="s">
        <v>990</v>
      </c>
      <c r="U91" s="154" t="s">
        <v>916</v>
      </c>
      <c r="V91" s="154" t="s">
        <v>916</v>
      </c>
      <c r="W91" s="154" t="s">
        <v>117</v>
      </c>
      <c r="X91" s="154" t="s">
        <v>991</v>
      </c>
    </row>
    <row r="92" spans="1:24">
      <c r="A92" s="154" t="s">
        <v>102</v>
      </c>
      <c r="B92" s="154" t="s">
        <v>1401</v>
      </c>
      <c r="C92" s="155">
        <v>45888</v>
      </c>
      <c r="D92" s="155">
        <v>45887</v>
      </c>
      <c r="E92" s="159">
        <v>1110.5999999999999</v>
      </c>
      <c r="F92" s="159">
        <v>222.12</v>
      </c>
      <c r="G92" s="159">
        <v>222.12</v>
      </c>
      <c r="H92" s="184">
        <f t="shared" si="2"/>
        <v>45978</v>
      </c>
      <c r="I92" s="187" cm="1">
        <f t="array" ref="I92">G92*[15]!CalculateINPC(C92,H92,-1)</f>
        <v>222.87282243120001</v>
      </c>
      <c r="J92" s="187">
        <f t="shared" si="3"/>
        <v>237.17750866336658</v>
      </c>
      <c r="K92" s="187" cm="1">
        <f t="array" ref="K92">[15]!CalculateDICetip(C92,H92,1)*G92</f>
        <v>230.09491429560001</v>
      </c>
      <c r="L92" s="154">
        <v>267275</v>
      </c>
      <c r="M92" s="154" t="s">
        <v>382</v>
      </c>
      <c r="N92" s="154" t="s">
        <v>282</v>
      </c>
      <c r="O92" s="154" t="s">
        <v>283</v>
      </c>
      <c r="P92" s="154">
        <v>27154</v>
      </c>
      <c r="Q92" s="154" t="s">
        <v>946</v>
      </c>
      <c r="R92" s="154">
        <v>4</v>
      </c>
      <c r="S92" s="154" t="s">
        <v>914</v>
      </c>
      <c r="T92" s="154" t="s">
        <v>990</v>
      </c>
      <c r="U92" s="154" t="s">
        <v>916</v>
      </c>
      <c r="V92" s="154" t="s">
        <v>916</v>
      </c>
      <c r="W92" s="154" t="s">
        <v>117</v>
      </c>
      <c r="X92" s="154" t="s">
        <v>991</v>
      </c>
    </row>
    <row r="93" spans="1:24">
      <c r="A93" s="154" t="s">
        <v>102</v>
      </c>
      <c r="B93" s="154" t="s">
        <v>1401</v>
      </c>
      <c r="C93" s="155">
        <v>45888</v>
      </c>
      <c r="D93" s="155">
        <v>45887</v>
      </c>
      <c r="E93" s="159">
        <v>1110.5999999999999</v>
      </c>
      <c r="F93" s="159">
        <v>222.12</v>
      </c>
      <c r="G93" s="159">
        <v>222.12</v>
      </c>
      <c r="H93" s="184">
        <f t="shared" si="2"/>
        <v>45978</v>
      </c>
      <c r="I93" s="187" cm="1">
        <f t="array" ref="I93">G93*[15]!CalculateINPC(C93,H93,-1)</f>
        <v>222.87282243120001</v>
      </c>
      <c r="J93" s="187">
        <f t="shared" si="3"/>
        <v>237.17750866336658</v>
      </c>
      <c r="K93" s="187" cm="1">
        <f t="array" ref="K93">[15]!CalculateDICetip(C93,H93,1)*G93</f>
        <v>230.09491429560001</v>
      </c>
      <c r="L93" s="154">
        <v>267275</v>
      </c>
      <c r="M93" s="154" t="s">
        <v>382</v>
      </c>
      <c r="N93" s="154" t="s">
        <v>282</v>
      </c>
      <c r="O93" s="154" t="s">
        <v>283</v>
      </c>
      <c r="P93" s="154">
        <v>27158</v>
      </c>
      <c r="Q93" s="154" t="s">
        <v>960</v>
      </c>
      <c r="R93" s="154">
        <v>4</v>
      </c>
      <c r="S93" s="154" t="s">
        <v>914</v>
      </c>
      <c r="T93" s="154" t="s">
        <v>990</v>
      </c>
      <c r="U93" s="154" t="s">
        <v>916</v>
      </c>
      <c r="V93" s="154" t="s">
        <v>916</v>
      </c>
      <c r="W93" s="154" t="s">
        <v>117</v>
      </c>
      <c r="X93" s="154" t="s">
        <v>991</v>
      </c>
    </row>
    <row r="94" spans="1:24">
      <c r="A94" s="154" t="s">
        <v>102</v>
      </c>
      <c r="B94" s="154" t="s">
        <v>1401</v>
      </c>
      <c r="C94" s="155">
        <v>45889</v>
      </c>
      <c r="D94" s="155">
        <v>45859</v>
      </c>
      <c r="E94" s="159">
        <v>2216.41</v>
      </c>
      <c r="F94" s="159">
        <v>1.994769</v>
      </c>
      <c r="G94" s="159">
        <v>1.994769</v>
      </c>
      <c r="H94" s="184">
        <f t="shared" si="2"/>
        <v>45978</v>
      </c>
      <c r="I94" s="187" cm="1">
        <f t="array" ref="I94">G94*[15]!CalculateINPC(C94,H94,-1)</f>
        <v>2.00152979078094</v>
      </c>
      <c r="J94" s="187">
        <f t="shared" si="3"/>
        <v>2.1284425831487557</v>
      </c>
      <c r="K94" s="187" cm="1">
        <f t="array" ref="K94">[15]!CalculateDICetip(C94,H94,1)*G94</f>
        <v>2.0652498539139597</v>
      </c>
      <c r="L94" s="154">
        <v>267286</v>
      </c>
      <c r="M94" s="154" t="s">
        <v>979</v>
      </c>
      <c r="N94" s="154" t="s">
        <v>980</v>
      </c>
      <c r="O94" s="154" t="s">
        <v>981</v>
      </c>
      <c r="P94" s="154">
        <v>29661</v>
      </c>
      <c r="Q94" s="154" t="s">
        <v>922</v>
      </c>
      <c r="R94" s="154">
        <v>4</v>
      </c>
      <c r="S94" s="154" t="s">
        <v>914</v>
      </c>
      <c r="T94" s="154" t="s">
        <v>992</v>
      </c>
      <c r="U94" s="154" t="s">
        <v>916</v>
      </c>
      <c r="V94" s="154" t="s">
        <v>916</v>
      </c>
      <c r="W94" s="154" t="s">
        <v>130</v>
      </c>
      <c r="X94" s="154" t="s">
        <v>993</v>
      </c>
    </row>
    <row r="95" spans="1:24">
      <c r="A95" s="154" t="s">
        <v>102</v>
      </c>
      <c r="B95" s="154" t="s">
        <v>1401</v>
      </c>
      <c r="C95" s="155">
        <v>45950</v>
      </c>
      <c r="D95" s="155">
        <v>45931</v>
      </c>
      <c r="E95" s="159">
        <v>145.24</v>
      </c>
      <c r="F95" s="159">
        <v>0.16</v>
      </c>
      <c r="G95" s="159">
        <v>0.16</v>
      </c>
      <c r="H95" s="184">
        <f t="shared" si="2"/>
        <v>45978</v>
      </c>
      <c r="I95" s="187" cm="1">
        <f t="array" ref="I95">G95*[15]!CalculateINPC(C95,H95,-1)</f>
        <v>0.1600478944</v>
      </c>
      <c r="J95" s="187">
        <f t="shared" si="3"/>
        <v>0.16329851801284595</v>
      </c>
      <c r="K95" s="187" cm="1">
        <f t="array" ref="K95">[15]!CalculateDICetip(C95,H95,1)*G95</f>
        <v>0.16177346239999998</v>
      </c>
      <c r="L95" s="154">
        <v>277641</v>
      </c>
      <c r="M95" s="154" t="s">
        <v>103</v>
      </c>
      <c r="N95" s="154" t="s">
        <v>587</v>
      </c>
      <c r="O95" s="154" t="s">
        <v>588</v>
      </c>
      <c r="P95" s="154">
        <v>29661</v>
      </c>
      <c r="Q95" s="154" t="s">
        <v>922</v>
      </c>
      <c r="R95" s="154">
        <v>4</v>
      </c>
      <c r="S95" s="154" t="s">
        <v>914</v>
      </c>
      <c r="T95" s="154" t="s">
        <v>994</v>
      </c>
      <c r="U95" s="154" t="s">
        <v>916</v>
      </c>
      <c r="V95" s="154" t="s">
        <v>916</v>
      </c>
      <c r="W95" s="154" t="s">
        <v>111</v>
      </c>
      <c r="X95" s="154" t="s">
        <v>995</v>
      </c>
    </row>
    <row r="96" spans="1:24">
      <c r="A96" s="154" t="s">
        <v>102</v>
      </c>
      <c r="B96" s="154" t="s">
        <v>1401</v>
      </c>
      <c r="C96" s="155">
        <v>45950</v>
      </c>
      <c r="D96" s="155">
        <v>45931</v>
      </c>
      <c r="E96" s="159">
        <v>145.24</v>
      </c>
      <c r="F96" s="159">
        <v>0.49</v>
      </c>
      <c r="G96" s="159">
        <v>0.49</v>
      </c>
      <c r="H96" s="184">
        <f t="shared" si="2"/>
        <v>45978</v>
      </c>
      <c r="I96" s="187" cm="1">
        <f t="array" ref="I96">G96*[15]!CalculateINPC(C96,H96,-1)</f>
        <v>0.4901466766</v>
      </c>
      <c r="J96" s="187">
        <f t="shared" si="3"/>
        <v>0.50010171141434068</v>
      </c>
      <c r="K96" s="187" cm="1">
        <f t="array" ref="K96">[15]!CalculateDICetip(C96,H96,1)*G96</f>
        <v>0.49543122859999994</v>
      </c>
      <c r="L96" s="154">
        <v>277641</v>
      </c>
      <c r="M96" s="154" t="s">
        <v>103</v>
      </c>
      <c r="N96" s="154" t="s">
        <v>460</v>
      </c>
      <c r="O96" s="154" t="s">
        <v>461</v>
      </c>
      <c r="P96" s="154">
        <v>29661</v>
      </c>
      <c r="Q96" s="154" t="s">
        <v>922</v>
      </c>
      <c r="R96" s="154">
        <v>4</v>
      </c>
      <c r="S96" s="154" t="s">
        <v>914</v>
      </c>
      <c r="T96" s="154" t="s">
        <v>994</v>
      </c>
      <c r="U96" s="154" t="s">
        <v>916</v>
      </c>
      <c r="V96" s="154" t="s">
        <v>916</v>
      </c>
      <c r="W96" s="154" t="s">
        <v>111</v>
      </c>
      <c r="X96" s="154" t="s">
        <v>995</v>
      </c>
    </row>
    <row r="97" spans="1:24">
      <c r="A97" s="154" t="s">
        <v>102</v>
      </c>
      <c r="B97" s="154" t="s">
        <v>1401</v>
      </c>
      <c r="C97" s="155">
        <v>45860</v>
      </c>
      <c r="D97" s="155">
        <v>45854</v>
      </c>
      <c r="E97" s="159">
        <v>1130</v>
      </c>
      <c r="F97" s="159">
        <v>1130</v>
      </c>
      <c r="G97" s="159">
        <v>1130</v>
      </c>
      <c r="H97" s="184">
        <f t="shared" si="2"/>
        <v>45978</v>
      </c>
      <c r="I97" s="187" cm="1">
        <f t="array" ref="I97">G97*[15]!CalculateINPC(C97,H97,-1)</f>
        <v>1136.2104574</v>
      </c>
      <c r="J97" s="187">
        <f t="shared" si="3"/>
        <v>1231.4776727641181</v>
      </c>
      <c r="K97" s="187" cm="1">
        <f t="array" ref="K97">[15]!CalculateDICetip(C97,H97,1)*G97</f>
        <v>1183.5458748999999</v>
      </c>
      <c r="L97" s="154">
        <v>261715</v>
      </c>
      <c r="M97" s="154" t="s">
        <v>200</v>
      </c>
      <c r="N97" s="154" t="s">
        <v>965</v>
      </c>
      <c r="O97" s="154" t="s">
        <v>966</v>
      </c>
      <c r="P97" s="154">
        <v>27162</v>
      </c>
      <c r="Q97" s="154" t="s">
        <v>936</v>
      </c>
      <c r="R97" s="154">
        <v>4</v>
      </c>
      <c r="S97" s="154" t="s">
        <v>914</v>
      </c>
      <c r="T97" s="154" t="s">
        <v>996</v>
      </c>
      <c r="U97" s="154" t="s">
        <v>924</v>
      </c>
      <c r="V97" s="154" t="s">
        <v>925</v>
      </c>
      <c r="W97" s="154" t="s">
        <v>111</v>
      </c>
      <c r="X97" s="154" t="s">
        <v>997</v>
      </c>
    </row>
    <row r="98" spans="1:24">
      <c r="A98" s="154" t="s">
        <v>102</v>
      </c>
      <c r="B98" s="154" t="s">
        <v>1401</v>
      </c>
      <c r="C98" s="155">
        <v>45860</v>
      </c>
      <c r="D98" s="155">
        <v>45855</v>
      </c>
      <c r="E98" s="159">
        <v>22060</v>
      </c>
      <c r="F98" s="159">
        <v>22060</v>
      </c>
      <c r="G98" s="159">
        <v>22060</v>
      </c>
      <c r="H98" s="184">
        <f t="shared" si="2"/>
        <v>45978</v>
      </c>
      <c r="I98" s="187" cm="1">
        <f t="array" ref="I98">G98*[15]!CalculateINPC(C98,H98,-1)</f>
        <v>22181.241318800003</v>
      </c>
      <c r="J98" s="187">
        <f t="shared" si="3"/>
        <v>24041.059700156147</v>
      </c>
      <c r="K98" s="187" cm="1">
        <f t="array" ref="K98">[15]!CalculateDICetip(C98,H98,1)*G98</f>
        <v>23105.3292038</v>
      </c>
      <c r="L98" s="154">
        <v>261694</v>
      </c>
      <c r="M98" s="154" t="s">
        <v>200</v>
      </c>
      <c r="N98" s="154" t="s">
        <v>965</v>
      </c>
      <c r="O98" s="154" t="s">
        <v>966</v>
      </c>
      <c r="P98" s="154">
        <v>27154</v>
      </c>
      <c r="Q98" s="154" t="s">
        <v>946</v>
      </c>
      <c r="R98" s="154">
        <v>4</v>
      </c>
      <c r="S98" s="154" t="s">
        <v>914</v>
      </c>
      <c r="T98" s="154" t="s">
        <v>998</v>
      </c>
      <c r="U98" s="154" t="s">
        <v>924</v>
      </c>
      <c r="V98" s="154" t="s">
        <v>925</v>
      </c>
      <c r="W98" s="154" t="s">
        <v>111</v>
      </c>
      <c r="X98" s="154" t="s">
        <v>999</v>
      </c>
    </row>
    <row r="99" spans="1:24">
      <c r="A99" s="154" t="s">
        <v>102</v>
      </c>
      <c r="B99" s="154" t="s">
        <v>1401</v>
      </c>
      <c r="C99" s="155">
        <v>45922</v>
      </c>
      <c r="D99" s="155">
        <v>45875</v>
      </c>
      <c r="E99" s="159">
        <v>1013.58</v>
      </c>
      <c r="F99" s="159">
        <v>84.519999999948993</v>
      </c>
      <c r="G99" s="159">
        <v>84.519999999948993</v>
      </c>
      <c r="H99" s="184">
        <f t="shared" si="2"/>
        <v>45978</v>
      </c>
      <c r="I99" s="187" cm="1">
        <f t="array" ref="I99">G99*[15]!CalculateINPC(C99,H99,-1)</f>
        <v>84.984972411548711</v>
      </c>
      <c r="J99" s="187">
        <f t="shared" si="3"/>
        <v>88.040806010431567</v>
      </c>
      <c r="K99" s="187" cm="1">
        <f t="array" ref="K99">[15]!CalculateDICetip(C99,H99,1)*G99</f>
        <v>86.404047152747864</v>
      </c>
      <c r="L99" s="154">
        <v>273440</v>
      </c>
      <c r="M99" s="154" t="s">
        <v>1000</v>
      </c>
      <c r="N99" s="154" t="s">
        <v>189</v>
      </c>
      <c r="O99" s="154" t="s">
        <v>190</v>
      </c>
      <c r="P99" s="154">
        <v>27146</v>
      </c>
      <c r="Q99" s="154" t="s">
        <v>973</v>
      </c>
      <c r="R99" s="154">
        <v>4</v>
      </c>
      <c r="S99" s="154" t="s">
        <v>914</v>
      </c>
      <c r="T99" s="154" t="s">
        <v>1001</v>
      </c>
      <c r="U99" s="154" t="s">
        <v>916</v>
      </c>
      <c r="V99" s="154" t="s">
        <v>916</v>
      </c>
      <c r="W99" s="154" t="s">
        <v>130</v>
      </c>
      <c r="X99" s="154" t="s">
        <v>1002</v>
      </c>
    </row>
    <row r="100" spans="1:24">
      <c r="A100" s="154" t="s">
        <v>102</v>
      </c>
      <c r="B100" s="154" t="s">
        <v>1401</v>
      </c>
      <c r="C100" s="155">
        <v>45922</v>
      </c>
      <c r="D100" s="155">
        <v>45875</v>
      </c>
      <c r="E100" s="159">
        <v>1013.58</v>
      </c>
      <c r="F100" s="159">
        <v>84.460000000004996</v>
      </c>
      <c r="G100" s="159">
        <v>84.460000000004996</v>
      </c>
      <c r="H100" s="184">
        <f t="shared" si="2"/>
        <v>45978</v>
      </c>
      <c r="I100" s="187" cm="1">
        <f t="array" ref="I100">G100*[15]!CalculateINPC(C100,H100,-1)</f>
        <v>84.924642331805018</v>
      </c>
      <c r="J100" s="187">
        <f t="shared" si="3"/>
        <v>87.97830662146211</v>
      </c>
      <c r="K100" s="187" cm="1">
        <f t="array" ref="K100">[15]!CalculateDICetip(C100,H100,1)*G100</f>
        <v>86.342709684405122</v>
      </c>
      <c r="L100" s="154">
        <v>273440</v>
      </c>
      <c r="M100" s="154" t="s">
        <v>1000</v>
      </c>
      <c r="N100" s="154" t="s">
        <v>189</v>
      </c>
      <c r="O100" s="154" t="s">
        <v>190</v>
      </c>
      <c r="P100" s="154">
        <v>27159</v>
      </c>
      <c r="Q100" s="154" t="s">
        <v>918</v>
      </c>
      <c r="R100" s="154">
        <v>4</v>
      </c>
      <c r="S100" s="154" t="s">
        <v>914</v>
      </c>
      <c r="T100" s="154" t="s">
        <v>1001</v>
      </c>
      <c r="U100" s="154" t="s">
        <v>916</v>
      </c>
      <c r="V100" s="154" t="s">
        <v>916</v>
      </c>
      <c r="W100" s="154" t="s">
        <v>130</v>
      </c>
      <c r="X100" s="154" t="s">
        <v>1002</v>
      </c>
    </row>
    <row r="101" spans="1:24">
      <c r="A101" s="154" t="s">
        <v>102</v>
      </c>
      <c r="B101" s="154" t="s">
        <v>1401</v>
      </c>
      <c r="C101" s="155">
        <v>45922</v>
      </c>
      <c r="D101" s="155">
        <v>45904</v>
      </c>
      <c r="E101" s="159">
        <v>3246.39</v>
      </c>
      <c r="F101" s="159">
        <v>811.600000000009</v>
      </c>
      <c r="G101" s="159">
        <v>811.600000000009</v>
      </c>
      <c r="H101" s="184">
        <f t="shared" si="2"/>
        <v>45978</v>
      </c>
      <c r="I101" s="187" cm="1">
        <f t="array" ref="I101">G101*[15]!CalculateINPC(C101,H101,-1)</f>
        <v>816.06487942800902</v>
      </c>
      <c r="J101" s="187">
        <f t="shared" si="3"/>
        <v>845.40840224929207</v>
      </c>
      <c r="K101" s="187" cm="1">
        <f t="array" ref="K101">[15]!CalculateDICetip(C101,H101,1)*G101</f>
        <v>829.69148922400927</v>
      </c>
      <c r="L101" s="154">
        <v>273449</v>
      </c>
      <c r="M101" s="154" t="s">
        <v>1003</v>
      </c>
      <c r="N101" s="154" t="s">
        <v>189</v>
      </c>
      <c r="O101" s="154" t="s">
        <v>190</v>
      </c>
      <c r="P101" s="154">
        <v>27158</v>
      </c>
      <c r="Q101" s="154" t="s">
        <v>960</v>
      </c>
      <c r="R101" s="154">
        <v>4</v>
      </c>
      <c r="S101" s="154" t="s">
        <v>914</v>
      </c>
      <c r="T101" s="154" t="s">
        <v>1004</v>
      </c>
      <c r="U101" s="154" t="s">
        <v>916</v>
      </c>
      <c r="V101" s="154" t="s">
        <v>916</v>
      </c>
      <c r="W101" s="154" t="s">
        <v>130</v>
      </c>
      <c r="X101" s="154" t="s">
        <v>1005</v>
      </c>
    </row>
    <row r="102" spans="1:24">
      <c r="A102" s="154" t="s">
        <v>102</v>
      </c>
      <c r="B102" s="154" t="s">
        <v>1401</v>
      </c>
      <c r="C102" s="155">
        <v>45922</v>
      </c>
      <c r="D102" s="155">
        <v>45875</v>
      </c>
      <c r="E102" s="159">
        <v>1013.58</v>
      </c>
      <c r="F102" s="159">
        <v>84.460000000004996</v>
      </c>
      <c r="G102" s="159">
        <v>84.460000000004996</v>
      </c>
      <c r="H102" s="184">
        <f t="shared" si="2"/>
        <v>45978</v>
      </c>
      <c r="I102" s="187" cm="1">
        <f t="array" ref="I102">G102*[15]!CalculateINPC(C102,H102,-1)</f>
        <v>84.924642331805018</v>
      </c>
      <c r="J102" s="187">
        <f t="shared" si="3"/>
        <v>87.97830662146211</v>
      </c>
      <c r="K102" s="187" cm="1">
        <f t="array" ref="K102">[15]!CalculateDICetip(C102,H102,1)*G102</f>
        <v>86.342709684405122</v>
      </c>
      <c r="L102" s="154">
        <v>273440</v>
      </c>
      <c r="M102" s="154" t="s">
        <v>1000</v>
      </c>
      <c r="N102" s="154" t="s">
        <v>189</v>
      </c>
      <c r="O102" s="154" t="s">
        <v>190</v>
      </c>
      <c r="P102" s="154">
        <v>27165</v>
      </c>
      <c r="Q102" s="154" t="s">
        <v>986</v>
      </c>
      <c r="R102" s="154">
        <v>4</v>
      </c>
      <c r="S102" s="154" t="s">
        <v>914</v>
      </c>
      <c r="T102" s="154" t="s">
        <v>1001</v>
      </c>
      <c r="U102" s="154" t="s">
        <v>916</v>
      </c>
      <c r="V102" s="154" t="s">
        <v>916</v>
      </c>
      <c r="W102" s="154" t="s">
        <v>130</v>
      </c>
      <c r="X102" s="154" t="s">
        <v>1002</v>
      </c>
    </row>
    <row r="103" spans="1:24">
      <c r="A103" s="154" t="s">
        <v>102</v>
      </c>
      <c r="B103" s="154" t="s">
        <v>1401</v>
      </c>
      <c r="C103" s="155">
        <v>45922</v>
      </c>
      <c r="D103" s="155">
        <v>45875</v>
      </c>
      <c r="E103" s="159">
        <v>1013.58</v>
      </c>
      <c r="F103" s="159">
        <v>84.460000000004996</v>
      </c>
      <c r="G103" s="159">
        <v>84.460000000004996</v>
      </c>
      <c r="H103" s="184">
        <f t="shared" si="2"/>
        <v>45978</v>
      </c>
      <c r="I103" s="187" cm="1">
        <f t="array" ref="I103">G103*[15]!CalculateINPC(C103,H103,-1)</f>
        <v>84.924642331805018</v>
      </c>
      <c r="J103" s="187">
        <f t="shared" si="3"/>
        <v>87.97830662146211</v>
      </c>
      <c r="K103" s="187" cm="1">
        <f t="array" ref="K103">[15]!CalculateDICetip(C103,H103,1)*G103</f>
        <v>86.342709684405122</v>
      </c>
      <c r="L103" s="154">
        <v>273440</v>
      </c>
      <c r="M103" s="154" t="s">
        <v>1000</v>
      </c>
      <c r="N103" s="154" t="s">
        <v>189</v>
      </c>
      <c r="O103" s="154" t="s">
        <v>190</v>
      </c>
      <c r="P103" s="154">
        <v>27151</v>
      </c>
      <c r="Q103" s="154" t="s">
        <v>970</v>
      </c>
      <c r="R103" s="154">
        <v>4</v>
      </c>
      <c r="S103" s="154" t="s">
        <v>914</v>
      </c>
      <c r="T103" s="154" t="s">
        <v>1001</v>
      </c>
      <c r="U103" s="154" t="s">
        <v>916</v>
      </c>
      <c r="V103" s="154" t="s">
        <v>916</v>
      </c>
      <c r="W103" s="154" t="s">
        <v>130</v>
      </c>
      <c r="X103" s="154" t="s">
        <v>1002</v>
      </c>
    </row>
    <row r="104" spans="1:24">
      <c r="A104" s="154" t="s">
        <v>102</v>
      </c>
      <c r="B104" s="154" t="s">
        <v>1401</v>
      </c>
      <c r="C104" s="155">
        <v>45922</v>
      </c>
      <c r="D104" s="155">
        <v>45875</v>
      </c>
      <c r="E104" s="159">
        <v>1013.58</v>
      </c>
      <c r="F104" s="159">
        <v>84.460000000004996</v>
      </c>
      <c r="G104" s="159">
        <v>84.460000000004996</v>
      </c>
      <c r="H104" s="184">
        <f t="shared" si="2"/>
        <v>45978</v>
      </c>
      <c r="I104" s="187" cm="1">
        <f t="array" ref="I104">G104*[15]!CalculateINPC(C104,H104,-1)</f>
        <v>84.924642331805018</v>
      </c>
      <c r="J104" s="187">
        <f t="shared" si="3"/>
        <v>87.97830662146211</v>
      </c>
      <c r="K104" s="187" cm="1">
        <f t="array" ref="K104">[15]!CalculateDICetip(C104,H104,1)*G104</f>
        <v>86.342709684405122</v>
      </c>
      <c r="L104" s="154">
        <v>273440</v>
      </c>
      <c r="M104" s="154" t="s">
        <v>1000</v>
      </c>
      <c r="N104" s="154" t="s">
        <v>189</v>
      </c>
      <c r="O104" s="154" t="s">
        <v>190</v>
      </c>
      <c r="P104" s="154">
        <v>27160</v>
      </c>
      <c r="Q104" s="154" t="s">
        <v>976</v>
      </c>
      <c r="R104" s="154">
        <v>4</v>
      </c>
      <c r="S104" s="154" t="s">
        <v>914</v>
      </c>
      <c r="T104" s="154" t="s">
        <v>1001</v>
      </c>
      <c r="U104" s="154" t="s">
        <v>916</v>
      </c>
      <c r="V104" s="154" t="s">
        <v>916</v>
      </c>
      <c r="W104" s="154" t="s">
        <v>130</v>
      </c>
      <c r="X104" s="154" t="s">
        <v>1002</v>
      </c>
    </row>
    <row r="105" spans="1:24">
      <c r="A105" s="154" t="s">
        <v>102</v>
      </c>
      <c r="B105" s="154" t="s">
        <v>1401</v>
      </c>
      <c r="C105" s="155">
        <v>45922</v>
      </c>
      <c r="D105" s="155">
        <v>45904</v>
      </c>
      <c r="E105" s="159">
        <v>3246.39</v>
      </c>
      <c r="F105" s="159">
        <v>811.600000000009</v>
      </c>
      <c r="G105" s="159">
        <v>811.600000000009</v>
      </c>
      <c r="H105" s="184">
        <f t="shared" si="2"/>
        <v>45978</v>
      </c>
      <c r="I105" s="187" cm="1">
        <f t="array" ref="I105">G105*[15]!CalculateINPC(C105,H105,-1)</f>
        <v>816.06487942800902</v>
      </c>
      <c r="J105" s="187">
        <f t="shared" si="3"/>
        <v>845.40840224929207</v>
      </c>
      <c r="K105" s="187" cm="1">
        <f t="array" ref="K105">[15]!CalculateDICetip(C105,H105,1)*G105</f>
        <v>829.69148922400927</v>
      </c>
      <c r="L105" s="154">
        <v>273449</v>
      </c>
      <c r="M105" s="154" t="s">
        <v>1003</v>
      </c>
      <c r="N105" s="154" t="s">
        <v>189</v>
      </c>
      <c r="O105" s="154" t="s">
        <v>190</v>
      </c>
      <c r="P105" s="154">
        <v>27149</v>
      </c>
      <c r="Q105" s="154" t="s">
        <v>949</v>
      </c>
      <c r="R105" s="154">
        <v>4</v>
      </c>
      <c r="S105" s="154" t="s">
        <v>914</v>
      </c>
      <c r="T105" s="154" t="s">
        <v>1004</v>
      </c>
      <c r="U105" s="154" t="s">
        <v>916</v>
      </c>
      <c r="V105" s="154" t="s">
        <v>916</v>
      </c>
      <c r="W105" s="154" t="s">
        <v>130</v>
      </c>
      <c r="X105" s="154" t="s">
        <v>1005</v>
      </c>
    </row>
    <row r="106" spans="1:24">
      <c r="A106" s="154" t="s">
        <v>102</v>
      </c>
      <c r="B106" s="154" t="s">
        <v>1401</v>
      </c>
      <c r="C106" s="155">
        <v>45922</v>
      </c>
      <c r="D106" s="155">
        <v>45875</v>
      </c>
      <c r="E106" s="159">
        <v>1013.58</v>
      </c>
      <c r="F106" s="159">
        <v>84.460000000004996</v>
      </c>
      <c r="G106" s="159">
        <v>84.460000000004996</v>
      </c>
      <c r="H106" s="184">
        <f t="shared" si="2"/>
        <v>45978</v>
      </c>
      <c r="I106" s="187" cm="1">
        <f t="array" ref="I106">G106*[15]!CalculateINPC(C106,H106,-1)</f>
        <v>84.924642331805018</v>
      </c>
      <c r="J106" s="187">
        <f t="shared" si="3"/>
        <v>87.97830662146211</v>
      </c>
      <c r="K106" s="187" cm="1">
        <f t="array" ref="K106">[15]!CalculateDICetip(C106,H106,1)*G106</f>
        <v>86.342709684405122</v>
      </c>
      <c r="L106" s="154">
        <v>273440</v>
      </c>
      <c r="M106" s="154" t="s">
        <v>1000</v>
      </c>
      <c r="N106" s="154" t="s">
        <v>189</v>
      </c>
      <c r="O106" s="154" t="s">
        <v>190</v>
      </c>
      <c r="P106" s="154">
        <v>27156</v>
      </c>
      <c r="Q106" s="154" t="s">
        <v>943</v>
      </c>
      <c r="R106" s="154">
        <v>4</v>
      </c>
      <c r="S106" s="154" t="s">
        <v>914</v>
      </c>
      <c r="T106" s="154" t="s">
        <v>1001</v>
      </c>
      <c r="U106" s="154" t="s">
        <v>916</v>
      </c>
      <c r="V106" s="154" t="s">
        <v>916</v>
      </c>
      <c r="W106" s="154" t="s">
        <v>130</v>
      </c>
      <c r="X106" s="154" t="s">
        <v>1002</v>
      </c>
    </row>
    <row r="107" spans="1:24">
      <c r="A107" s="154" t="s">
        <v>102</v>
      </c>
      <c r="B107" s="154" t="s">
        <v>1401</v>
      </c>
      <c r="C107" s="155">
        <v>45922</v>
      </c>
      <c r="D107" s="155">
        <v>45875</v>
      </c>
      <c r="E107" s="159">
        <v>1013.58</v>
      </c>
      <c r="F107" s="159">
        <v>84.460000000004996</v>
      </c>
      <c r="G107" s="159">
        <v>84.460000000004996</v>
      </c>
      <c r="H107" s="184">
        <f t="shared" si="2"/>
        <v>45978</v>
      </c>
      <c r="I107" s="187" cm="1">
        <f t="array" ref="I107">G107*[15]!CalculateINPC(C107,H107,-1)</f>
        <v>84.924642331805018</v>
      </c>
      <c r="J107" s="187">
        <f t="shared" si="3"/>
        <v>87.97830662146211</v>
      </c>
      <c r="K107" s="187" cm="1">
        <f t="array" ref="K107">[15]!CalculateDICetip(C107,H107,1)*G107</f>
        <v>86.342709684405122</v>
      </c>
      <c r="L107" s="154">
        <v>273440</v>
      </c>
      <c r="M107" s="154" t="s">
        <v>1000</v>
      </c>
      <c r="N107" s="154" t="s">
        <v>189</v>
      </c>
      <c r="O107" s="154" t="s">
        <v>190</v>
      </c>
      <c r="P107" s="154">
        <v>27143</v>
      </c>
      <c r="Q107" s="154" t="s">
        <v>913</v>
      </c>
      <c r="R107" s="154">
        <v>4</v>
      </c>
      <c r="S107" s="154" t="s">
        <v>914</v>
      </c>
      <c r="T107" s="154" t="s">
        <v>1001</v>
      </c>
      <c r="U107" s="154" t="s">
        <v>916</v>
      </c>
      <c r="V107" s="154" t="s">
        <v>916</v>
      </c>
      <c r="W107" s="154" t="s">
        <v>130</v>
      </c>
      <c r="X107" s="154" t="s">
        <v>1002</v>
      </c>
    </row>
    <row r="108" spans="1:24">
      <c r="A108" s="154" t="s">
        <v>102</v>
      </c>
      <c r="B108" s="154" t="s">
        <v>1401</v>
      </c>
      <c r="C108" s="155">
        <v>45922</v>
      </c>
      <c r="D108" s="155">
        <v>45904</v>
      </c>
      <c r="E108" s="159">
        <v>3246.39</v>
      </c>
      <c r="F108" s="159">
        <v>811.58999999997297</v>
      </c>
      <c r="G108" s="159">
        <v>811.58999999997297</v>
      </c>
      <c r="H108" s="184">
        <f t="shared" si="2"/>
        <v>45978</v>
      </c>
      <c r="I108" s="187" cm="1">
        <f t="array" ref="I108">G108*[15]!CalculateINPC(C108,H108,-1)</f>
        <v>816.05482441467279</v>
      </c>
      <c r="J108" s="187">
        <f t="shared" si="3"/>
        <v>845.39798568441665</v>
      </c>
      <c r="K108" s="187" cm="1">
        <f t="array" ref="K108">[15]!CalculateDICetip(C108,H108,1)*G108</f>
        <v>829.68126631257246</v>
      </c>
      <c r="L108" s="154">
        <v>273449</v>
      </c>
      <c r="M108" s="154" t="s">
        <v>1003</v>
      </c>
      <c r="N108" s="154" t="s">
        <v>189</v>
      </c>
      <c r="O108" s="154" t="s">
        <v>190</v>
      </c>
      <c r="P108" s="154">
        <v>27159</v>
      </c>
      <c r="Q108" s="154" t="s">
        <v>918</v>
      </c>
      <c r="R108" s="154">
        <v>4</v>
      </c>
      <c r="S108" s="154" t="s">
        <v>914</v>
      </c>
      <c r="T108" s="154" t="s">
        <v>1004</v>
      </c>
      <c r="U108" s="154" t="s">
        <v>916</v>
      </c>
      <c r="V108" s="154" t="s">
        <v>916</v>
      </c>
      <c r="W108" s="154" t="s">
        <v>130</v>
      </c>
      <c r="X108" s="154" t="s">
        <v>1005</v>
      </c>
    </row>
    <row r="109" spans="1:24">
      <c r="A109" s="154" t="s">
        <v>102</v>
      </c>
      <c r="B109" s="154" t="s">
        <v>1401</v>
      </c>
      <c r="C109" s="155">
        <v>45922</v>
      </c>
      <c r="D109" s="155">
        <v>45875</v>
      </c>
      <c r="E109" s="159">
        <v>1013.58</v>
      </c>
      <c r="F109" s="159">
        <v>84.460000000004996</v>
      </c>
      <c r="G109" s="159">
        <v>84.460000000004996</v>
      </c>
      <c r="H109" s="184">
        <f t="shared" si="2"/>
        <v>45978</v>
      </c>
      <c r="I109" s="187" cm="1">
        <f t="array" ref="I109">G109*[15]!CalculateINPC(C109,H109,-1)</f>
        <v>84.924642331805018</v>
      </c>
      <c r="J109" s="187">
        <f t="shared" si="3"/>
        <v>87.97830662146211</v>
      </c>
      <c r="K109" s="187" cm="1">
        <f t="array" ref="K109">[15]!CalculateDICetip(C109,H109,1)*G109</f>
        <v>86.342709684405122</v>
      </c>
      <c r="L109" s="154">
        <v>273440</v>
      </c>
      <c r="M109" s="154" t="s">
        <v>1000</v>
      </c>
      <c r="N109" s="154" t="s">
        <v>189</v>
      </c>
      <c r="O109" s="154" t="s">
        <v>190</v>
      </c>
      <c r="P109" s="154">
        <v>27167</v>
      </c>
      <c r="Q109" s="154" t="s">
        <v>987</v>
      </c>
      <c r="R109" s="154">
        <v>4</v>
      </c>
      <c r="S109" s="154" t="s">
        <v>914</v>
      </c>
      <c r="T109" s="154" t="s">
        <v>1001</v>
      </c>
      <c r="U109" s="154" t="s">
        <v>916</v>
      </c>
      <c r="V109" s="154" t="s">
        <v>916</v>
      </c>
      <c r="W109" s="154" t="s">
        <v>130</v>
      </c>
      <c r="X109" s="154" t="s">
        <v>1002</v>
      </c>
    </row>
    <row r="110" spans="1:24">
      <c r="A110" s="154" t="s">
        <v>102</v>
      </c>
      <c r="B110" s="154" t="s">
        <v>1401</v>
      </c>
      <c r="C110" s="155">
        <v>45922</v>
      </c>
      <c r="D110" s="155">
        <v>45875</v>
      </c>
      <c r="E110" s="159">
        <v>1013.58</v>
      </c>
      <c r="F110" s="159">
        <v>84.460000000004996</v>
      </c>
      <c r="G110" s="159">
        <v>84.460000000004996</v>
      </c>
      <c r="H110" s="184">
        <f t="shared" si="2"/>
        <v>45978</v>
      </c>
      <c r="I110" s="187" cm="1">
        <f t="array" ref="I110">G110*[15]!CalculateINPC(C110,H110,-1)</f>
        <v>84.924642331805018</v>
      </c>
      <c r="J110" s="187">
        <f t="shared" si="3"/>
        <v>87.97830662146211</v>
      </c>
      <c r="K110" s="187" cm="1">
        <f t="array" ref="K110">[15]!CalculateDICetip(C110,H110,1)*G110</f>
        <v>86.342709684405122</v>
      </c>
      <c r="L110" s="154">
        <v>273440</v>
      </c>
      <c r="M110" s="154" t="s">
        <v>1000</v>
      </c>
      <c r="N110" s="154" t="s">
        <v>189</v>
      </c>
      <c r="O110" s="154" t="s">
        <v>190</v>
      </c>
      <c r="P110" s="154">
        <v>27145</v>
      </c>
      <c r="Q110" s="154" t="s">
        <v>967</v>
      </c>
      <c r="R110" s="154">
        <v>4</v>
      </c>
      <c r="S110" s="154" t="s">
        <v>914</v>
      </c>
      <c r="T110" s="154" t="s">
        <v>1001</v>
      </c>
      <c r="U110" s="154" t="s">
        <v>916</v>
      </c>
      <c r="V110" s="154" t="s">
        <v>916</v>
      </c>
      <c r="W110" s="154" t="s">
        <v>130</v>
      </c>
      <c r="X110" s="154" t="s">
        <v>1002</v>
      </c>
    </row>
    <row r="111" spans="1:24">
      <c r="A111" s="154" t="s">
        <v>102</v>
      </c>
      <c r="B111" s="154" t="s">
        <v>1401</v>
      </c>
      <c r="C111" s="155">
        <v>45922</v>
      </c>
      <c r="D111" s="155">
        <v>45875</v>
      </c>
      <c r="E111" s="159">
        <v>1013.58</v>
      </c>
      <c r="F111" s="159">
        <v>84.460000000004996</v>
      </c>
      <c r="G111" s="159">
        <v>84.460000000004996</v>
      </c>
      <c r="H111" s="184">
        <f t="shared" si="2"/>
        <v>45978</v>
      </c>
      <c r="I111" s="187" cm="1">
        <f t="array" ref="I111">G111*[15]!CalculateINPC(C111,H111,-1)</f>
        <v>84.924642331805018</v>
      </c>
      <c r="J111" s="187">
        <f t="shared" si="3"/>
        <v>87.97830662146211</v>
      </c>
      <c r="K111" s="187" cm="1">
        <f t="array" ref="K111">[15]!CalculateDICetip(C111,H111,1)*G111</f>
        <v>86.342709684405122</v>
      </c>
      <c r="L111" s="154">
        <v>273440</v>
      </c>
      <c r="M111" s="154" t="s">
        <v>1000</v>
      </c>
      <c r="N111" s="154" t="s">
        <v>189</v>
      </c>
      <c r="O111" s="154" t="s">
        <v>190</v>
      </c>
      <c r="P111" s="154">
        <v>27158</v>
      </c>
      <c r="Q111" s="154" t="s">
        <v>960</v>
      </c>
      <c r="R111" s="154">
        <v>4</v>
      </c>
      <c r="S111" s="154" t="s">
        <v>914</v>
      </c>
      <c r="T111" s="154" t="s">
        <v>1001</v>
      </c>
      <c r="U111" s="154" t="s">
        <v>916</v>
      </c>
      <c r="V111" s="154" t="s">
        <v>916</v>
      </c>
      <c r="W111" s="154" t="s">
        <v>130</v>
      </c>
      <c r="X111" s="154" t="s">
        <v>1002</v>
      </c>
    </row>
    <row r="112" spans="1:24">
      <c r="A112" s="154" t="s">
        <v>102</v>
      </c>
      <c r="B112" s="154" t="s">
        <v>1401</v>
      </c>
      <c r="C112" s="155">
        <v>45922</v>
      </c>
      <c r="D112" s="155">
        <v>45875</v>
      </c>
      <c r="E112" s="159">
        <v>1013.58</v>
      </c>
      <c r="F112" s="159">
        <v>84.460000000004996</v>
      </c>
      <c r="G112" s="159">
        <v>84.460000000004996</v>
      </c>
      <c r="H112" s="184">
        <f t="shared" si="2"/>
        <v>45978</v>
      </c>
      <c r="I112" s="187" cm="1">
        <f t="array" ref="I112">G112*[15]!CalculateINPC(C112,H112,-1)</f>
        <v>84.924642331805018</v>
      </c>
      <c r="J112" s="187">
        <f t="shared" si="3"/>
        <v>87.97830662146211</v>
      </c>
      <c r="K112" s="187" cm="1">
        <f t="array" ref="K112">[15]!CalculateDICetip(C112,H112,1)*G112</f>
        <v>86.342709684405122</v>
      </c>
      <c r="L112" s="154">
        <v>273440</v>
      </c>
      <c r="M112" s="154" t="s">
        <v>1000</v>
      </c>
      <c r="N112" s="154" t="s">
        <v>189</v>
      </c>
      <c r="O112" s="154" t="s">
        <v>190</v>
      </c>
      <c r="P112" s="154">
        <v>27154</v>
      </c>
      <c r="Q112" s="154" t="s">
        <v>946</v>
      </c>
      <c r="R112" s="154">
        <v>4</v>
      </c>
      <c r="S112" s="154" t="s">
        <v>914</v>
      </c>
      <c r="T112" s="154" t="s">
        <v>1001</v>
      </c>
      <c r="U112" s="154" t="s">
        <v>916</v>
      </c>
      <c r="V112" s="154" t="s">
        <v>916</v>
      </c>
      <c r="W112" s="154" t="s">
        <v>130</v>
      </c>
      <c r="X112" s="154" t="s">
        <v>1002</v>
      </c>
    </row>
    <row r="113" spans="1:24">
      <c r="A113" s="154" t="s">
        <v>102</v>
      </c>
      <c r="B113" s="154" t="s">
        <v>1401</v>
      </c>
      <c r="C113" s="155">
        <v>45922</v>
      </c>
      <c r="D113" s="155">
        <v>45904</v>
      </c>
      <c r="E113" s="159">
        <v>3246.39</v>
      </c>
      <c r="F113" s="159">
        <v>811.600000000009</v>
      </c>
      <c r="G113" s="159">
        <v>811.600000000009</v>
      </c>
      <c r="H113" s="184">
        <f t="shared" si="2"/>
        <v>45978</v>
      </c>
      <c r="I113" s="187" cm="1">
        <f t="array" ref="I113">G113*[15]!CalculateINPC(C113,H113,-1)</f>
        <v>816.06487942800902</v>
      </c>
      <c r="J113" s="187">
        <f t="shared" si="3"/>
        <v>845.40840224929207</v>
      </c>
      <c r="K113" s="187" cm="1">
        <f t="array" ref="K113">[15]!CalculateDICetip(C113,H113,1)*G113</f>
        <v>829.69148922400927</v>
      </c>
      <c r="L113" s="154">
        <v>273449</v>
      </c>
      <c r="M113" s="154" t="s">
        <v>1003</v>
      </c>
      <c r="N113" s="154" t="s">
        <v>189</v>
      </c>
      <c r="O113" s="154" t="s">
        <v>190</v>
      </c>
      <c r="P113" s="154">
        <v>27143</v>
      </c>
      <c r="Q113" s="154" t="s">
        <v>913</v>
      </c>
      <c r="R113" s="154">
        <v>4</v>
      </c>
      <c r="S113" s="154" t="s">
        <v>914</v>
      </c>
      <c r="T113" s="154" t="s">
        <v>1004</v>
      </c>
      <c r="U113" s="154" t="s">
        <v>916</v>
      </c>
      <c r="V113" s="154" t="s">
        <v>916</v>
      </c>
      <c r="W113" s="154" t="s">
        <v>130</v>
      </c>
      <c r="X113" s="154" t="s">
        <v>1005</v>
      </c>
    </row>
    <row r="114" spans="1:24">
      <c r="A114" s="154" t="s">
        <v>102</v>
      </c>
      <c r="B114" s="154" t="s">
        <v>1401</v>
      </c>
      <c r="C114" s="155">
        <v>45922</v>
      </c>
      <c r="D114" s="155">
        <v>45875</v>
      </c>
      <c r="E114" s="159">
        <v>1013.58</v>
      </c>
      <c r="F114" s="159">
        <v>84.460000000004996</v>
      </c>
      <c r="G114" s="159">
        <v>84.460000000004996</v>
      </c>
      <c r="H114" s="184">
        <f t="shared" si="2"/>
        <v>45978</v>
      </c>
      <c r="I114" s="187" cm="1">
        <f t="array" ref="I114">G114*[15]!CalculateINPC(C114,H114,-1)</f>
        <v>84.924642331805018</v>
      </c>
      <c r="J114" s="187">
        <f t="shared" si="3"/>
        <v>87.97830662146211</v>
      </c>
      <c r="K114" s="187" cm="1">
        <f t="array" ref="K114">[15]!CalculateDICetip(C114,H114,1)*G114</f>
        <v>86.342709684405122</v>
      </c>
      <c r="L114" s="154">
        <v>273440</v>
      </c>
      <c r="M114" s="154" t="s">
        <v>1000</v>
      </c>
      <c r="N114" s="154" t="s">
        <v>189</v>
      </c>
      <c r="O114" s="154" t="s">
        <v>190</v>
      </c>
      <c r="P114" s="154">
        <v>27149</v>
      </c>
      <c r="Q114" s="154" t="s">
        <v>949</v>
      </c>
      <c r="R114" s="154">
        <v>4</v>
      </c>
      <c r="S114" s="154" t="s">
        <v>914</v>
      </c>
      <c r="T114" s="154" t="s">
        <v>1001</v>
      </c>
      <c r="U114" s="154" t="s">
        <v>916</v>
      </c>
      <c r="V114" s="154" t="s">
        <v>916</v>
      </c>
      <c r="W114" s="154" t="s">
        <v>130</v>
      </c>
      <c r="X114" s="154" t="s">
        <v>1002</v>
      </c>
    </row>
    <row r="115" spans="1:24">
      <c r="A115" s="154" t="s">
        <v>102</v>
      </c>
      <c r="B115" s="154" t="s">
        <v>1401</v>
      </c>
      <c r="C115" s="155">
        <v>45953</v>
      </c>
      <c r="D115" s="155">
        <v>45953</v>
      </c>
      <c r="E115" s="159">
        <v>716.85</v>
      </c>
      <c r="F115" s="159">
        <v>716.85</v>
      </c>
      <c r="G115" s="159">
        <v>716.85</v>
      </c>
      <c r="H115" s="184">
        <f t="shared" si="2"/>
        <v>45978</v>
      </c>
      <c r="I115" s="187" cm="1">
        <f t="array" ref="I115">G115*[15]!CalculateINPC(C115,H115,-1)</f>
        <v>717.064581879</v>
      </c>
      <c r="J115" s="187">
        <f t="shared" si="3"/>
        <v>730.03052933900415</v>
      </c>
      <c r="K115" s="187" cm="1">
        <f t="array" ref="K115">[15]!CalculateDICetip(C115,H115,1)*G115</f>
        <v>723.59822518199996</v>
      </c>
      <c r="L115" s="154">
        <v>276548</v>
      </c>
      <c r="M115" s="154" t="s">
        <v>1006</v>
      </c>
      <c r="N115" s="154" t="s">
        <v>1007</v>
      </c>
      <c r="O115" s="154" t="s">
        <v>1008</v>
      </c>
      <c r="P115" s="154">
        <v>27143</v>
      </c>
      <c r="Q115" s="154" t="s">
        <v>913</v>
      </c>
      <c r="R115" s="154">
        <v>4</v>
      </c>
      <c r="S115" s="154" t="s">
        <v>914</v>
      </c>
      <c r="T115" s="154" t="s">
        <v>1009</v>
      </c>
      <c r="U115" s="154" t="s">
        <v>924</v>
      </c>
      <c r="V115" s="154" t="s">
        <v>925</v>
      </c>
      <c r="W115" s="154" t="s">
        <v>399</v>
      </c>
      <c r="X115" s="154" t="s">
        <v>1010</v>
      </c>
    </row>
    <row r="116" spans="1:24">
      <c r="A116" s="154" t="s">
        <v>102</v>
      </c>
      <c r="B116" s="154" t="s">
        <v>1401</v>
      </c>
      <c r="C116" s="155">
        <v>45924</v>
      </c>
      <c r="D116" s="155">
        <v>45919</v>
      </c>
      <c r="E116" s="159">
        <v>15186.52</v>
      </c>
      <c r="F116" s="159">
        <v>3037.3000000000211</v>
      </c>
      <c r="G116" s="159">
        <v>3037.3000000000211</v>
      </c>
      <c r="H116" s="184">
        <f t="shared" si="2"/>
        <v>45978</v>
      </c>
      <c r="I116" s="187" cm="1">
        <f t="array" ref="I116">G116*[15]!CalculateINPC(C116,H116,-1)</f>
        <v>3054.0091896090212</v>
      </c>
      <c r="J116" s="187">
        <f t="shared" si="3"/>
        <v>3159.2150743398151</v>
      </c>
      <c r="K116" s="187" cm="1">
        <f t="array" ref="K116">[15]!CalculateDICetip(C116,H116,1)*G116</f>
        <v>3101.5840596510216</v>
      </c>
      <c r="L116" s="154">
        <v>273433</v>
      </c>
      <c r="M116" s="154" t="s">
        <v>258</v>
      </c>
      <c r="N116" s="154" t="s">
        <v>149</v>
      </c>
      <c r="O116" s="154" t="s">
        <v>150</v>
      </c>
      <c r="P116" s="154">
        <v>27146</v>
      </c>
      <c r="Q116" s="154" t="s">
        <v>973</v>
      </c>
      <c r="R116" s="154">
        <v>4</v>
      </c>
      <c r="S116" s="154" t="s">
        <v>914</v>
      </c>
      <c r="T116" s="154" t="s">
        <v>1011</v>
      </c>
      <c r="U116" s="154" t="s">
        <v>916</v>
      </c>
      <c r="V116" s="154" t="s">
        <v>916</v>
      </c>
      <c r="W116" s="154" t="s">
        <v>117</v>
      </c>
      <c r="X116" s="154" t="s">
        <v>1012</v>
      </c>
    </row>
    <row r="117" spans="1:24">
      <c r="A117" s="154" t="s">
        <v>102</v>
      </c>
      <c r="B117" s="154" t="s">
        <v>1401</v>
      </c>
      <c r="C117" s="155">
        <v>45924</v>
      </c>
      <c r="D117" s="155">
        <v>45919</v>
      </c>
      <c r="E117" s="159">
        <v>15186.52</v>
      </c>
      <c r="F117" s="159">
        <v>3037.3199999999151</v>
      </c>
      <c r="G117" s="159">
        <v>3037.3199999999151</v>
      </c>
      <c r="H117" s="184">
        <f t="shared" si="2"/>
        <v>45978</v>
      </c>
      <c r="I117" s="187" cm="1">
        <f t="array" ref="I117">G117*[15]!CalculateINPC(C117,H117,-1)</f>
        <v>3054.0292996355147</v>
      </c>
      <c r="J117" s="187">
        <f t="shared" si="3"/>
        <v>3159.2358771255631</v>
      </c>
      <c r="K117" s="187" cm="1">
        <f t="array" ref="K117">[15]!CalculateDICetip(C117,H117,1)*G117</f>
        <v>3101.6044829483135</v>
      </c>
      <c r="L117" s="154">
        <v>273433</v>
      </c>
      <c r="M117" s="154" t="s">
        <v>258</v>
      </c>
      <c r="N117" s="154" t="s">
        <v>149</v>
      </c>
      <c r="O117" s="154" t="s">
        <v>150</v>
      </c>
      <c r="P117" s="154">
        <v>27156</v>
      </c>
      <c r="Q117" s="154" t="s">
        <v>943</v>
      </c>
      <c r="R117" s="154">
        <v>4</v>
      </c>
      <c r="S117" s="154" t="s">
        <v>914</v>
      </c>
      <c r="T117" s="154" t="s">
        <v>1011</v>
      </c>
      <c r="U117" s="154" t="s">
        <v>916</v>
      </c>
      <c r="V117" s="154" t="s">
        <v>916</v>
      </c>
      <c r="W117" s="154" t="s">
        <v>117</v>
      </c>
      <c r="X117" s="154" t="s">
        <v>1012</v>
      </c>
    </row>
    <row r="118" spans="1:24">
      <c r="A118" s="154" t="s">
        <v>102</v>
      </c>
      <c r="B118" s="154" t="s">
        <v>1401</v>
      </c>
      <c r="C118" s="155">
        <v>45924</v>
      </c>
      <c r="D118" s="155">
        <v>45919</v>
      </c>
      <c r="E118" s="159">
        <v>15186.52</v>
      </c>
      <c r="F118" s="159">
        <v>3037.3000000000211</v>
      </c>
      <c r="G118" s="159">
        <v>3037.3000000000211</v>
      </c>
      <c r="H118" s="184">
        <f t="shared" si="2"/>
        <v>45978</v>
      </c>
      <c r="I118" s="187" cm="1">
        <f t="array" ref="I118">G118*[15]!CalculateINPC(C118,H118,-1)</f>
        <v>3054.0091896090212</v>
      </c>
      <c r="J118" s="187">
        <f t="shared" si="3"/>
        <v>3159.2150743398151</v>
      </c>
      <c r="K118" s="187" cm="1">
        <f t="array" ref="K118">[15]!CalculateDICetip(C118,H118,1)*G118</f>
        <v>3101.5840596510216</v>
      </c>
      <c r="L118" s="154">
        <v>273433</v>
      </c>
      <c r="M118" s="154" t="s">
        <v>258</v>
      </c>
      <c r="N118" s="154" t="s">
        <v>149</v>
      </c>
      <c r="O118" s="154" t="s">
        <v>150</v>
      </c>
      <c r="P118" s="154">
        <v>27145</v>
      </c>
      <c r="Q118" s="154" t="s">
        <v>967</v>
      </c>
      <c r="R118" s="154">
        <v>4</v>
      </c>
      <c r="S118" s="154" t="s">
        <v>914</v>
      </c>
      <c r="T118" s="154" t="s">
        <v>1011</v>
      </c>
      <c r="U118" s="154" t="s">
        <v>916</v>
      </c>
      <c r="V118" s="154" t="s">
        <v>916</v>
      </c>
      <c r="W118" s="154" t="s">
        <v>117</v>
      </c>
      <c r="X118" s="154" t="s">
        <v>1012</v>
      </c>
    </row>
    <row r="119" spans="1:24">
      <c r="A119" s="154" t="s">
        <v>102</v>
      </c>
      <c r="B119" s="154" t="s">
        <v>1401</v>
      </c>
      <c r="C119" s="155">
        <v>45924</v>
      </c>
      <c r="D119" s="155">
        <v>45919</v>
      </c>
      <c r="E119" s="159">
        <v>15186.52</v>
      </c>
      <c r="F119" s="159">
        <v>3037.3000000000211</v>
      </c>
      <c r="G119" s="159">
        <v>3037.3000000000211</v>
      </c>
      <c r="H119" s="184">
        <f t="shared" si="2"/>
        <v>45978</v>
      </c>
      <c r="I119" s="187" cm="1">
        <f t="array" ref="I119">G119*[15]!CalculateINPC(C119,H119,-1)</f>
        <v>3054.0091896090212</v>
      </c>
      <c r="J119" s="187">
        <f t="shared" si="3"/>
        <v>3159.2150743398151</v>
      </c>
      <c r="K119" s="187" cm="1">
        <f t="array" ref="K119">[15]!CalculateDICetip(C119,H119,1)*G119</f>
        <v>3101.5840596510216</v>
      </c>
      <c r="L119" s="154">
        <v>273433</v>
      </c>
      <c r="M119" s="154" t="s">
        <v>258</v>
      </c>
      <c r="N119" s="154" t="s">
        <v>149</v>
      </c>
      <c r="O119" s="154" t="s">
        <v>150</v>
      </c>
      <c r="P119" s="154">
        <v>27143</v>
      </c>
      <c r="Q119" s="154" t="s">
        <v>913</v>
      </c>
      <c r="R119" s="154">
        <v>4</v>
      </c>
      <c r="S119" s="154" t="s">
        <v>914</v>
      </c>
      <c r="T119" s="154" t="s">
        <v>1011</v>
      </c>
      <c r="U119" s="154" t="s">
        <v>916</v>
      </c>
      <c r="V119" s="154" t="s">
        <v>916</v>
      </c>
      <c r="W119" s="154" t="s">
        <v>117</v>
      </c>
      <c r="X119" s="154" t="s">
        <v>1012</v>
      </c>
    </row>
    <row r="120" spans="1:24">
      <c r="A120" s="154" t="s">
        <v>102</v>
      </c>
      <c r="B120" s="154" t="s">
        <v>1401</v>
      </c>
      <c r="C120" s="155">
        <v>45924</v>
      </c>
      <c r="D120" s="155">
        <v>45919</v>
      </c>
      <c r="E120" s="159">
        <v>15186.52</v>
      </c>
      <c r="F120" s="159">
        <v>3037.3000000000211</v>
      </c>
      <c r="G120" s="159">
        <v>3037.3000000000211</v>
      </c>
      <c r="H120" s="184">
        <f t="shared" si="2"/>
        <v>45978</v>
      </c>
      <c r="I120" s="187" cm="1">
        <f t="array" ref="I120">G120*[15]!CalculateINPC(C120,H120,-1)</f>
        <v>3054.0091896090212</v>
      </c>
      <c r="J120" s="187">
        <f t="shared" si="3"/>
        <v>3159.2150743398151</v>
      </c>
      <c r="K120" s="187" cm="1">
        <f t="array" ref="K120">[15]!CalculateDICetip(C120,H120,1)*G120</f>
        <v>3101.5840596510216</v>
      </c>
      <c r="L120" s="154">
        <v>273433</v>
      </c>
      <c r="M120" s="154" t="s">
        <v>258</v>
      </c>
      <c r="N120" s="154" t="s">
        <v>149</v>
      </c>
      <c r="O120" s="154" t="s">
        <v>150</v>
      </c>
      <c r="P120" s="154">
        <v>27151</v>
      </c>
      <c r="Q120" s="154" t="s">
        <v>970</v>
      </c>
      <c r="R120" s="154">
        <v>4</v>
      </c>
      <c r="S120" s="154" t="s">
        <v>914</v>
      </c>
      <c r="T120" s="154" t="s">
        <v>1011</v>
      </c>
      <c r="U120" s="154" t="s">
        <v>916</v>
      </c>
      <c r="V120" s="154" t="s">
        <v>916</v>
      </c>
      <c r="W120" s="154" t="s">
        <v>117</v>
      </c>
      <c r="X120" s="154" t="s">
        <v>1012</v>
      </c>
    </row>
    <row r="121" spans="1:24">
      <c r="A121" s="154" t="s">
        <v>102</v>
      </c>
      <c r="B121" s="154" t="s">
        <v>1401</v>
      </c>
      <c r="C121" s="155">
        <v>45954</v>
      </c>
      <c r="D121" s="155">
        <v>45943</v>
      </c>
      <c r="E121" s="159">
        <v>62133.41</v>
      </c>
      <c r="F121" s="159">
        <v>12960.12</v>
      </c>
      <c r="G121" s="159">
        <v>12960.12</v>
      </c>
      <c r="H121" s="184">
        <f t="shared" si="2"/>
        <v>45978</v>
      </c>
      <c r="I121" s="187" cm="1">
        <f t="array" ref="I121">G121*[15]!CalculateINPC(C121,H121,-1)</f>
        <v>12963.9994823208</v>
      </c>
      <c r="J121" s="187">
        <f t="shared" si="3"/>
        <v>13188.7988991071</v>
      </c>
      <c r="K121" s="187" cm="1">
        <f t="array" ref="K121">[15]!CalculateDICetip(C121,H121,1)*G121</f>
        <v>13074.914651703601</v>
      </c>
      <c r="L121" s="154">
        <v>276614</v>
      </c>
      <c r="M121" s="154" t="s">
        <v>200</v>
      </c>
      <c r="N121" s="154" t="s">
        <v>114</v>
      </c>
      <c r="O121" s="154" t="s">
        <v>115</v>
      </c>
      <c r="P121" s="154">
        <v>27158</v>
      </c>
      <c r="Q121" s="154" t="s">
        <v>960</v>
      </c>
      <c r="R121" s="154">
        <v>4</v>
      </c>
      <c r="S121" s="154" t="s">
        <v>914</v>
      </c>
      <c r="T121" s="154" t="s">
        <v>1013</v>
      </c>
      <c r="U121" s="154" t="s">
        <v>924</v>
      </c>
      <c r="V121" s="154" t="s">
        <v>925</v>
      </c>
      <c r="W121" s="154" t="s">
        <v>111</v>
      </c>
      <c r="X121" s="154" t="s">
        <v>1014</v>
      </c>
    </row>
    <row r="122" spans="1:24">
      <c r="A122" s="154" t="s">
        <v>102</v>
      </c>
      <c r="B122" s="154" t="s">
        <v>1401</v>
      </c>
      <c r="C122" s="155">
        <v>45954</v>
      </c>
      <c r="D122" s="155">
        <v>45943</v>
      </c>
      <c r="E122" s="159">
        <v>26068.17</v>
      </c>
      <c r="F122" s="159">
        <v>10876.56</v>
      </c>
      <c r="G122" s="159">
        <v>10876.56</v>
      </c>
      <c r="H122" s="184">
        <f t="shared" si="2"/>
        <v>45978</v>
      </c>
      <c r="I122" s="187" cm="1">
        <f t="array" ref="I122">G122*[15]!CalculateINPC(C122,H122,-1)</f>
        <v>10879.8157894704</v>
      </c>
      <c r="J122" s="187">
        <f t="shared" si="3"/>
        <v>11068.474871688866</v>
      </c>
      <c r="K122" s="187" cm="1">
        <f t="array" ref="K122">[15]!CalculateDICetip(C122,H122,1)*G122</f>
        <v>10972.8994564968</v>
      </c>
      <c r="L122" s="154">
        <v>276505</v>
      </c>
      <c r="M122" s="154" t="s">
        <v>200</v>
      </c>
      <c r="N122" s="154" t="s">
        <v>114</v>
      </c>
      <c r="O122" s="154" t="s">
        <v>115</v>
      </c>
      <c r="P122" s="154">
        <v>27154</v>
      </c>
      <c r="Q122" s="154" t="s">
        <v>946</v>
      </c>
      <c r="R122" s="154">
        <v>4</v>
      </c>
      <c r="S122" s="154" t="s">
        <v>914</v>
      </c>
      <c r="T122" s="154" t="s">
        <v>1015</v>
      </c>
      <c r="U122" s="154" t="s">
        <v>924</v>
      </c>
      <c r="V122" s="154" t="s">
        <v>925</v>
      </c>
      <c r="W122" s="154" t="s">
        <v>111</v>
      </c>
      <c r="X122" s="154" t="s">
        <v>1016</v>
      </c>
    </row>
    <row r="123" spans="1:24">
      <c r="A123" s="154" t="s">
        <v>102</v>
      </c>
      <c r="B123" s="154" t="s">
        <v>1401</v>
      </c>
      <c r="C123" s="155">
        <v>45954</v>
      </c>
      <c r="D123" s="155">
        <v>45931</v>
      </c>
      <c r="E123" s="159">
        <v>98.45</v>
      </c>
      <c r="F123" s="159">
        <v>1.57</v>
      </c>
      <c r="G123" s="159">
        <v>1.57</v>
      </c>
      <c r="H123" s="184">
        <f t="shared" si="2"/>
        <v>45978</v>
      </c>
      <c r="I123" s="187" cm="1">
        <f t="array" ref="I123">G123*[15]!CalculateINPC(C123,H123,-1)</f>
        <v>1.5704699637999999</v>
      </c>
      <c r="J123" s="187">
        <f t="shared" si="3"/>
        <v>1.5977023570459337</v>
      </c>
      <c r="K123" s="187" cm="1">
        <f t="array" ref="K123">[15]!CalculateDICetip(C123,H123,1)*G123</f>
        <v>1.5839063221</v>
      </c>
      <c r="L123" s="154">
        <v>278096</v>
      </c>
      <c r="M123" s="154" t="s">
        <v>103</v>
      </c>
      <c r="N123" s="154" t="s">
        <v>587</v>
      </c>
      <c r="O123" s="154" t="s">
        <v>588</v>
      </c>
      <c r="P123" s="154">
        <v>27160</v>
      </c>
      <c r="Q123" s="154" t="s">
        <v>976</v>
      </c>
      <c r="R123" s="154">
        <v>4</v>
      </c>
      <c r="S123" s="154" t="s">
        <v>914</v>
      </c>
      <c r="T123" s="154" t="s">
        <v>1017</v>
      </c>
      <c r="U123" s="154" t="s">
        <v>916</v>
      </c>
      <c r="V123" s="154" t="s">
        <v>916</v>
      </c>
      <c r="W123" s="154" t="s">
        <v>111</v>
      </c>
      <c r="X123" s="154" t="s">
        <v>1018</v>
      </c>
    </row>
    <row r="124" spans="1:24">
      <c r="A124" s="154" t="s">
        <v>102</v>
      </c>
      <c r="B124" s="154" t="s">
        <v>1401</v>
      </c>
      <c r="C124" s="155">
        <v>45954</v>
      </c>
      <c r="D124" s="155">
        <v>45931</v>
      </c>
      <c r="E124" s="159">
        <v>98.45</v>
      </c>
      <c r="F124" s="159">
        <v>4.4000000000000004</v>
      </c>
      <c r="G124" s="159">
        <v>4.4000000000000004</v>
      </c>
      <c r="H124" s="184">
        <f t="shared" si="2"/>
        <v>45978</v>
      </c>
      <c r="I124" s="187" cm="1">
        <f t="array" ref="I124">G124*[15]!CalculateINPC(C124,H124,-1)</f>
        <v>4.4013170960000005</v>
      </c>
      <c r="J124" s="187">
        <f t="shared" si="3"/>
        <v>4.4776371789822349</v>
      </c>
      <c r="K124" s="187" cm="1">
        <f t="array" ref="K124">[15]!CalculateDICetip(C124,H124,1)*G124</f>
        <v>4.4389731320000001</v>
      </c>
      <c r="L124" s="154">
        <v>278096</v>
      </c>
      <c r="M124" s="154" t="s">
        <v>103</v>
      </c>
      <c r="N124" s="154" t="s">
        <v>460</v>
      </c>
      <c r="O124" s="154" t="s">
        <v>461</v>
      </c>
      <c r="P124" s="154">
        <v>27160</v>
      </c>
      <c r="Q124" s="154" t="s">
        <v>976</v>
      </c>
      <c r="R124" s="154">
        <v>4</v>
      </c>
      <c r="S124" s="154" t="s">
        <v>914</v>
      </c>
      <c r="T124" s="154" t="s">
        <v>1017</v>
      </c>
      <c r="U124" s="154" t="s">
        <v>916</v>
      </c>
      <c r="V124" s="154" t="s">
        <v>916</v>
      </c>
      <c r="W124" s="154" t="s">
        <v>111</v>
      </c>
      <c r="X124" s="154" t="s">
        <v>1018</v>
      </c>
    </row>
    <row r="125" spans="1:24">
      <c r="A125" s="154" t="s">
        <v>102</v>
      </c>
      <c r="B125" s="154" t="s">
        <v>1401</v>
      </c>
      <c r="C125" s="155">
        <v>45954</v>
      </c>
      <c r="D125" s="155">
        <v>45943</v>
      </c>
      <c r="E125" s="159">
        <v>333502.15000000002</v>
      </c>
      <c r="F125" s="159">
        <v>69568.56</v>
      </c>
      <c r="G125" s="159">
        <v>69568.56</v>
      </c>
      <c r="H125" s="184">
        <f t="shared" si="2"/>
        <v>45978</v>
      </c>
      <c r="I125" s="187" cm="1">
        <f t="array" ref="I125">G125*[15]!CalculateINPC(C125,H125,-1)</f>
        <v>69589.384652750392</v>
      </c>
      <c r="J125" s="187">
        <f t="shared" si="3"/>
        <v>70796.084260058255</v>
      </c>
      <c r="K125" s="187" cm="1">
        <f t="array" ref="K125">[15]!CalculateDICetip(C125,H125,1)*G125</f>
        <v>70184.765607256792</v>
      </c>
      <c r="L125" s="154">
        <v>276407</v>
      </c>
      <c r="M125" s="154" t="s">
        <v>200</v>
      </c>
      <c r="N125" s="154" t="s">
        <v>114</v>
      </c>
      <c r="O125" s="154" t="s">
        <v>115</v>
      </c>
      <c r="P125" s="154">
        <v>27145</v>
      </c>
      <c r="Q125" s="154" t="s">
        <v>967</v>
      </c>
      <c r="R125" s="154">
        <v>4</v>
      </c>
      <c r="S125" s="154" t="s">
        <v>914</v>
      </c>
      <c r="T125" s="154" t="s">
        <v>1019</v>
      </c>
      <c r="U125" s="154" t="s">
        <v>924</v>
      </c>
      <c r="V125" s="154" t="s">
        <v>925</v>
      </c>
      <c r="W125" s="154" t="s">
        <v>111</v>
      </c>
      <c r="X125" s="154" t="s">
        <v>1020</v>
      </c>
    </row>
    <row r="126" spans="1:24">
      <c r="A126" s="154" t="s">
        <v>102</v>
      </c>
      <c r="B126" s="154" t="s">
        <v>1401</v>
      </c>
      <c r="C126" s="155">
        <v>45954</v>
      </c>
      <c r="D126" s="155">
        <v>45931</v>
      </c>
      <c r="E126" s="159">
        <v>98.45</v>
      </c>
      <c r="F126" s="159">
        <v>4.4000000000000004</v>
      </c>
      <c r="G126" s="159">
        <v>4.4000000000000004</v>
      </c>
      <c r="H126" s="184">
        <f t="shared" si="2"/>
        <v>45978</v>
      </c>
      <c r="I126" s="187" cm="1">
        <f t="array" ref="I126">G126*[15]!CalculateINPC(C126,H126,-1)</f>
        <v>4.4013170960000005</v>
      </c>
      <c r="J126" s="187">
        <f t="shared" si="3"/>
        <v>4.4776371789822349</v>
      </c>
      <c r="K126" s="187" cm="1">
        <f t="array" ref="K126">[15]!CalculateDICetip(C126,H126,1)*G126</f>
        <v>4.4389731320000001</v>
      </c>
      <c r="L126" s="154">
        <v>278096</v>
      </c>
      <c r="M126" s="154" t="s">
        <v>103</v>
      </c>
      <c r="N126" s="154" t="s">
        <v>460</v>
      </c>
      <c r="O126" s="154" t="s">
        <v>461</v>
      </c>
      <c r="P126" s="154">
        <v>27156</v>
      </c>
      <c r="Q126" s="154" t="s">
        <v>943</v>
      </c>
      <c r="R126" s="154">
        <v>4</v>
      </c>
      <c r="S126" s="154" t="s">
        <v>914</v>
      </c>
      <c r="T126" s="154" t="s">
        <v>1017</v>
      </c>
      <c r="U126" s="154" t="s">
        <v>916</v>
      </c>
      <c r="V126" s="154" t="s">
        <v>916</v>
      </c>
      <c r="W126" s="154" t="s">
        <v>111</v>
      </c>
      <c r="X126" s="154" t="s">
        <v>1018</v>
      </c>
    </row>
    <row r="127" spans="1:24">
      <c r="A127" s="154" t="s">
        <v>102</v>
      </c>
      <c r="B127" s="154" t="s">
        <v>1401</v>
      </c>
      <c r="C127" s="155">
        <v>45954</v>
      </c>
      <c r="D127" s="155">
        <v>45943</v>
      </c>
      <c r="E127" s="159">
        <v>244579.28</v>
      </c>
      <c r="F127" s="159">
        <v>51020.160000000003</v>
      </c>
      <c r="G127" s="159">
        <v>51020.160000000003</v>
      </c>
      <c r="H127" s="184">
        <f t="shared" si="2"/>
        <v>45978</v>
      </c>
      <c r="I127" s="187" cm="1">
        <f t="array" ref="I127">G127*[15]!CalculateINPC(C127,H127,-1)</f>
        <v>51035.432374694399</v>
      </c>
      <c r="J127" s="187">
        <f t="shared" si="3"/>
        <v>51920.401203095971</v>
      </c>
      <c r="K127" s="187" cm="1">
        <f t="array" ref="K127">[15]!CalculateDICetip(C127,H127,1)*G127</f>
        <v>51472.072597804807</v>
      </c>
      <c r="L127" s="154">
        <v>276433</v>
      </c>
      <c r="M127" s="154" t="s">
        <v>200</v>
      </c>
      <c r="N127" s="154" t="s">
        <v>114</v>
      </c>
      <c r="O127" s="154" t="s">
        <v>115</v>
      </c>
      <c r="P127" s="154">
        <v>27146</v>
      </c>
      <c r="Q127" s="154" t="s">
        <v>973</v>
      </c>
      <c r="R127" s="154">
        <v>4</v>
      </c>
      <c r="S127" s="154" t="s">
        <v>914</v>
      </c>
      <c r="T127" s="154" t="s">
        <v>1021</v>
      </c>
      <c r="U127" s="154" t="s">
        <v>924</v>
      </c>
      <c r="V127" s="154" t="s">
        <v>925</v>
      </c>
      <c r="W127" s="154" t="s">
        <v>111</v>
      </c>
      <c r="X127" s="154" t="s">
        <v>1022</v>
      </c>
    </row>
    <row r="128" spans="1:24">
      <c r="A128" s="154" t="s">
        <v>102</v>
      </c>
      <c r="B128" s="154" t="s">
        <v>1401</v>
      </c>
      <c r="C128" s="155">
        <v>45954</v>
      </c>
      <c r="D128" s="155">
        <v>45931</v>
      </c>
      <c r="E128" s="159">
        <v>98.45</v>
      </c>
      <c r="F128" s="159">
        <v>1.57</v>
      </c>
      <c r="G128" s="159">
        <v>1.57</v>
      </c>
      <c r="H128" s="184">
        <f t="shared" si="2"/>
        <v>45978</v>
      </c>
      <c r="I128" s="187" cm="1">
        <f t="array" ref="I128">G128*[15]!CalculateINPC(C128,H128,-1)</f>
        <v>1.5704699637999999</v>
      </c>
      <c r="J128" s="187">
        <f t="shared" si="3"/>
        <v>1.5977023570459337</v>
      </c>
      <c r="K128" s="187" cm="1">
        <f t="array" ref="K128">[15]!CalculateDICetip(C128,H128,1)*G128</f>
        <v>1.5839063221</v>
      </c>
      <c r="L128" s="154">
        <v>278096</v>
      </c>
      <c r="M128" s="154" t="s">
        <v>103</v>
      </c>
      <c r="N128" s="154" t="s">
        <v>587</v>
      </c>
      <c r="O128" s="154" t="s">
        <v>588</v>
      </c>
      <c r="P128" s="154">
        <v>27156</v>
      </c>
      <c r="Q128" s="154" t="s">
        <v>943</v>
      </c>
      <c r="R128" s="154">
        <v>4</v>
      </c>
      <c r="S128" s="154" t="s">
        <v>914</v>
      </c>
      <c r="T128" s="154" t="s">
        <v>1017</v>
      </c>
      <c r="U128" s="154" t="s">
        <v>916</v>
      </c>
      <c r="V128" s="154" t="s">
        <v>916</v>
      </c>
      <c r="W128" s="154" t="s">
        <v>111</v>
      </c>
      <c r="X128" s="154" t="s">
        <v>1018</v>
      </c>
    </row>
    <row r="129" spans="1:24">
      <c r="A129" s="154" t="s">
        <v>102</v>
      </c>
      <c r="B129" s="154" t="s">
        <v>1401</v>
      </c>
      <c r="C129" s="155">
        <v>45954</v>
      </c>
      <c r="D129" s="155">
        <v>45943</v>
      </c>
      <c r="E129" s="159">
        <v>127836.18</v>
      </c>
      <c r="F129" s="159">
        <v>101169.54</v>
      </c>
      <c r="G129" s="159">
        <v>101169.54</v>
      </c>
      <c r="H129" s="184">
        <f t="shared" si="2"/>
        <v>45978</v>
      </c>
      <c r="I129" s="187" cm="1">
        <f t="array" ref="I129">G129*[15]!CalculateINPC(C129,H129,-1)</f>
        <v>101199.82409010359</v>
      </c>
      <c r="J129" s="187">
        <f t="shared" si="3"/>
        <v>102954.65765557507</v>
      </c>
      <c r="K129" s="187" cm="1">
        <f t="array" ref="K129">[15]!CalculateDICetip(C129,H129,1)*G129</f>
        <v>102065.6522356362</v>
      </c>
      <c r="L129" s="154">
        <v>276639</v>
      </c>
      <c r="M129" s="154" t="s">
        <v>200</v>
      </c>
      <c r="N129" s="154" t="s">
        <v>114</v>
      </c>
      <c r="O129" s="154" t="s">
        <v>115</v>
      </c>
      <c r="P129" s="154">
        <v>27151</v>
      </c>
      <c r="Q129" s="154" t="s">
        <v>970</v>
      </c>
      <c r="R129" s="154">
        <v>4</v>
      </c>
      <c r="S129" s="154" t="s">
        <v>914</v>
      </c>
      <c r="T129" s="154" t="s">
        <v>1023</v>
      </c>
      <c r="U129" s="154" t="s">
        <v>924</v>
      </c>
      <c r="V129" s="154" t="s">
        <v>925</v>
      </c>
      <c r="W129" s="154" t="s">
        <v>111</v>
      </c>
      <c r="X129" s="154" t="s">
        <v>1024</v>
      </c>
    </row>
    <row r="130" spans="1:24">
      <c r="A130" s="154" t="s">
        <v>102</v>
      </c>
      <c r="B130" s="154" t="s">
        <v>1401</v>
      </c>
      <c r="C130" s="155">
        <v>45954</v>
      </c>
      <c r="D130" s="155">
        <v>45931</v>
      </c>
      <c r="E130" s="159">
        <v>98.45</v>
      </c>
      <c r="F130" s="159">
        <v>4.4000000000000004</v>
      </c>
      <c r="G130" s="159">
        <v>4.4000000000000004</v>
      </c>
      <c r="H130" s="184">
        <f t="shared" si="2"/>
        <v>45978</v>
      </c>
      <c r="I130" s="187" cm="1">
        <f t="array" ref="I130">G130*[15]!CalculateINPC(C130,H130,-1)</f>
        <v>4.4013170960000005</v>
      </c>
      <c r="J130" s="187">
        <f t="shared" si="3"/>
        <v>4.4776371789822349</v>
      </c>
      <c r="K130" s="187" cm="1">
        <f t="array" ref="K130">[15]!CalculateDICetip(C130,H130,1)*G130</f>
        <v>4.4389731320000001</v>
      </c>
      <c r="L130" s="154">
        <v>278096</v>
      </c>
      <c r="M130" s="154" t="s">
        <v>103</v>
      </c>
      <c r="N130" s="154" t="s">
        <v>460</v>
      </c>
      <c r="O130" s="154" t="s">
        <v>461</v>
      </c>
      <c r="P130" s="154">
        <v>27149</v>
      </c>
      <c r="Q130" s="154" t="s">
        <v>949</v>
      </c>
      <c r="R130" s="154">
        <v>4</v>
      </c>
      <c r="S130" s="154" t="s">
        <v>914</v>
      </c>
      <c r="T130" s="154" t="s">
        <v>1017</v>
      </c>
      <c r="U130" s="154" t="s">
        <v>916</v>
      </c>
      <c r="V130" s="154" t="s">
        <v>916</v>
      </c>
      <c r="W130" s="154" t="s">
        <v>111</v>
      </c>
      <c r="X130" s="154" t="s">
        <v>1018</v>
      </c>
    </row>
    <row r="131" spans="1:24">
      <c r="A131" s="154" t="s">
        <v>102</v>
      </c>
      <c r="B131" s="154" t="s">
        <v>1401</v>
      </c>
      <c r="C131" s="155">
        <v>45954</v>
      </c>
      <c r="D131" s="155">
        <v>45931</v>
      </c>
      <c r="E131" s="159">
        <v>98.45</v>
      </c>
      <c r="F131" s="159">
        <v>1.57</v>
      </c>
      <c r="G131" s="159">
        <v>1.57</v>
      </c>
      <c r="H131" s="184">
        <f t="shared" si="2"/>
        <v>45978</v>
      </c>
      <c r="I131" s="187" cm="1">
        <f t="array" ref="I131">G131*[15]!CalculateINPC(C131,H131,-1)</f>
        <v>1.5704699637999999</v>
      </c>
      <c r="J131" s="187">
        <f t="shared" si="3"/>
        <v>1.5977023570459337</v>
      </c>
      <c r="K131" s="187" cm="1">
        <f t="array" ref="K131">[15]!CalculateDICetip(C131,H131,1)*G131</f>
        <v>1.5839063221</v>
      </c>
      <c r="L131" s="154">
        <v>278096</v>
      </c>
      <c r="M131" s="154" t="s">
        <v>103</v>
      </c>
      <c r="N131" s="154" t="s">
        <v>587</v>
      </c>
      <c r="O131" s="154" t="s">
        <v>588</v>
      </c>
      <c r="P131" s="154">
        <v>27149</v>
      </c>
      <c r="Q131" s="154" t="s">
        <v>949</v>
      </c>
      <c r="R131" s="154">
        <v>4</v>
      </c>
      <c r="S131" s="154" t="s">
        <v>914</v>
      </c>
      <c r="T131" s="154" t="s">
        <v>1017</v>
      </c>
      <c r="U131" s="154" t="s">
        <v>916</v>
      </c>
      <c r="V131" s="154" t="s">
        <v>916</v>
      </c>
      <c r="W131" s="154" t="s">
        <v>111</v>
      </c>
      <c r="X131" s="154" t="s">
        <v>1018</v>
      </c>
    </row>
    <row r="132" spans="1:24">
      <c r="A132" s="154" t="s">
        <v>102</v>
      </c>
      <c r="B132" s="154" t="s">
        <v>1401</v>
      </c>
      <c r="C132" s="155">
        <v>45954</v>
      </c>
      <c r="D132" s="155">
        <v>45931</v>
      </c>
      <c r="E132" s="159">
        <v>98.45</v>
      </c>
      <c r="F132" s="159">
        <v>4.4000000000000004</v>
      </c>
      <c r="G132" s="159">
        <v>4.4000000000000004</v>
      </c>
      <c r="H132" s="184">
        <f t="shared" ref="H132:H195" si="4">$A$2</f>
        <v>45978</v>
      </c>
      <c r="I132" s="187" cm="1">
        <f t="array" ref="I132">G132*[15]!CalculateINPC(C132,H132,-1)</f>
        <v>4.4013170960000005</v>
      </c>
      <c r="J132" s="187">
        <f t="shared" ref="J132:J195" si="5">G132*1.3^((H132-C132)/360)</f>
        <v>4.4776371789822349</v>
      </c>
      <c r="K132" s="187" cm="1">
        <f t="array" ref="K132">[15]!CalculateDICetip(C132,H132,1)*G132</f>
        <v>4.4389731320000001</v>
      </c>
      <c r="L132" s="154">
        <v>278096</v>
      </c>
      <c r="M132" s="154" t="s">
        <v>103</v>
      </c>
      <c r="N132" s="154" t="s">
        <v>460</v>
      </c>
      <c r="O132" s="154" t="s">
        <v>461</v>
      </c>
      <c r="P132" s="154">
        <v>27165</v>
      </c>
      <c r="Q132" s="154" t="s">
        <v>986</v>
      </c>
      <c r="R132" s="154">
        <v>4</v>
      </c>
      <c r="S132" s="154" t="s">
        <v>914</v>
      </c>
      <c r="T132" s="154" t="s">
        <v>1017</v>
      </c>
      <c r="U132" s="154" t="s">
        <v>916</v>
      </c>
      <c r="V132" s="154" t="s">
        <v>916</v>
      </c>
      <c r="W132" s="154" t="s">
        <v>111</v>
      </c>
      <c r="X132" s="154" t="s">
        <v>1018</v>
      </c>
    </row>
    <row r="133" spans="1:24">
      <c r="A133" s="154" t="s">
        <v>102</v>
      </c>
      <c r="B133" s="154" t="s">
        <v>1401</v>
      </c>
      <c r="C133" s="155">
        <v>45954</v>
      </c>
      <c r="D133" s="155">
        <v>45931</v>
      </c>
      <c r="E133" s="159">
        <v>98.45</v>
      </c>
      <c r="F133" s="159">
        <v>1.57</v>
      </c>
      <c r="G133" s="159">
        <v>1.57</v>
      </c>
      <c r="H133" s="184">
        <f t="shared" si="4"/>
        <v>45978</v>
      </c>
      <c r="I133" s="187" cm="1">
        <f t="array" ref="I133">G133*[15]!CalculateINPC(C133,H133,-1)</f>
        <v>1.5704699637999999</v>
      </c>
      <c r="J133" s="187">
        <f t="shared" si="5"/>
        <v>1.5977023570459337</v>
      </c>
      <c r="K133" s="187" cm="1">
        <f t="array" ref="K133">[15]!CalculateDICetip(C133,H133,1)*G133</f>
        <v>1.5839063221</v>
      </c>
      <c r="L133" s="154">
        <v>278096</v>
      </c>
      <c r="M133" s="154" t="s">
        <v>103</v>
      </c>
      <c r="N133" s="154" t="s">
        <v>587</v>
      </c>
      <c r="O133" s="154" t="s">
        <v>588</v>
      </c>
      <c r="P133" s="154">
        <v>27165</v>
      </c>
      <c r="Q133" s="154" t="s">
        <v>986</v>
      </c>
      <c r="R133" s="154">
        <v>4</v>
      </c>
      <c r="S133" s="154" t="s">
        <v>914</v>
      </c>
      <c r="T133" s="154" t="s">
        <v>1017</v>
      </c>
      <c r="U133" s="154" t="s">
        <v>916</v>
      </c>
      <c r="V133" s="154" t="s">
        <v>916</v>
      </c>
      <c r="W133" s="154" t="s">
        <v>111</v>
      </c>
      <c r="X133" s="154" t="s">
        <v>1018</v>
      </c>
    </row>
    <row r="134" spans="1:24">
      <c r="A134" s="154" t="s">
        <v>102</v>
      </c>
      <c r="B134" s="154" t="s">
        <v>1401</v>
      </c>
      <c r="C134" s="155">
        <v>45954</v>
      </c>
      <c r="D134" s="155">
        <v>45943</v>
      </c>
      <c r="E134" s="159">
        <v>127836.18</v>
      </c>
      <c r="F134" s="159">
        <v>26666.639999999999</v>
      </c>
      <c r="G134" s="159">
        <v>26666.639999999999</v>
      </c>
      <c r="H134" s="184">
        <f t="shared" si="4"/>
        <v>45978</v>
      </c>
      <c r="I134" s="187" cm="1">
        <f t="array" ref="I134">G134*[15]!CalculateINPC(C134,H134,-1)</f>
        <v>26674.622392017598</v>
      </c>
      <c r="J134" s="187">
        <f t="shared" si="5"/>
        <v>27137.167886939729</v>
      </c>
      <c r="K134" s="187" cm="1">
        <f t="array" ref="K134">[15]!CalculateDICetip(C134,H134,1)*G134</f>
        <v>26902.8405637992</v>
      </c>
      <c r="L134" s="154">
        <v>276639</v>
      </c>
      <c r="M134" s="154" t="s">
        <v>200</v>
      </c>
      <c r="N134" s="154" t="s">
        <v>114</v>
      </c>
      <c r="O134" s="154" t="s">
        <v>115</v>
      </c>
      <c r="P134" s="154">
        <v>27151</v>
      </c>
      <c r="Q134" s="154" t="s">
        <v>970</v>
      </c>
      <c r="R134" s="154">
        <v>4</v>
      </c>
      <c r="S134" s="154" t="s">
        <v>914</v>
      </c>
      <c r="T134" s="154" t="s">
        <v>1023</v>
      </c>
      <c r="U134" s="154" t="s">
        <v>924</v>
      </c>
      <c r="V134" s="154" t="s">
        <v>925</v>
      </c>
      <c r="W134" s="154" t="s">
        <v>111</v>
      </c>
      <c r="X134" s="154" t="s">
        <v>1024</v>
      </c>
    </row>
    <row r="135" spans="1:24">
      <c r="A135" s="154" t="s">
        <v>102</v>
      </c>
      <c r="B135" s="154" t="s">
        <v>1401</v>
      </c>
      <c r="C135" s="155">
        <v>45954</v>
      </c>
      <c r="D135" s="155">
        <v>45931</v>
      </c>
      <c r="E135" s="159">
        <v>98.45</v>
      </c>
      <c r="F135" s="159">
        <v>1.57</v>
      </c>
      <c r="G135" s="159">
        <v>1.57</v>
      </c>
      <c r="H135" s="184">
        <f t="shared" si="4"/>
        <v>45978</v>
      </c>
      <c r="I135" s="187" cm="1">
        <f t="array" ref="I135">G135*[15]!CalculateINPC(C135,H135,-1)</f>
        <v>1.5704699637999999</v>
      </c>
      <c r="J135" s="187">
        <f t="shared" si="5"/>
        <v>1.5977023570459337</v>
      </c>
      <c r="K135" s="187" cm="1">
        <f t="array" ref="K135">[15]!CalculateDICetip(C135,H135,1)*G135</f>
        <v>1.5839063221</v>
      </c>
      <c r="L135" s="154">
        <v>278096</v>
      </c>
      <c r="M135" s="154" t="s">
        <v>103</v>
      </c>
      <c r="N135" s="154" t="s">
        <v>587</v>
      </c>
      <c r="O135" s="154" t="s">
        <v>588</v>
      </c>
      <c r="P135" s="154">
        <v>27143</v>
      </c>
      <c r="Q135" s="154" t="s">
        <v>913</v>
      </c>
      <c r="R135" s="154">
        <v>4</v>
      </c>
      <c r="S135" s="154" t="s">
        <v>914</v>
      </c>
      <c r="T135" s="154" t="s">
        <v>1017</v>
      </c>
      <c r="U135" s="154" t="s">
        <v>916</v>
      </c>
      <c r="V135" s="154" t="s">
        <v>916</v>
      </c>
      <c r="W135" s="154" t="s">
        <v>111</v>
      </c>
      <c r="X135" s="154" t="s">
        <v>1018</v>
      </c>
    </row>
    <row r="136" spans="1:24">
      <c r="A136" s="154" t="s">
        <v>102</v>
      </c>
      <c r="B136" s="154" t="s">
        <v>1401</v>
      </c>
      <c r="C136" s="155">
        <v>45954</v>
      </c>
      <c r="D136" s="155">
        <v>45943</v>
      </c>
      <c r="E136" s="159">
        <v>62133.41</v>
      </c>
      <c r="F136" s="159">
        <v>49173.29</v>
      </c>
      <c r="G136" s="159">
        <v>49173.29</v>
      </c>
      <c r="H136" s="184">
        <f t="shared" si="4"/>
        <v>45978</v>
      </c>
      <c r="I136" s="187" cm="1">
        <f t="array" ref="I136">G136*[15]!CalculateINPC(C136,H136,-1)</f>
        <v>49188.009532628603</v>
      </c>
      <c r="J136" s="187">
        <f t="shared" si="5"/>
        <v>50040.943526562573</v>
      </c>
      <c r="K136" s="187" cm="1">
        <f t="array" ref="K136">[15]!CalculateDICetip(C136,H136,1)*G136</f>
        <v>49608.843891373705</v>
      </c>
      <c r="L136" s="154">
        <v>276614</v>
      </c>
      <c r="M136" s="154" t="s">
        <v>200</v>
      </c>
      <c r="N136" s="154" t="s">
        <v>114</v>
      </c>
      <c r="O136" s="154" t="s">
        <v>115</v>
      </c>
      <c r="P136" s="154">
        <v>27158</v>
      </c>
      <c r="Q136" s="154" t="s">
        <v>960</v>
      </c>
      <c r="R136" s="154">
        <v>4</v>
      </c>
      <c r="S136" s="154" t="s">
        <v>914</v>
      </c>
      <c r="T136" s="154" t="s">
        <v>1013</v>
      </c>
      <c r="U136" s="154" t="s">
        <v>924</v>
      </c>
      <c r="V136" s="154" t="s">
        <v>925</v>
      </c>
      <c r="W136" s="154" t="s">
        <v>111</v>
      </c>
      <c r="X136" s="154" t="s">
        <v>1014</v>
      </c>
    </row>
    <row r="137" spans="1:24">
      <c r="A137" s="154" t="s">
        <v>102</v>
      </c>
      <c r="B137" s="154" t="s">
        <v>1401</v>
      </c>
      <c r="C137" s="155">
        <v>45954</v>
      </c>
      <c r="D137" s="155">
        <v>45943</v>
      </c>
      <c r="E137" s="159">
        <v>26068.17</v>
      </c>
      <c r="F137" s="159">
        <v>15191.61</v>
      </c>
      <c r="G137" s="159">
        <v>15191.61</v>
      </c>
      <c r="H137" s="184">
        <f t="shared" si="4"/>
        <v>45978</v>
      </c>
      <c r="I137" s="187" cm="1">
        <f t="array" ref="I137">G137*[15]!CalculateINPC(C137,H137,-1)</f>
        <v>15196.157456537399</v>
      </c>
      <c r="J137" s="187">
        <f t="shared" si="5"/>
        <v>15459.663123772343</v>
      </c>
      <c r="K137" s="187" cm="1">
        <f t="array" ref="K137">[15]!CalculateDICetip(C137,H137,1)*G137</f>
        <v>15326.1701413233</v>
      </c>
      <c r="L137" s="154">
        <v>276505</v>
      </c>
      <c r="M137" s="154" t="s">
        <v>200</v>
      </c>
      <c r="N137" s="154" t="s">
        <v>114</v>
      </c>
      <c r="O137" s="154" t="s">
        <v>115</v>
      </c>
      <c r="P137" s="154">
        <v>27154</v>
      </c>
      <c r="Q137" s="154" t="s">
        <v>946</v>
      </c>
      <c r="R137" s="154">
        <v>4</v>
      </c>
      <c r="S137" s="154" t="s">
        <v>914</v>
      </c>
      <c r="T137" s="154" t="s">
        <v>1015</v>
      </c>
      <c r="U137" s="154" t="s">
        <v>924</v>
      </c>
      <c r="V137" s="154" t="s">
        <v>925</v>
      </c>
      <c r="W137" s="154" t="s">
        <v>111</v>
      </c>
      <c r="X137" s="154" t="s">
        <v>1016</v>
      </c>
    </row>
    <row r="138" spans="1:24">
      <c r="A138" s="154" t="s">
        <v>102</v>
      </c>
      <c r="B138" s="154" t="s">
        <v>1401</v>
      </c>
      <c r="C138" s="155">
        <v>45954</v>
      </c>
      <c r="D138" s="155">
        <v>45931</v>
      </c>
      <c r="E138" s="159">
        <v>98.45</v>
      </c>
      <c r="F138" s="159">
        <v>4.4000000000000004</v>
      </c>
      <c r="G138" s="159">
        <v>4.4000000000000004</v>
      </c>
      <c r="H138" s="184">
        <f t="shared" si="4"/>
        <v>45978</v>
      </c>
      <c r="I138" s="187" cm="1">
        <f t="array" ref="I138">G138*[15]!CalculateINPC(C138,H138,-1)</f>
        <v>4.4013170960000005</v>
      </c>
      <c r="J138" s="187">
        <f t="shared" si="5"/>
        <v>4.4776371789822349</v>
      </c>
      <c r="K138" s="187" cm="1">
        <f t="array" ref="K138">[15]!CalculateDICetip(C138,H138,1)*G138</f>
        <v>4.4389731320000001</v>
      </c>
      <c r="L138" s="154">
        <v>278096</v>
      </c>
      <c r="M138" s="154" t="s">
        <v>103</v>
      </c>
      <c r="N138" s="154" t="s">
        <v>460</v>
      </c>
      <c r="O138" s="154" t="s">
        <v>461</v>
      </c>
      <c r="P138" s="154">
        <v>27143</v>
      </c>
      <c r="Q138" s="154" t="s">
        <v>913</v>
      </c>
      <c r="R138" s="154">
        <v>4</v>
      </c>
      <c r="S138" s="154" t="s">
        <v>914</v>
      </c>
      <c r="T138" s="154" t="s">
        <v>1017</v>
      </c>
      <c r="U138" s="154" t="s">
        <v>916</v>
      </c>
      <c r="V138" s="154" t="s">
        <v>916</v>
      </c>
      <c r="W138" s="154" t="s">
        <v>111</v>
      </c>
      <c r="X138" s="154" t="s">
        <v>1018</v>
      </c>
    </row>
    <row r="139" spans="1:24">
      <c r="A139" s="154" t="s">
        <v>102</v>
      </c>
      <c r="B139" s="154" t="s">
        <v>1401</v>
      </c>
      <c r="C139" s="155">
        <v>45954</v>
      </c>
      <c r="D139" s="155">
        <v>45943</v>
      </c>
      <c r="E139" s="159">
        <v>244579.28</v>
      </c>
      <c r="F139" s="159">
        <v>193559.12</v>
      </c>
      <c r="G139" s="159">
        <v>193559.12</v>
      </c>
      <c r="H139" s="184">
        <f t="shared" si="4"/>
        <v>45978</v>
      </c>
      <c r="I139" s="187" cm="1">
        <f t="array" ref="I139">G139*[15]!CalculateINPC(C139,H139,-1)</f>
        <v>193617.05998698078</v>
      </c>
      <c r="J139" s="187">
        <f t="shared" si="5"/>
        <v>196974.43455524632</v>
      </c>
      <c r="K139" s="187" cm="1">
        <f t="array" ref="K139">[15]!CalculateDICetip(C139,H139,1)*G139</f>
        <v>195273.5757121736</v>
      </c>
      <c r="L139" s="154">
        <v>276433</v>
      </c>
      <c r="M139" s="154" t="s">
        <v>200</v>
      </c>
      <c r="N139" s="154" t="s">
        <v>114</v>
      </c>
      <c r="O139" s="154" t="s">
        <v>115</v>
      </c>
      <c r="P139" s="154">
        <v>27146</v>
      </c>
      <c r="Q139" s="154" t="s">
        <v>973</v>
      </c>
      <c r="R139" s="154">
        <v>4</v>
      </c>
      <c r="S139" s="154" t="s">
        <v>914</v>
      </c>
      <c r="T139" s="154" t="s">
        <v>1021</v>
      </c>
      <c r="U139" s="154" t="s">
        <v>924</v>
      </c>
      <c r="V139" s="154" t="s">
        <v>925</v>
      </c>
      <c r="W139" s="154" t="s">
        <v>111</v>
      </c>
      <c r="X139" s="154" t="s">
        <v>1022</v>
      </c>
    </row>
    <row r="140" spans="1:24">
      <c r="A140" s="154" t="s">
        <v>102</v>
      </c>
      <c r="B140" s="154" t="s">
        <v>1401</v>
      </c>
      <c r="C140" s="155">
        <v>45954</v>
      </c>
      <c r="D140" s="155">
        <v>45931</v>
      </c>
      <c r="E140" s="159">
        <v>98.45</v>
      </c>
      <c r="F140" s="159">
        <v>4.4199999999969997</v>
      </c>
      <c r="G140" s="159">
        <v>4.4199999999969997</v>
      </c>
      <c r="H140" s="184">
        <f t="shared" si="4"/>
        <v>45978</v>
      </c>
      <c r="I140" s="187" cm="1">
        <f t="array" ref="I140">G140*[15]!CalculateINPC(C140,H140,-1)</f>
        <v>4.4213230827969987</v>
      </c>
      <c r="J140" s="187">
        <f t="shared" si="5"/>
        <v>4.4979900752472819</v>
      </c>
      <c r="K140" s="187" cm="1">
        <f t="array" ref="K140">[15]!CalculateDICetip(C140,H140,1)*G140</f>
        <v>4.4591502825969727</v>
      </c>
      <c r="L140" s="154">
        <v>278096</v>
      </c>
      <c r="M140" s="154" t="s">
        <v>103</v>
      </c>
      <c r="N140" s="154" t="s">
        <v>460</v>
      </c>
      <c r="O140" s="154" t="s">
        <v>461</v>
      </c>
      <c r="P140" s="154">
        <v>27167</v>
      </c>
      <c r="Q140" s="154" t="s">
        <v>987</v>
      </c>
      <c r="R140" s="154">
        <v>4</v>
      </c>
      <c r="S140" s="154" t="s">
        <v>914</v>
      </c>
      <c r="T140" s="154" t="s">
        <v>1017</v>
      </c>
      <c r="U140" s="154" t="s">
        <v>916</v>
      </c>
      <c r="V140" s="154" t="s">
        <v>916</v>
      </c>
      <c r="W140" s="154" t="s">
        <v>111</v>
      </c>
      <c r="X140" s="154" t="s">
        <v>1018</v>
      </c>
    </row>
    <row r="141" spans="1:24">
      <c r="A141" s="154" t="s">
        <v>102</v>
      </c>
      <c r="B141" s="154" t="s">
        <v>1401</v>
      </c>
      <c r="C141" s="155">
        <v>45954</v>
      </c>
      <c r="D141" s="155">
        <v>45943</v>
      </c>
      <c r="E141" s="159">
        <v>333502.15000000002</v>
      </c>
      <c r="F141" s="159">
        <v>263933.59000000003</v>
      </c>
      <c r="G141" s="159">
        <v>263933.59000000003</v>
      </c>
      <c r="H141" s="184">
        <f t="shared" si="4"/>
        <v>45978</v>
      </c>
      <c r="I141" s="187" cm="1">
        <f t="array" ref="I141">G141*[15]!CalculateINPC(C141,H141,-1)</f>
        <v>264012.5958808306</v>
      </c>
      <c r="J141" s="187">
        <f t="shared" si="5"/>
        <v>268590.64894687588</v>
      </c>
      <c r="K141" s="187" cm="1">
        <f t="array" ref="K141">[15]!CalculateDICetip(C141,H141,1)*G141</f>
        <v>266271.38969143271</v>
      </c>
      <c r="L141" s="154">
        <v>276407</v>
      </c>
      <c r="M141" s="154" t="s">
        <v>200</v>
      </c>
      <c r="N141" s="154" t="s">
        <v>114</v>
      </c>
      <c r="O141" s="154" t="s">
        <v>115</v>
      </c>
      <c r="P141" s="154">
        <v>27145</v>
      </c>
      <c r="Q141" s="154" t="s">
        <v>967</v>
      </c>
      <c r="R141" s="154">
        <v>4</v>
      </c>
      <c r="S141" s="154" t="s">
        <v>914</v>
      </c>
      <c r="T141" s="154" t="s">
        <v>1019</v>
      </c>
      <c r="U141" s="154" t="s">
        <v>924</v>
      </c>
      <c r="V141" s="154" t="s">
        <v>925</v>
      </c>
      <c r="W141" s="154" t="s">
        <v>111</v>
      </c>
      <c r="X141" s="154" t="s">
        <v>1020</v>
      </c>
    </row>
    <row r="142" spans="1:24">
      <c r="A142" s="154" t="s">
        <v>102</v>
      </c>
      <c r="B142" s="154" t="s">
        <v>1401</v>
      </c>
      <c r="C142" s="155">
        <v>45954</v>
      </c>
      <c r="D142" s="155">
        <v>45931</v>
      </c>
      <c r="E142" s="159">
        <v>98.45</v>
      </c>
      <c r="F142" s="159">
        <v>1.57</v>
      </c>
      <c r="G142" s="159">
        <v>1.57</v>
      </c>
      <c r="H142" s="184">
        <f t="shared" si="4"/>
        <v>45978</v>
      </c>
      <c r="I142" s="187" cm="1">
        <f t="array" ref="I142">G142*[15]!CalculateINPC(C142,H142,-1)</f>
        <v>1.5704699637999999</v>
      </c>
      <c r="J142" s="187">
        <f t="shared" si="5"/>
        <v>1.5977023570459337</v>
      </c>
      <c r="K142" s="187" cm="1">
        <f t="array" ref="K142">[15]!CalculateDICetip(C142,H142,1)*G142</f>
        <v>1.5839063221</v>
      </c>
      <c r="L142" s="154">
        <v>278096</v>
      </c>
      <c r="M142" s="154" t="s">
        <v>103</v>
      </c>
      <c r="N142" s="154" t="s">
        <v>587</v>
      </c>
      <c r="O142" s="154" t="s">
        <v>588</v>
      </c>
      <c r="P142" s="154">
        <v>27154</v>
      </c>
      <c r="Q142" s="154" t="s">
        <v>946</v>
      </c>
      <c r="R142" s="154">
        <v>4</v>
      </c>
      <c r="S142" s="154" t="s">
        <v>914</v>
      </c>
      <c r="T142" s="154" t="s">
        <v>1017</v>
      </c>
      <c r="U142" s="154" t="s">
        <v>916</v>
      </c>
      <c r="V142" s="154" t="s">
        <v>916</v>
      </c>
      <c r="W142" s="154" t="s">
        <v>111</v>
      </c>
      <c r="X142" s="154" t="s">
        <v>1018</v>
      </c>
    </row>
    <row r="143" spans="1:24">
      <c r="A143" s="154" t="s">
        <v>102</v>
      </c>
      <c r="B143" s="154" t="s">
        <v>1401</v>
      </c>
      <c r="C143" s="155">
        <v>45954</v>
      </c>
      <c r="D143" s="155">
        <v>45931</v>
      </c>
      <c r="E143" s="159">
        <v>98.45</v>
      </c>
      <c r="F143" s="159">
        <v>4.4000000000000004</v>
      </c>
      <c r="G143" s="159">
        <v>4.4000000000000004</v>
      </c>
      <c r="H143" s="184">
        <f t="shared" si="4"/>
        <v>45978</v>
      </c>
      <c r="I143" s="187" cm="1">
        <f t="array" ref="I143">G143*[15]!CalculateINPC(C143,H143,-1)</f>
        <v>4.4013170960000005</v>
      </c>
      <c r="J143" s="187">
        <f t="shared" si="5"/>
        <v>4.4776371789822349</v>
      </c>
      <c r="K143" s="187" cm="1">
        <f t="array" ref="K143">[15]!CalculateDICetip(C143,H143,1)*G143</f>
        <v>4.4389731320000001</v>
      </c>
      <c r="L143" s="154">
        <v>278096</v>
      </c>
      <c r="M143" s="154" t="s">
        <v>103</v>
      </c>
      <c r="N143" s="154" t="s">
        <v>460</v>
      </c>
      <c r="O143" s="154" t="s">
        <v>461</v>
      </c>
      <c r="P143" s="154">
        <v>27154</v>
      </c>
      <c r="Q143" s="154" t="s">
        <v>946</v>
      </c>
      <c r="R143" s="154">
        <v>4</v>
      </c>
      <c r="S143" s="154" t="s">
        <v>914</v>
      </c>
      <c r="T143" s="154" t="s">
        <v>1017</v>
      </c>
      <c r="U143" s="154" t="s">
        <v>916</v>
      </c>
      <c r="V143" s="154" t="s">
        <v>916</v>
      </c>
      <c r="W143" s="154" t="s">
        <v>111</v>
      </c>
      <c r="X143" s="154" t="s">
        <v>1018</v>
      </c>
    </row>
    <row r="144" spans="1:24">
      <c r="A144" s="154" t="s">
        <v>102</v>
      </c>
      <c r="B144" s="154" t="s">
        <v>1401</v>
      </c>
      <c r="C144" s="155">
        <v>45954</v>
      </c>
      <c r="D144" s="155">
        <v>45931</v>
      </c>
      <c r="E144" s="159">
        <v>98.45</v>
      </c>
      <c r="F144" s="159">
        <v>1.57</v>
      </c>
      <c r="G144" s="159">
        <v>1.57</v>
      </c>
      <c r="H144" s="184">
        <f t="shared" si="4"/>
        <v>45978</v>
      </c>
      <c r="I144" s="187" cm="1">
        <f t="array" ref="I144">G144*[15]!CalculateINPC(C144,H144,-1)</f>
        <v>1.5704699637999999</v>
      </c>
      <c r="J144" s="187">
        <f t="shared" si="5"/>
        <v>1.5977023570459337</v>
      </c>
      <c r="K144" s="187" cm="1">
        <f t="array" ref="K144">[15]!CalculateDICetip(C144,H144,1)*G144</f>
        <v>1.5839063221</v>
      </c>
      <c r="L144" s="154">
        <v>278096</v>
      </c>
      <c r="M144" s="154" t="s">
        <v>103</v>
      </c>
      <c r="N144" s="154" t="s">
        <v>587</v>
      </c>
      <c r="O144" s="154" t="s">
        <v>588</v>
      </c>
      <c r="P144" s="154">
        <v>27167</v>
      </c>
      <c r="Q144" s="154" t="s">
        <v>987</v>
      </c>
      <c r="R144" s="154">
        <v>4</v>
      </c>
      <c r="S144" s="154" t="s">
        <v>914</v>
      </c>
      <c r="T144" s="154" t="s">
        <v>1017</v>
      </c>
      <c r="U144" s="154" t="s">
        <v>916</v>
      </c>
      <c r="V144" s="154" t="s">
        <v>916</v>
      </c>
      <c r="W144" s="154" t="s">
        <v>111</v>
      </c>
      <c r="X144" s="154" t="s">
        <v>1018</v>
      </c>
    </row>
    <row r="145" spans="1:24">
      <c r="A145" s="154" t="s">
        <v>102</v>
      </c>
      <c r="B145" s="154" t="s">
        <v>1401</v>
      </c>
      <c r="C145" s="155">
        <v>45954</v>
      </c>
      <c r="D145" s="155">
        <v>45952</v>
      </c>
      <c r="E145" s="159">
        <v>7551.48</v>
      </c>
      <c r="F145" s="159">
        <v>7551.48</v>
      </c>
      <c r="G145" s="159">
        <v>7551.48</v>
      </c>
      <c r="H145" s="184">
        <f t="shared" si="4"/>
        <v>45978</v>
      </c>
      <c r="I145" s="187" cm="1">
        <f t="array" ref="I145">G145*[15]!CalculateINPC(C145,H145,-1)</f>
        <v>7553.7404600231994</v>
      </c>
      <c r="J145" s="187">
        <f t="shared" si="5"/>
        <v>7684.7244555319912</v>
      </c>
      <c r="K145" s="187" cm="1">
        <f t="array" ref="K145">[15]!CalculateDICetip(C145,H145,1)*G145</f>
        <v>7618.3674606443992</v>
      </c>
      <c r="L145" s="154">
        <v>276716</v>
      </c>
      <c r="M145" s="154" t="s">
        <v>200</v>
      </c>
      <c r="N145" s="154" t="s">
        <v>965</v>
      </c>
      <c r="O145" s="154" t="s">
        <v>966</v>
      </c>
      <c r="P145" s="154">
        <v>27156</v>
      </c>
      <c r="Q145" s="154" t="s">
        <v>943</v>
      </c>
      <c r="R145" s="154">
        <v>4</v>
      </c>
      <c r="S145" s="154" t="s">
        <v>914</v>
      </c>
      <c r="T145" s="154" t="s">
        <v>1025</v>
      </c>
      <c r="U145" s="154" t="s">
        <v>924</v>
      </c>
      <c r="V145" s="154" t="s">
        <v>925</v>
      </c>
      <c r="W145" s="154" t="s">
        <v>117</v>
      </c>
      <c r="X145" s="154" t="s">
        <v>1026</v>
      </c>
    </row>
    <row r="146" spans="1:24">
      <c r="A146" s="154" t="s">
        <v>102</v>
      </c>
      <c r="B146" s="154" t="s">
        <v>1401</v>
      </c>
      <c r="C146" s="155">
        <v>45954</v>
      </c>
      <c r="D146" s="155">
        <v>45931</v>
      </c>
      <c r="E146" s="159">
        <v>98.45</v>
      </c>
      <c r="F146" s="159">
        <v>4.4000000000000004</v>
      </c>
      <c r="G146" s="159">
        <v>4.4000000000000004</v>
      </c>
      <c r="H146" s="184">
        <f t="shared" si="4"/>
        <v>45978</v>
      </c>
      <c r="I146" s="187" cm="1">
        <f t="array" ref="I146">G146*[15]!CalculateINPC(C146,H146,-1)</f>
        <v>4.4013170960000005</v>
      </c>
      <c r="J146" s="187">
        <f t="shared" si="5"/>
        <v>4.4776371789822349</v>
      </c>
      <c r="K146" s="187" cm="1">
        <f t="array" ref="K146">[15]!CalculateDICetip(C146,H146,1)*G146</f>
        <v>4.4389731320000001</v>
      </c>
      <c r="L146" s="154">
        <v>278096</v>
      </c>
      <c r="M146" s="154" t="s">
        <v>103</v>
      </c>
      <c r="N146" s="154" t="s">
        <v>460</v>
      </c>
      <c r="O146" s="154" t="s">
        <v>461</v>
      </c>
      <c r="P146" s="154">
        <v>27159</v>
      </c>
      <c r="Q146" s="154" t="s">
        <v>918</v>
      </c>
      <c r="R146" s="154">
        <v>4</v>
      </c>
      <c r="S146" s="154" t="s">
        <v>914</v>
      </c>
      <c r="T146" s="154" t="s">
        <v>1017</v>
      </c>
      <c r="U146" s="154" t="s">
        <v>916</v>
      </c>
      <c r="V146" s="154" t="s">
        <v>916</v>
      </c>
      <c r="W146" s="154" t="s">
        <v>111</v>
      </c>
      <c r="X146" s="154" t="s">
        <v>1018</v>
      </c>
    </row>
    <row r="147" spans="1:24">
      <c r="A147" s="154" t="s">
        <v>102</v>
      </c>
      <c r="B147" s="154" t="s">
        <v>1401</v>
      </c>
      <c r="C147" s="155">
        <v>45954</v>
      </c>
      <c r="D147" s="155">
        <v>45943</v>
      </c>
      <c r="E147" s="159">
        <v>145271.53</v>
      </c>
      <c r="F147" s="159">
        <v>30292.68</v>
      </c>
      <c r="G147" s="159">
        <v>30292.68</v>
      </c>
      <c r="H147" s="184">
        <f t="shared" si="4"/>
        <v>45978</v>
      </c>
      <c r="I147" s="187" cm="1">
        <f t="array" ref="I147">G147*[15]!CalculateINPC(C147,H147,-1)</f>
        <v>30301.747810831199</v>
      </c>
      <c r="J147" s="187">
        <f t="shared" si="5"/>
        <v>30827.18868613899</v>
      </c>
      <c r="K147" s="187" cm="1">
        <f t="array" ref="K147">[15]!CalculateDICetip(C147,H147,1)*G147</f>
        <v>30560.998321880401</v>
      </c>
      <c r="L147" s="154">
        <v>276428</v>
      </c>
      <c r="M147" s="154" t="s">
        <v>200</v>
      </c>
      <c r="N147" s="154" t="s">
        <v>114</v>
      </c>
      <c r="O147" s="154" t="s">
        <v>115</v>
      </c>
      <c r="P147" s="154">
        <v>27143</v>
      </c>
      <c r="Q147" s="154" t="s">
        <v>913</v>
      </c>
      <c r="R147" s="154">
        <v>4</v>
      </c>
      <c r="S147" s="154" t="s">
        <v>914</v>
      </c>
      <c r="T147" s="154" t="s">
        <v>1027</v>
      </c>
      <c r="U147" s="154" t="s">
        <v>924</v>
      </c>
      <c r="V147" s="154" t="s">
        <v>925</v>
      </c>
      <c r="W147" s="154" t="s">
        <v>111</v>
      </c>
      <c r="X147" s="154" t="s">
        <v>1028</v>
      </c>
    </row>
    <row r="148" spans="1:24">
      <c r="A148" s="154" t="s">
        <v>102</v>
      </c>
      <c r="B148" s="154" t="s">
        <v>1401</v>
      </c>
      <c r="C148" s="155">
        <v>45954</v>
      </c>
      <c r="D148" s="155">
        <v>45931</v>
      </c>
      <c r="E148" s="159">
        <v>98.45</v>
      </c>
      <c r="F148" s="159">
        <v>4.4000000000000004</v>
      </c>
      <c r="G148" s="159">
        <v>4.4000000000000004</v>
      </c>
      <c r="H148" s="184">
        <f t="shared" si="4"/>
        <v>45978</v>
      </c>
      <c r="I148" s="187" cm="1">
        <f t="array" ref="I148">G148*[15]!CalculateINPC(C148,H148,-1)</f>
        <v>4.4013170960000005</v>
      </c>
      <c r="J148" s="187">
        <f t="shared" si="5"/>
        <v>4.4776371789822349</v>
      </c>
      <c r="K148" s="187" cm="1">
        <f t="array" ref="K148">[15]!CalculateDICetip(C148,H148,1)*G148</f>
        <v>4.4389731320000001</v>
      </c>
      <c r="L148" s="154">
        <v>278096</v>
      </c>
      <c r="M148" s="154" t="s">
        <v>103</v>
      </c>
      <c r="N148" s="154" t="s">
        <v>460</v>
      </c>
      <c r="O148" s="154" t="s">
        <v>461</v>
      </c>
      <c r="P148" s="154">
        <v>27145</v>
      </c>
      <c r="Q148" s="154" t="s">
        <v>967</v>
      </c>
      <c r="R148" s="154">
        <v>4</v>
      </c>
      <c r="S148" s="154" t="s">
        <v>914</v>
      </c>
      <c r="T148" s="154" t="s">
        <v>1017</v>
      </c>
      <c r="U148" s="154" t="s">
        <v>916</v>
      </c>
      <c r="V148" s="154" t="s">
        <v>916</v>
      </c>
      <c r="W148" s="154" t="s">
        <v>111</v>
      </c>
      <c r="X148" s="154" t="s">
        <v>1018</v>
      </c>
    </row>
    <row r="149" spans="1:24">
      <c r="A149" s="154" t="s">
        <v>102</v>
      </c>
      <c r="B149" s="154" t="s">
        <v>1401</v>
      </c>
      <c r="C149" s="155">
        <v>45954</v>
      </c>
      <c r="D149" s="155">
        <v>45931</v>
      </c>
      <c r="E149" s="159">
        <v>98.45</v>
      </c>
      <c r="F149" s="159">
        <v>1.57</v>
      </c>
      <c r="G149" s="159">
        <v>1.57</v>
      </c>
      <c r="H149" s="184">
        <f t="shared" si="4"/>
        <v>45978</v>
      </c>
      <c r="I149" s="187" cm="1">
        <f t="array" ref="I149">G149*[15]!CalculateINPC(C149,H149,-1)</f>
        <v>1.5704699637999999</v>
      </c>
      <c r="J149" s="187">
        <f t="shared" si="5"/>
        <v>1.5977023570459337</v>
      </c>
      <c r="K149" s="187" cm="1">
        <f t="array" ref="K149">[15]!CalculateDICetip(C149,H149,1)*G149</f>
        <v>1.5839063221</v>
      </c>
      <c r="L149" s="154">
        <v>278096</v>
      </c>
      <c r="M149" s="154" t="s">
        <v>103</v>
      </c>
      <c r="N149" s="154" t="s">
        <v>587</v>
      </c>
      <c r="O149" s="154" t="s">
        <v>588</v>
      </c>
      <c r="P149" s="154">
        <v>27159</v>
      </c>
      <c r="Q149" s="154" t="s">
        <v>918</v>
      </c>
      <c r="R149" s="154">
        <v>4</v>
      </c>
      <c r="S149" s="154" t="s">
        <v>914</v>
      </c>
      <c r="T149" s="154" t="s">
        <v>1017</v>
      </c>
      <c r="U149" s="154" t="s">
        <v>916</v>
      </c>
      <c r="V149" s="154" t="s">
        <v>916</v>
      </c>
      <c r="W149" s="154" t="s">
        <v>111</v>
      </c>
      <c r="X149" s="154" t="s">
        <v>1018</v>
      </c>
    </row>
    <row r="150" spans="1:24">
      <c r="A150" s="154" t="s">
        <v>102</v>
      </c>
      <c r="B150" s="154" t="s">
        <v>1401</v>
      </c>
      <c r="C150" s="155">
        <v>45954</v>
      </c>
      <c r="D150" s="155">
        <v>45931</v>
      </c>
      <c r="E150" s="159">
        <v>98.45</v>
      </c>
      <c r="F150" s="159">
        <v>1.57</v>
      </c>
      <c r="G150" s="159">
        <v>1.57</v>
      </c>
      <c r="H150" s="184">
        <f t="shared" si="4"/>
        <v>45978</v>
      </c>
      <c r="I150" s="187" cm="1">
        <f t="array" ref="I150">G150*[15]!CalculateINPC(C150,H150,-1)</f>
        <v>1.5704699637999999</v>
      </c>
      <c r="J150" s="187">
        <f t="shared" si="5"/>
        <v>1.5977023570459337</v>
      </c>
      <c r="K150" s="187" cm="1">
        <f t="array" ref="K150">[15]!CalculateDICetip(C150,H150,1)*G150</f>
        <v>1.5839063221</v>
      </c>
      <c r="L150" s="154">
        <v>278096</v>
      </c>
      <c r="M150" s="154" t="s">
        <v>103</v>
      </c>
      <c r="N150" s="154" t="s">
        <v>587</v>
      </c>
      <c r="O150" s="154" t="s">
        <v>588</v>
      </c>
      <c r="P150" s="154">
        <v>27145</v>
      </c>
      <c r="Q150" s="154" t="s">
        <v>967</v>
      </c>
      <c r="R150" s="154">
        <v>4</v>
      </c>
      <c r="S150" s="154" t="s">
        <v>914</v>
      </c>
      <c r="T150" s="154" t="s">
        <v>1017</v>
      </c>
      <c r="U150" s="154" t="s">
        <v>916</v>
      </c>
      <c r="V150" s="154" t="s">
        <v>916</v>
      </c>
      <c r="W150" s="154" t="s">
        <v>111</v>
      </c>
      <c r="X150" s="154" t="s">
        <v>1018</v>
      </c>
    </row>
    <row r="151" spans="1:24">
      <c r="A151" s="154" t="s">
        <v>102</v>
      </c>
      <c r="B151" s="154" t="s">
        <v>1401</v>
      </c>
      <c r="C151" s="155">
        <v>45954</v>
      </c>
      <c r="D151" s="155">
        <v>45931</v>
      </c>
      <c r="E151" s="159">
        <v>98.45</v>
      </c>
      <c r="F151" s="159">
        <v>1.57</v>
      </c>
      <c r="G151" s="159">
        <v>1.57</v>
      </c>
      <c r="H151" s="184">
        <f t="shared" si="4"/>
        <v>45978</v>
      </c>
      <c r="I151" s="187" cm="1">
        <f t="array" ref="I151">G151*[15]!CalculateINPC(C151,H151,-1)</f>
        <v>1.5704699637999999</v>
      </c>
      <c r="J151" s="187">
        <f t="shared" si="5"/>
        <v>1.5977023570459337</v>
      </c>
      <c r="K151" s="187" cm="1">
        <f t="array" ref="K151">[15]!CalculateDICetip(C151,H151,1)*G151</f>
        <v>1.5839063221</v>
      </c>
      <c r="L151" s="154">
        <v>278096</v>
      </c>
      <c r="M151" s="154" t="s">
        <v>103</v>
      </c>
      <c r="N151" s="154" t="s">
        <v>587</v>
      </c>
      <c r="O151" s="154" t="s">
        <v>588</v>
      </c>
      <c r="P151" s="154">
        <v>27158</v>
      </c>
      <c r="Q151" s="154" t="s">
        <v>960</v>
      </c>
      <c r="R151" s="154">
        <v>4</v>
      </c>
      <c r="S151" s="154" t="s">
        <v>914</v>
      </c>
      <c r="T151" s="154" t="s">
        <v>1017</v>
      </c>
      <c r="U151" s="154" t="s">
        <v>916</v>
      </c>
      <c r="V151" s="154" t="s">
        <v>916</v>
      </c>
      <c r="W151" s="154" t="s">
        <v>111</v>
      </c>
      <c r="X151" s="154" t="s">
        <v>1018</v>
      </c>
    </row>
    <row r="152" spans="1:24">
      <c r="A152" s="154" t="s">
        <v>102</v>
      </c>
      <c r="B152" s="154" t="s">
        <v>1401</v>
      </c>
      <c r="C152" s="155">
        <v>45954</v>
      </c>
      <c r="D152" s="155">
        <v>45943</v>
      </c>
      <c r="E152" s="159">
        <v>16256.26</v>
      </c>
      <c r="F152" s="159">
        <v>6782.64</v>
      </c>
      <c r="G152" s="159">
        <v>6782.64</v>
      </c>
      <c r="H152" s="184">
        <f t="shared" si="4"/>
        <v>45978</v>
      </c>
      <c r="I152" s="187" cm="1">
        <f t="array" ref="I152">G152*[15]!CalculateINPC(C152,H152,-1)</f>
        <v>6784.6703154575998</v>
      </c>
      <c r="J152" s="187">
        <f t="shared" si="5"/>
        <v>6902.3184171936509</v>
      </c>
      <c r="K152" s="187" cm="1">
        <f t="array" ref="K152">[15]!CalculateDICetip(C152,H152,1)*G152</f>
        <v>6842.7174372792006</v>
      </c>
      <c r="L152" s="154">
        <v>276646</v>
      </c>
      <c r="M152" s="154" t="s">
        <v>200</v>
      </c>
      <c r="N152" s="154" t="s">
        <v>114</v>
      </c>
      <c r="O152" s="154" t="s">
        <v>115</v>
      </c>
      <c r="P152" s="154">
        <v>27160</v>
      </c>
      <c r="Q152" s="154" t="s">
        <v>976</v>
      </c>
      <c r="R152" s="154">
        <v>4</v>
      </c>
      <c r="S152" s="154" t="s">
        <v>914</v>
      </c>
      <c r="T152" s="154" t="s">
        <v>1029</v>
      </c>
      <c r="U152" s="154" t="s">
        <v>924</v>
      </c>
      <c r="V152" s="154" t="s">
        <v>925</v>
      </c>
      <c r="W152" s="154" t="s">
        <v>111</v>
      </c>
      <c r="X152" s="154" t="s">
        <v>1030</v>
      </c>
    </row>
    <row r="153" spans="1:24">
      <c r="A153" s="154" t="s">
        <v>102</v>
      </c>
      <c r="B153" s="154" t="s">
        <v>1401</v>
      </c>
      <c r="C153" s="155">
        <v>45954</v>
      </c>
      <c r="D153" s="155">
        <v>45931</v>
      </c>
      <c r="E153" s="159">
        <v>98.45</v>
      </c>
      <c r="F153" s="159">
        <v>4.4000000000000004</v>
      </c>
      <c r="G153" s="159">
        <v>4.4000000000000004</v>
      </c>
      <c r="H153" s="184">
        <f t="shared" si="4"/>
        <v>45978</v>
      </c>
      <c r="I153" s="187" cm="1">
        <f t="array" ref="I153">G153*[15]!CalculateINPC(C153,H153,-1)</f>
        <v>4.4013170960000005</v>
      </c>
      <c r="J153" s="187">
        <f t="shared" si="5"/>
        <v>4.4776371789822349</v>
      </c>
      <c r="K153" s="187" cm="1">
        <f t="array" ref="K153">[15]!CalculateDICetip(C153,H153,1)*G153</f>
        <v>4.4389731320000001</v>
      </c>
      <c r="L153" s="154">
        <v>278096</v>
      </c>
      <c r="M153" s="154" t="s">
        <v>103</v>
      </c>
      <c r="N153" s="154" t="s">
        <v>460</v>
      </c>
      <c r="O153" s="154" t="s">
        <v>461</v>
      </c>
      <c r="P153" s="154">
        <v>27151</v>
      </c>
      <c r="Q153" s="154" t="s">
        <v>970</v>
      </c>
      <c r="R153" s="154">
        <v>4</v>
      </c>
      <c r="S153" s="154" t="s">
        <v>914</v>
      </c>
      <c r="T153" s="154" t="s">
        <v>1017</v>
      </c>
      <c r="U153" s="154" t="s">
        <v>916</v>
      </c>
      <c r="V153" s="154" t="s">
        <v>916</v>
      </c>
      <c r="W153" s="154" t="s">
        <v>111</v>
      </c>
      <c r="X153" s="154" t="s">
        <v>1018</v>
      </c>
    </row>
    <row r="154" spans="1:24">
      <c r="A154" s="154" t="s">
        <v>102</v>
      </c>
      <c r="B154" s="154" t="s">
        <v>1401</v>
      </c>
      <c r="C154" s="155">
        <v>45954</v>
      </c>
      <c r="D154" s="155">
        <v>45931</v>
      </c>
      <c r="E154" s="159">
        <v>98.45</v>
      </c>
      <c r="F154" s="159">
        <v>1.57</v>
      </c>
      <c r="G154" s="159">
        <v>1.57</v>
      </c>
      <c r="H154" s="184">
        <f t="shared" si="4"/>
        <v>45978</v>
      </c>
      <c r="I154" s="187" cm="1">
        <f t="array" ref="I154">G154*[15]!CalculateINPC(C154,H154,-1)</f>
        <v>1.5704699637999999</v>
      </c>
      <c r="J154" s="187">
        <f t="shared" si="5"/>
        <v>1.5977023570459337</v>
      </c>
      <c r="K154" s="187" cm="1">
        <f t="array" ref="K154">[15]!CalculateDICetip(C154,H154,1)*G154</f>
        <v>1.5839063221</v>
      </c>
      <c r="L154" s="154">
        <v>278096</v>
      </c>
      <c r="M154" s="154" t="s">
        <v>103</v>
      </c>
      <c r="N154" s="154" t="s">
        <v>587</v>
      </c>
      <c r="O154" s="154" t="s">
        <v>588</v>
      </c>
      <c r="P154" s="154">
        <v>27151</v>
      </c>
      <c r="Q154" s="154" t="s">
        <v>970</v>
      </c>
      <c r="R154" s="154">
        <v>4</v>
      </c>
      <c r="S154" s="154" t="s">
        <v>914</v>
      </c>
      <c r="T154" s="154" t="s">
        <v>1017</v>
      </c>
      <c r="U154" s="154" t="s">
        <v>916</v>
      </c>
      <c r="V154" s="154" t="s">
        <v>916</v>
      </c>
      <c r="W154" s="154" t="s">
        <v>111</v>
      </c>
      <c r="X154" s="154" t="s">
        <v>1018</v>
      </c>
    </row>
    <row r="155" spans="1:24">
      <c r="A155" s="154" t="s">
        <v>102</v>
      </c>
      <c r="B155" s="154" t="s">
        <v>1401</v>
      </c>
      <c r="C155" s="155">
        <v>45954</v>
      </c>
      <c r="D155" s="155">
        <v>45931</v>
      </c>
      <c r="E155" s="159">
        <v>98.45</v>
      </c>
      <c r="F155" s="159">
        <v>4.4000000000000004</v>
      </c>
      <c r="G155" s="159">
        <v>4.4000000000000004</v>
      </c>
      <c r="H155" s="184">
        <f t="shared" si="4"/>
        <v>45978</v>
      </c>
      <c r="I155" s="187" cm="1">
        <f t="array" ref="I155">G155*[15]!CalculateINPC(C155,H155,-1)</f>
        <v>4.4013170960000005</v>
      </c>
      <c r="J155" s="187">
        <f t="shared" si="5"/>
        <v>4.4776371789822349</v>
      </c>
      <c r="K155" s="187" cm="1">
        <f t="array" ref="K155">[15]!CalculateDICetip(C155,H155,1)*G155</f>
        <v>4.4389731320000001</v>
      </c>
      <c r="L155" s="154">
        <v>278096</v>
      </c>
      <c r="M155" s="154" t="s">
        <v>103</v>
      </c>
      <c r="N155" s="154" t="s">
        <v>460</v>
      </c>
      <c r="O155" s="154" t="s">
        <v>461</v>
      </c>
      <c r="P155" s="154">
        <v>27158</v>
      </c>
      <c r="Q155" s="154" t="s">
        <v>960</v>
      </c>
      <c r="R155" s="154">
        <v>4</v>
      </c>
      <c r="S155" s="154" t="s">
        <v>914</v>
      </c>
      <c r="T155" s="154" t="s">
        <v>1017</v>
      </c>
      <c r="U155" s="154" t="s">
        <v>916</v>
      </c>
      <c r="V155" s="154" t="s">
        <v>916</v>
      </c>
      <c r="W155" s="154" t="s">
        <v>111</v>
      </c>
      <c r="X155" s="154" t="s">
        <v>1018</v>
      </c>
    </row>
    <row r="156" spans="1:24">
      <c r="A156" s="154" t="s">
        <v>102</v>
      </c>
      <c r="B156" s="154" t="s">
        <v>1401</v>
      </c>
      <c r="C156" s="155">
        <v>45954</v>
      </c>
      <c r="D156" s="155">
        <v>45931</v>
      </c>
      <c r="E156" s="159">
        <v>98.45</v>
      </c>
      <c r="F156" s="159">
        <v>1.57</v>
      </c>
      <c r="G156" s="159">
        <v>1.57</v>
      </c>
      <c r="H156" s="184">
        <f t="shared" si="4"/>
        <v>45978</v>
      </c>
      <c r="I156" s="187" cm="1">
        <f t="array" ref="I156">G156*[15]!CalculateINPC(C156,H156,-1)</f>
        <v>1.5704699637999999</v>
      </c>
      <c r="J156" s="187">
        <f t="shared" si="5"/>
        <v>1.5977023570459337</v>
      </c>
      <c r="K156" s="187" cm="1">
        <f t="array" ref="K156">[15]!CalculateDICetip(C156,H156,1)*G156</f>
        <v>1.5839063221</v>
      </c>
      <c r="L156" s="154">
        <v>278096</v>
      </c>
      <c r="M156" s="154" t="s">
        <v>103</v>
      </c>
      <c r="N156" s="154" t="s">
        <v>587</v>
      </c>
      <c r="O156" s="154" t="s">
        <v>588</v>
      </c>
      <c r="P156" s="154">
        <v>27146</v>
      </c>
      <c r="Q156" s="154" t="s">
        <v>973</v>
      </c>
      <c r="R156" s="154">
        <v>4</v>
      </c>
      <c r="S156" s="154" t="s">
        <v>914</v>
      </c>
      <c r="T156" s="154" t="s">
        <v>1017</v>
      </c>
      <c r="U156" s="154" t="s">
        <v>916</v>
      </c>
      <c r="V156" s="154" t="s">
        <v>916</v>
      </c>
      <c r="W156" s="154" t="s">
        <v>111</v>
      </c>
      <c r="X156" s="154" t="s">
        <v>1018</v>
      </c>
    </row>
    <row r="157" spans="1:24">
      <c r="A157" s="154" t="s">
        <v>102</v>
      </c>
      <c r="B157" s="154" t="s">
        <v>1401</v>
      </c>
      <c r="C157" s="155">
        <v>45954</v>
      </c>
      <c r="D157" s="155">
        <v>45931</v>
      </c>
      <c r="E157" s="159">
        <v>98.45</v>
      </c>
      <c r="F157" s="159">
        <v>4.4000000000000004</v>
      </c>
      <c r="G157" s="159">
        <v>4.4000000000000004</v>
      </c>
      <c r="H157" s="184">
        <f t="shared" si="4"/>
        <v>45978</v>
      </c>
      <c r="I157" s="187" cm="1">
        <f t="array" ref="I157">G157*[15]!CalculateINPC(C157,H157,-1)</f>
        <v>4.4013170960000005</v>
      </c>
      <c r="J157" s="187">
        <f t="shared" si="5"/>
        <v>4.4776371789822349</v>
      </c>
      <c r="K157" s="187" cm="1">
        <f t="array" ref="K157">[15]!CalculateDICetip(C157,H157,1)*G157</f>
        <v>4.4389731320000001</v>
      </c>
      <c r="L157" s="154">
        <v>278096</v>
      </c>
      <c r="M157" s="154" t="s">
        <v>103</v>
      </c>
      <c r="N157" s="154" t="s">
        <v>460</v>
      </c>
      <c r="O157" s="154" t="s">
        <v>461</v>
      </c>
      <c r="P157" s="154">
        <v>27146</v>
      </c>
      <c r="Q157" s="154" t="s">
        <v>973</v>
      </c>
      <c r="R157" s="154">
        <v>4</v>
      </c>
      <c r="S157" s="154" t="s">
        <v>914</v>
      </c>
      <c r="T157" s="154" t="s">
        <v>1017</v>
      </c>
      <c r="U157" s="154" t="s">
        <v>916</v>
      </c>
      <c r="V157" s="154" t="s">
        <v>916</v>
      </c>
      <c r="W157" s="154" t="s">
        <v>111</v>
      </c>
      <c r="X157" s="154" t="s">
        <v>1018</v>
      </c>
    </row>
    <row r="158" spans="1:24">
      <c r="A158" s="154" t="s">
        <v>102</v>
      </c>
      <c r="B158" s="154" t="s">
        <v>1401</v>
      </c>
      <c r="C158" s="155">
        <v>45954</v>
      </c>
      <c r="D158" s="155">
        <v>45943</v>
      </c>
      <c r="E158" s="159">
        <v>145271.53</v>
      </c>
      <c r="F158" s="159">
        <v>114978.85</v>
      </c>
      <c r="G158" s="159">
        <v>114978.85</v>
      </c>
      <c r="H158" s="184">
        <f t="shared" si="4"/>
        <v>45978</v>
      </c>
      <c r="I158" s="187" cm="1">
        <f t="array" ref="I158">G158*[15]!CalculateINPC(C158,H158,-1)</f>
        <v>115013.26776895901</v>
      </c>
      <c r="J158" s="187">
        <f t="shared" si="5"/>
        <v>117007.63035377763</v>
      </c>
      <c r="K158" s="187" cm="1">
        <f t="array" ref="K158">[15]!CalculateDICetip(C158,H158,1)*G158</f>
        <v>115997.2786132405</v>
      </c>
      <c r="L158" s="154">
        <v>276428</v>
      </c>
      <c r="M158" s="154" t="s">
        <v>200</v>
      </c>
      <c r="N158" s="154" t="s">
        <v>114</v>
      </c>
      <c r="O158" s="154" t="s">
        <v>115</v>
      </c>
      <c r="P158" s="154">
        <v>27143</v>
      </c>
      <c r="Q158" s="154" t="s">
        <v>913</v>
      </c>
      <c r="R158" s="154">
        <v>4</v>
      </c>
      <c r="S158" s="154" t="s">
        <v>914</v>
      </c>
      <c r="T158" s="154" t="s">
        <v>1027</v>
      </c>
      <c r="U158" s="154" t="s">
        <v>924</v>
      </c>
      <c r="V158" s="154" t="s">
        <v>925</v>
      </c>
      <c r="W158" s="154" t="s">
        <v>111</v>
      </c>
      <c r="X158" s="154" t="s">
        <v>1028</v>
      </c>
    </row>
    <row r="159" spans="1:24">
      <c r="A159" s="154" t="s">
        <v>102</v>
      </c>
      <c r="B159" s="154" t="s">
        <v>1401</v>
      </c>
      <c r="C159" s="155">
        <v>45896</v>
      </c>
      <c r="D159" s="155">
        <v>45888</v>
      </c>
      <c r="E159" s="159">
        <v>158365.32999999999</v>
      </c>
      <c r="F159" s="159">
        <v>158365.32999999999</v>
      </c>
      <c r="G159" s="159">
        <v>158365.32999999999</v>
      </c>
      <c r="H159" s="184">
        <f t="shared" si="4"/>
        <v>45978</v>
      </c>
      <c r="I159" s="187" cm="1">
        <f t="array" ref="I159">G159*[15]!CalculateINPC(C159,H159,-1)</f>
        <v>158902.07127835578</v>
      </c>
      <c r="J159" s="187">
        <f t="shared" si="5"/>
        <v>168117.86794133173</v>
      </c>
      <c r="K159" s="187" cm="1">
        <f t="array" ref="K159">[15]!CalculateDICetip(C159,H159,1)*G159</f>
        <v>163509.6076172413</v>
      </c>
      <c r="L159" s="154">
        <v>267290</v>
      </c>
      <c r="M159" s="154" t="s">
        <v>200</v>
      </c>
      <c r="N159" s="154" t="s">
        <v>965</v>
      </c>
      <c r="O159" s="154" t="s">
        <v>966</v>
      </c>
      <c r="P159" s="154">
        <v>27143</v>
      </c>
      <c r="Q159" s="154" t="s">
        <v>913</v>
      </c>
      <c r="R159" s="154">
        <v>4</v>
      </c>
      <c r="S159" s="154" t="s">
        <v>914</v>
      </c>
      <c r="T159" s="154" t="s">
        <v>1031</v>
      </c>
      <c r="U159" s="154" t="s">
        <v>924</v>
      </c>
      <c r="V159" s="154" t="s">
        <v>925</v>
      </c>
      <c r="W159" s="154" t="s">
        <v>111</v>
      </c>
      <c r="X159" s="154" t="s">
        <v>1032</v>
      </c>
    </row>
    <row r="160" spans="1:24">
      <c r="A160" s="154" t="s">
        <v>102</v>
      </c>
      <c r="B160" s="154" t="s">
        <v>1401</v>
      </c>
      <c r="C160" s="155">
        <v>45896</v>
      </c>
      <c r="D160" s="155">
        <v>45888</v>
      </c>
      <c r="E160" s="159">
        <v>10103.98</v>
      </c>
      <c r="F160" s="159">
        <v>10103.98</v>
      </c>
      <c r="G160" s="159">
        <v>10103.98</v>
      </c>
      <c r="H160" s="184">
        <f t="shared" si="4"/>
        <v>45978</v>
      </c>
      <c r="I160" s="187" cm="1">
        <f t="array" ref="I160">G160*[15]!CalculateINPC(C160,H160,-1)</f>
        <v>10138.2250152548</v>
      </c>
      <c r="J160" s="187">
        <f t="shared" si="5"/>
        <v>10726.208667780107</v>
      </c>
      <c r="K160" s="187" cm="1">
        <f t="array" ref="K160">[15]!CalculateDICetip(C160,H160,1)*G160</f>
        <v>10432.193745767801</v>
      </c>
      <c r="L160" s="154">
        <v>267389</v>
      </c>
      <c r="M160" s="154" t="s">
        <v>200</v>
      </c>
      <c r="N160" s="154" t="s">
        <v>965</v>
      </c>
      <c r="O160" s="154" t="s">
        <v>966</v>
      </c>
      <c r="P160" s="154">
        <v>27159</v>
      </c>
      <c r="Q160" s="154" t="s">
        <v>918</v>
      </c>
      <c r="R160" s="154">
        <v>4</v>
      </c>
      <c r="S160" s="154" t="s">
        <v>914</v>
      </c>
      <c r="T160" s="154" t="s">
        <v>1033</v>
      </c>
      <c r="U160" s="154" t="s">
        <v>924</v>
      </c>
      <c r="V160" s="154" t="s">
        <v>925</v>
      </c>
      <c r="W160" s="154" t="s">
        <v>111</v>
      </c>
      <c r="X160" s="154" t="s">
        <v>1034</v>
      </c>
    </row>
    <row r="161" spans="1:24">
      <c r="A161" s="154" t="s">
        <v>102</v>
      </c>
      <c r="B161" s="154" t="s">
        <v>1401</v>
      </c>
      <c r="C161" s="155">
        <v>45896</v>
      </c>
      <c r="D161" s="155">
        <v>45888</v>
      </c>
      <c r="E161" s="159">
        <v>57200.24</v>
      </c>
      <c r="F161" s="159">
        <v>57200.24</v>
      </c>
      <c r="G161" s="159">
        <v>57200.24</v>
      </c>
      <c r="H161" s="184">
        <f t="shared" si="4"/>
        <v>45978</v>
      </c>
      <c r="I161" s="187" cm="1">
        <f t="array" ref="I161">G161*[15]!CalculateINPC(C161,H161,-1)</f>
        <v>57394.106485422402</v>
      </c>
      <c r="J161" s="187">
        <f t="shared" si="5"/>
        <v>60722.775588144716</v>
      </c>
      <c r="K161" s="187" cm="1">
        <f t="array" ref="K161">[15]!CalculateDICetip(C161,H161,1)*G161</f>
        <v>59058.310288066401</v>
      </c>
      <c r="L161" s="154">
        <v>267388</v>
      </c>
      <c r="M161" s="154" t="s">
        <v>200</v>
      </c>
      <c r="N161" s="154" t="s">
        <v>965</v>
      </c>
      <c r="O161" s="154" t="s">
        <v>966</v>
      </c>
      <c r="P161" s="154">
        <v>27149</v>
      </c>
      <c r="Q161" s="154" t="s">
        <v>949</v>
      </c>
      <c r="R161" s="154">
        <v>4</v>
      </c>
      <c r="S161" s="154" t="s">
        <v>914</v>
      </c>
      <c r="T161" s="154" t="s">
        <v>1035</v>
      </c>
      <c r="U161" s="154" t="s">
        <v>924</v>
      </c>
      <c r="V161" s="154" t="s">
        <v>925</v>
      </c>
      <c r="W161" s="154" t="s">
        <v>111</v>
      </c>
      <c r="X161" s="154" t="s">
        <v>1036</v>
      </c>
    </row>
    <row r="162" spans="1:24">
      <c r="A162" s="154" t="s">
        <v>102</v>
      </c>
      <c r="B162" s="154" t="s">
        <v>1401</v>
      </c>
      <c r="C162" s="155">
        <v>45896</v>
      </c>
      <c r="D162" s="155">
        <v>45888</v>
      </c>
      <c r="E162" s="159">
        <v>16199.77</v>
      </c>
      <c r="F162" s="159">
        <v>16199.77</v>
      </c>
      <c r="G162" s="159">
        <v>16199.77</v>
      </c>
      <c r="H162" s="184">
        <f t="shared" si="4"/>
        <v>45978</v>
      </c>
      <c r="I162" s="187" cm="1">
        <f t="array" ref="I162">G162*[15]!CalculateINPC(C162,H162,-1)</f>
        <v>16254.675232470201</v>
      </c>
      <c r="J162" s="187">
        <f t="shared" si="5"/>
        <v>17197.392848169155</v>
      </c>
      <c r="K162" s="187" cm="1">
        <f t="array" ref="K162">[15]!CalculateDICetip(C162,H162,1)*G162</f>
        <v>16725.997010769701</v>
      </c>
      <c r="L162" s="154">
        <v>267387</v>
      </c>
      <c r="M162" s="154" t="s">
        <v>200</v>
      </c>
      <c r="N162" s="154" t="s">
        <v>965</v>
      </c>
      <c r="O162" s="154" t="s">
        <v>966</v>
      </c>
      <c r="P162" s="154">
        <v>27158</v>
      </c>
      <c r="Q162" s="154" t="s">
        <v>960</v>
      </c>
      <c r="R162" s="154">
        <v>4</v>
      </c>
      <c r="S162" s="154" t="s">
        <v>914</v>
      </c>
      <c r="T162" s="154" t="s">
        <v>1037</v>
      </c>
      <c r="U162" s="154" t="s">
        <v>924</v>
      </c>
      <c r="V162" s="154" t="s">
        <v>925</v>
      </c>
      <c r="W162" s="154" t="s">
        <v>111</v>
      </c>
      <c r="X162" s="154" t="s">
        <v>1038</v>
      </c>
    </row>
    <row r="163" spans="1:24">
      <c r="A163" s="154" t="s">
        <v>102</v>
      </c>
      <c r="B163" s="154" t="s">
        <v>1401</v>
      </c>
      <c r="C163" s="155">
        <v>45957</v>
      </c>
      <c r="D163" s="155">
        <v>45943</v>
      </c>
      <c r="E163" s="159">
        <v>16256.26</v>
      </c>
      <c r="F163" s="159">
        <v>9473.6200000000008</v>
      </c>
      <c r="G163" s="159">
        <v>9473.6200000000008</v>
      </c>
      <c r="H163" s="184">
        <f t="shared" si="4"/>
        <v>45978</v>
      </c>
      <c r="I163" s="187" cm="1">
        <f t="array" ref="I163">G163*[15]!CalculateINPC(C163,H163,-1)</f>
        <v>9476.4558334108006</v>
      </c>
      <c r="J163" s="187">
        <f t="shared" si="5"/>
        <v>9619.7249810157282</v>
      </c>
      <c r="K163" s="187" cm="1">
        <f t="array" ref="K163">[15]!CalculateDICetip(C163,H163,1)*G163</f>
        <v>9552.2665827368</v>
      </c>
      <c r="L163" s="154">
        <v>276646</v>
      </c>
      <c r="M163" s="154" t="s">
        <v>200</v>
      </c>
      <c r="N163" s="154" t="s">
        <v>114</v>
      </c>
      <c r="O163" s="154" t="s">
        <v>115</v>
      </c>
      <c r="P163" s="154">
        <v>27160</v>
      </c>
      <c r="Q163" s="154" t="s">
        <v>976</v>
      </c>
      <c r="R163" s="154">
        <v>4</v>
      </c>
      <c r="S163" s="154" t="s">
        <v>914</v>
      </c>
      <c r="T163" s="154" t="s">
        <v>1029</v>
      </c>
      <c r="U163" s="154" t="s">
        <v>924</v>
      </c>
      <c r="V163" s="154" t="s">
        <v>925</v>
      </c>
      <c r="W163" s="154" t="s">
        <v>111</v>
      </c>
      <c r="X163" s="154" t="s">
        <v>1030</v>
      </c>
    </row>
    <row r="164" spans="1:24">
      <c r="A164" s="154" t="s">
        <v>102</v>
      </c>
      <c r="B164" s="154" t="s">
        <v>1401</v>
      </c>
      <c r="C164" s="155">
        <v>45897</v>
      </c>
      <c r="D164" s="155">
        <v>45887</v>
      </c>
      <c r="E164" s="159">
        <v>2164.2600000000002</v>
      </c>
      <c r="F164" s="159">
        <v>541.06000000000404</v>
      </c>
      <c r="G164" s="159">
        <v>541.06000000000404</v>
      </c>
      <c r="H164" s="184">
        <f t="shared" si="4"/>
        <v>45978</v>
      </c>
      <c r="I164" s="187" cm="1">
        <f t="array" ref="I164">G164*[15]!CalculateINPC(C164,H164,-1)</f>
        <v>542.89379301560405</v>
      </c>
      <c r="J164" s="187">
        <f t="shared" si="5"/>
        <v>573.96139498393211</v>
      </c>
      <c r="K164" s="187" cm="1">
        <f t="array" ref="K164">[15]!CalculateDICetip(C164,H164,1)*G164</f>
        <v>558.32776758200418</v>
      </c>
      <c r="L164" s="154">
        <v>268080</v>
      </c>
      <c r="M164" s="154" t="s">
        <v>1003</v>
      </c>
      <c r="N164" s="154" t="s">
        <v>189</v>
      </c>
      <c r="O164" s="154" t="s">
        <v>190</v>
      </c>
      <c r="P164" s="154">
        <v>27143</v>
      </c>
      <c r="Q164" s="154" t="s">
        <v>913</v>
      </c>
      <c r="R164" s="154">
        <v>4</v>
      </c>
      <c r="S164" s="154" t="s">
        <v>914</v>
      </c>
      <c r="T164" s="154" t="s">
        <v>1039</v>
      </c>
      <c r="U164" s="154" t="s">
        <v>916</v>
      </c>
      <c r="V164" s="154" t="s">
        <v>916</v>
      </c>
      <c r="W164" s="154" t="s">
        <v>130</v>
      </c>
      <c r="X164" s="154" t="s">
        <v>1040</v>
      </c>
    </row>
    <row r="165" spans="1:24">
      <c r="A165" s="154" t="s">
        <v>102</v>
      </c>
      <c r="B165" s="154" t="s">
        <v>1401</v>
      </c>
      <c r="C165" s="155">
        <v>45897</v>
      </c>
      <c r="D165" s="155">
        <v>45887</v>
      </c>
      <c r="E165" s="159">
        <v>2164.2600000000002</v>
      </c>
      <c r="F165" s="159">
        <v>541.06000000000404</v>
      </c>
      <c r="G165" s="159">
        <v>541.06000000000404</v>
      </c>
      <c r="H165" s="184">
        <f t="shared" si="4"/>
        <v>45978</v>
      </c>
      <c r="I165" s="187" cm="1">
        <f t="array" ref="I165">G165*[15]!CalculateINPC(C165,H165,-1)</f>
        <v>542.89379301560405</v>
      </c>
      <c r="J165" s="187">
        <f t="shared" si="5"/>
        <v>573.96139498393211</v>
      </c>
      <c r="K165" s="187" cm="1">
        <f t="array" ref="K165">[15]!CalculateDICetip(C165,H165,1)*G165</f>
        <v>558.32776758200418</v>
      </c>
      <c r="L165" s="154">
        <v>268080</v>
      </c>
      <c r="M165" s="154" t="s">
        <v>1003</v>
      </c>
      <c r="N165" s="154" t="s">
        <v>189</v>
      </c>
      <c r="O165" s="154" t="s">
        <v>190</v>
      </c>
      <c r="P165" s="154">
        <v>27158</v>
      </c>
      <c r="Q165" s="154" t="s">
        <v>960</v>
      </c>
      <c r="R165" s="154">
        <v>4</v>
      </c>
      <c r="S165" s="154" t="s">
        <v>914</v>
      </c>
      <c r="T165" s="154" t="s">
        <v>1039</v>
      </c>
      <c r="U165" s="154" t="s">
        <v>916</v>
      </c>
      <c r="V165" s="154" t="s">
        <v>916</v>
      </c>
      <c r="W165" s="154" t="s">
        <v>130</v>
      </c>
      <c r="X165" s="154" t="s">
        <v>1040</v>
      </c>
    </row>
    <row r="166" spans="1:24">
      <c r="A166" s="154" t="s">
        <v>102</v>
      </c>
      <c r="B166" s="154" t="s">
        <v>1401</v>
      </c>
      <c r="C166" s="155">
        <v>45897</v>
      </c>
      <c r="D166" s="155">
        <v>45887</v>
      </c>
      <c r="E166" s="159">
        <v>2164.2600000000002</v>
      </c>
      <c r="F166" s="159">
        <v>541.06999999999596</v>
      </c>
      <c r="G166" s="159">
        <v>541.06999999999596</v>
      </c>
      <c r="H166" s="184">
        <f t="shared" si="4"/>
        <v>45978</v>
      </c>
      <c r="I166" s="187" cm="1">
        <f t="array" ref="I166">G166*[15]!CalculateINPC(C166,H166,-1)</f>
        <v>542.90382690819592</v>
      </c>
      <c r="J166" s="187">
        <f t="shared" si="5"/>
        <v>573.97200307535491</v>
      </c>
      <c r="K166" s="187" cm="1">
        <f t="array" ref="K166">[15]!CalculateDICetip(C166,H166,1)*G166</f>
        <v>558.33808672899579</v>
      </c>
      <c r="L166" s="154">
        <v>268080</v>
      </c>
      <c r="M166" s="154" t="s">
        <v>1003</v>
      </c>
      <c r="N166" s="154" t="s">
        <v>189</v>
      </c>
      <c r="O166" s="154" t="s">
        <v>190</v>
      </c>
      <c r="P166" s="154">
        <v>27149</v>
      </c>
      <c r="Q166" s="154" t="s">
        <v>949</v>
      </c>
      <c r="R166" s="154">
        <v>4</v>
      </c>
      <c r="S166" s="154" t="s">
        <v>914</v>
      </c>
      <c r="T166" s="154" t="s">
        <v>1039</v>
      </c>
      <c r="U166" s="154" t="s">
        <v>916</v>
      </c>
      <c r="V166" s="154" t="s">
        <v>916</v>
      </c>
      <c r="W166" s="154" t="s">
        <v>130</v>
      </c>
      <c r="X166" s="154" t="s">
        <v>1040</v>
      </c>
    </row>
    <row r="167" spans="1:24">
      <c r="A167" s="154" t="s">
        <v>102</v>
      </c>
      <c r="B167" s="154" t="s">
        <v>1401</v>
      </c>
      <c r="C167" s="155">
        <v>45897</v>
      </c>
      <c r="D167" s="155">
        <v>45887</v>
      </c>
      <c r="E167" s="159">
        <v>2164.2600000000002</v>
      </c>
      <c r="F167" s="159">
        <v>541.06999999999596</v>
      </c>
      <c r="G167" s="159">
        <v>541.06999999999596</v>
      </c>
      <c r="H167" s="184">
        <f t="shared" si="4"/>
        <v>45978</v>
      </c>
      <c r="I167" s="187" cm="1">
        <f t="array" ref="I167">G167*[15]!CalculateINPC(C167,H167,-1)</f>
        <v>542.90382690819592</v>
      </c>
      <c r="J167" s="187">
        <f t="shared" si="5"/>
        <v>573.97200307535491</v>
      </c>
      <c r="K167" s="187" cm="1">
        <f t="array" ref="K167">[15]!CalculateDICetip(C167,H167,1)*G167</f>
        <v>558.33808672899579</v>
      </c>
      <c r="L167" s="154">
        <v>268080</v>
      </c>
      <c r="M167" s="154" t="s">
        <v>1003</v>
      </c>
      <c r="N167" s="154" t="s">
        <v>189</v>
      </c>
      <c r="O167" s="154" t="s">
        <v>190</v>
      </c>
      <c r="P167" s="154">
        <v>27159</v>
      </c>
      <c r="Q167" s="154" t="s">
        <v>918</v>
      </c>
      <c r="R167" s="154">
        <v>4</v>
      </c>
      <c r="S167" s="154" t="s">
        <v>914</v>
      </c>
      <c r="T167" s="154" t="s">
        <v>1039</v>
      </c>
      <c r="U167" s="154" t="s">
        <v>916</v>
      </c>
      <c r="V167" s="154" t="s">
        <v>916</v>
      </c>
      <c r="W167" s="154" t="s">
        <v>130</v>
      </c>
      <c r="X167" s="154" t="s">
        <v>1040</v>
      </c>
    </row>
    <row r="168" spans="1:24">
      <c r="A168" s="154" t="s">
        <v>102</v>
      </c>
      <c r="B168" s="154" t="s">
        <v>1401</v>
      </c>
      <c r="C168" s="155">
        <v>45958</v>
      </c>
      <c r="D168" s="155">
        <v>45958</v>
      </c>
      <c r="E168" s="159">
        <v>2290.92</v>
      </c>
      <c r="F168" s="159">
        <v>2290.92</v>
      </c>
      <c r="G168" s="159">
        <v>2290.92</v>
      </c>
      <c r="H168" s="184">
        <f t="shared" si="4"/>
        <v>45978</v>
      </c>
      <c r="I168" s="187" cm="1">
        <f t="array" ref="I168">G168*[15]!CalculateINPC(C168,H168,-1)</f>
        <v>2291.6057639927999</v>
      </c>
      <c r="J168" s="187">
        <f t="shared" si="5"/>
        <v>2324.5565184274747</v>
      </c>
      <c r="K168" s="187" cm="1">
        <f t="array" ref="K168">[15]!CalculateDICetip(C168,H168,1)*G168</f>
        <v>2308.6656037752005</v>
      </c>
      <c r="L168" s="154">
        <v>277243</v>
      </c>
      <c r="M168" s="154" t="s">
        <v>200</v>
      </c>
      <c r="N168" s="154" t="s">
        <v>114</v>
      </c>
      <c r="O168" s="154" t="s">
        <v>115</v>
      </c>
      <c r="P168" s="154">
        <v>27162</v>
      </c>
      <c r="Q168" s="154" t="s">
        <v>936</v>
      </c>
      <c r="R168" s="154">
        <v>4</v>
      </c>
      <c r="S168" s="154" t="s">
        <v>914</v>
      </c>
      <c r="T168" s="154" t="s">
        <v>1041</v>
      </c>
      <c r="U168" s="154" t="s">
        <v>924</v>
      </c>
      <c r="V168" s="154" t="s">
        <v>925</v>
      </c>
      <c r="W168" s="154" t="s">
        <v>111</v>
      </c>
      <c r="X168" s="154" t="s">
        <v>1042</v>
      </c>
    </row>
    <row r="169" spans="1:24">
      <c r="A169" s="154" t="s">
        <v>102</v>
      </c>
      <c r="B169" s="154" t="s">
        <v>1401</v>
      </c>
      <c r="C169" s="155">
        <v>45958</v>
      </c>
      <c r="D169" s="155">
        <v>45954</v>
      </c>
      <c r="E169" s="159">
        <v>219499.1</v>
      </c>
      <c r="F169" s="159">
        <v>45784.08</v>
      </c>
      <c r="G169" s="159">
        <v>45784.08</v>
      </c>
      <c r="H169" s="184">
        <f t="shared" si="4"/>
        <v>45978</v>
      </c>
      <c r="I169" s="187" cm="1">
        <f t="array" ref="I169">G169*[15]!CalculateINPC(C169,H169,-1)</f>
        <v>45797.785006507198</v>
      </c>
      <c r="J169" s="187">
        <f t="shared" si="5"/>
        <v>46456.306463868219</v>
      </c>
      <c r="K169" s="187" cm="1">
        <f t="array" ref="K169">[15]!CalculateDICetip(C169,H169,1)*G169</f>
        <v>46138.726230724809</v>
      </c>
      <c r="L169" s="154">
        <v>277267</v>
      </c>
      <c r="M169" s="154" t="s">
        <v>200</v>
      </c>
      <c r="N169" s="154" t="s">
        <v>114</v>
      </c>
      <c r="O169" s="154" t="s">
        <v>115</v>
      </c>
      <c r="P169" s="154">
        <v>27149</v>
      </c>
      <c r="Q169" s="154" t="s">
        <v>949</v>
      </c>
      <c r="R169" s="154">
        <v>4</v>
      </c>
      <c r="S169" s="154" t="s">
        <v>914</v>
      </c>
      <c r="T169" s="154" t="s">
        <v>1043</v>
      </c>
      <c r="U169" s="154" t="s">
        <v>924</v>
      </c>
      <c r="V169" s="154" t="s">
        <v>925</v>
      </c>
      <c r="W169" s="154" t="s">
        <v>111</v>
      </c>
      <c r="X169" s="154" t="s">
        <v>1044</v>
      </c>
    </row>
    <row r="170" spans="1:24">
      <c r="A170" s="154" t="s">
        <v>102</v>
      </c>
      <c r="B170" s="154" t="s">
        <v>1401</v>
      </c>
      <c r="C170" s="155">
        <v>45958</v>
      </c>
      <c r="D170" s="155">
        <v>45947</v>
      </c>
      <c r="E170" s="159">
        <v>1253.26</v>
      </c>
      <c r="F170" s="159">
        <v>524.24</v>
      </c>
      <c r="G170" s="159">
        <v>524.24</v>
      </c>
      <c r="H170" s="184">
        <f t="shared" si="4"/>
        <v>45978</v>
      </c>
      <c r="I170" s="187" cm="1">
        <f t="array" ref="I170">G170*[15]!CalculateINPC(C170,H170,-1)</f>
        <v>524.39692600160004</v>
      </c>
      <c r="J170" s="187">
        <f t="shared" si="5"/>
        <v>531.93717337157977</v>
      </c>
      <c r="K170" s="187" cm="1">
        <f t="array" ref="K170">[15]!CalculateDICetip(C170,H170,1)*G170</f>
        <v>528.30079449440007</v>
      </c>
      <c r="L170" s="154">
        <v>277215</v>
      </c>
      <c r="M170" s="154" t="s">
        <v>200</v>
      </c>
      <c r="N170" s="154" t="s">
        <v>114</v>
      </c>
      <c r="O170" s="154" t="s">
        <v>115</v>
      </c>
      <c r="P170" s="154">
        <v>27167</v>
      </c>
      <c r="Q170" s="154" t="s">
        <v>987</v>
      </c>
      <c r="R170" s="154">
        <v>4</v>
      </c>
      <c r="S170" s="154" t="s">
        <v>914</v>
      </c>
      <c r="T170" s="154" t="s">
        <v>1045</v>
      </c>
      <c r="U170" s="154" t="s">
        <v>924</v>
      </c>
      <c r="V170" s="154" t="s">
        <v>925</v>
      </c>
      <c r="W170" s="154" t="s">
        <v>111</v>
      </c>
      <c r="X170" s="154" t="s">
        <v>1046</v>
      </c>
    </row>
    <row r="171" spans="1:24">
      <c r="A171" s="154" t="s">
        <v>102</v>
      </c>
      <c r="B171" s="154" t="s">
        <v>1401</v>
      </c>
      <c r="C171" s="155">
        <v>45958</v>
      </c>
      <c r="D171" s="155">
        <v>45958</v>
      </c>
      <c r="E171" s="159">
        <v>2715.44</v>
      </c>
      <c r="F171" s="159">
        <v>1133.04</v>
      </c>
      <c r="G171" s="159">
        <v>1133.04</v>
      </c>
      <c r="H171" s="184">
        <f t="shared" si="4"/>
        <v>45978</v>
      </c>
      <c r="I171" s="187" cm="1">
        <f t="array" ref="I171">G171*[15]!CalculateINPC(C171,H171,-1)</f>
        <v>1133.3791641936</v>
      </c>
      <c r="J171" s="187">
        <f t="shared" si="5"/>
        <v>1149.6759021000585</v>
      </c>
      <c r="K171" s="187" cm="1">
        <f t="array" ref="K171">[15]!CalculateDICetip(C171,H171,1)*G171</f>
        <v>1141.8165958224001</v>
      </c>
      <c r="L171" s="154">
        <v>277237</v>
      </c>
      <c r="M171" s="154" t="s">
        <v>200</v>
      </c>
      <c r="N171" s="154" t="s">
        <v>114</v>
      </c>
      <c r="O171" s="154" t="s">
        <v>115</v>
      </c>
      <c r="P171" s="154">
        <v>27165</v>
      </c>
      <c r="Q171" s="154" t="s">
        <v>986</v>
      </c>
      <c r="R171" s="154">
        <v>4</v>
      </c>
      <c r="S171" s="154" t="s">
        <v>914</v>
      </c>
      <c r="T171" s="154" t="s">
        <v>1047</v>
      </c>
      <c r="U171" s="154" t="s">
        <v>924</v>
      </c>
      <c r="V171" s="154" t="s">
        <v>925</v>
      </c>
      <c r="W171" s="154" t="s">
        <v>111</v>
      </c>
      <c r="X171" s="154" t="s">
        <v>1048</v>
      </c>
    </row>
    <row r="172" spans="1:24">
      <c r="A172" s="154" t="s">
        <v>102</v>
      </c>
      <c r="B172" s="154" t="s">
        <v>1401</v>
      </c>
      <c r="C172" s="155">
        <v>45958</v>
      </c>
      <c r="D172" s="155">
        <v>45958</v>
      </c>
      <c r="E172" s="159">
        <v>2715.44</v>
      </c>
      <c r="F172" s="159">
        <v>1582.4</v>
      </c>
      <c r="G172" s="159">
        <v>1582.4</v>
      </c>
      <c r="H172" s="184">
        <f t="shared" si="4"/>
        <v>45978</v>
      </c>
      <c r="I172" s="187" cm="1">
        <f t="array" ref="I172">G172*[15]!CalculateINPC(C172,H172,-1)</f>
        <v>1582.8736756160001</v>
      </c>
      <c r="J172" s="187">
        <f t="shared" si="5"/>
        <v>1605.633647076125</v>
      </c>
      <c r="K172" s="187" cm="1">
        <f t="array" ref="K172">[15]!CalculateDICetip(C172,H172,1)*G172</f>
        <v>1594.6573653440003</v>
      </c>
      <c r="L172" s="154">
        <v>277237</v>
      </c>
      <c r="M172" s="154" t="s">
        <v>200</v>
      </c>
      <c r="N172" s="154" t="s">
        <v>114</v>
      </c>
      <c r="O172" s="154" t="s">
        <v>115</v>
      </c>
      <c r="P172" s="154">
        <v>27165</v>
      </c>
      <c r="Q172" s="154" t="s">
        <v>986</v>
      </c>
      <c r="R172" s="154">
        <v>4</v>
      </c>
      <c r="S172" s="154" t="s">
        <v>914</v>
      </c>
      <c r="T172" s="154" t="s">
        <v>1047</v>
      </c>
      <c r="U172" s="154" t="s">
        <v>924</v>
      </c>
      <c r="V172" s="154" t="s">
        <v>925</v>
      </c>
      <c r="W172" s="154" t="s">
        <v>111</v>
      </c>
      <c r="X172" s="154" t="s">
        <v>1048</v>
      </c>
    </row>
    <row r="173" spans="1:24">
      <c r="A173" s="154" t="s">
        <v>102</v>
      </c>
      <c r="B173" s="154" t="s">
        <v>1401</v>
      </c>
      <c r="C173" s="155">
        <v>45958</v>
      </c>
      <c r="D173" s="155">
        <v>45958</v>
      </c>
      <c r="E173" s="159">
        <v>1644.12</v>
      </c>
      <c r="F173" s="159">
        <v>1644.12</v>
      </c>
      <c r="G173" s="159">
        <v>1644.12</v>
      </c>
      <c r="H173" s="184">
        <f t="shared" si="4"/>
        <v>45978</v>
      </c>
      <c r="I173" s="187" cm="1">
        <f t="array" ref="I173">G173*[15]!CalculateINPC(C173,H173,-1)</f>
        <v>1644.6121508807998</v>
      </c>
      <c r="J173" s="187">
        <f t="shared" si="5"/>
        <v>1668.2598532803327</v>
      </c>
      <c r="K173" s="187" cm="1">
        <f t="array" ref="K173">[15]!CalculateDICetip(C173,H173,1)*G173</f>
        <v>1656.8554521672002</v>
      </c>
      <c r="L173" s="154">
        <v>277251</v>
      </c>
      <c r="M173" s="154" t="s">
        <v>200</v>
      </c>
      <c r="N173" s="154" t="s">
        <v>114</v>
      </c>
      <c r="O173" s="154" t="s">
        <v>115</v>
      </c>
      <c r="P173" s="154">
        <v>27167</v>
      </c>
      <c r="Q173" s="154" t="s">
        <v>987</v>
      </c>
      <c r="R173" s="154">
        <v>4</v>
      </c>
      <c r="S173" s="154" t="s">
        <v>914</v>
      </c>
      <c r="T173" s="154" t="s">
        <v>1049</v>
      </c>
      <c r="U173" s="154" t="s">
        <v>924</v>
      </c>
      <c r="V173" s="154" t="s">
        <v>925</v>
      </c>
      <c r="W173" s="154" t="s">
        <v>111</v>
      </c>
      <c r="X173" s="154" t="s">
        <v>1050</v>
      </c>
    </row>
    <row r="174" spans="1:24">
      <c r="A174" s="154" t="s">
        <v>102</v>
      </c>
      <c r="B174" s="154" t="s">
        <v>1401</v>
      </c>
      <c r="C174" s="155">
        <v>45958</v>
      </c>
      <c r="D174" s="155">
        <v>45947</v>
      </c>
      <c r="E174" s="159">
        <v>1253.26</v>
      </c>
      <c r="F174" s="159">
        <v>729.02</v>
      </c>
      <c r="G174" s="159">
        <v>729.02</v>
      </c>
      <c r="H174" s="184">
        <f t="shared" si="4"/>
        <v>45978</v>
      </c>
      <c r="I174" s="187" cm="1">
        <f t="array" ref="I174">G174*[15]!CalculateINPC(C174,H174,-1)</f>
        <v>729.23822484679999</v>
      </c>
      <c r="J174" s="187">
        <f t="shared" si="5"/>
        <v>739.72386336668137</v>
      </c>
      <c r="K174" s="187" cm="1">
        <f t="array" ref="K174">[15]!CalculateDICetip(C174,H174,1)*G174</f>
        <v>734.6670326612001</v>
      </c>
      <c r="L174" s="154">
        <v>277215</v>
      </c>
      <c r="M174" s="154" t="s">
        <v>200</v>
      </c>
      <c r="N174" s="154" t="s">
        <v>114</v>
      </c>
      <c r="O174" s="154" t="s">
        <v>115</v>
      </c>
      <c r="P174" s="154">
        <v>27167</v>
      </c>
      <c r="Q174" s="154" t="s">
        <v>987</v>
      </c>
      <c r="R174" s="154">
        <v>4</v>
      </c>
      <c r="S174" s="154" t="s">
        <v>914</v>
      </c>
      <c r="T174" s="154" t="s">
        <v>1045</v>
      </c>
      <c r="U174" s="154" t="s">
        <v>924</v>
      </c>
      <c r="V174" s="154" t="s">
        <v>925</v>
      </c>
      <c r="W174" s="154" t="s">
        <v>111</v>
      </c>
      <c r="X174" s="154" t="s">
        <v>1046</v>
      </c>
    </row>
    <row r="175" spans="1:24">
      <c r="A175" s="154" t="s">
        <v>102</v>
      </c>
      <c r="B175" s="154" t="s">
        <v>1401</v>
      </c>
      <c r="C175" s="155">
        <v>45958</v>
      </c>
      <c r="D175" s="155">
        <v>45954</v>
      </c>
      <c r="E175" s="159">
        <v>219499.1</v>
      </c>
      <c r="F175" s="159">
        <v>173715.02</v>
      </c>
      <c r="G175" s="159">
        <v>173715.02</v>
      </c>
      <c r="H175" s="184">
        <f t="shared" si="4"/>
        <v>45978</v>
      </c>
      <c r="I175" s="187" cm="1">
        <f t="array" ref="I175">G175*[15]!CalculateINPC(C175,H175,-1)</f>
        <v>173767.0198540868</v>
      </c>
      <c r="J175" s="187">
        <f t="shared" si="5"/>
        <v>176265.59726649517</v>
      </c>
      <c r="K175" s="187" cm="1">
        <f t="array" ref="K175">[15]!CalculateDICetip(C175,H175,1)*G175</f>
        <v>175060.62696782121</v>
      </c>
      <c r="L175" s="154">
        <v>277267</v>
      </c>
      <c r="M175" s="154" t="s">
        <v>200</v>
      </c>
      <c r="N175" s="154" t="s">
        <v>114</v>
      </c>
      <c r="O175" s="154" t="s">
        <v>115</v>
      </c>
      <c r="P175" s="154">
        <v>27149</v>
      </c>
      <c r="Q175" s="154" t="s">
        <v>949</v>
      </c>
      <c r="R175" s="154">
        <v>4</v>
      </c>
      <c r="S175" s="154" t="s">
        <v>914</v>
      </c>
      <c r="T175" s="154" t="s">
        <v>1043</v>
      </c>
      <c r="U175" s="154" t="s">
        <v>924</v>
      </c>
      <c r="V175" s="154" t="s">
        <v>925</v>
      </c>
      <c r="W175" s="154" t="s">
        <v>111</v>
      </c>
      <c r="X175" s="154" t="s">
        <v>1044</v>
      </c>
    </row>
    <row r="176" spans="1:24">
      <c r="A176" s="154" t="s">
        <v>102</v>
      </c>
      <c r="B176" s="154" t="s">
        <v>1401</v>
      </c>
      <c r="C176" s="155">
        <v>45929</v>
      </c>
      <c r="D176" s="155">
        <v>45925</v>
      </c>
      <c r="E176" s="159">
        <v>932.8</v>
      </c>
      <c r="F176" s="159">
        <v>236.68</v>
      </c>
      <c r="G176" s="159">
        <v>236.68</v>
      </c>
      <c r="H176" s="184">
        <f t="shared" si="4"/>
        <v>45978</v>
      </c>
      <c r="I176" s="187" cm="1">
        <f t="array" ref="I176">G176*[15]!CalculateINPC(C176,H176,-1)</f>
        <v>237.98205478439999</v>
      </c>
      <c r="J176" s="187">
        <f t="shared" si="5"/>
        <v>245.28473253623142</v>
      </c>
      <c r="K176" s="187" cm="1">
        <f t="array" ref="K176">[15]!CalculateDICetip(C176,H176,1)*G176</f>
        <v>241.29000570400001</v>
      </c>
      <c r="L176" s="154">
        <v>272387</v>
      </c>
      <c r="M176" s="154" t="s">
        <v>200</v>
      </c>
      <c r="N176" s="154" t="s">
        <v>119</v>
      </c>
      <c r="O176" s="154" t="s">
        <v>120</v>
      </c>
      <c r="P176" s="154">
        <v>27159</v>
      </c>
      <c r="Q176" s="154" t="s">
        <v>918</v>
      </c>
      <c r="R176" s="154">
        <v>4</v>
      </c>
      <c r="S176" s="154" t="s">
        <v>914</v>
      </c>
      <c r="T176" s="154" t="s">
        <v>958</v>
      </c>
      <c r="U176" s="154" t="s">
        <v>924</v>
      </c>
      <c r="V176" s="154" t="s">
        <v>925</v>
      </c>
      <c r="W176" s="154" t="s">
        <v>111</v>
      </c>
      <c r="X176" s="154" t="s">
        <v>959</v>
      </c>
    </row>
    <row r="177" spans="1:24">
      <c r="A177" s="154" t="s">
        <v>102</v>
      </c>
      <c r="B177" s="154" t="s">
        <v>1401</v>
      </c>
      <c r="C177" s="155">
        <v>45929</v>
      </c>
      <c r="D177" s="155">
        <v>45925</v>
      </c>
      <c r="E177" s="159">
        <v>273.39999999999998</v>
      </c>
      <c r="F177" s="159">
        <v>210.76</v>
      </c>
      <c r="G177" s="159">
        <v>210.76</v>
      </c>
      <c r="H177" s="184">
        <f t="shared" si="4"/>
        <v>45978</v>
      </c>
      <c r="I177" s="187" cm="1">
        <f t="array" ref="I177">G177*[15]!CalculateINPC(C177,H177,-1)</f>
        <v>211.91946031079999</v>
      </c>
      <c r="J177" s="187">
        <f t="shared" si="5"/>
        <v>218.42238562335697</v>
      </c>
      <c r="K177" s="187" cm="1">
        <f t="array" ref="K177">[15]!CalculateDICetip(C177,H177,1)*G177</f>
        <v>214.86514112799998</v>
      </c>
      <c r="L177" s="154">
        <v>272410</v>
      </c>
      <c r="M177" s="154" t="s">
        <v>200</v>
      </c>
      <c r="N177" s="154" t="s">
        <v>119</v>
      </c>
      <c r="O177" s="154" t="s">
        <v>120</v>
      </c>
      <c r="P177" s="154">
        <v>27162</v>
      </c>
      <c r="Q177" s="154" t="s">
        <v>936</v>
      </c>
      <c r="R177" s="154">
        <v>4</v>
      </c>
      <c r="S177" s="154" t="s">
        <v>914</v>
      </c>
      <c r="T177" s="154" t="s">
        <v>937</v>
      </c>
      <c r="U177" s="154" t="s">
        <v>924</v>
      </c>
      <c r="V177" s="154" t="s">
        <v>925</v>
      </c>
      <c r="W177" s="154" t="s">
        <v>111</v>
      </c>
      <c r="X177" s="154" t="s">
        <v>938</v>
      </c>
    </row>
    <row r="178" spans="1:24">
      <c r="A178" s="154" t="s">
        <v>102</v>
      </c>
      <c r="B178" s="154" t="s">
        <v>1401</v>
      </c>
      <c r="C178" s="155">
        <v>45959</v>
      </c>
      <c r="D178" s="155">
        <v>45947</v>
      </c>
      <c r="E178" s="159">
        <v>315.2</v>
      </c>
      <c r="F178" s="159">
        <v>315.2</v>
      </c>
      <c r="G178" s="159">
        <v>315.2</v>
      </c>
      <c r="H178" s="184">
        <f t="shared" si="4"/>
        <v>45978</v>
      </c>
      <c r="I178" s="187" cm="1">
        <f t="array" ref="I178">G178*[15]!CalculateINPC(C178,H178,-1)</f>
        <v>315.294351968</v>
      </c>
      <c r="J178" s="187">
        <f t="shared" si="5"/>
        <v>319.59493340170519</v>
      </c>
      <c r="K178" s="187" cm="1">
        <f t="array" ref="K178">[15]!CalculateDICetip(C178,H178,1)*G178</f>
        <v>317.46653700799993</v>
      </c>
      <c r="L178" s="154">
        <v>277439</v>
      </c>
      <c r="M178" s="154" t="s">
        <v>1006</v>
      </c>
      <c r="N178" s="154" t="s">
        <v>1007</v>
      </c>
      <c r="O178" s="154" t="s">
        <v>1008</v>
      </c>
      <c r="P178" s="154">
        <v>27143</v>
      </c>
      <c r="Q178" s="154" t="s">
        <v>913</v>
      </c>
      <c r="R178" s="154">
        <v>4</v>
      </c>
      <c r="S178" s="154" t="s">
        <v>914</v>
      </c>
      <c r="T178" s="154" t="s">
        <v>1051</v>
      </c>
      <c r="U178" s="154" t="s">
        <v>924</v>
      </c>
      <c r="V178" s="154" t="s">
        <v>925</v>
      </c>
      <c r="W178" s="154" t="s">
        <v>399</v>
      </c>
      <c r="X178" s="154" t="s">
        <v>1052</v>
      </c>
    </row>
    <row r="179" spans="1:24">
      <c r="A179" s="154" t="s">
        <v>102</v>
      </c>
      <c r="B179" s="154" t="s">
        <v>1401</v>
      </c>
      <c r="C179" s="155">
        <v>45959</v>
      </c>
      <c r="D179" s="155">
        <v>45952</v>
      </c>
      <c r="E179" s="159">
        <v>10000</v>
      </c>
      <c r="F179" s="159">
        <v>10000</v>
      </c>
      <c r="G179" s="159">
        <v>10000</v>
      </c>
      <c r="H179" s="184">
        <f t="shared" si="4"/>
        <v>45978</v>
      </c>
      <c r="I179" s="187" cm="1">
        <f t="array" ref="I179">G179*[15]!CalculateINPC(C179,H179,-1)</f>
        <v>10002.993399999999</v>
      </c>
      <c r="J179" s="187">
        <f t="shared" si="5"/>
        <v>10139.433166297753</v>
      </c>
      <c r="K179" s="187" cm="1">
        <f t="array" ref="K179">[15]!CalculateDICetip(C179,H179,1)*G179</f>
        <v>10071.907899999998</v>
      </c>
      <c r="L179" s="154">
        <v>277459</v>
      </c>
      <c r="M179" s="154" t="s">
        <v>1003</v>
      </c>
      <c r="N179" s="154" t="s">
        <v>126</v>
      </c>
      <c r="O179" s="154" t="s">
        <v>127</v>
      </c>
      <c r="P179" s="154">
        <v>27143</v>
      </c>
      <c r="Q179" s="154" t="s">
        <v>913</v>
      </c>
      <c r="R179" s="154">
        <v>4</v>
      </c>
      <c r="S179" s="154" t="s">
        <v>914</v>
      </c>
      <c r="T179" s="154" t="s">
        <v>1053</v>
      </c>
      <c r="U179" s="154" t="s">
        <v>924</v>
      </c>
      <c r="V179" s="154" t="s">
        <v>925</v>
      </c>
      <c r="W179" s="154" t="s">
        <v>130</v>
      </c>
      <c r="X179" s="154" t="s">
        <v>1054</v>
      </c>
    </row>
    <row r="180" spans="1:24">
      <c r="A180" s="154" t="s">
        <v>102</v>
      </c>
      <c r="B180" s="154" t="s">
        <v>1401</v>
      </c>
      <c r="C180" s="155">
        <v>45868</v>
      </c>
      <c r="D180" s="155">
        <v>45863</v>
      </c>
      <c r="E180" s="159">
        <v>18.18</v>
      </c>
      <c r="F180" s="159">
        <v>9.09</v>
      </c>
      <c r="G180" s="159">
        <v>9.09</v>
      </c>
      <c r="H180" s="184">
        <f t="shared" si="4"/>
        <v>45978</v>
      </c>
      <c r="I180" s="187" cm="1">
        <f t="array" ref="I180">G180*[15]!CalculateINPC(C180,H180,-1)</f>
        <v>9.1399584582000006</v>
      </c>
      <c r="J180" s="187">
        <f t="shared" si="5"/>
        <v>9.8487226520182904</v>
      </c>
      <c r="K180" s="187" cm="1">
        <f t="array" ref="K180">[15]!CalculateDICetip(C180,H180,1)*G180</f>
        <v>9.4893037020000008</v>
      </c>
      <c r="L180" s="154">
        <v>263283</v>
      </c>
      <c r="M180" s="154" t="s">
        <v>1055</v>
      </c>
      <c r="N180" s="154" t="s">
        <v>189</v>
      </c>
      <c r="O180" s="154" t="s">
        <v>190</v>
      </c>
      <c r="P180" s="154">
        <v>27162</v>
      </c>
      <c r="Q180" s="154" t="s">
        <v>936</v>
      </c>
      <c r="R180" s="154">
        <v>4</v>
      </c>
      <c r="S180" s="154" t="s">
        <v>914</v>
      </c>
      <c r="T180" s="154" t="s">
        <v>1056</v>
      </c>
      <c r="U180" s="154" t="s">
        <v>916</v>
      </c>
      <c r="V180" s="154" t="s">
        <v>916</v>
      </c>
      <c r="W180" s="154" t="s">
        <v>130</v>
      </c>
      <c r="X180" s="154" t="s">
        <v>1057</v>
      </c>
    </row>
    <row r="181" spans="1:24">
      <c r="A181" s="154" t="s">
        <v>102</v>
      </c>
      <c r="B181" s="154" t="s">
        <v>1401</v>
      </c>
      <c r="C181" s="155">
        <v>45868</v>
      </c>
      <c r="D181" s="155">
        <v>45863</v>
      </c>
      <c r="E181" s="159">
        <v>18.18</v>
      </c>
      <c r="F181" s="159">
        <v>9.09</v>
      </c>
      <c r="G181" s="159">
        <v>9.09</v>
      </c>
      <c r="H181" s="184">
        <f t="shared" si="4"/>
        <v>45978</v>
      </c>
      <c r="I181" s="187" cm="1">
        <f t="array" ref="I181">G181*[15]!CalculateINPC(C181,H181,-1)</f>
        <v>9.1399584582000006</v>
      </c>
      <c r="J181" s="187">
        <f t="shared" si="5"/>
        <v>9.8487226520182904</v>
      </c>
      <c r="K181" s="187" cm="1">
        <f t="array" ref="K181">[15]!CalculateDICetip(C181,H181,1)*G181</f>
        <v>9.4893037020000008</v>
      </c>
      <c r="L181" s="154">
        <v>263283</v>
      </c>
      <c r="M181" s="154" t="s">
        <v>1055</v>
      </c>
      <c r="N181" s="154" t="s">
        <v>189</v>
      </c>
      <c r="O181" s="154" t="s">
        <v>190</v>
      </c>
      <c r="P181" s="154">
        <v>27154</v>
      </c>
      <c r="Q181" s="154" t="s">
        <v>946</v>
      </c>
      <c r="R181" s="154">
        <v>4</v>
      </c>
      <c r="S181" s="154" t="s">
        <v>914</v>
      </c>
      <c r="T181" s="154" t="s">
        <v>1056</v>
      </c>
      <c r="U181" s="154" t="s">
        <v>916</v>
      </c>
      <c r="V181" s="154" t="s">
        <v>916</v>
      </c>
      <c r="W181" s="154" t="s">
        <v>130</v>
      </c>
      <c r="X181" s="154" t="s">
        <v>1057</v>
      </c>
    </row>
    <row r="182" spans="1:24">
      <c r="A182" s="154" t="s">
        <v>102</v>
      </c>
      <c r="B182" s="154" t="s">
        <v>1401</v>
      </c>
      <c r="C182" s="155">
        <v>45960</v>
      </c>
      <c r="D182" s="155">
        <v>45937</v>
      </c>
      <c r="E182" s="159">
        <v>2164.2600000000002</v>
      </c>
      <c r="F182" s="159">
        <v>541.06999999999596</v>
      </c>
      <c r="G182" s="159">
        <v>541.06999999999596</v>
      </c>
      <c r="H182" s="184">
        <f t="shared" si="4"/>
        <v>45978</v>
      </c>
      <c r="I182" s="187" cm="1">
        <f t="array" ref="I182">G182*[15]!CalculateINPC(C182,H182,-1)</f>
        <v>541.23196389379598</v>
      </c>
      <c r="J182" s="187">
        <f t="shared" si="5"/>
        <v>548.21463157074186</v>
      </c>
      <c r="K182" s="187" cm="1">
        <f t="array" ref="K182">[15]!CalculateDICetip(C182,H182,1)*G182</f>
        <v>544.66044312739598</v>
      </c>
      <c r="L182" s="154">
        <v>278097</v>
      </c>
      <c r="M182" s="154" t="s">
        <v>1003</v>
      </c>
      <c r="N182" s="154" t="s">
        <v>189</v>
      </c>
      <c r="O182" s="154" t="s">
        <v>190</v>
      </c>
      <c r="P182" s="154">
        <v>27159</v>
      </c>
      <c r="Q182" s="154" t="s">
        <v>918</v>
      </c>
      <c r="R182" s="154">
        <v>4</v>
      </c>
      <c r="S182" s="154" t="s">
        <v>914</v>
      </c>
      <c r="T182" s="154" t="s">
        <v>1058</v>
      </c>
      <c r="U182" s="154" t="s">
        <v>916</v>
      </c>
      <c r="V182" s="154" t="s">
        <v>916</v>
      </c>
      <c r="W182" s="154" t="s">
        <v>130</v>
      </c>
      <c r="X182" s="154" t="s">
        <v>1059</v>
      </c>
    </row>
    <row r="183" spans="1:24">
      <c r="A183" s="154" t="s">
        <v>102</v>
      </c>
      <c r="B183" s="154" t="s">
        <v>1401</v>
      </c>
      <c r="C183" s="155">
        <v>45960</v>
      </c>
      <c r="D183" s="155">
        <v>45937</v>
      </c>
      <c r="E183" s="159">
        <v>2164.2600000000002</v>
      </c>
      <c r="F183" s="159">
        <v>541.06000000000404</v>
      </c>
      <c r="G183" s="159">
        <v>541.06000000000404</v>
      </c>
      <c r="H183" s="184">
        <f t="shared" si="4"/>
        <v>45978</v>
      </c>
      <c r="I183" s="187" cm="1">
        <f t="array" ref="I183">G183*[15]!CalculateINPC(C183,H183,-1)</f>
        <v>541.22196090040404</v>
      </c>
      <c r="J183" s="187">
        <f t="shared" si="5"/>
        <v>548.20449952440538</v>
      </c>
      <c r="K183" s="187" cm="1">
        <f t="array" ref="K183">[15]!CalculateDICetip(C183,H183,1)*G183</f>
        <v>544.65037676920406</v>
      </c>
      <c r="L183" s="154">
        <v>278097</v>
      </c>
      <c r="M183" s="154" t="s">
        <v>1003</v>
      </c>
      <c r="N183" s="154" t="s">
        <v>189</v>
      </c>
      <c r="O183" s="154" t="s">
        <v>190</v>
      </c>
      <c r="P183" s="154">
        <v>27143</v>
      </c>
      <c r="Q183" s="154" t="s">
        <v>913</v>
      </c>
      <c r="R183" s="154">
        <v>4</v>
      </c>
      <c r="S183" s="154" t="s">
        <v>914</v>
      </c>
      <c r="T183" s="154" t="s">
        <v>1058</v>
      </c>
      <c r="U183" s="154" t="s">
        <v>916</v>
      </c>
      <c r="V183" s="154" t="s">
        <v>916</v>
      </c>
      <c r="W183" s="154" t="s">
        <v>130</v>
      </c>
      <c r="X183" s="154" t="s">
        <v>1059</v>
      </c>
    </row>
    <row r="184" spans="1:24">
      <c r="A184" s="154" t="s">
        <v>102</v>
      </c>
      <c r="B184" s="154" t="s">
        <v>1401</v>
      </c>
      <c r="C184" s="155">
        <v>45960</v>
      </c>
      <c r="D184" s="155">
        <v>45937</v>
      </c>
      <c r="E184" s="159">
        <v>2164.2600000000002</v>
      </c>
      <c r="F184" s="159">
        <v>541.06999999999596</v>
      </c>
      <c r="G184" s="159">
        <v>541.06999999999596</v>
      </c>
      <c r="H184" s="184">
        <f t="shared" si="4"/>
        <v>45978</v>
      </c>
      <c r="I184" s="187" cm="1">
        <f t="array" ref="I184">G184*[15]!CalculateINPC(C184,H184,-1)</f>
        <v>541.23196389379598</v>
      </c>
      <c r="J184" s="187">
        <f t="shared" si="5"/>
        <v>548.21463157074186</v>
      </c>
      <c r="K184" s="187" cm="1">
        <f t="array" ref="K184">[15]!CalculateDICetip(C184,H184,1)*G184</f>
        <v>544.66044312739598</v>
      </c>
      <c r="L184" s="154">
        <v>278097</v>
      </c>
      <c r="M184" s="154" t="s">
        <v>1003</v>
      </c>
      <c r="N184" s="154" t="s">
        <v>189</v>
      </c>
      <c r="O184" s="154" t="s">
        <v>190</v>
      </c>
      <c r="P184" s="154">
        <v>27149</v>
      </c>
      <c r="Q184" s="154" t="s">
        <v>949</v>
      </c>
      <c r="R184" s="154">
        <v>4</v>
      </c>
      <c r="S184" s="154" t="s">
        <v>914</v>
      </c>
      <c r="T184" s="154" t="s">
        <v>1058</v>
      </c>
      <c r="U184" s="154" t="s">
        <v>916</v>
      </c>
      <c r="V184" s="154" t="s">
        <v>916</v>
      </c>
      <c r="W184" s="154" t="s">
        <v>130</v>
      </c>
      <c r="X184" s="154" t="s">
        <v>1059</v>
      </c>
    </row>
    <row r="185" spans="1:24">
      <c r="A185" s="154" t="s">
        <v>102</v>
      </c>
      <c r="B185" s="154" t="s">
        <v>1401</v>
      </c>
      <c r="C185" s="155">
        <v>45960</v>
      </c>
      <c r="D185" s="155">
        <v>45937</v>
      </c>
      <c r="E185" s="159">
        <v>2164.2600000000002</v>
      </c>
      <c r="F185" s="159">
        <v>541.06000000000404</v>
      </c>
      <c r="G185" s="159">
        <v>541.06000000000404</v>
      </c>
      <c r="H185" s="184">
        <f t="shared" si="4"/>
        <v>45978</v>
      </c>
      <c r="I185" s="187" cm="1">
        <f t="array" ref="I185">G185*[15]!CalculateINPC(C185,H185,-1)</f>
        <v>541.22196090040404</v>
      </c>
      <c r="J185" s="187">
        <f t="shared" si="5"/>
        <v>548.20449952440538</v>
      </c>
      <c r="K185" s="187" cm="1">
        <f t="array" ref="K185">[15]!CalculateDICetip(C185,H185,1)*G185</f>
        <v>544.65037676920406</v>
      </c>
      <c r="L185" s="154">
        <v>278097</v>
      </c>
      <c r="M185" s="154" t="s">
        <v>1003</v>
      </c>
      <c r="N185" s="154" t="s">
        <v>189</v>
      </c>
      <c r="O185" s="154" t="s">
        <v>190</v>
      </c>
      <c r="P185" s="154">
        <v>27158</v>
      </c>
      <c r="Q185" s="154" t="s">
        <v>960</v>
      </c>
      <c r="R185" s="154">
        <v>4</v>
      </c>
      <c r="S185" s="154" t="s">
        <v>914</v>
      </c>
      <c r="T185" s="154" t="s">
        <v>1058</v>
      </c>
      <c r="U185" s="154" t="s">
        <v>916</v>
      </c>
      <c r="V185" s="154" t="s">
        <v>916</v>
      </c>
      <c r="W185" s="154" t="s">
        <v>130</v>
      </c>
      <c r="X185" s="154" t="s">
        <v>1059</v>
      </c>
    </row>
    <row r="186" spans="1:24">
      <c r="A186" s="154" t="s">
        <v>102</v>
      </c>
      <c r="B186" s="154" t="s">
        <v>1401</v>
      </c>
      <c r="C186" s="155">
        <v>45901</v>
      </c>
      <c r="D186" s="155">
        <v>45873</v>
      </c>
      <c r="E186" s="159">
        <v>2305.2600000000002</v>
      </c>
      <c r="F186" s="159">
        <v>1152.6300000000001</v>
      </c>
      <c r="G186" s="159">
        <v>1152.6300000000001</v>
      </c>
      <c r="H186" s="184">
        <f t="shared" si="4"/>
        <v>45978</v>
      </c>
      <c r="I186" s="187" cm="1">
        <f t="array" ref="I186">G186*[15]!CalculateINPC(C186,H186,-1)</f>
        <v>1158.9709979979</v>
      </c>
      <c r="J186" s="187">
        <f t="shared" si="5"/>
        <v>1219.1612091513907</v>
      </c>
      <c r="K186" s="187" cm="1">
        <f t="array" ref="K186">[15]!CalculateDICetip(C186,H186,1)*G186</f>
        <v>1188.1054501929</v>
      </c>
      <c r="L186" s="154">
        <v>273132</v>
      </c>
      <c r="M186" s="154" t="s">
        <v>258</v>
      </c>
      <c r="N186" s="154" t="s">
        <v>149</v>
      </c>
      <c r="O186" s="154" t="s">
        <v>150</v>
      </c>
      <c r="P186" s="154">
        <v>27237</v>
      </c>
      <c r="Q186" s="154" t="s">
        <v>1060</v>
      </c>
      <c r="R186" s="154">
        <v>4</v>
      </c>
      <c r="S186" s="154" t="s">
        <v>1061</v>
      </c>
      <c r="T186" s="154" t="s">
        <v>1062</v>
      </c>
      <c r="U186" s="154" t="s">
        <v>916</v>
      </c>
      <c r="V186" s="154" t="s">
        <v>916</v>
      </c>
      <c r="W186" s="154" t="s">
        <v>117</v>
      </c>
      <c r="X186" s="154" t="s">
        <v>1063</v>
      </c>
    </row>
    <row r="187" spans="1:24">
      <c r="A187" s="154" t="s">
        <v>102</v>
      </c>
      <c r="B187" s="154" t="s">
        <v>1401</v>
      </c>
      <c r="C187" s="155">
        <v>45901</v>
      </c>
      <c r="D187" s="155">
        <v>45870</v>
      </c>
      <c r="E187" s="159">
        <v>500.56</v>
      </c>
      <c r="F187" s="159">
        <v>77.199999999998994</v>
      </c>
      <c r="G187" s="159">
        <v>77.199999999998994</v>
      </c>
      <c r="H187" s="184">
        <f t="shared" si="4"/>
        <v>45978</v>
      </c>
      <c r="I187" s="187" cm="1">
        <f t="array" ref="I187">G187*[15]!CalculateINPC(C187,H187,-1)</f>
        <v>77.624702675998989</v>
      </c>
      <c r="J187" s="187">
        <f t="shared" si="5"/>
        <v>81.656078139980849</v>
      </c>
      <c r="K187" s="187" cm="1">
        <f t="array" ref="K187">[15]!CalculateDICetip(C187,H187,1)*G187</f>
        <v>79.576048475998959</v>
      </c>
      <c r="L187" s="154">
        <v>273129</v>
      </c>
      <c r="M187" s="154" t="s">
        <v>258</v>
      </c>
      <c r="N187" s="154" t="s">
        <v>243</v>
      </c>
      <c r="O187" s="154" t="s">
        <v>244</v>
      </c>
      <c r="P187" s="154">
        <v>27180</v>
      </c>
      <c r="Q187" s="154" t="s">
        <v>1064</v>
      </c>
      <c r="R187" s="154">
        <v>4</v>
      </c>
      <c r="S187" s="154" t="s">
        <v>1061</v>
      </c>
      <c r="T187" s="154" t="s">
        <v>915</v>
      </c>
      <c r="U187" s="154" t="s">
        <v>916</v>
      </c>
      <c r="V187" s="154" t="s">
        <v>916</v>
      </c>
      <c r="W187" s="154" t="s">
        <v>262</v>
      </c>
      <c r="X187" s="154" t="s">
        <v>1065</v>
      </c>
    </row>
    <row r="188" spans="1:24">
      <c r="A188" s="154" t="s">
        <v>102</v>
      </c>
      <c r="B188" s="154" t="s">
        <v>1401</v>
      </c>
      <c r="C188" s="155">
        <v>45901</v>
      </c>
      <c r="D188" s="155">
        <v>45873</v>
      </c>
      <c r="E188" s="159">
        <v>2305.2600000000002</v>
      </c>
      <c r="F188" s="159">
        <v>1152.6300000000001</v>
      </c>
      <c r="G188" s="159">
        <v>1152.6300000000001</v>
      </c>
      <c r="H188" s="184">
        <f t="shared" si="4"/>
        <v>45978</v>
      </c>
      <c r="I188" s="187" cm="1">
        <f t="array" ref="I188">G188*[15]!CalculateINPC(C188,H188,-1)</f>
        <v>1158.9709979979</v>
      </c>
      <c r="J188" s="187">
        <f t="shared" si="5"/>
        <v>1219.1612091513907</v>
      </c>
      <c r="K188" s="187" cm="1">
        <f t="array" ref="K188">[15]!CalculateDICetip(C188,H188,1)*G188</f>
        <v>1188.1054501929</v>
      </c>
      <c r="L188" s="154">
        <v>273132</v>
      </c>
      <c r="M188" s="154" t="s">
        <v>258</v>
      </c>
      <c r="N188" s="154" t="s">
        <v>149</v>
      </c>
      <c r="O188" s="154" t="s">
        <v>150</v>
      </c>
      <c r="P188" s="154">
        <v>27238</v>
      </c>
      <c r="Q188" s="154" t="s">
        <v>1066</v>
      </c>
      <c r="R188" s="154">
        <v>4</v>
      </c>
      <c r="S188" s="154" t="s">
        <v>1061</v>
      </c>
      <c r="T188" s="154" t="s">
        <v>1062</v>
      </c>
      <c r="U188" s="154" t="s">
        <v>916</v>
      </c>
      <c r="V188" s="154" t="s">
        <v>916</v>
      </c>
      <c r="W188" s="154" t="s">
        <v>117</v>
      </c>
      <c r="X188" s="154" t="s">
        <v>1063</v>
      </c>
    </row>
    <row r="189" spans="1:24">
      <c r="A189" s="154" t="s">
        <v>102</v>
      </c>
      <c r="B189" s="154" t="s">
        <v>1401</v>
      </c>
      <c r="C189" s="155">
        <v>45901</v>
      </c>
      <c r="D189" s="155">
        <v>45870</v>
      </c>
      <c r="E189" s="159">
        <v>500.56</v>
      </c>
      <c r="F189" s="159">
        <v>77.199999999998994</v>
      </c>
      <c r="G189" s="159">
        <v>77.199999999998994</v>
      </c>
      <c r="H189" s="184">
        <f t="shared" si="4"/>
        <v>45978</v>
      </c>
      <c r="I189" s="187" cm="1">
        <f t="array" ref="I189">G189*[15]!CalculateINPC(C189,H189,-1)</f>
        <v>77.624702675998989</v>
      </c>
      <c r="J189" s="187">
        <f t="shared" si="5"/>
        <v>81.656078139980849</v>
      </c>
      <c r="K189" s="187" cm="1">
        <f t="array" ref="K189">[15]!CalculateDICetip(C189,H189,1)*G189</f>
        <v>79.576048475998959</v>
      </c>
      <c r="L189" s="154">
        <v>273129</v>
      </c>
      <c r="M189" s="154" t="s">
        <v>258</v>
      </c>
      <c r="N189" s="154" t="s">
        <v>243</v>
      </c>
      <c r="O189" s="154" t="s">
        <v>244</v>
      </c>
      <c r="P189" s="154">
        <v>27223</v>
      </c>
      <c r="Q189" s="154" t="s">
        <v>1067</v>
      </c>
      <c r="R189" s="154">
        <v>4</v>
      </c>
      <c r="S189" s="154" t="s">
        <v>1061</v>
      </c>
      <c r="T189" s="154" t="s">
        <v>915</v>
      </c>
      <c r="U189" s="154" t="s">
        <v>916</v>
      </c>
      <c r="V189" s="154" t="s">
        <v>916</v>
      </c>
      <c r="W189" s="154" t="s">
        <v>262</v>
      </c>
      <c r="X189" s="154" t="s">
        <v>1065</v>
      </c>
    </row>
    <row r="190" spans="1:24">
      <c r="A190" s="154" t="s">
        <v>102</v>
      </c>
      <c r="B190" s="154" t="s">
        <v>1401</v>
      </c>
      <c r="C190" s="155">
        <v>45901</v>
      </c>
      <c r="D190" s="155">
        <v>45870</v>
      </c>
      <c r="E190" s="159">
        <v>500.56</v>
      </c>
      <c r="F190" s="159">
        <v>77.700000000000998</v>
      </c>
      <c r="G190" s="159">
        <v>77.700000000000998</v>
      </c>
      <c r="H190" s="184">
        <f t="shared" si="4"/>
        <v>45978</v>
      </c>
      <c r="I190" s="187" cm="1">
        <f t="array" ref="I190">G190*[15]!CalculateINPC(C190,H190,-1)</f>
        <v>78.127453341001001</v>
      </c>
      <c r="J190" s="187">
        <f t="shared" si="5"/>
        <v>82.184938749697878</v>
      </c>
      <c r="K190" s="187" cm="1">
        <f t="array" ref="K190">[15]!CalculateDICetip(C190,H190,1)*G190</f>
        <v>80.091437391001023</v>
      </c>
      <c r="L190" s="154">
        <v>273129</v>
      </c>
      <c r="M190" s="154" t="s">
        <v>258</v>
      </c>
      <c r="N190" s="154" t="s">
        <v>243</v>
      </c>
      <c r="O190" s="154" t="s">
        <v>244</v>
      </c>
      <c r="P190" s="154">
        <v>27237</v>
      </c>
      <c r="Q190" s="154" t="s">
        <v>1060</v>
      </c>
      <c r="R190" s="154">
        <v>4</v>
      </c>
      <c r="S190" s="154" t="s">
        <v>1061</v>
      </c>
      <c r="T190" s="154" t="s">
        <v>915</v>
      </c>
      <c r="U190" s="154" t="s">
        <v>916</v>
      </c>
      <c r="V190" s="154" t="s">
        <v>916</v>
      </c>
      <c r="W190" s="154" t="s">
        <v>262</v>
      </c>
      <c r="X190" s="154" t="s">
        <v>1065</v>
      </c>
    </row>
    <row r="191" spans="1:24">
      <c r="A191" s="154" t="s">
        <v>102</v>
      </c>
      <c r="B191" s="154" t="s">
        <v>1401</v>
      </c>
      <c r="C191" s="155">
        <v>45931</v>
      </c>
      <c r="D191" s="155">
        <v>45924</v>
      </c>
      <c r="E191" s="159">
        <v>50</v>
      </c>
      <c r="F191" s="159">
        <v>50</v>
      </c>
      <c r="G191" s="159">
        <v>50</v>
      </c>
      <c r="H191" s="184">
        <f t="shared" si="4"/>
        <v>45978</v>
      </c>
      <c r="I191" s="187" cm="1">
        <f t="array" ref="I191">G191*[15]!CalculateINPC(C191,H191,-1)</f>
        <v>50.014966999999999</v>
      </c>
      <c r="J191" s="187">
        <f t="shared" si="5"/>
        <v>51.742325298335032</v>
      </c>
      <c r="K191" s="187" cm="1">
        <f t="array" ref="K191">[15]!CalculateDICetip(C191,H191,1)*G191</f>
        <v>50.917731499999995</v>
      </c>
      <c r="L191" s="154">
        <v>277945</v>
      </c>
      <c r="M191" s="154" t="s">
        <v>649</v>
      </c>
      <c r="N191" s="154" t="s">
        <v>189</v>
      </c>
      <c r="O191" s="154" t="s">
        <v>190</v>
      </c>
      <c r="P191" s="154">
        <v>27237</v>
      </c>
      <c r="Q191" s="154" t="s">
        <v>1060</v>
      </c>
      <c r="R191" s="154">
        <v>4</v>
      </c>
      <c r="S191" s="154" t="s">
        <v>1061</v>
      </c>
      <c r="T191" s="154" t="s">
        <v>1068</v>
      </c>
      <c r="U191" s="154" t="s">
        <v>916</v>
      </c>
      <c r="V191" s="154" t="s">
        <v>916</v>
      </c>
      <c r="W191" s="154" t="s">
        <v>130</v>
      </c>
      <c r="X191" s="154" t="s">
        <v>1069</v>
      </c>
    </row>
    <row r="192" spans="1:24">
      <c r="A192" s="154" t="s">
        <v>102</v>
      </c>
      <c r="B192" s="154" t="s">
        <v>1401</v>
      </c>
      <c r="C192" s="155">
        <v>45932</v>
      </c>
      <c r="D192" s="155">
        <v>45925</v>
      </c>
      <c r="E192" s="159">
        <v>875.4</v>
      </c>
      <c r="F192" s="159">
        <v>656.55</v>
      </c>
      <c r="G192" s="159">
        <v>656.55</v>
      </c>
      <c r="H192" s="184">
        <f t="shared" si="4"/>
        <v>45978</v>
      </c>
      <c r="I192" s="187" cm="1">
        <f t="array" ref="I192">G192*[15]!CalculateINPC(C192,H192,-1)</f>
        <v>656.74653167699989</v>
      </c>
      <c r="J192" s="187">
        <f t="shared" si="5"/>
        <v>678.93349346109517</v>
      </c>
      <c r="K192" s="187" cm="1">
        <f t="array" ref="K192">[15]!CalculateDICetip(C192,H192,1)*G192</f>
        <v>668.23232899049992</v>
      </c>
      <c r="L192" s="154">
        <v>272417</v>
      </c>
      <c r="M192" s="154" t="s">
        <v>200</v>
      </c>
      <c r="N192" s="154" t="s">
        <v>119</v>
      </c>
      <c r="O192" s="154" t="s">
        <v>120</v>
      </c>
      <c r="P192" s="154">
        <v>27238</v>
      </c>
      <c r="Q192" s="154" t="s">
        <v>1066</v>
      </c>
      <c r="R192" s="154">
        <v>4</v>
      </c>
      <c r="S192" s="154" t="s">
        <v>1061</v>
      </c>
      <c r="T192" s="154" t="s">
        <v>1070</v>
      </c>
      <c r="U192" s="154" t="s">
        <v>1071</v>
      </c>
      <c r="V192" s="154" t="s">
        <v>1072</v>
      </c>
      <c r="W192" s="154" t="s">
        <v>111</v>
      </c>
      <c r="X192" s="154" t="s">
        <v>1073</v>
      </c>
    </row>
    <row r="193" spans="1:24">
      <c r="A193" s="154" t="s">
        <v>102</v>
      </c>
      <c r="B193" s="154" t="s">
        <v>1401</v>
      </c>
      <c r="C193" s="155">
        <v>45932</v>
      </c>
      <c r="D193" s="155">
        <v>45925</v>
      </c>
      <c r="E193" s="159">
        <v>875.4</v>
      </c>
      <c r="F193" s="159">
        <v>656.55</v>
      </c>
      <c r="G193" s="159">
        <v>656.55</v>
      </c>
      <c r="H193" s="184">
        <f t="shared" si="4"/>
        <v>45978</v>
      </c>
      <c r="I193" s="187" cm="1">
        <f t="array" ref="I193">G193*[15]!CalculateINPC(C193,H193,-1)</f>
        <v>656.74653167699989</v>
      </c>
      <c r="J193" s="187">
        <f t="shared" si="5"/>
        <v>678.93349346109517</v>
      </c>
      <c r="K193" s="187" cm="1">
        <f t="array" ref="K193">[15]!CalculateDICetip(C193,H193,1)*G193</f>
        <v>668.23232899049992</v>
      </c>
      <c r="L193" s="154">
        <v>272416</v>
      </c>
      <c r="M193" s="154" t="s">
        <v>200</v>
      </c>
      <c r="N193" s="154" t="s">
        <v>119</v>
      </c>
      <c r="O193" s="154" t="s">
        <v>120</v>
      </c>
      <c r="P193" s="154">
        <v>27237</v>
      </c>
      <c r="Q193" s="154" t="s">
        <v>1060</v>
      </c>
      <c r="R193" s="154">
        <v>4</v>
      </c>
      <c r="S193" s="154" t="s">
        <v>1061</v>
      </c>
      <c r="T193" s="154" t="s">
        <v>1074</v>
      </c>
      <c r="U193" s="154" t="s">
        <v>1071</v>
      </c>
      <c r="V193" s="154" t="s">
        <v>1072</v>
      </c>
      <c r="W193" s="154" t="s">
        <v>111</v>
      </c>
      <c r="X193" s="154" t="s">
        <v>1075</v>
      </c>
    </row>
    <row r="194" spans="1:24">
      <c r="A194" s="154" t="s">
        <v>102</v>
      </c>
      <c r="B194" s="154" t="s">
        <v>1401</v>
      </c>
      <c r="C194" s="155">
        <v>45903</v>
      </c>
      <c r="D194" s="155">
        <v>45896</v>
      </c>
      <c r="E194" s="159">
        <v>2082.96</v>
      </c>
      <c r="F194" s="159">
        <v>20.829599999999999</v>
      </c>
      <c r="G194" s="159">
        <v>20.829599999999999</v>
      </c>
      <c r="H194" s="184">
        <f t="shared" si="4"/>
        <v>45978</v>
      </c>
      <c r="I194" s="187" cm="1">
        <f t="array" ref="I194">G194*[15]!CalculateINPC(C194,H194,-1)</f>
        <v>20.944190503367999</v>
      </c>
      <c r="J194" s="187">
        <f t="shared" si="5"/>
        <v>21.99982005001451</v>
      </c>
      <c r="K194" s="187" cm="1">
        <f t="array" ref="K194">[15]!CalculateDICetip(C194,H194,1)*G194</f>
        <v>21.447035377416</v>
      </c>
      <c r="L194" s="154">
        <v>268057</v>
      </c>
      <c r="M194" s="154" t="s">
        <v>919</v>
      </c>
      <c r="N194" s="154" t="s">
        <v>920</v>
      </c>
      <c r="O194" s="154" t="s">
        <v>921</v>
      </c>
      <c r="P194" s="154">
        <v>29660</v>
      </c>
      <c r="Q194" s="154" t="s">
        <v>922</v>
      </c>
      <c r="R194" s="154">
        <v>4</v>
      </c>
      <c r="S194" s="154" t="s">
        <v>1061</v>
      </c>
      <c r="T194" s="154" t="s">
        <v>1076</v>
      </c>
      <c r="U194" s="154" t="s">
        <v>1071</v>
      </c>
      <c r="V194" s="154" t="s">
        <v>1072</v>
      </c>
      <c r="W194" s="154" t="s">
        <v>130</v>
      </c>
      <c r="X194" s="154" t="s">
        <v>1077</v>
      </c>
    </row>
    <row r="195" spans="1:24">
      <c r="A195" s="154" t="s">
        <v>102</v>
      </c>
      <c r="B195" s="154" t="s">
        <v>1401</v>
      </c>
      <c r="C195" s="155">
        <v>45903</v>
      </c>
      <c r="D195" s="155">
        <v>45897</v>
      </c>
      <c r="E195" s="159">
        <v>3941.5</v>
      </c>
      <c r="F195" s="159">
        <v>39.414999999999999</v>
      </c>
      <c r="G195" s="159">
        <v>39.414999999999999</v>
      </c>
      <c r="H195" s="184">
        <f t="shared" si="4"/>
        <v>45978</v>
      </c>
      <c r="I195" s="187" cm="1">
        <f t="array" ref="I195">G195*[15]!CalculateINPC(C195,H195,-1)</f>
        <v>39.631834921949995</v>
      </c>
      <c r="J195" s="187">
        <f t="shared" si="5"/>
        <v>41.629359530251271</v>
      </c>
      <c r="K195" s="187" cm="1">
        <f t="array" ref="K195">[15]!CalculateDICetip(C195,H195,1)*G195</f>
        <v>40.583347707149997</v>
      </c>
      <c r="L195" s="154">
        <v>267039</v>
      </c>
      <c r="M195" s="154" t="s">
        <v>927</v>
      </c>
      <c r="N195" s="154" t="s">
        <v>920</v>
      </c>
      <c r="O195" s="154" t="s">
        <v>921</v>
      </c>
      <c r="P195" s="154">
        <v>29660</v>
      </c>
      <c r="Q195" s="154" t="s">
        <v>922</v>
      </c>
      <c r="R195" s="154">
        <v>4</v>
      </c>
      <c r="S195" s="154" t="s">
        <v>1061</v>
      </c>
      <c r="T195" s="154" t="s">
        <v>928</v>
      </c>
      <c r="U195" s="154" t="s">
        <v>1071</v>
      </c>
      <c r="V195" s="154" t="s">
        <v>1072</v>
      </c>
      <c r="W195" s="154" t="s">
        <v>130</v>
      </c>
      <c r="X195" s="154" t="s">
        <v>1078</v>
      </c>
    </row>
    <row r="196" spans="1:24">
      <c r="A196" s="154" t="s">
        <v>102</v>
      </c>
      <c r="B196" s="154" t="s">
        <v>1401</v>
      </c>
      <c r="C196" s="155">
        <v>45933</v>
      </c>
      <c r="D196" s="155">
        <v>45922</v>
      </c>
      <c r="E196" s="159">
        <v>2035.62</v>
      </c>
      <c r="F196" s="159">
        <v>20.356200000000001</v>
      </c>
      <c r="G196" s="159">
        <v>20.356200000000001</v>
      </c>
      <c r="H196" s="184">
        <f t="shared" ref="H196:H259" si="6">$A$2</f>
        <v>45978</v>
      </c>
      <c r="I196" s="187" cm="1">
        <f t="array" ref="I196">G196*[15]!CalculateINPC(C196,H196,-1)</f>
        <v>20.362293424908</v>
      </c>
      <c r="J196" s="187">
        <f t="shared" ref="J196:J259" si="7">G196*1.3^((H196-C196)/360)</f>
        <v>21.034860113660876</v>
      </c>
      <c r="K196" s="187" cm="1">
        <f t="array" ref="K196">[15]!CalculateDICetip(C196,H196,1)*G196</f>
        <v>20.706992287740004</v>
      </c>
      <c r="L196" s="154">
        <v>272964</v>
      </c>
      <c r="M196" s="154" t="s">
        <v>919</v>
      </c>
      <c r="N196" s="154" t="s">
        <v>920</v>
      </c>
      <c r="O196" s="154" t="s">
        <v>921</v>
      </c>
      <c r="P196" s="154">
        <v>29660</v>
      </c>
      <c r="Q196" s="154" t="s">
        <v>922</v>
      </c>
      <c r="R196" s="154">
        <v>4</v>
      </c>
      <c r="S196" s="154" t="s">
        <v>1061</v>
      </c>
      <c r="T196" s="154" t="s">
        <v>1079</v>
      </c>
      <c r="U196" s="154" t="s">
        <v>1071</v>
      </c>
      <c r="V196" s="154" t="s">
        <v>1072</v>
      </c>
      <c r="W196" s="154" t="s">
        <v>130</v>
      </c>
      <c r="X196" s="154" t="s">
        <v>1080</v>
      </c>
    </row>
    <row r="197" spans="1:24">
      <c r="A197" s="154" t="s">
        <v>102</v>
      </c>
      <c r="B197" s="154" t="s">
        <v>1401</v>
      </c>
      <c r="C197" s="155">
        <v>45933</v>
      </c>
      <c r="D197" s="155">
        <v>45925</v>
      </c>
      <c r="E197" s="159">
        <v>3941.5</v>
      </c>
      <c r="F197" s="159">
        <v>39.414999999999999</v>
      </c>
      <c r="G197" s="159">
        <v>39.414999999999999</v>
      </c>
      <c r="H197" s="184">
        <f t="shared" si="6"/>
        <v>45978</v>
      </c>
      <c r="I197" s="187" cm="1">
        <f t="array" ref="I197">G197*[15]!CalculateINPC(C197,H197,-1)</f>
        <v>39.426798486099997</v>
      </c>
      <c r="J197" s="187">
        <f t="shared" si="7"/>
        <v>40.729065905225106</v>
      </c>
      <c r="K197" s="187" cm="1">
        <f t="array" ref="K197">[15]!CalculateDICetip(C197,H197,1)*G197</f>
        <v>40.094226870500002</v>
      </c>
      <c r="L197" s="154">
        <v>272995</v>
      </c>
      <c r="M197" s="154" t="s">
        <v>927</v>
      </c>
      <c r="N197" s="154" t="s">
        <v>920</v>
      </c>
      <c r="O197" s="154" t="s">
        <v>921</v>
      </c>
      <c r="P197" s="154">
        <v>29660</v>
      </c>
      <c r="Q197" s="154" t="s">
        <v>922</v>
      </c>
      <c r="R197" s="154">
        <v>4</v>
      </c>
      <c r="S197" s="154" t="s">
        <v>1061</v>
      </c>
      <c r="T197" s="154" t="s">
        <v>1081</v>
      </c>
      <c r="U197" s="154" t="s">
        <v>1071</v>
      </c>
      <c r="V197" s="154" t="s">
        <v>1072</v>
      </c>
      <c r="W197" s="154" t="s">
        <v>130</v>
      </c>
      <c r="X197" s="154" t="s">
        <v>1082</v>
      </c>
    </row>
    <row r="198" spans="1:24">
      <c r="A198" s="154" t="s">
        <v>102</v>
      </c>
      <c r="B198" s="154" t="s">
        <v>1401</v>
      </c>
      <c r="C198" s="155">
        <v>45966</v>
      </c>
      <c r="D198" s="155">
        <v>45925</v>
      </c>
      <c r="E198" s="159">
        <v>329.83</v>
      </c>
      <c r="F198" s="159">
        <v>25.19</v>
      </c>
      <c r="G198" s="159">
        <v>25.19</v>
      </c>
      <c r="H198" s="184">
        <f t="shared" si="6"/>
        <v>45978</v>
      </c>
      <c r="I198" s="187" cm="1">
        <f t="array" ref="I198">G198*[15]!CalculateINPC(C198,H198,-1)</f>
        <v>25.19</v>
      </c>
      <c r="J198" s="187">
        <f t="shared" si="7"/>
        <v>25.411264649428023</v>
      </c>
      <c r="K198" s="187" cm="1">
        <f t="array" ref="K198">[15]!CalculateDICetip(C198,H198,1)*G198</f>
        <v>25.301314609999999</v>
      </c>
      <c r="L198" s="154">
        <v>272414</v>
      </c>
      <c r="M198" s="154" t="s">
        <v>200</v>
      </c>
      <c r="N198" s="154" t="s">
        <v>119</v>
      </c>
      <c r="O198" s="154" t="s">
        <v>120</v>
      </c>
      <c r="P198" s="154">
        <v>27234</v>
      </c>
      <c r="Q198" s="154" t="s">
        <v>1083</v>
      </c>
      <c r="R198" s="154">
        <v>4</v>
      </c>
      <c r="S198" s="154" t="s">
        <v>1061</v>
      </c>
      <c r="T198" s="154" t="s">
        <v>1084</v>
      </c>
      <c r="U198" s="154" t="s">
        <v>1071</v>
      </c>
      <c r="V198" s="154" t="s">
        <v>1072</v>
      </c>
      <c r="W198" s="154" t="s">
        <v>111</v>
      </c>
      <c r="X198" s="154" t="s">
        <v>1085</v>
      </c>
    </row>
    <row r="199" spans="1:24">
      <c r="A199" s="154" t="s">
        <v>102</v>
      </c>
      <c r="B199" s="154" t="s">
        <v>1401</v>
      </c>
      <c r="C199" s="155">
        <v>45966</v>
      </c>
      <c r="D199" s="155">
        <v>45925</v>
      </c>
      <c r="E199" s="159">
        <v>875.4</v>
      </c>
      <c r="F199" s="159">
        <v>72.95</v>
      </c>
      <c r="G199" s="159">
        <v>72.95</v>
      </c>
      <c r="H199" s="184">
        <f t="shared" si="6"/>
        <v>45978</v>
      </c>
      <c r="I199" s="187" cm="1">
        <f t="array" ref="I199">G199*[15]!CalculateINPC(C199,H199,-1)</f>
        <v>72.95</v>
      </c>
      <c r="J199" s="187">
        <f t="shared" si="7"/>
        <v>73.590780316624617</v>
      </c>
      <c r="K199" s="187" cm="1">
        <f t="array" ref="K199">[15]!CalculateDICetip(C199,H199,1)*G199</f>
        <v>73.272366050000002</v>
      </c>
      <c r="L199" s="154">
        <v>272416</v>
      </c>
      <c r="M199" s="154" t="s">
        <v>200</v>
      </c>
      <c r="N199" s="154" t="s">
        <v>119</v>
      </c>
      <c r="O199" s="154" t="s">
        <v>120</v>
      </c>
      <c r="P199" s="154">
        <v>27237</v>
      </c>
      <c r="Q199" s="154" t="s">
        <v>1060</v>
      </c>
      <c r="R199" s="154">
        <v>4</v>
      </c>
      <c r="S199" s="154" t="s">
        <v>1061</v>
      </c>
      <c r="T199" s="154" t="s">
        <v>1074</v>
      </c>
      <c r="U199" s="154" t="s">
        <v>1071</v>
      </c>
      <c r="V199" s="154" t="s">
        <v>1072</v>
      </c>
      <c r="W199" s="154" t="s">
        <v>111</v>
      </c>
      <c r="X199" s="154" t="s">
        <v>1075</v>
      </c>
    </row>
    <row r="200" spans="1:24">
      <c r="A200" s="154" t="s">
        <v>102</v>
      </c>
      <c r="B200" s="154" t="s">
        <v>1401</v>
      </c>
      <c r="C200" s="155">
        <v>45966</v>
      </c>
      <c r="D200" s="155">
        <v>45925</v>
      </c>
      <c r="E200" s="159">
        <v>714.5</v>
      </c>
      <c r="F200" s="159">
        <v>54.56</v>
      </c>
      <c r="G200" s="159">
        <v>54.56</v>
      </c>
      <c r="H200" s="184">
        <f t="shared" si="6"/>
        <v>45978</v>
      </c>
      <c r="I200" s="187" cm="1">
        <f t="array" ref="I200">G200*[15]!CalculateINPC(C200,H200,-1)</f>
        <v>54.56</v>
      </c>
      <c r="J200" s="187">
        <f t="shared" si="7"/>
        <v>55.039245703564625</v>
      </c>
      <c r="K200" s="187" cm="1">
        <f t="array" ref="K200">[15]!CalculateDICetip(C200,H200,1)*G200</f>
        <v>54.801100640000001</v>
      </c>
      <c r="L200" s="154">
        <v>272394</v>
      </c>
      <c r="M200" s="154" t="s">
        <v>200</v>
      </c>
      <c r="N200" s="154" t="s">
        <v>119</v>
      </c>
      <c r="O200" s="154" t="s">
        <v>120</v>
      </c>
      <c r="P200" s="154">
        <v>27203</v>
      </c>
      <c r="Q200" s="154" t="s">
        <v>1086</v>
      </c>
      <c r="R200" s="154">
        <v>4</v>
      </c>
      <c r="S200" s="154" t="s">
        <v>1061</v>
      </c>
      <c r="T200" s="154" t="s">
        <v>1087</v>
      </c>
      <c r="U200" s="154" t="s">
        <v>1071</v>
      </c>
      <c r="V200" s="154" t="s">
        <v>1072</v>
      </c>
      <c r="W200" s="154" t="s">
        <v>111</v>
      </c>
      <c r="X200" s="154" t="s">
        <v>1088</v>
      </c>
    </row>
    <row r="201" spans="1:24">
      <c r="A201" s="154" t="s">
        <v>102</v>
      </c>
      <c r="B201" s="154" t="s">
        <v>1401</v>
      </c>
      <c r="C201" s="155">
        <v>45966</v>
      </c>
      <c r="D201" s="155">
        <v>45925</v>
      </c>
      <c r="E201" s="159">
        <v>714.5</v>
      </c>
      <c r="F201" s="159">
        <v>54.56</v>
      </c>
      <c r="G201" s="159">
        <v>54.56</v>
      </c>
      <c r="H201" s="184">
        <f t="shared" si="6"/>
        <v>45978</v>
      </c>
      <c r="I201" s="187" cm="1">
        <f t="array" ref="I201">G201*[15]!CalculateINPC(C201,H201,-1)</f>
        <v>54.56</v>
      </c>
      <c r="J201" s="187">
        <f t="shared" si="7"/>
        <v>55.039245703564625</v>
      </c>
      <c r="K201" s="187" cm="1">
        <f t="array" ref="K201">[15]!CalculateDICetip(C201,H201,1)*G201</f>
        <v>54.801100640000001</v>
      </c>
      <c r="L201" s="154">
        <v>272395</v>
      </c>
      <c r="M201" s="154" t="s">
        <v>200</v>
      </c>
      <c r="N201" s="154" t="s">
        <v>119</v>
      </c>
      <c r="O201" s="154" t="s">
        <v>120</v>
      </c>
      <c r="P201" s="154">
        <v>27205</v>
      </c>
      <c r="Q201" s="154" t="s">
        <v>1089</v>
      </c>
      <c r="R201" s="154">
        <v>4</v>
      </c>
      <c r="S201" s="154" t="s">
        <v>1061</v>
      </c>
      <c r="T201" s="154" t="s">
        <v>1090</v>
      </c>
      <c r="U201" s="154" t="s">
        <v>1071</v>
      </c>
      <c r="V201" s="154" t="s">
        <v>1072</v>
      </c>
      <c r="W201" s="154" t="s">
        <v>111</v>
      </c>
      <c r="X201" s="154" t="s">
        <v>1091</v>
      </c>
    </row>
    <row r="202" spans="1:24">
      <c r="A202" s="154" t="s">
        <v>102</v>
      </c>
      <c r="B202" s="154" t="s">
        <v>1401</v>
      </c>
      <c r="C202" s="155">
        <v>45966</v>
      </c>
      <c r="D202" s="155">
        <v>45925</v>
      </c>
      <c r="E202" s="159">
        <v>798.89</v>
      </c>
      <c r="F202" s="159">
        <v>61</v>
      </c>
      <c r="G202" s="159">
        <v>61</v>
      </c>
      <c r="H202" s="184">
        <f t="shared" si="6"/>
        <v>45978</v>
      </c>
      <c r="I202" s="187" cm="1">
        <f t="array" ref="I202">G202*[15]!CalculateINPC(C202,H202,-1)</f>
        <v>61</v>
      </c>
      <c r="J202" s="187">
        <f t="shared" si="7"/>
        <v>61.535813561536692</v>
      </c>
      <c r="K202" s="187" cm="1">
        <f t="array" ref="K202">[15]!CalculateDICetip(C202,H202,1)*G202</f>
        <v>61.269558999999994</v>
      </c>
      <c r="L202" s="154">
        <v>272405</v>
      </c>
      <c r="M202" s="154" t="s">
        <v>200</v>
      </c>
      <c r="N202" s="154" t="s">
        <v>119</v>
      </c>
      <c r="O202" s="154" t="s">
        <v>120</v>
      </c>
      <c r="P202" s="154">
        <v>27220</v>
      </c>
      <c r="Q202" s="154" t="s">
        <v>1092</v>
      </c>
      <c r="R202" s="154">
        <v>4</v>
      </c>
      <c r="S202" s="154" t="s">
        <v>1061</v>
      </c>
      <c r="T202" s="154" t="s">
        <v>1093</v>
      </c>
      <c r="U202" s="154" t="s">
        <v>1071</v>
      </c>
      <c r="V202" s="154" t="s">
        <v>1072</v>
      </c>
      <c r="W202" s="154" t="s">
        <v>111</v>
      </c>
      <c r="X202" s="154" t="s">
        <v>1094</v>
      </c>
    </row>
    <row r="203" spans="1:24">
      <c r="A203" s="154" t="s">
        <v>102</v>
      </c>
      <c r="B203" s="154" t="s">
        <v>1401</v>
      </c>
      <c r="C203" s="155">
        <v>45966</v>
      </c>
      <c r="D203" s="155">
        <v>45925</v>
      </c>
      <c r="E203" s="159">
        <v>714.5</v>
      </c>
      <c r="F203" s="159">
        <v>54.56</v>
      </c>
      <c r="G203" s="159">
        <v>54.56</v>
      </c>
      <c r="H203" s="184">
        <f t="shared" si="6"/>
        <v>45978</v>
      </c>
      <c r="I203" s="187" cm="1">
        <f t="array" ref="I203">G203*[15]!CalculateINPC(C203,H203,-1)</f>
        <v>54.56</v>
      </c>
      <c r="J203" s="187">
        <f t="shared" si="7"/>
        <v>55.039245703564625</v>
      </c>
      <c r="K203" s="187" cm="1">
        <f t="array" ref="K203">[15]!CalculateDICetip(C203,H203,1)*G203</f>
        <v>54.801100640000001</v>
      </c>
      <c r="L203" s="154">
        <v>272402</v>
      </c>
      <c r="M203" s="154" t="s">
        <v>200</v>
      </c>
      <c r="N203" s="154" t="s">
        <v>119</v>
      </c>
      <c r="O203" s="154" t="s">
        <v>120</v>
      </c>
      <c r="P203" s="154">
        <v>27215</v>
      </c>
      <c r="Q203" s="154" t="s">
        <v>1095</v>
      </c>
      <c r="R203" s="154">
        <v>4</v>
      </c>
      <c r="S203" s="154" t="s">
        <v>1061</v>
      </c>
      <c r="T203" s="154" t="s">
        <v>1096</v>
      </c>
      <c r="U203" s="154" t="s">
        <v>1071</v>
      </c>
      <c r="V203" s="154" t="s">
        <v>1072</v>
      </c>
      <c r="W203" s="154" t="s">
        <v>111</v>
      </c>
      <c r="X203" s="154" t="s">
        <v>1097</v>
      </c>
    </row>
    <row r="204" spans="1:24">
      <c r="A204" s="154" t="s">
        <v>102</v>
      </c>
      <c r="B204" s="154" t="s">
        <v>1401</v>
      </c>
      <c r="C204" s="155">
        <v>45966</v>
      </c>
      <c r="D204" s="155">
        <v>45925</v>
      </c>
      <c r="E204" s="159">
        <v>4169.22</v>
      </c>
      <c r="F204" s="159">
        <v>318.35000000000002</v>
      </c>
      <c r="G204" s="159">
        <v>318.35000000000002</v>
      </c>
      <c r="H204" s="184">
        <f t="shared" si="6"/>
        <v>45978</v>
      </c>
      <c r="I204" s="187" cm="1">
        <f t="array" ref="I204">G204*[15]!CalculateINPC(C204,H204,-1)</f>
        <v>318.35000000000002</v>
      </c>
      <c r="J204" s="187">
        <f t="shared" si="7"/>
        <v>321.14633192320014</v>
      </c>
      <c r="K204" s="187" cm="1">
        <f t="array" ref="K204">[15]!CalculateDICetip(C204,H204,1)*G204</f>
        <v>319.75678865000003</v>
      </c>
      <c r="L204" s="154">
        <v>272391</v>
      </c>
      <c r="M204" s="154" t="s">
        <v>200</v>
      </c>
      <c r="N204" s="154" t="s">
        <v>119</v>
      </c>
      <c r="O204" s="154" t="s">
        <v>120</v>
      </c>
      <c r="P204" s="154">
        <v>27195</v>
      </c>
      <c r="Q204" s="154" t="s">
        <v>1098</v>
      </c>
      <c r="R204" s="154">
        <v>4</v>
      </c>
      <c r="S204" s="154" t="s">
        <v>1061</v>
      </c>
      <c r="T204" s="154" t="s">
        <v>1099</v>
      </c>
      <c r="U204" s="154" t="s">
        <v>1071</v>
      </c>
      <c r="V204" s="154" t="s">
        <v>1072</v>
      </c>
      <c r="W204" s="154" t="s">
        <v>111</v>
      </c>
      <c r="X204" s="154" t="s">
        <v>1100</v>
      </c>
    </row>
    <row r="205" spans="1:24">
      <c r="A205" s="154" t="s">
        <v>102</v>
      </c>
      <c r="B205" s="154" t="s">
        <v>1401</v>
      </c>
      <c r="C205" s="155">
        <v>45966</v>
      </c>
      <c r="D205" s="155">
        <v>45925</v>
      </c>
      <c r="E205" s="159">
        <v>714.5</v>
      </c>
      <c r="F205" s="159">
        <v>54.56</v>
      </c>
      <c r="G205" s="159">
        <v>54.56</v>
      </c>
      <c r="H205" s="184">
        <f t="shared" si="6"/>
        <v>45978</v>
      </c>
      <c r="I205" s="187" cm="1">
        <f t="array" ref="I205">G205*[15]!CalculateINPC(C205,H205,-1)</f>
        <v>54.56</v>
      </c>
      <c r="J205" s="187">
        <f t="shared" si="7"/>
        <v>55.039245703564625</v>
      </c>
      <c r="K205" s="187" cm="1">
        <f t="array" ref="K205">[15]!CalculateDICetip(C205,H205,1)*G205</f>
        <v>54.801100640000001</v>
      </c>
      <c r="L205" s="154">
        <v>272401</v>
      </c>
      <c r="M205" s="154" t="s">
        <v>200</v>
      </c>
      <c r="N205" s="154" t="s">
        <v>119</v>
      </c>
      <c r="O205" s="154" t="s">
        <v>120</v>
      </c>
      <c r="P205" s="154">
        <v>27213</v>
      </c>
      <c r="Q205" s="154" t="s">
        <v>1101</v>
      </c>
      <c r="R205" s="154">
        <v>4</v>
      </c>
      <c r="S205" s="154" t="s">
        <v>1061</v>
      </c>
      <c r="T205" s="154" t="s">
        <v>1102</v>
      </c>
      <c r="U205" s="154" t="s">
        <v>1071</v>
      </c>
      <c r="V205" s="154" t="s">
        <v>1072</v>
      </c>
      <c r="W205" s="154" t="s">
        <v>111</v>
      </c>
      <c r="X205" s="154" t="s">
        <v>1103</v>
      </c>
    </row>
    <row r="206" spans="1:24">
      <c r="A206" s="154" t="s">
        <v>102</v>
      </c>
      <c r="B206" s="154" t="s">
        <v>1401</v>
      </c>
      <c r="C206" s="155">
        <v>45966</v>
      </c>
      <c r="D206" s="155">
        <v>45925</v>
      </c>
      <c r="E206" s="159">
        <v>329.83</v>
      </c>
      <c r="F206" s="159">
        <v>25.19</v>
      </c>
      <c r="G206" s="159">
        <v>25.19</v>
      </c>
      <c r="H206" s="184">
        <f t="shared" si="6"/>
        <v>45978</v>
      </c>
      <c r="I206" s="187" cm="1">
        <f t="array" ref="I206">G206*[15]!CalculateINPC(C206,H206,-1)</f>
        <v>25.19</v>
      </c>
      <c r="J206" s="187">
        <f t="shared" si="7"/>
        <v>25.411264649428023</v>
      </c>
      <c r="K206" s="187" cm="1">
        <f t="array" ref="K206">[15]!CalculateDICetip(C206,H206,1)*G206</f>
        <v>25.301314609999999</v>
      </c>
      <c r="L206" s="154">
        <v>272411</v>
      </c>
      <c r="M206" s="154" t="s">
        <v>200</v>
      </c>
      <c r="N206" s="154" t="s">
        <v>119</v>
      </c>
      <c r="O206" s="154" t="s">
        <v>120</v>
      </c>
      <c r="P206" s="154">
        <v>27233</v>
      </c>
      <c r="Q206" s="154" t="s">
        <v>1104</v>
      </c>
      <c r="R206" s="154">
        <v>4</v>
      </c>
      <c r="S206" s="154" t="s">
        <v>1061</v>
      </c>
      <c r="T206" s="154" t="s">
        <v>1105</v>
      </c>
      <c r="U206" s="154" t="s">
        <v>1071</v>
      </c>
      <c r="V206" s="154" t="s">
        <v>1072</v>
      </c>
      <c r="W206" s="154" t="s">
        <v>111</v>
      </c>
      <c r="X206" s="154" t="s">
        <v>1106</v>
      </c>
    </row>
    <row r="207" spans="1:24">
      <c r="A207" s="154" t="s">
        <v>102</v>
      </c>
      <c r="B207" s="154" t="s">
        <v>1401</v>
      </c>
      <c r="C207" s="155">
        <v>45966</v>
      </c>
      <c r="D207" s="155">
        <v>45925</v>
      </c>
      <c r="E207" s="159">
        <v>875.4</v>
      </c>
      <c r="F207" s="159">
        <v>72.95</v>
      </c>
      <c r="G207" s="159">
        <v>72.95</v>
      </c>
      <c r="H207" s="184">
        <f t="shared" si="6"/>
        <v>45978</v>
      </c>
      <c r="I207" s="187" cm="1">
        <f t="array" ref="I207">G207*[15]!CalculateINPC(C207,H207,-1)</f>
        <v>72.95</v>
      </c>
      <c r="J207" s="187">
        <f t="shared" si="7"/>
        <v>73.590780316624617</v>
      </c>
      <c r="K207" s="187" cm="1">
        <f t="array" ref="K207">[15]!CalculateDICetip(C207,H207,1)*G207</f>
        <v>73.272366050000002</v>
      </c>
      <c r="L207" s="154">
        <v>272417</v>
      </c>
      <c r="M207" s="154" t="s">
        <v>200</v>
      </c>
      <c r="N207" s="154" t="s">
        <v>119</v>
      </c>
      <c r="O207" s="154" t="s">
        <v>120</v>
      </c>
      <c r="P207" s="154">
        <v>27238</v>
      </c>
      <c r="Q207" s="154" t="s">
        <v>1066</v>
      </c>
      <c r="R207" s="154">
        <v>4</v>
      </c>
      <c r="S207" s="154" t="s">
        <v>1061</v>
      </c>
      <c r="T207" s="154" t="s">
        <v>1070</v>
      </c>
      <c r="U207" s="154" t="s">
        <v>1071</v>
      </c>
      <c r="V207" s="154" t="s">
        <v>1072</v>
      </c>
      <c r="W207" s="154" t="s">
        <v>111</v>
      </c>
      <c r="X207" s="154" t="s">
        <v>1073</v>
      </c>
    </row>
    <row r="208" spans="1:24">
      <c r="A208" s="154" t="s">
        <v>102</v>
      </c>
      <c r="B208" s="154" t="s">
        <v>1401</v>
      </c>
      <c r="C208" s="155">
        <v>45966</v>
      </c>
      <c r="D208" s="155">
        <v>45925</v>
      </c>
      <c r="E208" s="159">
        <v>714.5</v>
      </c>
      <c r="F208" s="159">
        <v>54.56</v>
      </c>
      <c r="G208" s="159">
        <v>54.56</v>
      </c>
      <c r="H208" s="184">
        <f t="shared" si="6"/>
        <v>45978</v>
      </c>
      <c r="I208" s="187" cm="1">
        <f t="array" ref="I208">G208*[15]!CalculateINPC(C208,H208,-1)</f>
        <v>54.56</v>
      </c>
      <c r="J208" s="187">
        <f t="shared" si="7"/>
        <v>55.039245703564625</v>
      </c>
      <c r="K208" s="187" cm="1">
        <f t="array" ref="K208">[15]!CalculateDICetip(C208,H208,1)*G208</f>
        <v>54.801100640000001</v>
      </c>
      <c r="L208" s="154">
        <v>272400</v>
      </c>
      <c r="M208" s="154" t="s">
        <v>200</v>
      </c>
      <c r="N208" s="154" t="s">
        <v>119</v>
      </c>
      <c r="O208" s="154" t="s">
        <v>120</v>
      </c>
      <c r="P208" s="154">
        <v>27211</v>
      </c>
      <c r="Q208" s="154" t="s">
        <v>1107</v>
      </c>
      <c r="R208" s="154">
        <v>4</v>
      </c>
      <c r="S208" s="154" t="s">
        <v>1061</v>
      </c>
      <c r="T208" s="154" t="s">
        <v>1108</v>
      </c>
      <c r="U208" s="154" t="s">
        <v>1071</v>
      </c>
      <c r="V208" s="154" t="s">
        <v>1072</v>
      </c>
      <c r="W208" s="154" t="s">
        <v>111</v>
      </c>
      <c r="X208" s="154" t="s">
        <v>1109</v>
      </c>
    </row>
    <row r="209" spans="1:24">
      <c r="A209" s="154" t="s">
        <v>102</v>
      </c>
      <c r="B209" s="154" t="s">
        <v>1401</v>
      </c>
      <c r="C209" s="155">
        <v>45966</v>
      </c>
      <c r="D209" s="155">
        <v>45925</v>
      </c>
      <c r="E209" s="159">
        <v>714.5</v>
      </c>
      <c r="F209" s="159">
        <v>54.56</v>
      </c>
      <c r="G209" s="159">
        <v>54.56</v>
      </c>
      <c r="H209" s="184">
        <f t="shared" si="6"/>
        <v>45978</v>
      </c>
      <c r="I209" s="187" cm="1">
        <f t="array" ref="I209">G209*[15]!CalculateINPC(C209,H209,-1)</f>
        <v>54.56</v>
      </c>
      <c r="J209" s="187">
        <f t="shared" si="7"/>
        <v>55.039245703564625</v>
      </c>
      <c r="K209" s="187" cm="1">
        <f t="array" ref="K209">[15]!CalculateDICetip(C209,H209,1)*G209</f>
        <v>54.801100640000001</v>
      </c>
      <c r="L209" s="154">
        <v>272399</v>
      </c>
      <c r="M209" s="154" t="s">
        <v>200</v>
      </c>
      <c r="N209" s="154" t="s">
        <v>119</v>
      </c>
      <c r="O209" s="154" t="s">
        <v>120</v>
      </c>
      <c r="P209" s="154">
        <v>27209</v>
      </c>
      <c r="Q209" s="154" t="s">
        <v>1110</v>
      </c>
      <c r="R209" s="154">
        <v>4</v>
      </c>
      <c r="S209" s="154" t="s">
        <v>1061</v>
      </c>
      <c r="T209" s="154" t="s">
        <v>1111</v>
      </c>
      <c r="U209" s="154" t="s">
        <v>1071</v>
      </c>
      <c r="V209" s="154" t="s">
        <v>1072</v>
      </c>
      <c r="W209" s="154" t="s">
        <v>111</v>
      </c>
      <c r="X209" s="154" t="s">
        <v>1112</v>
      </c>
    </row>
    <row r="210" spans="1:24">
      <c r="A210" s="154" t="s">
        <v>102</v>
      </c>
      <c r="B210" s="154" t="s">
        <v>1401</v>
      </c>
      <c r="C210" s="155">
        <v>45966</v>
      </c>
      <c r="D210" s="155">
        <v>45925</v>
      </c>
      <c r="E210" s="159">
        <v>801.17</v>
      </c>
      <c r="F210" s="159">
        <v>61.18</v>
      </c>
      <c r="G210" s="159">
        <v>61.18</v>
      </c>
      <c r="H210" s="184">
        <f t="shared" si="6"/>
        <v>45978</v>
      </c>
      <c r="I210" s="187" cm="1">
        <f t="array" ref="I210">G210*[15]!CalculateINPC(C210,H210,-1)</f>
        <v>61.18</v>
      </c>
      <c r="J210" s="187">
        <f t="shared" si="7"/>
        <v>61.717394650734668</v>
      </c>
      <c r="K210" s="187" cm="1">
        <f t="array" ref="K210">[15]!CalculateDICetip(C210,H210,1)*G210</f>
        <v>61.450354419999996</v>
      </c>
      <c r="L210" s="154">
        <v>272403</v>
      </c>
      <c r="M210" s="154" t="s">
        <v>200</v>
      </c>
      <c r="N210" s="154" t="s">
        <v>119</v>
      </c>
      <c r="O210" s="154" t="s">
        <v>120</v>
      </c>
      <c r="P210" s="154">
        <v>27218</v>
      </c>
      <c r="Q210" s="154" t="s">
        <v>1113</v>
      </c>
      <c r="R210" s="154">
        <v>4</v>
      </c>
      <c r="S210" s="154" t="s">
        <v>1061</v>
      </c>
      <c r="T210" s="154" t="s">
        <v>1114</v>
      </c>
      <c r="U210" s="154" t="s">
        <v>1071</v>
      </c>
      <c r="V210" s="154" t="s">
        <v>1072</v>
      </c>
      <c r="W210" s="154" t="s">
        <v>111</v>
      </c>
      <c r="X210" s="154" t="s">
        <v>1115</v>
      </c>
    </row>
    <row r="211" spans="1:24">
      <c r="A211" s="154" t="s">
        <v>102</v>
      </c>
      <c r="B211" s="154" t="s">
        <v>1401</v>
      </c>
      <c r="C211" s="155">
        <v>45966</v>
      </c>
      <c r="D211" s="155">
        <v>45954</v>
      </c>
      <c r="E211" s="159">
        <v>2088.08</v>
      </c>
      <c r="F211" s="159">
        <v>20.880800000000001</v>
      </c>
      <c r="G211" s="159">
        <v>20.880800000000001</v>
      </c>
      <c r="H211" s="184">
        <f t="shared" si="6"/>
        <v>45978</v>
      </c>
      <c r="I211" s="187" cm="1">
        <f t="array" ref="I211">G211*[15]!CalculateINPC(C211,H211,-1)</f>
        <v>20.880800000000001</v>
      </c>
      <c r="J211" s="187">
        <f t="shared" si="7"/>
        <v>21.064213374028451</v>
      </c>
      <c r="K211" s="187" cm="1">
        <f t="array" ref="K211">[15]!CalculateDICetip(C211,H211,1)*G211</f>
        <v>20.973072255199998</v>
      </c>
      <c r="L211" s="154">
        <v>277007</v>
      </c>
      <c r="M211" s="154" t="s">
        <v>919</v>
      </c>
      <c r="N211" s="154" t="s">
        <v>920</v>
      </c>
      <c r="O211" s="154" t="s">
        <v>921</v>
      </c>
      <c r="P211" s="154">
        <v>29660</v>
      </c>
      <c r="Q211" s="154" t="s">
        <v>922</v>
      </c>
      <c r="R211" s="154">
        <v>4</v>
      </c>
      <c r="S211" s="154" t="s">
        <v>1061</v>
      </c>
      <c r="T211" s="154" t="s">
        <v>1116</v>
      </c>
      <c r="U211" s="154" t="s">
        <v>1071</v>
      </c>
      <c r="V211" s="154" t="s">
        <v>1072</v>
      </c>
      <c r="W211" s="154" t="s">
        <v>130</v>
      </c>
      <c r="X211" s="154" t="s">
        <v>1117</v>
      </c>
    </row>
    <row r="212" spans="1:24">
      <c r="A212" s="154" t="s">
        <v>102</v>
      </c>
      <c r="B212" s="154" t="s">
        <v>1401</v>
      </c>
      <c r="C212" s="155">
        <v>45966</v>
      </c>
      <c r="D212" s="155">
        <v>45925</v>
      </c>
      <c r="E212" s="159">
        <v>32988.879999999997</v>
      </c>
      <c r="F212" s="159">
        <v>2518.91</v>
      </c>
      <c r="G212" s="159">
        <v>2518.91</v>
      </c>
      <c r="H212" s="184">
        <f t="shared" si="6"/>
        <v>45978</v>
      </c>
      <c r="I212" s="187" cm="1">
        <f t="array" ref="I212">G212*[15]!CalculateINPC(C212,H212,-1)</f>
        <v>2518.91</v>
      </c>
      <c r="J212" s="187">
        <f t="shared" si="7"/>
        <v>2541.0356743982029</v>
      </c>
      <c r="K212" s="187" cm="1">
        <f t="array" ref="K212">[15]!CalculateDICetip(C212,H212,1)*G212</f>
        <v>2530.0410632899998</v>
      </c>
      <c r="L212" s="154">
        <v>272388</v>
      </c>
      <c r="M212" s="154" t="s">
        <v>200</v>
      </c>
      <c r="N212" s="154" t="s">
        <v>119</v>
      </c>
      <c r="O212" s="154" t="s">
        <v>120</v>
      </c>
      <c r="P212" s="154">
        <v>27180</v>
      </c>
      <c r="Q212" s="154" t="s">
        <v>1064</v>
      </c>
      <c r="R212" s="154">
        <v>4</v>
      </c>
      <c r="S212" s="154" t="s">
        <v>1061</v>
      </c>
      <c r="T212" s="154" t="s">
        <v>1118</v>
      </c>
      <c r="U212" s="154" t="s">
        <v>1071</v>
      </c>
      <c r="V212" s="154" t="s">
        <v>1072</v>
      </c>
      <c r="W212" s="154" t="s">
        <v>111</v>
      </c>
      <c r="X212" s="154" t="s">
        <v>1119</v>
      </c>
    </row>
    <row r="213" spans="1:24">
      <c r="A213" s="154" t="s">
        <v>102</v>
      </c>
      <c r="B213" s="154" t="s">
        <v>1401</v>
      </c>
      <c r="C213" s="155">
        <v>45966</v>
      </c>
      <c r="D213" s="155">
        <v>45925</v>
      </c>
      <c r="E213" s="159">
        <v>714.5</v>
      </c>
      <c r="F213" s="159">
        <v>54.56</v>
      </c>
      <c r="G213" s="159">
        <v>54.56</v>
      </c>
      <c r="H213" s="184">
        <f t="shared" si="6"/>
        <v>45978</v>
      </c>
      <c r="I213" s="187" cm="1">
        <f t="array" ref="I213">G213*[15]!CalculateINPC(C213,H213,-1)</f>
        <v>54.56</v>
      </c>
      <c r="J213" s="187">
        <f t="shared" si="7"/>
        <v>55.039245703564625</v>
      </c>
      <c r="K213" s="187" cm="1">
        <f t="array" ref="K213">[15]!CalculateDICetip(C213,H213,1)*G213</f>
        <v>54.801100640000001</v>
      </c>
      <c r="L213" s="154">
        <v>272392</v>
      </c>
      <c r="M213" s="154" t="s">
        <v>200</v>
      </c>
      <c r="N213" s="154" t="s">
        <v>119</v>
      </c>
      <c r="O213" s="154" t="s">
        <v>120</v>
      </c>
      <c r="P213" s="154">
        <v>27201</v>
      </c>
      <c r="Q213" s="154" t="s">
        <v>1120</v>
      </c>
      <c r="R213" s="154">
        <v>4</v>
      </c>
      <c r="S213" s="154" t="s">
        <v>1061</v>
      </c>
      <c r="T213" s="154" t="s">
        <v>1121</v>
      </c>
      <c r="U213" s="154" t="s">
        <v>1071</v>
      </c>
      <c r="V213" s="154" t="s">
        <v>1072</v>
      </c>
      <c r="W213" s="154" t="s">
        <v>111</v>
      </c>
      <c r="X213" s="154" t="s">
        <v>1122</v>
      </c>
    </row>
    <row r="214" spans="1:24">
      <c r="A214" s="154" t="s">
        <v>102</v>
      </c>
      <c r="B214" s="154" t="s">
        <v>1401</v>
      </c>
      <c r="C214" s="155">
        <v>45966</v>
      </c>
      <c r="D214" s="155">
        <v>45925</v>
      </c>
      <c r="E214" s="159">
        <v>4222.66</v>
      </c>
      <c r="F214" s="159">
        <v>322.43</v>
      </c>
      <c r="G214" s="159">
        <v>322.43</v>
      </c>
      <c r="H214" s="184">
        <f t="shared" si="6"/>
        <v>45978</v>
      </c>
      <c r="I214" s="187" cm="1">
        <f t="array" ref="I214">G214*[15]!CalculateINPC(C214,H214,-1)</f>
        <v>322.43</v>
      </c>
      <c r="J214" s="187">
        <f t="shared" si="7"/>
        <v>325.26216994502096</v>
      </c>
      <c r="K214" s="187" cm="1">
        <f t="array" ref="K214">[15]!CalculateDICetip(C214,H214,1)*G214</f>
        <v>323.85481816999999</v>
      </c>
      <c r="L214" s="154">
        <v>272389</v>
      </c>
      <c r="M214" s="154" t="s">
        <v>200</v>
      </c>
      <c r="N214" s="154" t="s">
        <v>119</v>
      </c>
      <c r="O214" s="154" t="s">
        <v>120</v>
      </c>
      <c r="P214" s="154">
        <v>27193</v>
      </c>
      <c r="Q214" s="154" t="s">
        <v>1123</v>
      </c>
      <c r="R214" s="154">
        <v>4</v>
      </c>
      <c r="S214" s="154" t="s">
        <v>1061</v>
      </c>
      <c r="T214" s="154" t="s">
        <v>1124</v>
      </c>
      <c r="U214" s="154" t="s">
        <v>1071</v>
      </c>
      <c r="V214" s="154" t="s">
        <v>1072</v>
      </c>
      <c r="W214" s="154" t="s">
        <v>111</v>
      </c>
      <c r="X214" s="154" t="s">
        <v>1125</v>
      </c>
    </row>
    <row r="215" spans="1:24">
      <c r="A215" s="154" t="s">
        <v>102</v>
      </c>
      <c r="B215" s="154" t="s">
        <v>1401</v>
      </c>
      <c r="C215" s="155">
        <v>45966</v>
      </c>
      <c r="D215" s="155">
        <v>45925</v>
      </c>
      <c r="E215" s="159">
        <v>714.36</v>
      </c>
      <c r="F215" s="159">
        <v>54.55</v>
      </c>
      <c r="G215" s="159">
        <v>54.55</v>
      </c>
      <c r="H215" s="184">
        <f t="shared" si="6"/>
        <v>45978</v>
      </c>
      <c r="I215" s="187" cm="1">
        <f t="array" ref="I215">G215*[15]!CalculateINPC(C215,H215,-1)</f>
        <v>54.55</v>
      </c>
      <c r="J215" s="187">
        <f t="shared" si="7"/>
        <v>55.029157865275842</v>
      </c>
      <c r="K215" s="187" cm="1">
        <f t="array" ref="K215">[15]!CalculateDICetip(C215,H215,1)*G215</f>
        <v>54.791056449999992</v>
      </c>
      <c r="L215" s="154">
        <v>272406</v>
      </c>
      <c r="M215" s="154" t="s">
        <v>200</v>
      </c>
      <c r="N215" s="154" t="s">
        <v>119</v>
      </c>
      <c r="O215" s="154" t="s">
        <v>120</v>
      </c>
      <c r="P215" s="154">
        <v>27228</v>
      </c>
      <c r="Q215" s="154" t="s">
        <v>1126</v>
      </c>
      <c r="R215" s="154">
        <v>4</v>
      </c>
      <c r="S215" s="154" t="s">
        <v>1061</v>
      </c>
      <c r="T215" s="154" t="s">
        <v>1127</v>
      </c>
      <c r="U215" s="154" t="s">
        <v>1071</v>
      </c>
      <c r="V215" s="154" t="s">
        <v>1072</v>
      </c>
      <c r="W215" s="154" t="s">
        <v>111</v>
      </c>
      <c r="X215" s="154" t="s">
        <v>1128</v>
      </c>
    </row>
    <row r="216" spans="1:24">
      <c r="A216" s="154" t="s">
        <v>102</v>
      </c>
      <c r="B216" s="154" t="s">
        <v>1401</v>
      </c>
      <c r="C216" s="155">
        <v>45966</v>
      </c>
      <c r="D216" s="155">
        <v>45954</v>
      </c>
      <c r="E216" s="159">
        <v>3941.5</v>
      </c>
      <c r="F216" s="159">
        <v>39.414999999999999</v>
      </c>
      <c r="G216" s="159">
        <v>39.414999999999999</v>
      </c>
      <c r="H216" s="184">
        <f t="shared" si="6"/>
        <v>45978</v>
      </c>
      <c r="I216" s="187" cm="1">
        <f t="array" ref="I216">G216*[15]!CalculateINPC(C216,H216,-1)</f>
        <v>39.414999999999999</v>
      </c>
      <c r="J216" s="187">
        <f t="shared" si="7"/>
        <v>39.761214615212602</v>
      </c>
      <c r="K216" s="187" cm="1">
        <f t="array" ref="K216">[15]!CalculateDICetip(C216,H216,1)*G216</f>
        <v>39.589174884999998</v>
      </c>
      <c r="L216" s="154">
        <v>276926</v>
      </c>
      <c r="M216" s="154" t="s">
        <v>927</v>
      </c>
      <c r="N216" s="154" t="s">
        <v>920</v>
      </c>
      <c r="O216" s="154" t="s">
        <v>921</v>
      </c>
      <c r="P216" s="154">
        <v>29660</v>
      </c>
      <c r="Q216" s="154" t="s">
        <v>922</v>
      </c>
      <c r="R216" s="154">
        <v>4</v>
      </c>
      <c r="S216" s="154" t="s">
        <v>1061</v>
      </c>
      <c r="T216" s="154" t="s">
        <v>934</v>
      </c>
      <c r="U216" s="154" t="s">
        <v>1071</v>
      </c>
      <c r="V216" s="154" t="s">
        <v>1072</v>
      </c>
      <c r="W216" s="154" t="s">
        <v>130</v>
      </c>
      <c r="X216" s="154" t="s">
        <v>1129</v>
      </c>
    </row>
    <row r="217" spans="1:24">
      <c r="A217" s="154" t="s">
        <v>102</v>
      </c>
      <c r="B217" s="154" t="s">
        <v>1401</v>
      </c>
      <c r="C217" s="155">
        <v>45936</v>
      </c>
      <c r="D217" s="155">
        <v>45925</v>
      </c>
      <c r="E217" s="159">
        <v>875.4</v>
      </c>
      <c r="F217" s="159">
        <v>72.95</v>
      </c>
      <c r="G217" s="159">
        <v>72.95</v>
      </c>
      <c r="H217" s="184">
        <f t="shared" si="6"/>
        <v>45978</v>
      </c>
      <c r="I217" s="187" cm="1">
        <f t="array" ref="I217">G217*[15]!CalculateINPC(C217,H217,-1)</f>
        <v>72.971836852999999</v>
      </c>
      <c r="J217" s="187">
        <f t="shared" si="7"/>
        <v>75.217464084279086</v>
      </c>
      <c r="K217" s="187" cm="1">
        <f t="array" ref="K217">[15]!CalculateDICetip(C217,H217,1)*G217</f>
        <v>74.166236990000002</v>
      </c>
      <c r="L217" s="154">
        <v>272416</v>
      </c>
      <c r="M217" s="154" t="s">
        <v>200</v>
      </c>
      <c r="N217" s="154" t="s">
        <v>119</v>
      </c>
      <c r="O217" s="154" t="s">
        <v>120</v>
      </c>
      <c r="P217" s="154">
        <v>27237</v>
      </c>
      <c r="Q217" s="154" t="s">
        <v>1060</v>
      </c>
      <c r="R217" s="154">
        <v>4</v>
      </c>
      <c r="S217" s="154" t="s">
        <v>1061</v>
      </c>
      <c r="T217" s="154" t="s">
        <v>1074</v>
      </c>
      <c r="U217" s="154" t="s">
        <v>1071</v>
      </c>
      <c r="V217" s="154" t="s">
        <v>1072</v>
      </c>
      <c r="W217" s="154" t="s">
        <v>111</v>
      </c>
      <c r="X217" s="154" t="s">
        <v>1075</v>
      </c>
    </row>
    <row r="218" spans="1:24">
      <c r="A218" s="154" t="s">
        <v>786</v>
      </c>
      <c r="B218" s="154" t="s">
        <v>1401</v>
      </c>
      <c r="C218" s="155">
        <v>45936</v>
      </c>
      <c r="D218" s="155">
        <v>45925</v>
      </c>
      <c r="E218" s="159">
        <v>875.4</v>
      </c>
      <c r="F218" s="159">
        <v>-72.95</v>
      </c>
      <c r="G218" s="159">
        <v>-72.95</v>
      </c>
      <c r="H218" s="184">
        <f t="shared" si="6"/>
        <v>45978</v>
      </c>
      <c r="I218" s="187" cm="1">
        <f t="array" ref="I218">G218*[15]!CalculateINPC(C218,H218,-1)</f>
        <v>-72.971836852999999</v>
      </c>
      <c r="J218" s="187">
        <f t="shared" si="7"/>
        <v>-75.217464084279086</v>
      </c>
      <c r="K218" s="187" cm="1">
        <f t="array" ref="K218">[15]!CalculateDICetip(C218,H218,1)*G218</f>
        <v>-74.166236990000002</v>
      </c>
      <c r="L218" s="154">
        <v>272416</v>
      </c>
      <c r="M218" s="154" t="s">
        <v>200</v>
      </c>
      <c r="N218" s="154" t="s">
        <v>119</v>
      </c>
      <c r="O218" s="154" t="s">
        <v>120</v>
      </c>
      <c r="P218" s="154">
        <v>27237</v>
      </c>
      <c r="Q218" s="154" t="s">
        <v>1060</v>
      </c>
      <c r="R218" s="154">
        <v>4</v>
      </c>
      <c r="S218" s="154" t="s">
        <v>1061</v>
      </c>
      <c r="T218" s="154" t="s">
        <v>1074</v>
      </c>
      <c r="U218" s="154" t="s">
        <v>1071</v>
      </c>
      <c r="V218" s="154" t="s">
        <v>1072</v>
      </c>
      <c r="W218" s="154" t="s">
        <v>111</v>
      </c>
      <c r="X218" s="154" t="s">
        <v>1075</v>
      </c>
    </row>
    <row r="219" spans="1:24">
      <c r="A219" s="154" t="s">
        <v>102</v>
      </c>
      <c r="B219" s="154" t="s">
        <v>1401</v>
      </c>
      <c r="C219" s="155">
        <v>45936</v>
      </c>
      <c r="D219" s="155">
        <v>45924</v>
      </c>
      <c r="E219" s="159">
        <v>74.209999999999994</v>
      </c>
      <c r="F219" s="159">
        <v>74.209999999999994</v>
      </c>
      <c r="G219" s="159">
        <v>74.209999999999994</v>
      </c>
      <c r="H219" s="184">
        <f t="shared" si="6"/>
        <v>45978</v>
      </c>
      <c r="I219" s="187" cm="1">
        <f t="array" ref="I219">G219*[15]!CalculateINPC(C219,H219,-1)</f>
        <v>74.232214021399997</v>
      </c>
      <c r="J219" s="187">
        <f t="shared" si="7"/>
        <v>76.516627960169302</v>
      </c>
      <c r="K219" s="187" cm="1">
        <f t="array" ref="K219">[15]!CalculateDICetip(C219,H219,1)*G219</f>
        <v>75.447243961999988</v>
      </c>
      <c r="L219" s="154">
        <v>277947</v>
      </c>
      <c r="M219" s="154" t="s">
        <v>649</v>
      </c>
      <c r="N219" s="154" t="s">
        <v>243</v>
      </c>
      <c r="O219" s="154" t="s">
        <v>244</v>
      </c>
      <c r="P219" s="154">
        <v>27237</v>
      </c>
      <c r="Q219" s="154" t="s">
        <v>1060</v>
      </c>
      <c r="R219" s="154">
        <v>4</v>
      </c>
      <c r="S219" s="154" t="s">
        <v>1061</v>
      </c>
      <c r="T219" s="154" t="s">
        <v>1130</v>
      </c>
      <c r="U219" s="154" t="s">
        <v>916</v>
      </c>
      <c r="V219" s="154" t="s">
        <v>916</v>
      </c>
      <c r="W219" s="154" t="s">
        <v>240</v>
      </c>
      <c r="X219" s="154" t="s">
        <v>1131</v>
      </c>
    </row>
    <row r="220" spans="1:24">
      <c r="A220" s="154" t="s">
        <v>102</v>
      </c>
      <c r="B220" s="154" t="s">
        <v>1401</v>
      </c>
      <c r="C220" s="155">
        <v>45936</v>
      </c>
      <c r="D220" s="155">
        <v>45925</v>
      </c>
      <c r="E220" s="159">
        <v>875.4</v>
      </c>
      <c r="F220" s="159">
        <v>72.95</v>
      </c>
      <c r="G220" s="159">
        <v>72.95</v>
      </c>
      <c r="H220" s="184">
        <f t="shared" si="6"/>
        <v>45978</v>
      </c>
      <c r="I220" s="187" cm="1">
        <f t="array" ref="I220">G220*[15]!CalculateINPC(C220,H220,-1)</f>
        <v>72.971836852999999</v>
      </c>
      <c r="J220" s="187">
        <f t="shared" si="7"/>
        <v>75.217464084279086</v>
      </c>
      <c r="K220" s="187" cm="1">
        <f t="array" ref="K220">[15]!CalculateDICetip(C220,H220,1)*G220</f>
        <v>74.166236990000002</v>
      </c>
      <c r="L220" s="154">
        <v>272416</v>
      </c>
      <c r="M220" s="154" t="s">
        <v>200</v>
      </c>
      <c r="N220" s="154" t="s">
        <v>119</v>
      </c>
      <c r="O220" s="154" t="s">
        <v>120</v>
      </c>
      <c r="P220" s="154">
        <v>27237</v>
      </c>
      <c r="Q220" s="154" t="s">
        <v>1060</v>
      </c>
      <c r="R220" s="154">
        <v>4</v>
      </c>
      <c r="S220" s="154" t="s">
        <v>1061</v>
      </c>
      <c r="T220" s="154" t="s">
        <v>1074</v>
      </c>
      <c r="U220" s="154" t="s">
        <v>1071</v>
      </c>
      <c r="V220" s="154" t="s">
        <v>1072</v>
      </c>
      <c r="W220" s="154" t="s">
        <v>111</v>
      </c>
      <c r="X220" s="154" t="s">
        <v>1075</v>
      </c>
    </row>
    <row r="221" spans="1:24">
      <c r="A221" s="154" t="s">
        <v>102</v>
      </c>
      <c r="B221" s="154" t="s">
        <v>1401</v>
      </c>
      <c r="C221" s="155">
        <v>45967</v>
      </c>
      <c r="D221" s="155">
        <v>45967</v>
      </c>
      <c r="E221" s="159">
        <v>4101.76</v>
      </c>
      <c r="F221" s="159">
        <v>2050.88</v>
      </c>
      <c r="G221" s="159">
        <v>2050.88</v>
      </c>
      <c r="H221" s="184">
        <f t="shared" si="6"/>
        <v>45978</v>
      </c>
      <c r="I221" s="187" cm="1">
        <f t="array" ref="I221">G221*[15]!CalculateINPC(C221,H221,-1)</f>
        <v>2050.88</v>
      </c>
      <c r="J221" s="187">
        <f t="shared" si="7"/>
        <v>2067.3873393642898</v>
      </c>
      <c r="K221" s="187" cm="1">
        <f t="array" ref="K221">[15]!CalculateDICetip(C221,H221,1)*G221</f>
        <v>2058.8077996928</v>
      </c>
      <c r="L221" s="154">
        <v>278937</v>
      </c>
      <c r="M221" s="154" t="s">
        <v>258</v>
      </c>
      <c r="N221" s="154" t="s">
        <v>149</v>
      </c>
      <c r="O221" s="154" t="s">
        <v>150</v>
      </c>
      <c r="P221" s="154">
        <v>27222</v>
      </c>
      <c r="Q221" s="154" t="s">
        <v>1132</v>
      </c>
      <c r="R221" s="154">
        <v>4</v>
      </c>
      <c r="S221" s="154" t="s">
        <v>1061</v>
      </c>
      <c r="T221" s="154" t="s">
        <v>1133</v>
      </c>
      <c r="U221" s="154" t="s">
        <v>1071</v>
      </c>
      <c r="V221" s="154" t="s">
        <v>1072</v>
      </c>
      <c r="W221" s="154" t="s">
        <v>117</v>
      </c>
      <c r="X221" s="154" t="s">
        <v>1134</v>
      </c>
    </row>
    <row r="222" spans="1:24">
      <c r="A222" s="154" t="s">
        <v>102</v>
      </c>
      <c r="B222" s="154" t="s">
        <v>1401</v>
      </c>
      <c r="C222" s="155">
        <v>45967</v>
      </c>
      <c r="D222" s="155">
        <v>45967</v>
      </c>
      <c r="E222" s="159">
        <v>4101.76</v>
      </c>
      <c r="F222" s="159">
        <v>2050.88</v>
      </c>
      <c r="G222" s="159">
        <v>2050.88</v>
      </c>
      <c r="H222" s="184">
        <f t="shared" si="6"/>
        <v>45978</v>
      </c>
      <c r="I222" s="187" cm="1">
        <f t="array" ref="I222">G222*[15]!CalculateINPC(C222,H222,-1)</f>
        <v>2050.88</v>
      </c>
      <c r="J222" s="187">
        <f t="shared" si="7"/>
        <v>2067.3873393642898</v>
      </c>
      <c r="K222" s="187" cm="1">
        <f t="array" ref="K222">[15]!CalculateDICetip(C222,H222,1)*G222</f>
        <v>2058.8077996928</v>
      </c>
      <c r="L222" s="154">
        <v>278937</v>
      </c>
      <c r="M222" s="154" t="s">
        <v>258</v>
      </c>
      <c r="N222" s="154" t="s">
        <v>149</v>
      </c>
      <c r="O222" s="154" t="s">
        <v>150</v>
      </c>
      <c r="P222" s="154">
        <v>27223</v>
      </c>
      <c r="Q222" s="154" t="s">
        <v>1067</v>
      </c>
      <c r="R222" s="154">
        <v>4</v>
      </c>
      <c r="S222" s="154" t="s">
        <v>1061</v>
      </c>
      <c r="T222" s="154" t="s">
        <v>1133</v>
      </c>
      <c r="U222" s="154" t="s">
        <v>1071</v>
      </c>
      <c r="V222" s="154" t="s">
        <v>1072</v>
      </c>
      <c r="W222" s="154" t="s">
        <v>117</v>
      </c>
      <c r="X222" s="154" t="s">
        <v>1134</v>
      </c>
    </row>
    <row r="223" spans="1:24">
      <c r="A223" s="154" t="s">
        <v>102</v>
      </c>
      <c r="B223" s="154" t="s">
        <v>1401</v>
      </c>
      <c r="C223" s="155">
        <v>45967</v>
      </c>
      <c r="D223" s="155">
        <v>45967</v>
      </c>
      <c r="E223" s="159">
        <v>2528.31</v>
      </c>
      <c r="F223" s="159">
        <v>2528.31</v>
      </c>
      <c r="G223" s="159">
        <v>2528.31</v>
      </c>
      <c r="H223" s="184">
        <f t="shared" si="6"/>
        <v>45978</v>
      </c>
      <c r="I223" s="187" cm="1">
        <f t="array" ref="I223">G223*[15]!CalculateINPC(C223,H223,-1)</f>
        <v>2528.31</v>
      </c>
      <c r="J223" s="187">
        <f t="shared" si="7"/>
        <v>2548.6601283293644</v>
      </c>
      <c r="K223" s="187" cm="1">
        <f t="array" ref="K223">[15]!CalculateDICetip(C223,H223,1)*G223</f>
        <v>2538.0833340035997</v>
      </c>
      <c r="L223" s="154">
        <v>278938</v>
      </c>
      <c r="M223" s="154" t="s">
        <v>258</v>
      </c>
      <c r="N223" s="154" t="s">
        <v>149</v>
      </c>
      <c r="O223" s="154" t="s">
        <v>150</v>
      </c>
      <c r="P223" s="154">
        <v>27198</v>
      </c>
      <c r="Q223" s="154" t="s">
        <v>1135</v>
      </c>
      <c r="R223" s="154">
        <v>4</v>
      </c>
      <c r="S223" s="154" t="s">
        <v>1061</v>
      </c>
      <c r="T223" s="154" t="s">
        <v>1136</v>
      </c>
      <c r="U223" s="154" t="s">
        <v>1071</v>
      </c>
      <c r="V223" s="154" t="s">
        <v>1072</v>
      </c>
      <c r="W223" s="154" t="s">
        <v>117</v>
      </c>
      <c r="X223" s="154" t="s">
        <v>1137</v>
      </c>
    </row>
    <row r="224" spans="1:24">
      <c r="A224" s="154" t="s">
        <v>102</v>
      </c>
      <c r="B224" s="154" t="s">
        <v>1401</v>
      </c>
      <c r="C224" s="155">
        <v>45784</v>
      </c>
      <c r="D224" s="155">
        <v>45770</v>
      </c>
      <c r="E224" s="159">
        <v>7920</v>
      </c>
      <c r="F224" s="159">
        <v>7920</v>
      </c>
      <c r="G224" s="159">
        <v>7920</v>
      </c>
      <c r="H224" s="184">
        <f t="shared" si="6"/>
        <v>45978</v>
      </c>
      <c r="I224" s="187" cm="1">
        <f t="array" ref="I224">G224*[15]!CalculateINPC(C224,H224,-1)</f>
        <v>8009.7891983999998</v>
      </c>
      <c r="J224" s="187">
        <f t="shared" si="7"/>
        <v>9122.7965176410107</v>
      </c>
      <c r="K224" s="187" cm="1">
        <f t="array" ref="K224">[15]!CalculateDICetip(C224,H224,1)*G224</f>
        <v>8538.7490496000009</v>
      </c>
      <c r="L224" s="154">
        <v>254624</v>
      </c>
      <c r="M224" s="154" t="s">
        <v>225</v>
      </c>
      <c r="N224" s="154" t="s">
        <v>226</v>
      </c>
      <c r="O224" s="154" t="s">
        <v>227</v>
      </c>
      <c r="P224" s="154">
        <v>27238</v>
      </c>
      <c r="Q224" s="154" t="s">
        <v>1066</v>
      </c>
      <c r="R224" s="154">
        <v>4</v>
      </c>
      <c r="S224" s="154" t="s">
        <v>1061</v>
      </c>
      <c r="T224" s="154" t="s">
        <v>1138</v>
      </c>
      <c r="U224" s="154" t="s">
        <v>916</v>
      </c>
      <c r="V224" s="154" t="s">
        <v>916</v>
      </c>
      <c r="W224" s="154" t="s">
        <v>130</v>
      </c>
      <c r="X224" s="154" t="s">
        <v>1139</v>
      </c>
    </row>
    <row r="225" spans="1:24">
      <c r="A225" s="154" t="s">
        <v>102</v>
      </c>
      <c r="B225" s="154" t="s">
        <v>1401</v>
      </c>
      <c r="C225" s="155">
        <v>45876</v>
      </c>
      <c r="D225" s="155">
        <v>45870</v>
      </c>
      <c r="E225" s="159">
        <v>6200</v>
      </c>
      <c r="F225" s="159">
        <v>620</v>
      </c>
      <c r="G225" s="159">
        <v>620</v>
      </c>
      <c r="H225" s="184">
        <f t="shared" si="6"/>
        <v>45978</v>
      </c>
      <c r="I225" s="187" cm="1">
        <f t="array" ref="I225">G225*[15]!CalculateINPC(C225,H225,-1)</f>
        <v>622.10134120000009</v>
      </c>
      <c r="J225" s="187">
        <f t="shared" si="7"/>
        <v>667.84493919555962</v>
      </c>
      <c r="K225" s="187" cm="1">
        <f t="array" ref="K225">[15]!CalculateDICetip(C225,H225,1)*G225</f>
        <v>645.09839980000004</v>
      </c>
      <c r="L225" s="154">
        <v>267598</v>
      </c>
      <c r="M225" s="154" t="s">
        <v>797</v>
      </c>
      <c r="N225" s="154" t="s">
        <v>706</v>
      </c>
      <c r="O225" s="154" t="s">
        <v>707</v>
      </c>
      <c r="P225" s="154">
        <v>27220</v>
      </c>
      <c r="Q225" s="154" t="s">
        <v>1092</v>
      </c>
      <c r="R225" s="154">
        <v>4</v>
      </c>
      <c r="S225" s="154" t="s">
        <v>1061</v>
      </c>
      <c r="T225" s="154" t="s">
        <v>954</v>
      </c>
      <c r="U225" s="154" t="s">
        <v>916</v>
      </c>
      <c r="V225" s="154" t="s">
        <v>916</v>
      </c>
      <c r="W225" s="154" t="s">
        <v>130</v>
      </c>
      <c r="X225" s="154" t="s">
        <v>1140</v>
      </c>
    </row>
    <row r="226" spans="1:24">
      <c r="A226" s="154" t="s">
        <v>102</v>
      </c>
      <c r="B226" s="154" t="s">
        <v>1401</v>
      </c>
      <c r="C226" s="155">
        <v>45876</v>
      </c>
      <c r="D226" s="155">
        <v>45870</v>
      </c>
      <c r="E226" s="159">
        <v>6200</v>
      </c>
      <c r="F226" s="159">
        <v>310</v>
      </c>
      <c r="G226" s="159">
        <v>310</v>
      </c>
      <c r="H226" s="184">
        <f t="shared" si="6"/>
        <v>45978</v>
      </c>
      <c r="I226" s="187" cm="1">
        <f t="array" ref="I226">G226*[15]!CalculateINPC(C226,H226,-1)</f>
        <v>311.05067060000005</v>
      </c>
      <c r="J226" s="187">
        <f t="shared" si="7"/>
        <v>333.92246959777981</v>
      </c>
      <c r="K226" s="187" cm="1">
        <f t="array" ref="K226">[15]!CalculateDICetip(C226,H226,1)*G226</f>
        <v>322.54919990000002</v>
      </c>
      <c r="L226" s="154">
        <v>267598</v>
      </c>
      <c r="M226" s="154" t="s">
        <v>797</v>
      </c>
      <c r="N226" s="154" t="s">
        <v>706</v>
      </c>
      <c r="O226" s="154" t="s">
        <v>707</v>
      </c>
      <c r="P226" s="154">
        <v>27184</v>
      </c>
      <c r="Q226" s="154" t="s">
        <v>1141</v>
      </c>
      <c r="R226" s="154">
        <v>4</v>
      </c>
      <c r="S226" s="154" t="s">
        <v>1061</v>
      </c>
      <c r="T226" s="154" t="s">
        <v>954</v>
      </c>
      <c r="U226" s="154" t="s">
        <v>916</v>
      </c>
      <c r="V226" s="154" t="s">
        <v>916</v>
      </c>
      <c r="W226" s="154" t="s">
        <v>130</v>
      </c>
      <c r="X226" s="154" t="s">
        <v>1140</v>
      </c>
    </row>
    <row r="227" spans="1:24">
      <c r="A227" s="154" t="s">
        <v>102</v>
      </c>
      <c r="B227" s="154" t="s">
        <v>1401</v>
      </c>
      <c r="C227" s="155">
        <v>45876</v>
      </c>
      <c r="D227" s="155">
        <v>45870</v>
      </c>
      <c r="E227" s="159">
        <v>6200</v>
      </c>
      <c r="F227" s="159">
        <v>310</v>
      </c>
      <c r="G227" s="159">
        <v>310</v>
      </c>
      <c r="H227" s="184">
        <f t="shared" si="6"/>
        <v>45978</v>
      </c>
      <c r="I227" s="187" cm="1">
        <f t="array" ref="I227">G227*[15]!CalculateINPC(C227,H227,-1)</f>
        <v>311.05067060000005</v>
      </c>
      <c r="J227" s="187">
        <f t="shared" si="7"/>
        <v>333.92246959777981</v>
      </c>
      <c r="K227" s="187" cm="1">
        <f t="array" ref="K227">[15]!CalculateDICetip(C227,H227,1)*G227</f>
        <v>322.54919990000002</v>
      </c>
      <c r="L227" s="154">
        <v>267598</v>
      </c>
      <c r="M227" s="154" t="s">
        <v>797</v>
      </c>
      <c r="N227" s="154" t="s">
        <v>706</v>
      </c>
      <c r="O227" s="154" t="s">
        <v>707</v>
      </c>
      <c r="P227" s="154">
        <v>27211</v>
      </c>
      <c r="Q227" s="154" t="s">
        <v>1107</v>
      </c>
      <c r="R227" s="154">
        <v>4</v>
      </c>
      <c r="S227" s="154" t="s">
        <v>1061</v>
      </c>
      <c r="T227" s="154" t="s">
        <v>954</v>
      </c>
      <c r="U227" s="154" t="s">
        <v>916</v>
      </c>
      <c r="V227" s="154" t="s">
        <v>916</v>
      </c>
      <c r="W227" s="154" t="s">
        <v>130</v>
      </c>
      <c r="X227" s="154" t="s">
        <v>1140</v>
      </c>
    </row>
    <row r="228" spans="1:24">
      <c r="A228" s="154" t="s">
        <v>102</v>
      </c>
      <c r="B228" s="154" t="s">
        <v>1401</v>
      </c>
      <c r="C228" s="155">
        <v>45876</v>
      </c>
      <c r="D228" s="155">
        <v>45870</v>
      </c>
      <c r="E228" s="159">
        <v>6200</v>
      </c>
      <c r="F228" s="159">
        <v>310</v>
      </c>
      <c r="G228" s="159">
        <v>310</v>
      </c>
      <c r="H228" s="184">
        <f t="shared" si="6"/>
        <v>45978</v>
      </c>
      <c r="I228" s="187" cm="1">
        <f t="array" ref="I228">G228*[15]!CalculateINPC(C228,H228,-1)</f>
        <v>311.05067060000005</v>
      </c>
      <c r="J228" s="187">
        <f t="shared" si="7"/>
        <v>333.92246959777981</v>
      </c>
      <c r="K228" s="187" cm="1">
        <f t="array" ref="K228">[15]!CalculateDICetip(C228,H228,1)*G228</f>
        <v>322.54919990000002</v>
      </c>
      <c r="L228" s="154">
        <v>267598</v>
      </c>
      <c r="M228" s="154" t="s">
        <v>797</v>
      </c>
      <c r="N228" s="154" t="s">
        <v>706</v>
      </c>
      <c r="O228" s="154" t="s">
        <v>707</v>
      </c>
      <c r="P228" s="154">
        <v>27228</v>
      </c>
      <c r="Q228" s="154" t="s">
        <v>1126</v>
      </c>
      <c r="R228" s="154">
        <v>4</v>
      </c>
      <c r="S228" s="154" t="s">
        <v>1061</v>
      </c>
      <c r="T228" s="154" t="s">
        <v>954</v>
      </c>
      <c r="U228" s="154" t="s">
        <v>916</v>
      </c>
      <c r="V228" s="154" t="s">
        <v>916</v>
      </c>
      <c r="W228" s="154" t="s">
        <v>130</v>
      </c>
      <c r="X228" s="154" t="s">
        <v>1140</v>
      </c>
    </row>
    <row r="229" spans="1:24">
      <c r="A229" s="154" t="s">
        <v>102</v>
      </c>
      <c r="B229" s="154" t="s">
        <v>1401</v>
      </c>
      <c r="C229" s="155">
        <v>45876</v>
      </c>
      <c r="D229" s="155">
        <v>45870</v>
      </c>
      <c r="E229" s="159">
        <v>167.53</v>
      </c>
      <c r="F229" s="159">
        <v>167.53</v>
      </c>
      <c r="G229" s="159">
        <v>167.53</v>
      </c>
      <c r="H229" s="184">
        <f t="shared" si="6"/>
        <v>45978</v>
      </c>
      <c r="I229" s="187" cm="1">
        <f t="array" ref="I229">G229*[15]!CalculateINPC(C229,H229,-1)</f>
        <v>168.0978027278</v>
      </c>
      <c r="J229" s="187">
        <f t="shared" si="7"/>
        <v>180.45816558618083</v>
      </c>
      <c r="K229" s="187" cm="1">
        <f t="array" ref="K229">[15]!CalculateDICetip(C229,H229,1)*G229</f>
        <v>174.31183051369999</v>
      </c>
      <c r="L229" s="154">
        <v>264695</v>
      </c>
      <c r="M229" s="154" t="s">
        <v>1142</v>
      </c>
      <c r="N229" s="154" t="s">
        <v>965</v>
      </c>
      <c r="O229" s="154" t="s">
        <v>966</v>
      </c>
      <c r="P229" s="154">
        <v>27238</v>
      </c>
      <c r="Q229" s="154" t="s">
        <v>1066</v>
      </c>
      <c r="R229" s="154">
        <v>4</v>
      </c>
      <c r="S229" s="154" t="s">
        <v>1061</v>
      </c>
      <c r="T229" s="154" t="s">
        <v>1143</v>
      </c>
      <c r="U229" s="154" t="s">
        <v>1071</v>
      </c>
      <c r="V229" s="154" t="s">
        <v>1072</v>
      </c>
      <c r="W229" s="154" t="s">
        <v>111</v>
      </c>
      <c r="X229" s="154" t="s">
        <v>1144</v>
      </c>
    </row>
    <row r="230" spans="1:24">
      <c r="A230" s="154" t="s">
        <v>102</v>
      </c>
      <c r="B230" s="154" t="s">
        <v>1401</v>
      </c>
      <c r="C230" s="155">
        <v>45876</v>
      </c>
      <c r="D230" s="155">
        <v>45870</v>
      </c>
      <c r="E230" s="159">
        <v>6200</v>
      </c>
      <c r="F230" s="159">
        <v>310</v>
      </c>
      <c r="G230" s="159">
        <v>310</v>
      </c>
      <c r="H230" s="184">
        <f t="shared" si="6"/>
        <v>45978</v>
      </c>
      <c r="I230" s="187" cm="1">
        <f t="array" ref="I230">G230*[15]!CalculateINPC(C230,H230,-1)</f>
        <v>311.05067060000005</v>
      </c>
      <c r="J230" s="187">
        <f t="shared" si="7"/>
        <v>333.92246959777981</v>
      </c>
      <c r="K230" s="187" cm="1">
        <f t="array" ref="K230">[15]!CalculateDICetip(C230,H230,1)*G230</f>
        <v>322.54919990000002</v>
      </c>
      <c r="L230" s="154">
        <v>267598</v>
      </c>
      <c r="M230" s="154" t="s">
        <v>797</v>
      </c>
      <c r="N230" s="154" t="s">
        <v>706</v>
      </c>
      <c r="O230" s="154" t="s">
        <v>707</v>
      </c>
      <c r="P230" s="154">
        <v>27226</v>
      </c>
      <c r="Q230" s="154" t="s">
        <v>1145</v>
      </c>
      <c r="R230" s="154">
        <v>4</v>
      </c>
      <c r="S230" s="154" t="s">
        <v>1061</v>
      </c>
      <c r="T230" s="154" t="s">
        <v>954</v>
      </c>
      <c r="U230" s="154" t="s">
        <v>916</v>
      </c>
      <c r="V230" s="154" t="s">
        <v>916</v>
      </c>
      <c r="W230" s="154" t="s">
        <v>130</v>
      </c>
      <c r="X230" s="154" t="s">
        <v>1140</v>
      </c>
    </row>
    <row r="231" spans="1:24">
      <c r="A231" s="154" t="s">
        <v>102</v>
      </c>
      <c r="B231" s="154" t="s">
        <v>1401</v>
      </c>
      <c r="C231" s="155">
        <v>45876</v>
      </c>
      <c r="D231" s="155">
        <v>45870</v>
      </c>
      <c r="E231" s="159">
        <v>6200</v>
      </c>
      <c r="F231" s="159">
        <v>310</v>
      </c>
      <c r="G231" s="159">
        <v>310</v>
      </c>
      <c r="H231" s="184">
        <f t="shared" si="6"/>
        <v>45978</v>
      </c>
      <c r="I231" s="187" cm="1">
        <f t="array" ref="I231">G231*[15]!CalculateINPC(C231,H231,-1)</f>
        <v>311.05067060000005</v>
      </c>
      <c r="J231" s="187">
        <f t="shared" si="7"/>
        <v>333.92246959777981</v>
      </c>
      <c r="K231" s="187" cm="1">
        <f t="array" ref="K231">[15]!CalculateDICetip(C231,H231,1)*G231</f>
        <v>322.54919990000002</v>
      </c>
      <c r="L231" s="154">
        <v>267598</v>
      </c>
      <c r="M231" s="154" t="s">
        <v>797</v>
      </c>
      <c r="N231" s="154" t="s">
        <v>706</v>
      </c>
      <c r="O231" s="154" t="s">
        <v>707</v>
      </c>
      <c r="P231" s="154">
        <v>27187</v>
      </c>
      <c r="Q231" s="154" t="s">
        <v>1146</v>
      </c>
      <c r="R231" s="154">
        <v>4</v>
      </c>
      <c r="S231" s="154" t="s">
        <v>1061</v>
      </c>
      <c r="T231" s="154" t="s">
        <v>954</v>
      </c>
      <c r="U231" s="154" t="s">
        <v>916</v>
      </c>
      <c r="V231" s="154" t="s">
        <v>916</v>
      </c>
      <c r="W231" s="154" t="s">
        <v>130</v>
      </c>
      <c r="X231" s="154" t="s">
        <v>1140</v>
      </c>
    </row>
    <row r="232" spans="1:24">
      <c r="A232" s="154" t="s">
        <v>102</v>
      </c>
      <c r="B232" s="154" t="s">
        <v>1401</v>
      </c>
      <c r="C232" s="155">
        <v>45876</v>
      </c>
      <c r="D232" s="155">
        <v>45870</v>
      </c>
      <c r="E232" s="159">
        <v>6200</v>
      </c>
      <c r="F232" s="159">
        <v>310</v>
      </c>
      <c r="G232" s="159">
        <v>310</v>
      </c>
      <c r="H232" s="184">
        <f t="shared" si="6"/>
        <v>45978</v>
      </c>
      <c r="I232" s="187" cm="1">
        <f t="array" ref="I232">G232*[15]!CalculateINPC(C232,H232,-1)</f>
        <v>311.05067060000005</v>
      </c>
      <c r="J232" s="187">
        <f t="shared" si="7"/>
        <v>333.92246959777981</v>
      </c>
      <c r="K232" s="187" cm="1">
        <f t="array" ref="K232">[15]!CalculateDICetip(C232,H232,1)*G232</f>
        <v>322.54919990000002</v>
      </c>
      <c r="L232" s="154">
        <v>267598</v>
      </c>
      <c r="M232" s="154" t="s">
        <v>797</v>
      </c>
      <c r="N232" s="154" t="s">
        <v>706</v>
      </c>
      <c r="O232" s="154" t="s">
        <v>707</v>
      </c>
      <c r="P232" s="154">
        <v>27230</v>
      </c>
      <c r="Q232" s="154" t="s">
        <v>1147</v>
      </c>
      <c r="R232" s="154">
        <v>4</v>
      </c>
      <c r="S232" s="154" t="s">
        <v>1061</v>
      </c>
      <c r="T232" s="154" t="s">
        <v>954</v>
      </c>
      <c r="U232" s="154" t="s">
        <v>916</v>
      </c>
      <c r="V232" s="154" t="s">
        <v>916</v>
      </c>
      <c r="W232" s="154" t="s">
        <v>130</v>
      </c>
      <c r="X232" s="154" t="s">
        <v>1140</v>
      </c>
    </row>
    <row r="233" spans="1:24">
      <c r="A233" s="154" t="s">
        <v>102</v>
      </c>
      <c r="B233" s="154" t="s">
        <v>1401</v>
      </c>
      <c r="C233" s="155">
        <v>45876</v>
      </c>
      <c r="D233" s="155">
        <v>45870</v>
      </c>
      <c r="E233" s="159">
        <v>6200</v>
      </c>
      <c r="F233" s="159">
        <v>310</v>
      </c>
      <c r="G233" s="159">
        <v>310</v>
      </c>
      <c r="H233" s="184">
        <f t="shared" si="6"/>
        <v>45978</v>
      </c>
      <c r="I233" s="187" cm="1">
        <f t="array" ref="I233">G233*[15]!CalculateINPC(C233,H233,-1)</f>
        <v>311.05067060000005</v>
      </c>
      <c r="J233" s="187">
        <f t="shared" si="7"/>
        <v>333.92246959777981</v>
      </c>
      <c r="K233" s="187" cm="1">
        <f t="array" ref="K233">[15]!CalculateDICetip(C233,H233,1)*G233</f>
        <v>322.54919990000002</v>
      </c>
      <c r="L233" s="154">
        <v>267598</v>
      </c>
      <c r="M233" s="154" t="s">
        <v>797</v>
      </c>
      <c r="N233" s="154" t="s">
        <v>706</v>
      </c>
      <c r="O233" s="154" t="s">
        <v>707</v>
      </c>
      <c r="P233" s="154">
        <v>27191</v>
      </c>
      <c r="Q233" s="154" t="s">
        <v>1148</v>
      </c>
      <c r="R233" s="154">
        <v>4</v>
      </c>
      <c r="S233" s="154" t="s">
        <v>1061</v>
      </c>
      <c r="T233" s="154" t="s">
        <v>954</v>
      </c>
      <c r="U233" s="154" t="s">
        <v>916</v>
      </c>
      <c r="V233" s="154" t="s">
        <v>916</v>
      </c>
      <c r="W233" s="154" t="s">
        <v>130</v>
      </c>
      <c r="X233" s="154" t="s">
        <v>1140</v>
      </c>
    </row>
    <row r="234" spans="1:24">
      <c r="A234" s="154" t="s">
        <v>102</v>
      </c>
      <c r="B234" s="154" t="s">
        <v>1401</v>
      </c>
      <c r="C234" s="155">
        <v>45876</v>
      </c>
      <c r="D234" s="155">
        <v>45870</v>
      </c>
      <c r="E234" s="159">
        <v>6200</v>
      </c>
      <c r="F234" s="159">
        <v>310</v>
      </c>
      <c r="G234" s="159">
        <v>310</v>
      </c>
      <c r="H234" s="184">
        <f t="shared" si="6"/>
        <v>45978</v>
      </c>
      <c r="I234" s="187" cm="1">
        <f t="array" ref="I234">G234*[15]!CalculateINPC(C234,H234,-1)</f>
        <v>311.05067060000005</v>
      </c>
      <c r="J234" s="187">
        <f t="shared" si="7"/>
        <v>333.92246959777981</v>
      </c>
      <c r="K234" s="187" cm="1">
        <f t="array" ref="K234">[15]!CalculateDICetip(C234,H234,1)*G234</f>
        <v>322.54919990000002</v>
      </c>
      <c r="L234" s="154">
        <v>267598</v>
      </c>
      <c r="M234" s="154" t="s">
        <v>797</v>
      </c>
      <c r="N234" s="154" t="s">
        <v>706</v>
      </c>
      <c r="O234" s="154" t="s">
        <v>707</v>
      </c>
      <c r="P234" s="154">
        <v>27209</v>
      </c>
      <c r="Q234" s="154" t="s">
        <v>1110</v>
      </c>
      <c r="R234" s="154">
        <v>4</v>
      </c>
      <c r="S234" s="154" t="s">
        <v>1061</v>
      </c>
      <c r="T234" s="154" t="s">
        <v>954</v>
      </c>
      <c r="U234" s="154" t="s">
        <v>916</v>
      </c>
      <c r="V234" s="154" t="s">
        <v>916</v>
      </c>
      <c r="W234" s="154" t="s">
        <v>130</v>
      </c>
      <c r="X234" s="154" t="s">
        <v>1140</v>
      </c>
    </row>
    <row r="235" spans="1:24">
      <c r="A235" s="154" t="s">
        <v>102</v>
      </c>
      <c r="B235" s="154" t="s">
        <v>1401</v>
      </c>
      <c r="C235" s="155">
        <v>45876</v>
      </c>
      <c r="D235" s="155">
        <v>45870</v>
      </c>
      <c r="E235" s="159">
        <v>6200</v>
      </c>
      <c r="F235" s="159">
        <v>310</v>
      </c>
      <c r="G235" s="159">
        <v>310</v>
      </c>
      <c r="H235" s="184">
        <f t="shared" si="6"/>
        <v>45978</v>
      </c>
      <c r="I235" s="187" cm="1">
        <f t="array" ref="I235">G235*[15]!CalculateINPC(C235,H235,-1)</f>
        <v>311.05067060000005</v>
      </c>
      <c r="J235" s="187">
        <f t="shared" si="7"/>
        <v>333.92246959777981</v>
      </c>
      <c r="K235" s="187" cm="1">
        <f t="array" ref="K235">[15]!CalculateDICetip(C235,H235,1)*G235</f>
        <v>322.54919990000002</v>
      </c>
      <c r="L235" s="154">
        <v>267598</v>
      </c>
      <c r="M235" s="154" t="s">
        <v>797</v>
      </c>
      <c r="N235" s="154" t="s">
        <v>706</v>
      </c>
      <c r="O235" s="154" t="s">
        <v>707</v>
      </c>
      <c r="P235" s="154">
        <v>27218</v>
      </c>
      <c r="Q235" s="154" t="s">
        <v>1113</v>
      </c>
      <c r="R235" s="154">
        <v>4</v>
      </c>
      <c r="S235" s="154" t="s">
        <v>1061</v>
      </c>
      <c r="T235" s="154" t="s">
        <v>954</v>
      </c>
      <c r="U235" s="154" t="s">
        <v>916</v>
      </c>
      <c r="V235" s="154" t="s">
        <v>916</v>
      </c>
      <c r="W235" s="154" t="s">
        <v>130</v>
      </c>
      <c r="X235" s="154" t="s">
        <v>1140</v>
      </c>
    </row>
    <row r="236" spans="1:24">
      <c r="A236" s="154" t="s">
        <v>102</v>
      </c>
      <c r="B236" s="154" t="s">
        <v>1401</v>
      </c>
      <c r="C236" s="155">
        <v>45876</v>
      </c>
      <c r="D236" s="155">
        <v>45870</v>
      </c>
      <c r="E236" s="159">
        <v>6200</v>
      </c>
      <c r="F236" s="159">
        <v>310</v>
      </c>
      <c r="G236" s="159">
        <v>310</v>
      </c>
      <c r="H236" s="184">
        <f t="shared" si="6"/>
        <v>45978</v>
      </c>
      <c r="I236" s="187" cm="1">
        <f t="array" ref="I236">G236*[15]!CalculateINPC(C236,H236,-1)</f>
        <v>311.05067060000005</v>
      </c>
      <c r="J236" s="187">
        <f t="shared" si="7"/>
        <v>333.92246959777981</v>
      </c>
      <c r="K236" s="187" cm="1">
        <f t="array" ref="K236">[15]!CalculateDICetip(C236,H236,1)*G236</f>
        <v>322.54919990000002</v>
      </c>
      <c r="L236" s="154">
        <v>267598</v>
      </c>
      <c r="M236" s="154" t="s">
        <v>797</v>
      </c>
      <c r="N236" s="154" t="s">
        <v>706</v>
      </c>
      <c r="O236" s="154" t="s">
        <v>707</v>
      </c>
      <c r="P236" s="154">
        <v>27233</v>
      </c>
      <c r="Q236" s="154" t="s">
        <v>1104</v>
      </c>
      <c r="R236" s="154">
        <v>4</v>
      </c>
      <c r="S236" s="154" t="s">
        <v>1061</v>
      </c>
      <c r="T236" s="154" t="s">
        <v>954</v>
      </c>
      <c r="U236" s="154" t="s">
        <v>916</v>
      </c>
      <c r="V236" s="154" t="s">
        <v>916</v>
      </c>
      <c r="W236" s="154" t="s">
        <v>130</v>
      </c>
      <c r="X236" s="154" t="s">
        <v>1140</v>
      </c>
    </row>
    <row r="237" spans="1:24">
      <c r="A237" s="154" t="s">
        <v>102</v>
      </c>
      <c r="B237" s="154" t="s">
        <v>1401</v>
      </c>
      <c r="C237" s="155">
        <v>45876</v>
      </c>
      <c r="D237" s="155">
        <v>45870</v>
      </c>
      <c r="E237" s="159">
        <v>6200</v>
      </c>
      <c r="F237" s="159">
        <v>310</v>
      </c>
      <c r="G237" s="159">
        <v>310</v>
      </c>
      <c r="H237" s="184">
        <f t="shared" si="6"/>
        <v>45978</v>
      </c>
      <c r="I237" s="187" cm="1">
        <f t="array" ref="I237">G237*[15]!CalculateINPC(C237,H237,-1)</f>
        <v>311.05067060000005</v>
      </c>
      <c r="J237" s="187">
        <f t="shared" si="7"/>
        <v>333.92246959777981</v>
      </c>
      <c r="K237" s="187" cm="1">
        <f t="array" ref="K237">[15]!CalculateDICetip(C237,H237,1)*G237</f>
        <v>322.54919990000002</v>
      </c>
      <c r="L237" s="154">
        <v>267598</v>
      </c>
      <c r="M237" s="154" t="s">
        <v>797</v>
      </c>
      <c r="N237" s="154" t="s">
        <v>706</v>
      </c>
      <c r="O237" s="154" t="s">
        <v>707</v>
      </c>
      <c r="P237" s="154">
        <v>27185</v>
      </c>
      <c r="Q237" s="154" t="s">
        <v>1149</v>
      </c>
      <c r="R237" s="154">
        <v>4</v>
      </c>
      <c r="S237" s="154" t="s">
        <v>1061</v>
      </c>
      <c r="T237" s="154" t="s">
        <v>954</v>
      </c>
      <c r="U237" s="154" t="s">
        <v>916</v>
      </c>
      <c r="V237" s="154" t="s">
        <v>916</v>
      </c>
      <c r="W237" s="154" t="s">
        <v>130</v>
      </c>
      <c r="X237" s="154" t="s">
        <v>1140</v>
      </c>
    </row>
    <row r="238" spans="1:24">
      <c r="A238" s="154" t="s">
        <v>102</v>
      </c>
      <c r="B238" s="154" t="s">
        <v>1401</v>
      </c>
      <c r="C238" s="155">
        <v>45876</v>
      </c>
      <c r="D238" s="155">
        <v>45870</v>
      </c>
      <c r="E238" s="159">
        <v>6200</v>
      </c>
      <c r="F238" s="159">
        <v>310</v>
      </c>
      <c r="G238" s="159">
        <v>310</v>
      </c>
      <c r="H238" s="184">
        <f t="shared" si="6"/>
        <v>45978</v>
      </c>
      <c r="I238" s="187" cm="1">
        <f t="array" ref="I238">G238*[15]!CalculateINPC(C238,H238,-1)</f>
        <v>311.05067060000005</v>
      </c>
      <c r="J238" s="187">
        <f t="shared" si="7"/>
        <v>333.92246959777981</v>
      </c>
      <c r="K238" s="187" cm="1">
        <f t="array" ref="K238">[15]!CalculateDICetip(C238,H238,1)*G238</f>
        <v>322.54919990000002</v>
      </c>
      <c r="L238" s="154">
        <v>267598</v>
      </c>
      <c r="M238" s="154" t="s">
        <v>797</v>
      </c>
      <c r="N238" s="154" t="s">
        <v>706</v>
      </c>
      <c r="O238" s="154" t="s">
        <v>707</v>
      </c>
      <c r="P238" s="154">
        <v>27215</v>
      </c>
      <c r="Q238" s="154" t="s">
        <v>1095</v>
      </c>
      <c r="R238" s="154">
        <v>4</v>
      </c>
      <c r="S238" s="154" t="s">
        <v>1061</v>
      </c>
      <c r="T238" s="154" t="s">
        <v>954</v>
      </c>
      <c r="U238" s="154" t="s">
        <v>916</v>
      </c>
      <c r="V238" s="154" t="s">
        <v>916</v>
      </c>
      <c r="W238" s="154" t="s">
        <v>130</v>
      </c>
      <c r="X238" s="154" t="s">
        <v>1140</v>
      </c>
    </row>
    <row r="239" spans="1:24">
      <c r="A239" s="154" t="s">
        <v>102</v>
      </c>
      <c r="B239" s="154" t="s">
        <v>1401</v>
      </c>
      <c r="C239" s="155">
        <v>45876</v>
      </c>
      <c r="D239" s="155">
        <v>45870</v>
      </c>
      <c r="E239" s="159">
        <v>6200</v>
      </c>
      <c r="F239" s="159">
        <v>620</v>
      </c>
      <c r="G239" s="159">
        <v>620</v>
      </c>
      <c r="H239" s="184">
        <f t="shared" si="6"/>
        <v>45978</v>
      </c>
      <c r="I239" s="187" cm="1">
        <f t="array" ref="I239">G239*[15]!CalculateINPC(C239,H239,-1)</f>
        <v>622.10134120000009</v>
      </c>
      <c r="J239" s="187">
        <f t="shared" si="7"/>
        <v>667.84493919555962</v>
      </c>
      <c r="K239" s="187" cm="1">
        <f t="array" ref="K239">[15]!CalculateDICetip(C239,H239,1)*G239</f>
        <v>645.09839980000004</v>
      </c>
      <c r="L239" s="154">
        <v>267598</v>
      </c>
      <c r="M239" s="154" t="s">
        <v>797</v>
      </c>
      <c r="N239" s="154" t="s">
        <v>706</v>
      </c>
      <c r="O239" s="154" t="s">
        <v>707</v>
      </c>
      <c r="P239" s="154">
        <v>27203</v>
      </c>
      <c r="Q239" s="154" t="s">
        <v>1086</v>
      </c>
      <c r="R239" s="154">
        <v>4</v>
      </c>
      <c r="S239" s="154" t="s">
        <v>1061</v>
      </c>
      <c r="T239" s="154" t="s">
        <v>954</v>
      </c>
      <c r="U239" s="154" t="s">
        <v>916</v>
      </c>
      <c r="V239" s="154" t="s">
        <v>916</v>
      </c>
      <c r="W239" s="154" t="s">
        <v>130</v>
      </c>
      <c r="X239" s="154" t="s">
        <v>1140</v>
      </c>
    </row>
    <row r="240" spans="1:24">
      <c r="A240" s="154" t="s">
        <v>102</v>
      </c>
      <c r="B240" s="154" t="s">
        <v>1401</v>
      </c>
      <c r="C240" s="155">
        <v>45876</v>
      </c>
      <c r="D240" s="155">
        <v>45870</v>
      </c>
      <c r="E240" s="159">
        <v>167.53</v>
      </c>
      <c r="F240" s="159">
        <v>167.53</v>
      </c>
      <c r="G240" s="159">
        <v>167.53</v>
      </c>
      <c r="H240" s="184">
        <f t="shared" si="6"/>
        <v>45978</v>
      </c>
      <c r="I240" s="187" cm="1">
        <f t="array" ref="I240">G240*[15]!CalculateINPC(C240,H240,-1)</f>
        <v>168.0978027278</v>
      </c>
      <c r="J240" s="187">
        <f t="shared" si="7"/>
        <v>180.45816558618083</v>
      </c>
      <c r="K240" s="187" cm="1">
        <f t="array" ref="K240">[15]!CalculateDICetip(C240,H240,1)*G240</f>
        <v>174.31183051369999</v>
      </c>
      <c r="L240" s="154">
        <v>264693</v>
      </c>
      <c r="M240" s="154" t="s">
        <v>1142</v>
      </c>
      <c r="N240" s="154" t="s">
        <v>965</v>
      </c>
      <c r="O240" s="154" t="s">
        <v>966</v>
      </c>
      <c r="P240" s="154">
        <v>27237</v>
      </c>
      <c r="Q240" s="154" t="s">
        <v>1060</v>
      </c>
      <c r="R240" s="154">
        <v>4</v>
      </c>
      <c r="S240" s="154" t="s">
        <v>1061</v>
      </c>
      <c r="T240" s="154" t="s">
        <v>1150</v>
      </c>
      <c r="U240" s="154" t="s">
        <v>1071</v>
      </c>
      <c r="V240" s="154" t="s">
        <v>1072</v>
      </c>
      <c r="W240" s="154" t="s">
        <v>111</v>
      </c>
      <c r="X240" s="154" t="s">
        <v>1151</v>
      </c>
    </row>
    <row r="241" spans="1:24">
      <c r="A241" s="154" t="s">
        <v>102</v>
      </c>
      <c r="B241" s="154" t="s">
        <v>1401</v>
      </c>
      <c r="C241" s="155">
        <v>45876</v>
      </c>
      <c r="D241" s="155">
        <v>45870</v>
      </c>
      <c r="E241" s="159">
        <v>6200</v>
      </c>
      <c r="F241" s="159">
        <v>310</v>
      </c>
      <c r="G241" s="159">
        <v>310</v>
      </c>
      <c r="H241" s="184">
        <f t="shared" si="6"/>
        <v>45978</v>
      </c>
      <c r="I241" s="187" cm="1">
        <f t="array" ref="I241">G241*[15]!CalculateINPC(C241,H241,-1)</f>
        <v>311.05067060000005</v>
      </c>
      <c r="J241" s="187">
        <f t="shared" si="7"/>
        <v>333.92246959777981</v>
      </c>
      <c r="K241" s="187" cm="1">
        <f t="array" ref="K241">[15]!CalculateDICetip(C241,H241,1)*G241</f>
        <v>322.54919990000002</v>
      </c>
      <c r="L241" s="154">
        <v>267598</v>
      </c>
      <c r="M241" s="154" t="s">
        <v>797</v>
      </c>
      <c r="N241" s="154" t="s">
        <v>706</v>
      </c>
      <c r="O241" s="154" t="s">
        <v>707</v>
      </c>
      <c r="P241" s="154">
        <v>27189</v>
      </c>
      <c r="Q241" s="154" t="s">
        <v>1152</v>
      </c>
      <c r="R241" s="154">
        <v>4</v>
      </c>
      <c r="S241" s="154" t="s">
        <v>1061</v>
      </c>
      <c r="T241" s="154" t="s">
        <v>954</v>
      </c>
      <c r="U241" s="154" t="s">
        <v>916</v>
      </c>
      <c r="V241" s="154" t="s">
        <v>916</v>
      </c>
      <c r="W241" s="154" t="s">
        <v>130</v>
      </c>
      <c r="X241" s="154" t="s">
        <v>1140</v>
      </c>
    </row>
    <row r="242" spans="1:24">
      <c r="A242" s="154" t="s">
        <v>102</v>
      </c>
      <c r="B242" s="154" t="s">
        <v>1401</v>
      </c>
      <c r="C242" s="155">
        <v>45876</v>
      </c>
      <c r="D242" s="155">
        <v>45870</v>
      </c>
      <c r="E242" s="159">
        <v>6200</v>
      </c>
      <c r="F242" s="159">
        <v>310</v>
      </c>
      <c r="G242" s="159">
        <v>310</v>
      </c>
      <c r="H242" s="184">
        <f t="shared" si="6"/>
        <v>45978</v>
      </c>
      <c r="I242" s="187" cm="1">
        <f t="array" ref="I242">G242*[15]!CalculateINPC(C242,H242,-1)</f>
        <v>311.05067060000005</v>
      </c>
      <c r="J242" s="187">
        <f t="shared" si="7"/>
        <v>333.92246959777981</v>
      </c>
      <c r="K242" s="187" cm="1">
        <f t="array" ref="K242">[15]!CalculateDICetip(C242,H242,1)*G242</f>
        <v>322.54919990000002</v>
      </c>
      <c r="L242" s="154">
        <v>267598</v>
      </c>
      <c r="M242" s="154" t="s">
        <v>797</v>
      </c>
      <c r="N242" s="154" t="s">
        <v>706</v>
      </c>
      <c r="O242" s="154" t="s">
        <v>707</v>
      </c>
      <c r="P242" s="154">
        <v>27213</v>
      </c>
      <c r="Q242" s="154" t="s">
        <v>1101</v>
      </c>
      <c r="R242" s="154">
        <v>4</v>
      </c>
      <c r="S242" s="154" t="s">
        <v>1061</v>
      </c>
      <c r="T242" s="154" t="s">
        <v>954</v>
      </c>
      <c r="U242" s="154" t="s">
        <v>916</v>
      </c>
      <c r="V242" s="154" t="s">
        <v>916</v>
      </c>
      <c r="W242" s="154" t="s">
        <v>130</v>
      </c>
      <c r="X242" s="154" t="s">
        <v>1140</v>
      </c>
    </row>
    <row r="243" spans="1:24">
      <c r="A243" s="154" t="s">
        <v>102</v>
      </c>
      <c r="B243" s="154" t="s">
        <v>1401</v>
      </c>
      <c r="C243" s="155">
        <v>45876</v>
      </c>
      <c r="D243" s="155">
        <v>45870</v>
      </c>
      <c r="E243" s="159">
        <v>6200</v>
      </c>
      <c r="F243" s="159">
        <v>310</v>
      </c>
      <c r="G243" s="159">
        <v>310</v>
      </c>
      <c r="H243" s="184">
        <f t="shared" si="6"/>
        <v>45978</v>
      </c>
      <c r="I243" s="187" cm="1">
        <f t="array" ref="I243">G243*[15]!CalculateINPC(C243,H243,-1)</f>
        <v>311.05067060000005</v>
      </c>
      <c r="J243" s="187">
        <f t="shared" si="7"/>
        <v>333.92246959777981</v>
      </c>
      <c r="K243" s="187" cm="1">
        <f t="array" ref="K243">[15]!CalculateDICetip(C243,H243,1)*G243</f>
        <v>322.54919990000002</v>
      </c>
      <c r="L243" s="154">
        <v>267598</v>
      </c>
      <c r="M243" s="154" t="s">
        <v>797</v>
      </c>
      <c r="N243" s="154" t="s">
        <v>706</v>
      </c>
      <c r="O243" s="154" t="s">
        <v>707</v>
      </c>
      <c r="P243" s="154">
        <v>27201</v>
      </c>
      <c r="Q243" s="154" t="s">
        <v>1120</v>
      </c>
      <c r="R243" s="154">
        <v>4</v>
      </c>
      <c r="S243" s="154" t="s">
        <v>1061</v>
      </c>
      <c r="T243" s="154" t="s">
        <v>954</v>
      </c>
      <c r="U243" s="154" t="s">
        <v>916</v>
      </c>
      <c r="V243" s="154" t="s">
        <v>916</v>
      </c>
      <c r="W243" s="154" t="s">
        <v>130</v>
      </c>
      <c r="X243" s="154" t="s">
        <v>1140</v>
      </c>
    </row>
    <row r="244" spans="1:24">
      <c r="A244" s="154" t="s">
        <v>102</v>
      </c>
      <c r="B244" s="154" t="s">
        <v>1401</v>
      </c>
      <c r="C244" s="155">
        <v>45876</v>
      </c>
      <c r="D244" s="155">
        <v>45870</v>
      </c>
      <c r="E244" s="159">
        <v>6200</v>
      </c>
      <c r="F244" s="159">
        <v>310</v>
      </c>
      <c r="G244" s="159">
        <v>310</v>
      </c>
      <c r="H244" s="184">
        <f t="shared" si="6"/>
        <v>45978</v>
      </c>
      <c r="I244" s="187" cm="1">
        <f t="array" ref="I244">G244*[15]!CalculateINPC(C244,H244,-1)</f>
        <v>311.05067060000005</v>
      </c>
      <c r="J244" s="187">
        <f t="shared" si="7"/>
        <v>333.92246959777981</v>
      </c>
      <c r="K244" s="187" cm="1">
        <f t="array" ref="K244">[15]!CalculateDICetip(C244,H244,1)*G244</f>
        <v>322.54919990000002</v>
      </c>
      <c r="L244" s="154">
        <v>267598</v>
      </c>
      <c r="M244" s="154" t="s">
        <v>797</v>
      </c>
      <c r="N244" s="154" t="s">
        <v>706</v>
      </c>
      <c r="O244" s="154" t="s">
        <v>707</v>
      </c>
      <c r="P244" s="154">
        <v>27234</v>
      </c>
      <c r="Q244" s="154" t="s">
        <v>1083</v>
      </c>
      <c r="R244" s="154">
        <v>4</v>
      </c>
      <c r="S244" s="154" t="s">
        <v>1061</v>
      </c>
      <c r="T244" s="154" t="s">
        <v>954</v>
      </c>
      <c r="U244" s="154" t="s">
        <v>916</v>
      </c>
      <c r="V244" s="154" t="s">
        <v>916</v>
      </c>
      <c r="W244" s="154" t="s">
        <v>130</v>
      </c>
      <c r="X244" s="154" t="s">
        <v>1140</v>
      </c>
    </row>
    <row r="245" spans="1:24">
      <c r="A245" s="154" t="s">
        <v>102</v>
      </c>
      <c r="B245" s="154" t="s">
        <v>1401</v>
      </c>
      <c r="C245" s="155">
        <v>45908</v>
      </c>
      <c r="D245" s="155">
        <v>45874</v>
      </c>
      <c r="E245" s="159">
        <v>7391.03</v>
      </c>
      <c r="F245" s="159">
        <v>1847.7800000000609</v>
      </c>
      <c r="G245" s="159">
        <v>1847.7800000000609</v>
      </c>
      <c r="H245" s="184">
        <f t="shared" si="6"/>
        <v>45978</v>
      </c>
      <c r="I245" s="187" cm="1">
        <f t="array" ref="I245">G245*[15]!CalculateINPC(C245,H245,-1)</f>
        <v>1857.9452475474611</v>
      </c>
      <c r="J245" s="187">
        <f t="shared" si="7"/>
        <v>1944.4908949905623</v>
      </c>
      <c r="K245" s="187" cm="1">
        <f t="array" ref="K245">[15]!CalculateDICetip(C245,H245,1)*G245</f>
        <v>1899.4090611914628</v>
      </c>
      <c r="L245" s="154">
        <v>273143</v>
      </c>
      <c r="M245" s="154" t="s">
        <v>258</v>
      </c>
      <c r="N245" s="154" t="s">
        <v>149</v>
      </c>
      <c r="O245" s="154" t="s">
        <v>150</v>
      </c>
      <c r="P245" s="154">
        <v>27233</v>
      </c>
      <c r="Q245" s="154" t="s">
        <v>1104</v>
      </c>
      <c r="R245" s="154">
        <v>4</v>
      </c>
      <c r="S245" s="154" t="s">
        <v>1061</v>
      </c>
      <c r="T245" s="154" t="s">
        <v>1153</v>
      </c>
      <c r="U245" s="154" t="s">
        <v>916</v>
      </c>
      <c r="V245" s="154" t="s">
        <v>916</v>
      </c>
      <c r="W245" s="154" t="s">
        <v>117</v>
      </c>
      <c r="X245" s="154" t="s">
        <v>1154</v>
      </c>
    </row>
    <row r="246" spans="1:24">
      <c r="A246" s="154" t="s">
        <v>102</v>
      </c>
      <c r="B246" s="154" t="s">
        <v>1401</v>
      </c>
      <c r="C246" s="155">
        <v>45908</v>
      </c>
      <c r="D246" s="155">
        <v>45874</v>
      </c>
      <c r="E246" s="159">
        <v>7391.03</v>
      </c>
      <c r="F246" s="159">
        <v>1847.74999999998</v>
      </c>
      <c r="G246" s="159">
        <v>1847.74999999998</v>
      </c>
      <c r="H246" s="184">
        <f t="shared" si="6"/>
        <v>45978</v>
      </c>
      <c r="I246" s="187" cm="1">
        <f t="array" ref="I246">G246*[15]!CalculateINPC(C246,H246,-1)</f>
        <v>1857.9150825074798</v>
      </c>
      <c r="J246" s="187">
        <f t="shared" si="7"/>
        <v>1944.4593248214908</v>
      </c>
      <c r="K246" s="187" cm="1">
        <f t="array" ref="K246">[15]!CalculateDICetip(C246,H246,1)*G246</f>
        <v>1899.3782229574797</v>
      </c>
      <c r="L246" s="154">
        <v>273143</v>
      </c>
      <c r="M246" s="154" t="s">
        <v>258</v>
      </c>
      <c r="N246" s="154" t="s">
        <v>149</v>
      </c>
      <c r="O246" s="154" t="s">
        <v>150</v>
      </c>
      <c r="P246" s="154">
        <v>27230</v>
      </c>
      <c r="Q246" s="154" t="s">
        <v>1147</v>
      </c>
      <c r="R246" s="154">
        <v>4</v>
      </c>
      <c r="S246" s="154" t="s">
        <v>1061</v>
      </c>
      <c r="T246" s="154" t="s">
        <v>1153</v>
      </c>
      <c r="U246" s="154" t="s">
        <v>916</v>
      </c>
      <c r="V246" s="154" t="s">
        <v>916</v>
      </c>
      <c r="W246" s="154" t="s">
        <v>117</v>
      </c>
      <c r="X246" s="154" t="s">
        <v>1154</v>
      </c>
    </row>
    <row r="247" spans="1:24">
      <c r="A247" s="154" t="s">
        <v>102</v>
      </c>
      <c r="B247" s="154" t="s">
        <v>1401</v>
      </c>
      <c r="C247" s="155">
        <v>45908</v>
      </c>
      <c r="D247" s="155">
        <v>45905</v>
      </c>
      <c r="E247" s="159">
        <v>310</v>
      </c>
      <c r="F247" s="159">
        <v>110</v>
      </c>
      <c r="G247" s="159">
        <v>110</v>
      </c>
      <c r="H247" s="184">
        <f t="shared" si="6"/>
        <v>45978</v>
      </c>
      <c r="I247" s="187" cm="1">
        <f t="array" ref="I247">G247*[15]!CalculateINPC(C247,H247,-1)</f>
        <v>110.6051463</v>
      </c>
      <c r="J247" s="187">
        <f t="shared" si="7"/>
        <v>115.75728628351578</v>
      </c>
      <c r="K247" s="187" cm="1">
        <f t="array" ref="K247">[15]!CalculateDICetip(C247,H247,1)*G247</f>
        <v>113.07352430000002</v>
      </c>
      <c r="L247" s="154">
        <v>273139</v>
      </c>
      <c r="M247" s="154" t="s">
        <v>1055</v>
      </c>
      <c r="N247" s="154" t="s">
        <v>189</v>
      </c>
      <c r="O247" s="154" t="s">
        <v>190</v>
      </c>
      <c r="P247" s="154">
        <v>27191</v>
      </c>
      <c r="Q247" s="154" t="s">
        <v>1148</v>
      </c>
      <c r="R247" s="154">
        <v>4</v>
      </c>
      <c r="S247" s="154" t="s">
        <v>1061</v>
      </c>
      <c r="T247" s="154" t="s">
        <v>1155</v>
      </c>
      <c r="U247" s="154" t="s">
        <v>916</v>
      </c>
      <c r="V247" s="154" t="s">
        <v>916</v>
      </c>
      <c r="W247" s="154" t="s">
        <v>130</v>
      </c>
      <c r="X247" s="154" t="s">
        <v>1156</v>
      </c>
    </row>
    <row r="248" spans="1:24">
      <c r="A248" s="154" t="s">
        <v>102</v>
      </c>
      <c r="B248" s="154" t="s">
        <v>1401</v>
      </c>
      <c r="C248" s="155">
        <v>45908</v>
      </c>
      <c r="D248" s="155">
        <v>45874</v>
      </c>
      <c r="E248" s="159">
        <v>7391.03</v>
      </c>
      <c r="F248" s="159">
        <v>1847.74999999998</v>
      </c>
      <c r="G248" s="159">
        <v>1847.74999999998</v>
      </c>
      <c r="H248" s="184">
        <f t="shared" si="6"/>
        <v>45978</v>
      </c>
      <c r="I248" s="187" cm="1">
        <f t="array" ref="I248">G248*[15]!CalculateINPC(C248,H248,-1)</f>
        <v>1857.9150825074798</v>
      </c>
      <c r="J248" s="187">
        <f t="shared" si="7"/>
        <v>1944.4593248214908</v>
      </c>
      <c r="K248" s="187" cm="1">
        <f t="array" ref="K248">[15]!CalculateDICetip(C248,H248,1)*G248</f>
        <v>1899.3782229574797</v>
      </c>
      <c r="L248" s="154">
        <v>273143</v>
      </c>
      <c r="M248" s="154" t="s">
        <v>258</v>
      </c>
      <c r="N248" s="154" t="s">
        <v>149</v>
      </c>
      <c r="O248" s="154" t="s">
        <v>150</v>
      </c>
      <c r="P248" s="154">
        <v>27228</v>
      </c>
      <c r="Q248" s="154" t="s">
        <v>1126</v>
      </c>
      <c r="R248" s="154">
        <v>4</v>
      </c>
      <c r="S248" s="154" t="s">
        <v>1061</v>
      </c>
      <c r="T248" s="154" t="s">
        <v>1153</v>
      </c>
      <c r="U248" s="154" t="s">
        <v>916</v>
      </c>
      <c r="V248" s="154" t="s">
        <v>916</v>
      </c>
      <c r="W248" s="154" t="s">
        <v>117</v>
      </c>
      <c r="X248" s="154" t="s">
        <v>1154</v>
      </c>
    </row>
    <row r="249" spans="1:24">
      <c r="A249" s="154" t="s">
        <v>102</v>
      </c>
      <c r="B249" s="154" t="s">
        <v>1401</v>
      </c>
      <c r="C249" s="155">
        <v>45908</v>
      </c>
      <c r="D249" s="155">
        <v>45905</v>
      </c>
      <c r="E249" s="159">
        <v>310</v>
      </c>
      <c r="F249" s="159">
        <v>200</v>
      </c>
      <c r="G249" s="159">
        <v>200</v>
      </c>
      <c r="H249" s="184">
        <f t="shared" si="6"/>
        <v>45978</v>
      </c>
      <c r="I249" s="187" cm="1">
        <f t="array" ref="I249">G249*[15]!CalculateINPC(C249,H249,-1)</f>
        <v>201.100266</v>
      </c>
      <c r="J249" s="187">
        <f t="shared" si="7"/>
        <v>210.46779324275599</v>
      </c>
      <c r="K249" s="187" cm="1">
        <f t="array" ref="K249">[15]!CalculateDICetip(C249,H249,1)*G249</f>
        <v>205.58822600000002</v>
      </c>
      <c r="L249" s="154">
        <v>273139</v>
      </c>
      <c r="M249" s="154" t="s">
        <v>1055</v>
      </c>
      <c r="N249" s="154" t="s">
        <v>189</v>
      </c>
      <c r="O249" s="154" t="s">
        <v>190</v>
      </c>
      <c r="P249" s="154">
        <v>27237</v>
      </c>
      <c r="Q249" s="154" t="s">
        <v>1060</v>
      </c>
      <c r="R249" s="154">
        <v>4</v>
      </c>
      <c r="S249" s="154" t="s">
        <v>1061</v>
      </c>
      <c r="T249" s="154" t="s">
        <v>1155</v>
      </c>
      <c r="U249" s="154" t="s">
        <v>916</v>
      </c>
      <c r="V249" s="154" t="s">
        <v>916</v>
      </c>
      <c r="W249" s="154" t="s">
        <v>130</v>
      </c>
      <c r="X249" s="154" t="s">
        <v>1156</v>
      </c>
    </row>
    <row r="250" spans="1:24">
      <c r="A250" s="154" t="s">
        <v>102</v>
      </c>
      <c r="B250" s="154" t="s">
        <v>1401</v>
      </c>
      <c r="C250" s="155">
        <v>45908</v>
      </c>
      <c r="D250" s="155">
        <v>45874</v>
      </c>
      <c r="E250" s="159">
        <v>7391.03</v>
      </c>
      <c r="F250" s="159">
        <v>1847.74999999998</v>
      </c>
      <c r="G250" s="159">
        <v>1847.74999999998</v>
      </c>
      <c r="H250" s="184">
        <f t="shared" si="6"/>
        <v>45978</v>
      </c>
      <c r="I250" s="187" cm="1">
        <f t="array" ref="I250">G250*[15]!CalculateINPC(C250,H250,-1)</f>
        <v>1857.9150825074798</v>
      </c>
      <c r="J250" s="187">
        <f t="shared" si="7"/>
        <v>1944.4593248214908</v>
      </c>
      <c r="K250" s="187" cm="1">
        <f t="array" ref="K250">[15]!CalculateDICetip(C250,H250,1)*G250</f>
        <v>1899.3782229574797</v>
      </c>
      <c r="L250" s="154">
        <v>273143</v>
      </c>
      <c r="M250" s="154" t="s">
        <v>258</v>
      </c>
      <c r="N250" s="154" t="s">
        <v>149</v>
      </c>
      <c r="O250" s="154" t="s">
        <v>150</v>
      </c>
      <c r="P250" s="154">
        <v>27234</v>
      </c>
      <c r="Q250" s="154" t="s">
        <v>1083</v>
      </c>
      <c r="R250" s="154">
        <v>4</v>
      </c>
      <c r="S250" s="154" t="s">
        <v>1061</v>
      </c>
      <c r="T250" s="154" t="s">
        <v>1153</v>
      </c>
      <c r="U250" s="154" t="s">
        <v>916</v>
      </c>
      <c r="V250" s="154" t="s">
        <v>916</v>
      </c>
      <c r="W250" s="154" t="s">
        <v>117</v>
      </c>
      <c r="X250" s="154" t="s">
        <v>1154</v>
      </c>
    </row>
    <row r="251" spans="1:24">
      <c r="A251" s="154" t="s">
        <v>102</v>
      </c>
      <c r="B251" s="154" t="s">
        <v>1401</v>
      </c>
      <c r="C251" s="155">
        <v>45938</v>
      </c>
      <c r="D251" s="155">
        <v>45925</v>
      </c>
      <c r="E251" s="159">
        <v>32988.879999999997</v>
      </c>
      <c r="F251" s="159">
        <v>2518.91</v>
      </c>
      <c r="G251" s="159">
        <v>2518.91</v>
      </c>
      <c r="H251" s="184">
        <f t="shared" si="6"/>
        <v>45978</v>
      </c>
      <c r="I251" s="187" cm="1">
        <f t="array" ref="I251">G251*[15]!CalculateINPC(C251,H251,-1)</f>
        <v>2519.6640105193997</v>
      </c>
      <c r="J251" s="187">
        <f t="shared" si="7"/>
        <v>2593.4209990437439</v>
      </c>
      <c r="K251" s="187" cm="1">
        <f t="array" ref="K251">[15]!CalculateDICetip(C251,H251,1)*G251</f>
        <v>2558.0843905891998</v>
      </c>
      <c r="L251" s="154">
        <v>272388</v>
      </c>
      <c r="M251" s="154" t="s">
        <v>200</v>
      </c>
      <c r="N251" s="154" t="s">
        <v>119</v>
      </c>
      <c r="O251" s="154" t="s">
        <v>120</v>
      </c>
      <c r="P251" s="154">
        <v>27180</v>
      </c>
      <c r="Q251" s="154" t="s">
        <v>1064</v>
      </c>
      <c r="R251" s="154">
        <v>4</v>
      </c>
      <c r="S251" s="154" t="s">
        <v>1061</v>
      </c>
      <c r="T251" s="154" t="s">
        <v>1118</v>
      </c>
      <c r="U251" s="154" t="s">
        <v>1071</v>
      </c>
      <c r="V251" s="154" t="s">
        <v>1072</v>
      </c>
      <c r="W251" s="154" t="s">
        <v>111</v>
      </c>
      <c r="X251" s="154" t="s">
        <v>1119</v>
      </c>
    </row>
    <row r="252" spans="1:24">
      <c r="A252" s="154" t="s">
        <v>102</v>
      </c>
      <c r="B252" s="154" t="s">
        <v>1401</v>
      </c>
      <c r="C252" s="155">
        <v>45938</v>
      </c>
      <c r="D252" s="155">
        <v>45925</v>
      </c>
      <c r="E252" s="159">
        <v>801.17</v>
      </c>
      <c r="F252" s="159">
        <v>61.18</v>
      </c>
      <c r="G252" s="159">
        <v>61.18</v>
      </c>
      <c r="H252" s="184">
        <f t="shared" si="6"/>
        <v>45978</v>
      </c>
      <c r="I252" s="187" cm="1">
        <f t="array" ref="I252">G252*[15]!CalculateINPC(C252,H252,-1)</f>
        <v>61.198313621200001</v>
      </c>
      <c r="J252" s="187">
        <f t="shared" si="7"/>
        <v>62.989744262993227</v>
      </c>
      <c r="K252" s="187" cm="1">
        <f t="array" ref="K252">[15]!CalculateDICetip(C252,H252,1)*G252</f>
        <v>62.131478701599995</v>
      </c>
      <c r="L252" s="154">
        <v>272403</v>
      </c>
      <c r="M252" s="154" t="s">
        <v>200</v>
      </c>
      <c r="N252" s="154" t="s">
        <v>119</v>
      </c>
      <c r="O252" s="154" t="s">
        <v>120</v>
      </c>
      <c r="P252" s="154">
        <v>27218</v>
      </c>
      <c r="Q252" s="154" t="s">
        <v>1113</v>
      </c>
      <c r="R252" s="154">
        <v>4</v>
      </c>
      <c r="S252" s="154" t="s">
        <v>1061</v>
      </c>
      <c r="T252" s="154" t="s">
        <v>1114</v>
      </c>
      <c r="U252" s="154" t="s">
        <v>1071</v>
      </c>
      <c r="V252" s="154" t="s">
        <v>1072</v>
      </c>
      <c r="W252" s="154" t="s">
        <v>111</v>
      </c>
      <c r="X252" s="154" t="s">
        <v>1115</v>
      </c>
    </row>
    <row r="253" spans="1:24">
      <c r="A253" s="154" t="s">
        <v>102</v>
      </c>
      <c r="B253" s="154" t="s">
        <v>1401</v>
      </c>
      <c r="C253" s="155">
        <v>45938</v>
      </c>
      <c r="D253" s="155">
        <v>45925</v>
      </c>
      <c r="E253" s="159">
        <v>714.5</v>
      </c>
      <c r="F253" s="159">
        <v>54.56</v>
      </c>
      <c r="G253" s="159">
        <v>54.56</v>
      </c>
      <c r="H253" s="184">
        <f t="shared" si="6"/>
        <v>45978</v>
      </c>
      <c r="I253" s="187" cm="1">
        <f t="array" ref="I253">G253*[15]!CalculateINPC(C253,H253,-1)</f>
        <v>54.5763319904</v>
      </c>
      <c r="J253" s="187">
        <f t="shared" si="7"/>
        <v>56.173920349606256</v>
      </c>
      <c r="K253" s="187" cm="1">
        <f t="array" ref="K253">[15]!CalculateDICetip(C253,H253,1)*G253</f>
        <v>55.408523667200001</v>
      </c>
      <c r="L253" s="154">
        <v>272399</v>
      </c>
      <c r="M253" s="154" t="s">
        <v>200</v>
      </c>
      <c r="N253" s="154" t="s">
        <v>119</v>
      </c>
      <c r="O253" s="154" t="s">
        <v>120</v>
      </c>
      <c r="P253" s="154">
        <v>27209</v>
      </c>
      <c r="Q253" s="154" t="s">
        <v>1110</v>
      </c>
      <c r="R253" s="154">
        <v>4</v>
      </c>
      <c r="S253" s="154" t="s">
        <v>1061</v>
      </c>
      <c r="T253" s="154" t="s">
        <v>1111</v>
      </c>
      <c r="U253" s="154" t="s">
        <v>1071</v>
      </c>
      <c r="V253" s="154" t="s">
        <v>1072</v>
      </c>
      <c r="W253" s="154" t="s">
        <v>111</v>
      </c>
      <c r="X253" s="154" t="s">
        <v>1112</v>
      </c>
    </row>
    <row r="254" spans="1:24">
      <c r="A254" s="154" t="s">
        <v>102</v>
      </c>
      <c r="B254" s="154" t="s">
        <v>1401</v>
      </c>
      <c r="C254" s="155">
        <v>45938</v>
      </c>
      <c r="D254" s="155">
        <v>45925</v>
      </c>
      <c r="E254" s="159">
        <v>714.5</v>
      </c>
      <c r="F254" s="159">
        <v>54.56</v>
      </c>
      <c r="G254" s="159">
        <v>54.56</v>
      </c>
      <c r="H254" s="184">
        <f t="shared" si="6"/>
        <v>45978</v>
      </c>
      <c r="I254" s="187" cm="1">
        <f t="array" ref="I254">G254*[15]!CalculateINPC(C254,H254,-1)</f>
        <v>54.5763319904</v>
      </c>
      <c r="J254" s="187">
        <f t="shared" si="7"/>
        <v>56.173920349606256</v>
      </c>
      <c r="K254" s="187" cm="1">
        <f t="array" ref="K254">[15]!CalculateDICetip(C254,H254,1)*G254</f>
        <v>55.408523667200001</v>
      </c>
      <c r="L254" s="154">
        <v>272400</v>
      </c>
      <c r="M254" s="154" t="s">
        <v>200</v>
      </c>
      <c r="N254" s="154" t="s">
        <v>119</v>
      </c>
      <c r="O254" s="154" t="s">
        <v>120</v>
      </c>
      <c r="P254" s="154">
        <v>27211</v>
      </c>
      <c r="Q254" s="154" t="s">
        <v>1107</v>
      </c>
      <c r="R254" s="154">
        <v>4</v>
      </c>
      <c r="S254" s="154" t="s">
        <v>1061</v>
      </c>
      <c r="T254" s="154" t="s">
        <v>1108</v>
      </c>
      <c r="U254" s="154" t="s">
        <v>1071</v>
      </c>
      <c r="V254" s="154" t="s">
        <v>1072</v>
      </c>
      <c r="W254" s="154" t="s">
        <v>111</v>
      </c>
      <c r="X254" s="154" t="s">
        <v>1109</v>
      </c>
    </row>
    <row r="255" spans="1:24">
      <c r="A255" s="154" t="s">
        <v>102</v>
      </c>
      <c r="B255" s="154" t="s">
        <v>1401</v>
      </c>
      <c r="C255" s="155">
        <v>45938</v>
      </c>
      <c r="D255" s="155">
        <v>45925</v>
      </c>
      <c r="E255" s="159">
        <v>4222.66</v>
      </c>
      <c r="F255" s="159">
        <v>322.43</v>
      </c>
      <c r="G255" s="159">
        <v>322.43</v>
      </c>
      <c r="H255" s="184">
        <f t="shared" si="6"/>
        <v>45978</v>
      </c>
      <c r="I255" s="187" cm="1">
        <f t="array" ref="I255">G255*[15]!CalculateINPC(C255,H255,-1)</f>
        <v>322.52651619620002</v>
      </c>
      <c r="J255" s="187">
        <f t="shared" si="7"/>
        <v>331.96768948540222</v>
      </c>
      <c r="K255" s="187" cm="1">
        <f t="array" ref="K255">[15]!CalculateDICetip(C255,H255,1)*G255</f>
        <v>327.44447005159998</v>
      </c>
      <c r="L255" s="154">
        <v>272389</v>
      </c>
      <c r="M255" s="154" t="s">
        <v>200</v>
      </c>
      <c r="N255" s="154" t="s">
        <v>119</v>
      </c>
      <c r="O255" s="154" t="s">
        <v>120</v>
      </c>
      <c r="P255" s="154">
        <v>27193</v>
      </c>
      <c r="Q255" s="154" t="s">
        <v>1123</v>
      </c>
      <c r="R255" s="154">
        <v>4</v>
      </c>
      <c r="S255" s="154" t="s">
        <v>1061</v>
      </c>
      <c r="T255" s="154" t="s">
        <v>1124</v>
      </c>
      <c r="U255" s="154" t="s">
        <v>1071</v>
      </c>
      <c r="V255" s="154" t="s">
        <v>1072</v>
      </c>
      <c r="W255" s="154" t="s">
        <v>111</v>
      </c>
      <c r="X255" s="154" t="s">
        <v>1125</v>
      </c>
    </row>
    <row r="256" spans="1:24">
      <c r="A256" s="154" t="s">
        <v>102</v>
      </c>
      <c r="B256" s="154" t="s">
        <v>1401</v>
      </c>
      <c r="C256" s="155">
        <v>45938</v>
      </c>
      <c r="D256" s="155">
        <v>45925</v>
      </c>
      <c r="E256" s="159">
        <v>714.36</v>
      </c>
      <c r="F256" s="159">
        <v>54.55</v>
      </c>
      <c r="G256" s="159">
        <v>54.55</v>
      </c>
      <c r="H256" s="184">
        <f t="shared" si="6"/>
        <v>45978</v>
      </c>
      <c r="I256" s="187" cm="1">
        <f t="array" ref="I256">G256*[15]!CalculateINPC(C256,H256,-1)</f>
        <v>54.566328996999999</v>
      </c>
      <c r="J256" s="187">
        <f t="shared" si="7"/>
        <v>56.163624543090556</v>
      </c>
      <c r="K256" s="187" cm="1">
        <f t="array" ref="K256">[15]!CalculateDICetip(C256,H256,1)*G256</f>
        <v>55.398368145999996</v>
      </c>
      <c r="L256" s="154">
        <v>272406</v>
      </c>
      <c r="M256" s="154" t="s">
        <v>200</v>
      </c>
      <c r="N256" s="154" t="s">
        <v>119</v>
      </c>
      <c r="O256" s="154" t="s">
        <v>120</v>
      </c>
      <c r="P256" s="154">
        <v>27228</v>
      </c>
      <c r="Q256" s="154" t="s">
        <v>1126</v>
      </c>
      <c r="R256" s="154">
        <v>4</v>
      </c>
      <c r="S256" s="154" t="s">
        <v>1061</v>
      </c>
      <c r="T256" s="154" t="s">
        <v>1127</v>
      </c>
      <c r="U256" s="154" t="s">
        <v>1071</v>
      </c>
      <c r="V256" s="154" t="s">
        <v>1072</v>
      </c>
      <c r="W256" s="154" t="s">
        <v>111</v>
      </c>
      <c r="X256" s="154" t="s">
        <v>1128</v>
      </c>
    </row>
    <row r="257" spans="1:24">
      <c r="A257" s="154" t="s">
        <v>102</v>
      </c>
      <c r="B257" s="154" t="s">
        <v>1401</v>
      </c>
      <c r="C257" s="155">
        <v>45938</v>
      </c>
      <c r="D257" s="155">
        <v>45925</v>
      </c>
      <c r="E257" s="159">
        <v>4169.22</v>
      </c>
      <c r="F257" s="159">
        <v>318.35000000000002</v>
      </c>
      <c r="G257" s="159">
        <v>318.35000000000002</v>
      </c>
      <c r="H257" s="184">
        <f t="shared" si="6"/>
        <v>45978</v>
      </c>
      <c r="I257" s="187" cm="1">
        <f t="array" ref="I257">G257*[15]!CalculateINPC(C257,H257,-1)</f>
        <v>318.44529488900002</v>
      </c>
      <c r="J257" s="187">
        <f t="shared" si="7"/>
        <v>327.7670004270006</v>
      </c>
      <c r="K257" s="187" cm="1">
        <f t="array" ref="K257">[15]!CalculateDICetip(C257,H257,1)*G257</f>
        <v>323.30101740200001</v>
      </c>
      <c r="L257" s="154">
        <v>272391</v>
      </c>
      <c r="M257" s="154" t="s">
        <v>200</v>
      </c>
      <c r="N257" s="154" t="s">
        <v>119</v>
      </c>
      <c r="O257" s="154" t="s">
        <v>120</v>
      </c>
      <c r="P257" s="154">
        <v>27195</v>
      </c>
      <c r="Q257" s="154" t="s">
        <v>1098</v>
      </c>
      <c r="R257" s="154">
        <v>4</v>
      </c>
      <c r="S257" s="154" t="s">
        <v>1061</v>
      </c>
      <c r="T257" s="154" t="s">
        <v>1099</v>
      </c>
      <c r="U257" s="154" t="s">
        <v>1071</v>
      </c>
      <c r="V257" s="154" t="s">
        <v>1072</v>
      </c>
      <c r="W257" s="154" t="s">
        <v>111</v>
      </c>
      <c r="X257" s="154" t="s">
        <v>1100</v>
      </c>
    </row>
    <row r="258" spans="1:24">
      <c r="A258" s="154" t="s">
        <v>102</v>
      </c>
      <c r="B258" s="154" t="s">
        <v>1401</v>
      </c>
      <c r="C258" s="155">
        <v>45938</v>
      </c>
      <c r="D258" s="155">
        <v>45925</v>
      </c>
      <c r="E258" s="159">
        <v>714.5</v>
      </c>
      <c r="F258" s="159">
        <v>54.56</v>
      </c>
      <c r="G258" s="159">
        <v>54.56</v>
      </c>
      <c r="H258" s="184">
        <f t="shared" si="6"/>
        <v>45978</v>
      </c>
      <c r="I258" s="187" cm="1">
        <f t="array" ref="I258">G258*[15]!CalculateINPC(C258,H258,-1)</f>
        <v>54.5763319904</v>
      </c>
      <c r="J258" s="187">
        <f t="shared" si="7"/>
        <v>56.173920349606256</v>
      </c>
      <c r="K258" s="187" cm="1">
        <f t="array" ref="K258">[15]!CalculateDICetip(C258,H258,1)*G258</f>
        <v>55.408523667200001</v>
      </c>
      <c r="L258" s="154">
        <v>272392</v>
      </c>
      <c r="M258" s="154" t="s">
        <v>200</v>
      </c>
      <c r="N258" s="154" t="s">
        <v>119</v>
      </c>
      <c r="O258" s="154" t="s">
        <v>120</v>
      </c>
      <c r="P258" s="154">
        <v>27201</v>
      </c>
      <c r="Q258" s="154" t="s">
        <v>1120</v>
      </c>
      <c r="R258" s="154">
        <v>4</v>
      </c>
      <c r="S258" s="154" t="s">
        <v>1061</v>
      </c>
      <c r="T258" s="154" t="s">
        <v>1121</v>
      </c>
      <c r="U258" s="154" t="s">
        <v>1071</v>
      </c>
      <c r="V258" s="154" t="s">
        <v>1072</v>
      </c>
      <c r="W258" s="154" t="s">
        <v>111</v>
      </c>
      <c r="X258" s="154" t="s">
        <v>1122</v>
      </c>
    </row>
    <row r="259" spans="1:24">
      <c r="A259" s="154" t="s">
        <v>102</v>
      </c>
      <c r="B259" s="154" t="s">
        <v>1401</v>
      </c>
      <c r="C259" s="155">
        <v>45938</v>
      </c>
      <c r="D259" s="155">
        <v>45925</v>
      </c>
      <c r="E259" s="159">
        <v>798.89</v>
      </c>
      <c r="F259" s="159">
        <v>61</v>
      </c>
      <c r="G259" s="159">
        <v>61</v>
      </c>
      <c r="H259" s="184">
        <f t="shared" si="6"/>
        <v>45978</v>
      </c>
      <c r="I259" s="187" cm="1">
        <f t="array" ref="I259">G259*[15]!CalculateINPC(C259,H259,-1)</f>
        <v>61.018259739999998</v>
      </c>
      <c r="J259" s="187">
        <f t="shared" si="7"/>
        <v>62.804419745710803</v>
      </c>
      <c r="K259" s="187" cm="1">
        <f t="array" ref="K259">[15]!CalculateDICetip(C259,H259,1)*G259</f>
        <v>61.948679319999997</v>
      </c>
      <c r="L259" s="154">
        <v>272405</v>
      </c>
      <c r="M259" s="154" t="s">
        <v>200</v>
      </c>
      <c r="N259" s="154" t="s">
        <v>119</v>
      </c>
      <c r="O259" s="154" t="s">
        <v>120</v>
      </c>
      <c r="P259" s="154">
        <v>27220</v>
      </c>
      <c r="Q259" s="154" t="s">
        <v>1092</v>
      </c>
      <c r="R259" s="154">
        <v>4</v>
      </c>
      <c r="S259" s="154" t="s">
        <v>1061</v>
      </c>
      <c r="T259" s="154" t="s">
        <v>1093</v>
      </c>
      <c r="U259" s="154" t="s">
        <v>1071</v>
      </c>
      <c r="V259" s="154" t="s">
        <v>1072</v>
      </c>
      <c r="W259" s="154" t="s">
        <v>111</v>
      </c>
      <c r="X259" s="154" t="s">
        <v>1094</v>
      </c>
    </row>
    <row r="260" spans="1:24">
      <c r="A260" s="154" t="s">
        <v>102</v>
      </c>
      <c r="B260" s="154" t="s">
        <v>1401</v>
      </c>
      <c r="C260" s="155">
        <v>45938</v>
      </c>
      <c r="D260" s="155">
        <v>45925</v>
      </c>
      <c r="E260" s="159">
        <v>714.5</v>
      </c>
      <c r="F260" s="159">
        <v>54.56</v>
      </c>
      <c r="G260" s="159">
        <v>54.56</v>
      </c>
      <c r="H260" s="184">
        <f t="shared" ref="H260:H323" si="8">$A$2</f>
        <v>45978</v>
      </c>
      <c r="I260" s="187" cm="1">
        <f t="array" ref="I260">G260*[15]!CalculateINPC(C260,H260,-1)</f>
        <v>54.5763319904</v>
      </c>
      <c r="J260" s="187">
        <f t="shared" ref="J260:J323" si="9">G260*1.3^((H260-C260)/360)</f>
        <v>56.173920349606256</v>
      </c>
      <c r="K260" s="187" cm="1">
        <f t="array" ref="K260">[15]!CalculateDICetip(C260,H260,1)*G260</f>
        <v>55.408523667200001</v>
      </c>
      <c r="L260" s="154">
        <v>272395</v>
      </c>
      <c r="M260" s="154" t="s">
        <v>200</v>
      </c>
      <c r="N260" s="154" t="s">
        <v>119</v>
      </c>
      <c r="O260" s="154" t="s">
        <v>120</v>
      </c>
      <c r="P260" s="154">
        <v>27205</v>
      </c>
      <c r="Q260" s="154" t="s">
        <v>1089</v>
      </c>
      <c r="R260" s="154">
        <v>4</v>
      </c>
      <c r="S260" s="154" t="s">
        <v>1061</v>
      </c>
      <c r="T260" s="154" t="s">
        <v>1090</v>
      </c>
      <c r="U260" s="154" t="s">
        <v>1071</v>
      </c>
      <c r="V260" s="154" t="s">
        <v>1072</v>
      </c>
      <c r="W260" s="154" t="s">
        <v>111</v>
      </c>
      <c r="X260" s="154" t="s">
        <v>1091</v>
      </c>
    </row>
    <row r="261" spans="1:24">
      <c r="A261" s="154" t="s">
        <v>102</v>
      </c>
      <c r="B261" s="154" t="s">
        <v>1401</v>
      </c>
      <c r="C261" s="155">
        <v>45938</v>
      </c>
      <c r="D261" s="155">
        <v>45925</v>
      </c>
      <c r="E261" s="159">
        <v>714.5</v>
      </c>
      <c r="F261" s="159">
        <v>54.56</v>
      </c>
      <c r="G261" s="159">
        <v>54.56</v>
      </c>
      <c r="H261" s="184">
        <f t="shared" si="8"/>
        <v>45978</v>
      </c>
      <c r="I261" s="187" cm="1">
        <f t="array" ref="I261">G261*[15]!CalculateINPC(C261,H261,-1)</f>
        <v>54.5763319904</v>
      </c>
      <c r="J261" s="187">
        <f t="shared" si="9"/>
        <v>56.173920349606256</v>
      </c>
      <c r="K261" s="187" cm="1">
        <f t="array" ref="K261">[15]!CalculateDICetip(C261,H261,1)*G261</f>
        <v>55.408523667200001</v>
      </c>
      <c r="L261" s="154">
        <v>272402</v>
      </c>
      <c r="M261" s="154" t="s">
        <v>200</v>
      </c>
      <c r="N261" s="154" t="s">
        <v>119</v>
      </c>
      <c r="O261" s="154" t="s">
        <v>120</v>
      </c>
      <c r="P261" s="154">
        <v>27215</v>
      </c>
      <c r="Q261" s="154" t="s">
        <v>1095</v>
      </c>
      <c r="R261" s="154">
        <v>4</v>
      </c>
      <c r="S261" s="154" t="s">
        <v>1061</v>
      </c>
      <c r="T261" s="154" t="s">
        <v>1096</v>
      </c>
      <c r="U261" s="154" t="s">
        <v>1071</v>
      </c>
      <c r="V261" s="154" t="s">
        <v>1072</v>
      </c>
      <c r="W261" s="154" t="s">
        <v>111</v>
      </c>
      <c r="X261" s="154" t="s">
        <v>1097</v>
      </c>
    </row>
    <row r="262" spans="1:24">
      <c r="A262" s="154" t="s">
        <v>102</v>
      </c>
      <c r="B262" s="154" t="s">
        <v>1401</v>
      </c>
      <c r="C262" s="155">
        <v>45938</v>
      </c>
      <c r="D262" s="155">
        <v>45925</v>
      </c>
      <c r="E262" s="159">
        <v>714.5</v>
      </c>
      <c r="F262" s="159">
        <v>54.56</v>
      </c>
      <c r="G262" s="159">
        <v>54.56</v>
      </c>
      <c r="H262" s="184">
        <f t="shared" si="8"/>
        <v>45978</v>
      </c>
      <c r="I262" s="187" cm="1">
        <f t="array" ref="I262">G262*[15]!CalculateINPC(C262,H262,-1)</f>
        <v>54.5763319904</v>
      </c>
      <c r="J262" s="187">
        <f t="shared" si="9"/>
        <v>56.173920349606256</v>
      </c>
      <c r="K262" s="187" cm="1">
        <f t="array" ref="K262">[15]!CalculateDICetip(C262,H262,1)*G262</f>
        <v>55.408523667200001</v>
      </c>
      <c r="L262" s="154">
        <v>272394</v>
      </c>
      <c r="M262" s="154" t="s">
        <v>200</v>
      </c>
      <c r="N262" s="154" t="s">
        <v>119</v>
      </c>
      <c r="O262" s="154" t="s">
        <v>120</v>
      </c>
      <c r="P262" s="154">
        <v>27203</v>
      </c>
      <c r="Q262" s="154" t="s">
        <v>1086</v>
      </c>
      <c r="R262" s="154">
        <v>4</v>
      </c>
      <c r="S262" s="154" t="s">
        <v>1061</v>
      </c>
      <c r="T262" s="154" t="s">
        <v>1087</v>
      </c>
      <c r="U262" s="154" t="s">
        <v>1071</v>
      </c>
      <c r="V262" s="154" t="s">
        <v>1072</v>
      </c>
      <c r="W262" s="154" t="s">
        <v>111</v>
      </c>
      <c r="X262" s="154" t="s">
        <v>1088</v>
      </c>
    </row>
    <row r="263" spans="1:24">
      <c r="A263" s="154" t="s">
        <v>102</v>
      </c>
      <c r="B263" s="154" t="s">
        <v>1401</v>
      </c>
      <c r="C263" s="155">
        <v>45938</v>
      </c>
      <c r="D263" s="155">
        <v>45925</v>
      </c>
      <c r="E263" s="159">
        <v>329.83</v>
      </c>
      <c r="F263" s="159">
        <v>25.19</v>
      </c>
      <c r="G263" s="159">
        <v>25.19</v>
      </c>
      <c r="H263" s="184">
        <f t="shared" si="8"/>
        <v>45978</v>
      </c>
      <c r="I263" s="187" cm="1">
        <f t="array" ref="I263">G263*[15]!CalculateINPC(C263,H263,-1)</f>
        <v>25.197540374599999</v>
      </c>
      <c r="J263" s="187">
        <f t="shared" si="9"/>
        <v>25.935136613023857</v>
      </c>
      <c r="K263" s="187" cm="1">
        <f t="array" ref="K263">[15]!CalculateDICetip(C263,H263,1)*G263</f>
        <v>25.5817579028</v>
      </c>
      <c r="L263" s="154">
        <v>272414</v>
      </c>
      <c r="M263" s="154" t="s">
        <v>200</v>
      </c>
      <c r="N263" s="154" t="s">
        <v>119</v>
      </c>
      <c r="O263" s="154" t="s">
        <v>120</v>
      </c>
      <c r="P263" s="154">
        <v>27234</v>
      </c>
      <c r="Q263" s="154" t="s">
        <v>1083</v>
      </c>
      <c r="R263" s="154">
        <v>4</v>
      </c>
      <c r="S263" s="154" t="s">
        <v>1061</v>
      </c>
      <c r="T263" s="154" t="s">
        <v>1084</v>
      </c>
      <c r="U263" s="154" t="s">
        <v>1071</v>
      </c>
      <c r="V263" s="154" t="s">
        <v>1072</v>
      </c>
      <c r="W263" s="154" t="s">
        <v>111</v>
      </c>
      <c r="X263" s="154" t="s">
        <v>1085</v>
      </c>
    </row>
    <row r="264" spans="1:24">
      <c r="A264" s="154" t="s">
        <v>102</v>
      </c>
      <c r="B264" s="154" t="s">
        <v>1401</v>
      </c>
      <c r="C264" s="155">
        <v>45938</v>
      </c>
      <c r="D264" s="155">
        <v>45925</v>
      </c>
      <c r="E264" s="159">
        <v>714.5</v>
      </c>
      <c r="F264" s="159">
        <v>54.56</v>
      </c>
      <c r="G264" s="159">
        <v>54.56</v>
      </c>
      <c r="H264" s="184">
        <f t="shared" si="8"/>
        <v>45978</v>
      </c>
      <c r="I264" s="187" cm="1">
        <f t="array" ref="I264">G264*[15]!CalculateINPC(C264,H264,-1)</f>
        <v>54.5763319904</v>
      </c>
      <c r="J264" s="187">
        <f t="shared" si="9"/>
        <v>56.173920349606256</v>
      </c>
      <c r="K264" s="187" cm="1">
        <f t="array" ref="K264">[15]!CalculateDICetip(C264,H264,1)*G264</f>
        <v>55.408523667200001</v>
      </c>
      <c r="L264" s="154">
        <v>272401</v>
      </c>
      <c r="M264" s="154" t="s">
        <v>200</v>
      </c>
      <c r="N264" s="154" t="s">
        <v>119</v>
      </c>
      <c r="O264" s="154" t="s">
        <v>120</v>
      </c>
      <c r="P264" s="154">
        <v>27213</v>
      </c>
      <c r="Q264" s="154" t="s">
        <v>1101</v>
      </c>
      <c r="R264" s="154">
        <v>4</v>
      </c>
      <c r="S264" s="154" t="s">
        <v>1061</v>
      </c>
      <c r="T264" s="154" t="s">
        <v>1102</v>
      </c>
      <c r="U264" s="154" t="s">
        <v>1071</v>
      </c>
      <c r="V264" s="154" t="s">
        <v>1072</v>
      </c>
      <c r="W264" s="154" t="s">
        <v>111</v>
      </c>
      <c r="X264" s="154" t="s">
        <v>1103</v>
      </c>
    </row>
    <row r="265" spans="1:24">
      <c r="A265" s="154" t="s">
        <v>102</v>
      </c>
      <c r="B265" s="154" t="s">
        <v>1401</v>
      </c>
      <c r="C265" s="155">
        <v>45938</v>
      </c>
      <c r="D265" s="155">
        <v>45925</v>
      </c>
      <c r="E265" s="159">
        <v>329.83</v>
      </c>
      <c r="F265" s="159">
        <v>25.19</v>
      </c>
      <c r="G265" s="159">
        <v>25.19</v>
      </c>
      <c r="H265" s="184">
        <f t="shared" si="8"/>
        <v>45978</v>
      </c>
      <c r="I265" s="187" cm="1">
        <f t="array" ref="I265">G265*[15]!CalculateINPC(C265,H265,-1)</f>
        <v>25.197540374599999</v>
      </c>
      <c r="J265" s="187">
        <f t="shared" si="9"/>
        <v>25.935136613023857</v>
      </c>
      <c r="K265" s="187" cm="1">
        <f t="array" ref="K265">[15]!CalculateDICetip(C265,H265,1)*G265</f>
        <v>25.5817579028</v>
      </c>
      <c r="L265" s="154">
        <v>272411</v>
      </c>
      <c r="M265" s="154" t="s">
        <v>200</v>
      </c>
      <c r="N265" s="154" t="s">
        <v>119</v>
      </c>
      <c r="O265" s="154" t="s">
        <v>120</v>
      </c>
      <c r="P265" s="154">
        <v>27233</v>
      </c>
      <c r="Q265" s="154" t="s">
        <v>1104</v>
      </c>
      <c r="R265" s="154">
        <v>4</v>
      </c>
      <c r="S265" s="154" t="s">
        <v>1061</v>
      </c>
      <c r="T265" s="154" t="s">
        <v>1105</v>
      </c>
      <c r="U265" s="154" t="s">
        <v>1071</v>
      </c>
      <c r="V265" s="154" t="s">
        <v>1072</v>
      </c>
      <c r="W265" s="154" t="s">
        <v>111</v>
      </c>
      <c r="X265" s="154" t="s">
        <v>1106</v>
      </c>
    </row>
    <row r="266" spans="1:24">
      <c r="A266" s="154" t="s">
        <v>102</v>
      </c>
      <c r="B266" s="154" t="s">
        <v>1401</v>
      </c>
      <c r="C266" s="155">
        <v>45909</v>
      </c>
      <c r="D266" s="155">
        <v>45901</v>
      </c>
      <c r="E266" s="159">
        <v>260</v>
      </c>
      <c r="F266" s="159">
        <v>130</v>
      </c>
      <c r="G266" s="159">
        <v>130</v>
      </c>
      <c r="H266" s="184">
        <f t="shared" si="8"/>
        <v>45978</v>
      </c>
      <c r="I266" s="187" cm="1">
        <f t="array" ref="I266">G266*[15]!CalculateINPC(C266,H266,-1)</f>
        <v>130.7151729</v>
      </c>
      <c r="J266" s="187">
        <f t="shared" si="9"/>
        <v>136.70440054616364</v>
      </c>
      <c r="K266" s="187" cm="1">
        <f t="array" ref="K266">[15]!CalculateDICetip(C266,H266,1)*G266</f>
        <v>133.55871490000001</v>
      </c>
      <c r="L266" s="154">
        <v>273148</v>
      </c>
      <c r="M266" s="154" t="s">
        <v>1157</v>
      </c>
      <c r="N266" s="154" t="s">
        <v>706</v>
      </c>
      <c r="O266" s="154" t="s">
        <v>707</v>
      </c>
      <c r="P266" s="154">
        <v>27238</v>
      </c>
      <c r="Q266" s="154" t="s">
        <v>1066</v>
      </c>
      <c r="R266" s="154">
        <v>4</v>
      </c>
      <c r="S266" s="154" t="s">
        <v>1061</v>
      </c>
      <c r="T266" s="154" t="s">
        <v>1158</v>
      </c>
      <c r="U266" s="154" t="s">
        <v>916</v>
      </c>
      <c r="V266" s="154" t="s">
        <v>916</v>
      </c>
      <c r="W266" s="154" t="s">
        <v>130</v>
      </c>
      <c r="X266" s="154" t="s">
        <v>1159</v>
      </c>
    </row>
    <row r="267" spans="1:24">
      <c r="A267" s="154" t="s">
        <v>102</v>
      </c>
      <c r="B267" s="154" t="s">
        <v>1401</v>
      </c>
      <c r="C267" s="155">
        <v>45909</v>
      </c>
      <c r="D267" s="155">
        <v>45901</v>
      </c>
      <c r="E267" s="159">
        <v>260</v>
      </c>
      <c r="F267" s="159">
        <v>130</v>
      </c>
      <c r="G267" s="159">
        <v>130</v>
      </c>
      <c r="H267" s="184">
        <f t="shared" si="8"/>
        <v>45978</v>
      </c>
      <c r="I267" s="187" cm="1">
        <f t="array" ref="I267">G267*[15]!CalculateINPC(C267,H267,-1)</f>
        <v>130.7151729</v>
      </c>
      <c r="J267" s="187">
        <f t="shared" si="9"/>
        <v>136.70440054616364</v>
      </c>
      <c r="K267" s="187" cm="1">
        <f t="array" ref="K267">[15]!CalculateDICetip(C267,H267,1)*G267</f>
        <v>133.55871490000001</v>
      </c>
      <c r="L267" s="154">
        <v>273148</v>
      </c>
      <c r="M267" s="154" t="s">
        <v>1157</v>
      </c>
      <c r="N267" s="154" t="s">
        <v>706</v>
      </c>
      <c r="O267" s="154" t="s">
        <v>707</v>
      </c>
      <c r="P267" s="154">
        <v>27237</v>
      </c>
      <c r="Q267" s="154" t="s">
        <v>1060</v>
      </c>
      <c r="R267" s="154">
        <v>4</v>
      </c>
      <c r="S267" s="154" t="s">
        <v>1061</v>
      </c>
      <c r="T267" s="154" t="s">
        <v>1158</v>
      </c>
      <c r="U267" s="154" t="s">
        <v>916</v>
      </c>
      <c r="V267" s="154" t="s">
        <v>916</v>
      </c>
      <c r="W267" s="154" t="s">
        <v>130</v>
      </c>
      <c r="X267" s="154" t="s">
        <v>1159</v>
      </c>
    </row>
    <row r="268" spans="1:24">
      <c r="A268" s="154" t="s">
        <v>102</v>
      </c>
      <c r="B268" s="154" t="s">
        <v>1401</v>
      </c>
      <c r="C268" s="155">
        <v>45939</v>
      </c>
      <c r="D268" s="155">
        <v>45925</v>
      </c>
      <c r="E268" s="159">
        <v>875.4</v>
      </c>
      <c r="F268" s="159">
        <v>72.95</v>
      </c>
      <c r="G268" s="159">
        <v>72.95</v>
      </c>
      <c r="H268" s="184">
        <f t="shared" si="8"/>
        <v>45978</v>
      </c>
      <c r="I268" s="187" cm="1">
        <f t="array" ref="I268">G268*[15]!CalculateINPC(C268,H268,-1)</f>
        <v>72.971836852999999</v>
      </c>
      <c r="J268" s="187">
        <f t="shared" si="9"/>
        <v>75.053190608927409</v>
      </c>
      <c r="K268" s="187" cm="1">
        <f t="array" ref="K268">[15]!CalculateDICetip(C268,H268,1)*G268</f>
        <v>74.043706522500017</v>
      </c>
      <c r="L268" s="154">
        <v>272417</v>
      </c>
      <c r="M268" s="154" t="s">
        <v>200</v>
      </c>
      <c r="N268" s="154" t="s">
        <v>119</v>
      </c>
      <c r="O268" s="154" t="s">
        <v>120</v>
      </c>
      <c r="P268" s="154">
        <v>27238</v>
      </c>
      <c r="Q268" s="154" t="s">
        <v>1066</v>
      </c>
      <c r="R268" s="154">
        <v>4</v>
      </c>
      <c r="S268" s="154" t="s">
        <v>1061</v>
      </c>
      <c r="T268" s="154" t="s">
        <v>1070</v>
      </c>
      <c r="U268" s="154" t="s">
        <v>1071</v>
      </c>
      <c r="V268" s="154" t="s">
        <v>1072</v>
      </c>
      <c r="W268" s="154" t="s">
        <v>111</v>
      </c>
      <c r="X268" s="154" t="s">
        <v>1073</v>
      </c>
    </row>
    <row r="269" spans="1:24">
      <c r="A269" s="154" t="s">
        <v>102</v>
      </c>
      <c r="B269" s="154" t="s">
        <v>1401</v>
      </c>
      <c r="C269" s="155">
        <v>45939</v>
      </c>
      <c r="D269" s="155">
        <v>45938</v>
      </c>
      <c r="E269" s="159">
        <v>2328.38</v>
      </c>
      <c r="F269" s="159">
        <v>2328.38</v>
      </c>
      <c r="G269" s="159">
        <v>2328.38</v>
      </c>
      <c r="H269" s="184">
        <f t="shared" si="8"/>
        <v>45978</v>
      </c>
      <c r="I269" s="187" cm="1">
        <f t="array" ref="I269">G269*[15]!CalculateINPC(C269,H269,-1)</f>
        <v>2329.0769772692001</v>
      </c>
      <c r="J269" s="187">
        <f t="shared" si="9"/>
        <v>2395.5085394107527</v>
      </c>
      <c r="K269" s="187" cm="1">
        <f t="array" ref="K269">[15]!CalculateDICetip(C269,H269,1)*G269</f>
        <v>2363.2883535690003</v>
      </c>
      <c r="L269" s="154">
        <v>277952</v>
      </c>
      <c r="M269" s="154" t="s">
        <v>258</v>
      </c>
      <c r="N269" s="154" t="s">
        <v>1160</v>
      </c>
      <c r="O269" s="154" t="s">
        <v>1161</v>
      </c>
      <c r="P269" s="154">
        <v>27196</v>
      </c>
      <c r="Q269" s="154" t="s">
        <v>1162</v>
      </c>
      <c r="R269" s="154">
        <v>4</v>
      </c>
      <c r="S269" s="154" t="s">
        <v>1061</v>
      </c>
      <c r="T269" s="154" t="s">
        <v>1163</v>
      </c>
      <c r="U269" s="154" t="s">
        <v>916</v>
      </c>
      <c r="V269" s="154" t="s">
        <v>916</v>
      </c>
      <c r="W269" s="154" t="s">
        <v>117</v>
      </c>
      <c r="X269" s="154" t="s">
        <v>1164</v>
      </c>
    </row>
    <row r="270" spans="1:24">
      <c r="A270" s="154" t="s">
        <v>102</v>
      </c>
      <c r="B270" s="154" t="s">
        <v>1401</v>
      </c>
      <c r="C270" s="155">
        <v>45881</v>
      </c>
      <c r="D270" s="155">
        <v>45870</v>
      </c>
      <c r="E270" s="159">
        <v>40</v>
      </c>
      <c r="F270" s="159">
        <v>40</v>
      </c>
      <c r="G270" s="159">
        <v>40</v>
      </c>
      <c r="H270" s="184">
        <f t="shared" si="8"/>
        <v>45978</v>
      </c>
      <c r="I270" s="187" cm="1">
        <f t="array" ref="I270">G270*[15]!CalculateINPC(C270,H270,-1)</f>
        <v>40.135570400000006</v>
      </c>
      <c r="J270" s="187">
        <f t="shared" si="9"/>
        <v>42.930050028890399</v>
      </c>
      <c r="K270" s="187" cm="1">
        <f t="array" ref="K270">[15]!CalculateDICetip(C270,H270,1)*G270</f>
        <v>41.550491999999998</v>
      </c>
      <c r="L270" s="154">
        <v>267613</v>
      </c>
      <c r="M270" s="154" t="s">
        <v>307</v>
      </c>
      <c r="N270" s="154" t="s">
        <v>189</v>
      </c>
      <c r="O270" s="154" t="s">
        <v>190</v>
      </c>
      <c r="P270" s="154">
        <v>27191</v>
      </c>
      <c r="Q270" s="154" t="s">
        <v>1148</v>
      </c>
      <c r="R270" s="154">
        <v>4</v>
      </c>
      <c r="S270" s="154" t="s">
        <v>1061</v>
      </c>
      <c r="T270" s="154" t="s">
        <v>1165</v>
      </c>
      <c r="U270" s="154" t="s">
        <v>916</v>
      </c>
      <c r="V270" s="154" t="s">
        <v>916</v>
      </c>
      <c r="W270" s="154" t="s">
        <v>130</v>
      </c>
      <c r="X270" s="154" t="s">
        <v>1166</v>
      </c>
    </row>
    <row r="271" spans="1:24">
      <c r="A271" s="154" t="s">
        <v>102</v>
      </c>
      <c r="B271" s="154" t="s">
        <v>1401</v>
      </c>
      <c r="C271" s="155">
        <v>45912</v>
      </c>
      <c r="D271" s="155">
        <v>45901</v>
      </c>
      <c r="E271" s="159">
        <v>1470.06</v>
      </c>
      <c r="F271" s="159">
        <v>1470.06</v>
      </c>
      <c r="G271" s="159">
        <v>1470.06</v>
      </c>
      <c r="H271" s="184">
        <f t="shared" si="8"/>
        <v>45978</v>
      </c>
      <c r="I271" s="187" cm="1">
        <f t="array" ref="I271">G271*[15]!CalculateINPC(C271,H271,-1)</f>
        <v>1478.1472851797998</v>
      </c>
      <c r="J271" s="187">
        <f t="shared" si="9"/>
        <v>1542.4982332819459</v>
      </c>
      <c r="K271" s="187" cm="1">
        <f t="array" ref="K271">[15]!CalculateDICetip(C271,H271,1)*G271</f>
        <v>1507.8073186439999</v>
      </c>
      <c r="L271" s="154">
        <v>273150</v>
      </c>
      <c r="M271" s="154" t="s">
        <v>258</v>
      </c>
      <c r="N271" s="154" t="s">
        <v>149</v>
      </c>
      <c r="O271" s="154" t="s">
        <v>150</v>
      </c>
      <c r="P271" s="154">
        <v>27180</v>
      </c>
      <c r="Q271" s="154" t="s">
        <v>1064</v>
      </c>
      <c r="R271" s="154">
        <v>4</v>
      </c>
      <c r="S271" s="154" t="s">
        <v>1061</v>
      </c>
      <c r="T271" s="154" t="s">
        <v>1167</v>
      </c>
      <c r="U271" s="154" t="s">
        <v>916</v>
      </c>
      <c r="V271" s="154" t="s">
        <v>916</v>
      </c>
      <c r="W271" s="154" t="s">
        <v>117</v>
      </c>
      <c r="X271" s="154" t="s">
        <v>1168</v>
      </c>
    </row>
    <row r="272" spans="1:24">
      <c r="A272" s="154" t="s">
        <v>102</v>
      </c>
      <c r="B272" s="154" t="s">
        <v>1401</v>
      </c>
      <c r="C272" s="155">
        <v>45974</v>
      </c>
      <c r="D272" s="155">
        <v>45971</v>
      </c>
      <c r="E272" s="159">
        <v>2500</v>
      </c>
      <c r="F272" s="159">
        <v>2500</v>
      </c>
      <c r="G272" s="159">
        <v>2500</v>
      </c>
      <c r="H272" s="184">
        <f t="shared" si="8"/>
        <v>45978</v>
      </c>
      <c r="I272" s="187" cm="1">
        <f t="array" ref="I272">G272*[15]!CalculateINPC(C272,H272,-1)</f>
        <v>2500</v>
      </c>
      <c r="J272" s="187">
        <f t="shared" si="9"/>
        <v>2507.298529251314</v>
      </c>
      <c r="K272" s="187" cm="1">
        <f t="array" ref="K272">[15]!CalculateDICetip(C272,H272,1)*G272</f>
        <v>2502.7572999999998</v>
      </c>
      <c r="L272" s="154">
        <v>279978</v>
      </c>
      <c r="M272" s="154" t="s">
        <v>1169</v>
      </c>
      <c r="N272" s="154" t="s">
        <v>1170</v>
      </c>
      <c r="O272" s="154" t="s">
        <v>1171</v>
      </c>
      <c r="P272" s="154">
        <v>27180</v>
      </c>
      <c r="Q272" s="154" t="s">
        <v>1064</v>
      </c>
      <c r="R272" s="154">
        <v>4</v>
      </c>
      <c r="S272" s="154" t="s">
        <v>1061</v>
      </c>
      <c r="T272" s="154" t="s">
        <v>1172</v>
      </c>
      <c r="U272" s="154" t="s">
        <v>1071</v>
      </c>
      <c r="V272" s="154" t="s">
        <v>1072</v>
      </c>
      <c r="W272" s="154" t="s">
        <v>130</v>
      </c>
      <c r="X272" s="154" t="s">
        <v>1173</v>
      </c>
    </row>
    <row r="273" spans="1:24">
      <c r="A273" s="154" t="s">
        <v>102</v>
      </c>
      <c r="B273" s="154" t="s">
        <v>1401</v>
      </c>
      <c r="C273" s="155">
        <v>45974</v>
      </c>
      <c r="D273" s="155">
        <v>45950</v>
      </c>
      <c r="E273" s="159">
        <v>639.67999999999995</v>
      </c>
      <c r="F273" s="159">
        <v>639.67999999999995</v>
      </c>
      <c r="G273" s="159">
        <v>639.67999999999995</v>
      </c>
      <c r="H273" s="184">
        <f t="shared" si="8"/>
        <v>45978</v>
      </c>
      <c r="I273" s="187" cm="1">
        <f t="array" ref="I273">G273*[15]!CalculateINPC(C273,H273,-1)</f>
        <v>639.67999999999995</v>
      </c>
      <c r="J273" s="187">
        <f t="shared" si="9"/>
        <v>641.54748927659216</v>
      </c>
      <c r="K273" s="187" cm="1">
        <f t="array" ref="K273">[15]!CalculateDICetip(C273,H273,1)*G273</f>
        <v>640.38551586559993</v>
      </c>
      <c r="L273" s="154">
        <v>279985</v>
      </c>
      <c r="M273" s="154" t="s">
        <v>200</v>
      </c>
      <c r="N273" s="154" t="s">
        <v>1170</v>
      </c>
      <c r="O273" s="154" t="s">
        <v>1171</v>
      </c>
      <c r="P273" s="154">
        <v>27180</v>
      </c>
      <c r="Q273" s="154" t="s">
        <v>1064</v>
      </c>
      <c r="R273" s="154">
        <v>4</v>
      </c>
      <c r="S273" s="154" t="s">
        <v>1061</v>
      </c>
      <c r="T273" s="154" t="s">
        <v>1174</v>
      </c>
      <c r="U273" s="154" t="s">
        <v>1071</v>
      </c>
      <c r="V273" s="154" t="s">
        <v>1072</v>
      </c>
      <c r="W273" s="154" t="s">
        <v>117</v>
      </c>
      <c r="X273" s="154" t="s">
        <v>1175</v>
      </c>
    </row>
    <row r="274" spans="1:24">
      <c r="A274" s="154" t="s">
        <v>102</v>
      </c>
      <c r="B274" s="154" t="s">
        <v>1401</v>
      </c>
      <c r="C274" s="155">
        <v>45975</v>
      </c>
      <c r="D274" s="155">
        <v>45974</v>
      </c>
      <c r="E274" s="159">
        <v>560.95000000000005</v>
      </c>
      <c r="F274" s="159">
        <v>56.094000000000001</v>
      </c>
      <c r="G274" s="159">
        <v>56.094000000000001</v>
      </c>
      <c r="H274" s="184">
        <f t="shared" si="8"/>
        <v>45978</v>
      </c>
      <c r="I274" s="187" cm="1">
        <f t="array" ref="I274">G274*[15]!CalculateINPC(C274,H274,-1)</f>
        <v>56.094000000000001</v>
      </c>
      <c r="J274" s="187">
        <f t="shared" si="9"/>
        <v>56.216776343705241</v>
      </c>
      <c r="K274" s="187" cm="1">
        <f t="array" ref="K274">[15]!CalculateDICetip(C274,H274,1)*G274</f>
        <v>56.124925183140007</v>
      </c>
      <c r="L274" s="154">
        <v>280097</v>
      </c>
      <c r="M274" s="154" t="s">
        <v>1176</v>
      </c>
      <c r="N274" s="154" t="s">
        <v>1007</v>
      </c>
      <c r="O274" s="154" t="s">
        <v>1008</v>
      </c>
      <c r="P274" s="154">
        <v>27213</v>
      </c>
      <c r="Q274" s="154" t="s">
        <v>1101</v>
      </c>
      <c r="R274" s="154">
        <v>4</v>
      </c>
      <c r="S274" s="154" t="s">
        <v>1061</v>
      </c>
      <c r="T274" s="154" t="s">
        <v>1177</v>
      </c>
      <c r="U274" s="154" t="s">
        <v>1071</v>
      </c>
      <c r="V274" s="154" t="s">
        <v>1072</v>
      </c>
      <c r="W274" s="154" t="s">
        <v>1178</v>
      </c>
      <c r="X274" s="154" t="s">
        <v>1179</v>
      </c>
    </row>
    <row r="275" spans="1:24">
      <c r="A275" s="154" t="s">
        <v>102</v>
      </c>
      <c r="B275" s="154" t="s">
        <v>1401</v>
      </c>
      <c r="C275" s="155">
        <v>45975</v>
      </c>
      <c r="D275" s="155">
        <v>45974</v>
      </c>
      <c r="E275" s="159">
        <v>560.95000000000005</v>
      </c>
      <c r="F275" s="159">
        <v>56.094000000000001</v>
      </c>
      <c r="G275" s="159">
        <v>56.094000000000001</v>
      </c>
      <c r="H275" s="184">
        <f t="shared" si="8"/>
        <v>45978</v>
      </c>
      <c r="I275" s="187" cm="1">
        <f t="array" ref="I275">G275*[15]!CalculateINPC(C275,H275,-1)</f>
        <v>56.094000000000001</v>
      </c>
      <c r="J275" s="187">
        <f t="shared" si="9"/>
        <v>56.216776343705241</v>
      </c>
      <c r="K275" s="187" cm="1">
        <f t="array" ref="K275">[15]!CalculateDICetip(C275,H275,1)*G275</f>
        <v>56.124925183140007</v>
      </c>
      <c r="L275" s="154">
        <v>280097</v>
      </c>
      <c r="M275" s="154" t="s">
        <v>1176</v>
      </c>
      <c r="N275" s="154" t="s">
        <v>1007</v>
      </c>
      <c r="O275" s="154" t="s">
        <v>1008</v>
      </c>
      <c r="P275" s="154">
        <v>27201</v>
      </c>
      <c r="Q275" s="154" t="s">
        <v>1120</v>
      </c>
      <c r="R275" s="154">
        <v>4</v>
      </c>
      <c r="S275" s="154" t="s">
        <v>1061</v>
      </c>
      <c r="T275" s="154" t="s">
        <v>1177</v>
      </c>
      <c r="U275" s="154" t="s">
        <v>1071</v>
      </c>
      <c r="V275" s="154" t="s">
        <v>1072</v>
      </c>
      <c r="W275" s="154" t="s">
        <v>1178</v>
      </c>
      <c r="X275" s="154" t="s">
        <v>1179</v>
      </c>
    </row>
    <row r="276" spans="1:24">
      <c r="A276" s="154" t="s">
        <v>102</v>
      </c>
      <c r="B276" s="154" t="s">
        <v>1401</v>
      </c>
      <c r="C276" s="155">
        <v>45975</v>
      </c>
      <c r="D276" s="155">
        <v>45974</v>
      </c>
      <c r="E276" s="159">
        <v>1327.2</v>
      </c>
      <c r="F276" s="159">
        <v>132.72</v>
      </c>
      <c r="G276" s="159">
        <v>132.72</v>
      </c>
      <c r="H276" s="184">
        <f t="shared" si="8"/>
        <v>45978</v>
      </c>
      <c r="I276" s="187" cm="1">
        <f t="array" ref="I276">G276*[15]!CalculateINPC(C276,H276,-1)</f>
        <v>132.72</v>
      </c>
      <c r="J276" s="187">
        <f t="shared" si="9"/>
        <v>133.01049232246871</v>
      </c>
      <c r="K276" s="187" cm="1">
        <f t="array" ref="K276">[15]!CalculateDICetip(C276,H276,1)*G276</f>
        <v>132.79316986320001</v>
      </c>
      <c r="L276" s="154">
        <v>280099</v>
      </c>
      <c r="M276" s="154" t="s">
        <v>1006</v>
      </c>
      <c r="N276" s="154" t="s">
        <v>1007</v>
      </c>
      <c r="O276" s="154" t="s">
        <v>1008</v>
      </c>
      <c r="P276" s="154">
        <v>27211</v>
      </c>
      <c r="Q276" s="154" t="s">
        <v>1107</v>
      </c>
      <c r="R276" s="154">
        <v>4</v>
      </c>
      <c r="S276" s="154" t="s">
        <v>1061</v>
      </c>
      <c r="T276" s="154" t="s">
        <v>1180</v>
      </c>
      <c r="U276" s="154" t="s">
        <v>1071</v>
      </c>
      <c r="V276" s="154" t="s">
        <v>1072</v>
      </c>
      <c r="W276" s="154" t="s">
        <v>399</v>
      </c>
      <c r="X276" s="154" t="s">
        <v>1181</v>
      </c>
    </row>
    <row r="277" spans="1:24">
      <c r="A277" s="154" t="s">
        <v>102</v>
      </c>
      <c r="B277" s="154" t="s">
        <v>1401</v>
      </c>
      <c r="C277" s="155">
        <v>45975</v>
      </c>
      <c r="D277" s="155">
        <v>45974</v>
      </c>
      <c r="E277" s="159">
        <v>560.95000000000005</v>
      </c>
      <c r="F277" s="159">
        <v>56.094000000000001</v>
      </c>
      <c r="G277" s="159">
        <v>56.094000000000001</v>
      </c>
      <c r="H277" s="184">
        <f t="shared" si="8"/>
        <v>45978</v>
      </c>
      <c r="I277" s="187" cm="1">
        <f t="array" ref="I277">G277*[15]!CalculateINPC(C277,H277,-1)</f>
        <v>56.094000000000001</v>
      </c>
      <c r="J277" s="187">
        <f t="shared" si="9"/>
        <v>56.216776343705241</v>
      </c>
      <c r="K277" s="187" cm="1">
        <f t="array" ref="K277">[15]!CalculateDICetip(C277,H277,1)*G277</f>
        <v>56.124925183140007</v>
      </c>
      <c r="L277" s="154">
        <v>280097</v>
      </c>
      <c r="M277" s="154" t="s">
        <v>1176</v>
      </c>
      <c r="N277" s="154" t="s">
        <v>1007</v>
      </c>
      <c r="O277" s="154" t="s">
        <v>1008</v>
      </c>
      <c r="P277" s="154">
        <v>27211</v>
      </c>
      <c r="Q277" s="154" t="s">
        <v>1107</v>
      </c>
      <c r="R277" s="154">
        <v>4</v>
      </c>
      <c r="S277" s="154" t="s">
        <v>1061</v>
      </c>
      <c r="T277" s="154" t="s">
        <v>1177</v>
      </c>
      <c r="U277" s="154" t="s">
        <v>1071</v>
      </c>
      <c r="V277" s="154" t="s">
        <v>1072</v>
      </c>
      <c r="W277" s="154" t="s">
        <v>1178</v>
      </c>
      <c r="X277" s="154" t="s">
        <v>1179</v>
      </c>
    </row>
    <row r="278" spans="1:24">
      <c r="A278" s="154" t="s">
        <v>102</v>
      </c>
      <c r="B278" s="154" t="s">
        <v>1401</v>
      </c>
      <c r="C278" s="155">
        <v>45975</v>
      </c>
      <c r="D278" s="155">
        <v>45974</v>
      </c>
      <c r="E278" s="159">
        <v>1327.2</v>
      </c>
      <c r="F278" s="159">
        <v>132.72</v>
      </c>
      <c r="G278" s="159">
        <v>132.72</v>
      </c>
      <c r="H278" s="184">
        <f t="shared" si="8"/>
        <v>45978</v>
      </c>
      <c r="I278" s="187" cm="1">
        <f t="array" ref="I278">G278*[15]!CalculateINPC(C278,H278,-1)</f>
        <v>132.72</v>
      </c>
      <c r="J278" s="187">
        <f t="shared" si="9"/>
        <v>133.01049232246871</v>
      </c>
      <c r="K278" s="187" cm="1">
        <f t="array" ref="K278">[15]!CalculateDICetip(C278,H278,1)*G278</f>
        <v>132.79316986320001</v>
      </c>
      <c r="L278" s="154">
        <v>280099</v>
      </c>
      <c r="M278" s="154" t="s">
        <v>1006</v>
      </c>
      <c r="N278" s="154" t="s">
        <v>1007</v>
      </c>
      <c r="O278" s="154" t="s">
        <v>1008</v>
      </c>
      <c r="P278" s="154">
        <v>27205</v>
      </c>
      <c r="Q278" s="154" t="s">
        <v>1089</v>
      </c>
      <c r="R278" s="154">
        <v>4</v>
      </c>
      <c r="S278" s="154" t="s">
        <v>1061</v>
      </c>
      <c r="T278" s="154" t="s">
        <v>1180</v>
      </c>
      <c r="U278" s="154" t="s">
        <v>1071</v>
      </c>
      <c r="V278" s="154" t="s">
        <v>1072</v>
      </c>
      <c r="W278" s="154" t="s">
        <v>399</v>
      </c>
      <c r="X278" s="154" t="s">
        <v>1181</v>
      </c>
    </row>
    <row r="279" spans="1:24">
      <c r="A279" s="154" t="s">
        <v>102</v>
      </c>
      <c r="B279" s="154" t="s">
        <v>1401</v>
      </c>
      <c r="C279" s="155">
        <v>45975</v>
      </c>
      <c r="D279" s="155">
        <v>45972</v>
      </c>
      <c r="E279" s="159">
        <v>12100</v>
      </c>
      <c r="F279" s="159">
        <v>12100</v>
      </c>
      <c r="G279" s="159">
        <v>12100</v>
      </c>
      <c r="H279" s="184">
        <f t="shared" si="8"/>
        <v>45978</v>
      </c>
      <c r="I279" s="187" cm="1">
        <f t="array" ref="I279">G279*[15]!CalculateINPC(C279,H279,-1)</f>
        <v>12100</v>
      </c>
      <c r="J279" s="187">
        <f t="shared" si="9"/>
        <v>12126.48400468559</v>
      </c>
      <c r="K279" s="187" cm="1">
        <f t="array" ref="K279">[15]!CalculateDICetip(C279,H279,1)*G279</f>
        <v>12106.670851000001</v>
      </c>
      <c r="L279" s="154">
        <v>280316</v>
      </c>
      <c r="M279" s="154" t="s">
        <v>200</v>
      </c>
      <c r="N279" s="154" t="s">
        <v>965</v>
      </c>
      <c r="O279" s="154" t="s">
        <v>966</v>
      </c>
      <c r="P279" s="154">
        <v>27187</v>
      </c>
      <c r="Q279" s="154" t="s">
        <v>1146</v>
      </c>
      <c r="R279" s="154">
        <v>4</v>
      </c>
      <c r="S279" s="154" t="s">
        <v>1061</v>
      </c>
      <c r="T279" s="154" t="s">
        <v>1182</v>
      </c>
      <c r="U279" s="154" t="s">
        <v>1071</v>
      </c>
      <c r="V279" s="154" t="s">
        <v>1072</v>
      </c>
      <c r="W279" s="154" t="s">
        <v>111</v>
      </c>
      <c r="X279" s="154" t="s">
        <v>1183</v>
      </c>
    </row>
    <row r="280" spans="1:24">
      <c r="A280" s="154" t="s">
        <v>102</v>
      </c>
      <c r="B280" s="154" t="s">
        <v>1401</v>
      </c>
      <c r="C280" s="155">
        <v>45975</v>
      </c>
      <c r="D280" s="155">
        <v>45972</v>
      </c>
      <c r="E280" s="159">
        <v>51760</v>
      </c>
      <c r="F280" s="159">
        <v>51760</v>
      </c>
      <c r="G280" s="159">
        <v>51760</v>
      </c>
      <c r="H280" s="184">
        <f t="shared" si="8"/>
        <v>45978</v>
      </c>
      <c r="I280" s="187" cm="1">
        <f t="array" ref="I280">G280*[15]!CalculateINPC(C280,H280,-1)</f>
        <v>51760</v>
      </c>
      <c r="J280" s="187">
        <f t="shared" si="9"/>
        <v>51873.290254754218</v>
      </c>
      <c r="K280" s="187" cm="1">
        <f t="array" ref="K280">[15]!CalculateDICetip(C280,H280,1)*G280</f>
        <v>51788.535805600004</v>
      </c>
      <c r="L280" s="154">
        <v>280318</v>
      </c>
      <c r="M280" s="154" t="s">
        <v>200</v>
      </c>
      <c r="N280" s="154" t="s">
        <v>965</v>
      </c>
      <c r="O280" s="154" t="s">
        <v>966</v>
      </c>
      <c r="P280" s="154">
        <v>27185</v>
      </c>
      <c r="Q280" s="154" t="s">
        <v>1149</v>
      </c>
      <c r="R280" s="154">
        <v>4</v>
      </c>
      <c r="S280" s="154" t="s">
        <v>1061</v>
      </c>
      <c r="T280" s="154" t="s">
        <v>1184</v>
      </c>
      <c r="U280" s="154" t="s">
        <v>1071</v>
      </c>
      <c r="V280" s="154" t="s">
        <v>1072</v>
      </c>
      <c r="W280" s="154" t="s">
        <v>111</v>
      </c>
      <c r="X280" s="154" t="s">
        <v>1185</v>
      </c>
    </row>
    <row r="281" spans="1:24">
      <c r="A281" s="154" t="s">
        <v>102</v>
      </c>
      <c r="B281" s="154" t="s">
        <v>1401</v>
      </c>
      <c r="C281" s="155">
        <v>45975</v>
      </c>
      <c r="D281" s="155">
        <v>45974</v>
      </c>
      <c r="E281" s="159">
        <v>560.95000000000005</v>
      </c>
      <c r="F281" s="159">
        <v>56.094000000000001</v>
      </c>
      <c r="G281" s="159">
        <v>56.094000000000001</v>
      </c>
      <c r="H281" s="184">
        <f t="shared" si="8"/>
        <v>45978</v>
      </c>
      <c r="I281" s="187" cm="1">
        <f t="array" ref="I281">G281*[15]!CalculateINPC(C281,H281,-1)</f>
        <v>56.094000000000001</v>
      </c>
      <c r="J281" s="187">
        <f t="shared" si="9"/>
        <v>56.216776343705241</v>
      </c>
      <c r="K281" s="187" cm="1">
        <f t="array" ref="K281">[15]!CalculateDICetip(C281,H281,1)*G281</f>
        <v>56.124925183140007</v>
      </c>
      <c r="L281" s="154">
        <v>280097</v>
      </c>
      <c r="M281" s="154" t="s">
        <v>1176</v>
      </c>
      <c r="N281" s="154" t="s">
        <v>1007</v>
      </c>
      <c r="O281" s="154" t="s">
        <v>1008</v>
      </c>
      <c r="P281" s="154">
        <v>27205</v>
      </c>
      <c r="Q281" s="154" t="s">
        <v>1089</v>
      </c>
      <c r="R281" s="154">
        <v>4</v>
      </c>
      <c r="S281" s="154" t="s">
        <v>1061</v>
      </c>
      <c r="T281" s="154" t="s">
        <v>1177</v>
      </c>
      <c r="U281" s="154" t="s">
        <v>1071</v>
      </c>
      <c r="V281" s="154" t="s">
        <v>1072</v>
      </c>
      <c r="W281" s="154" t="s">
        <v>1178</v>
      </c>
      <c r="X281" s="154" t="s">
        <v>1179</v>
      </c>
    </row>
    <row r="282" spans="1:24">
      <c r="A282" s="154" t="s">
        <v>102</v>
      </c>
      <c r="B282" s="154" t="s">
        <v>1401</v>
      </c>
      <c r="C282" s="155">
        <v>45975</v>
      </c>
      <c r="D282" s="155">
        <v>45974</v>
      </c>
      <c r="E282" s="159">
        <v>1327.2</v>
      </c>
      <c r="F282" s="159">
        <v>132.72</v>
      </c>
      <c r="G282" s="159">
        <v>132.72</v>
      </c>
      <c r="H282" s="184">
        <f t="shared" si="8"/>
        <v>45978</v>
      </c>
      <c r="I282" s="187" cm="1">
        <f t="array" ref="I282">G282*[15]!CalculateINPC(C282,H282,-1)</f>
        <v>132.72</v>
      </c>
      <c r="J282" s="187">
        <f t="shared" si="9"/>
        <v>133.01049232246871</v>
      </c>
      <c r="K282" s="187" cm="1">
        <f t="array" ref="K282">[15]!CalculateDICetip(C282,H282,1)*G282</f>
        <v>132.79316986320001</v>
      </c>
      <c r="L282" s="154">
        <v>280099</v>
      </c>
      <c r="M282" s="154" t="s">
        <v>1006</v>
      </c>
      <c r="N282" s="154" t="s">
        <v>1007</v>
      </c>
      <c r="O282" s="154" t="s">
        <v>1008</v>
      </c>
      <c r="P282" s="154">
        <v>27215</v>
      </c>
      <c r="Q282" s="154" t="s">
        <v>1095</v>
      </c>
      <c r="R282" s="154">
        <v>4</v>
      </c>
      <c r="S282" s="154" t="s">
        <v>1061</v>
      </c>
      <c r="T282" s="154" t="s">
        <v>1180</v>
      </c>
      <c r="U282" s="154" t="s">
        <v>1071</v>
      </c>
      <c r="V282" s="154" t="s">
        <v>1072</v>
      </c>
      <c r="W282" s="154" t="s">
        <v>399</v>
      </c>
      <c r="X282" s="154" t="s">
        <v>1181</v>
      </c>
    </row>
    <row r="283" spans="1:24">
      <c r="A283" s="154" t="s">
        <v>102</v>
      </c>
      <c r="B283" s="154" t="s">
        <v>1401</v>
      </c>
      <c r="C283" s="155">
        <v>45975</v>
      </c>
      <c r="D283" s="155">
        <v>45974</v>
      </c>
      <c r="E283" s="159">
        <v>560.95000000000005</v>
      </c>
      <c r="F283" s="159">
        <v>56.094000000000001</v>
      </c>
      <c r="G283" s="159">
        <v>56.094000000000001</v>
      </c>
      <c r="H283" s="184">
        <f t="shared" si="8"/>
        <v>45978</v>
      </c>
      <c r="I283" s="187" cm="1">
        <f t="array" ref="I283">G283*[15]!CalculateINPC(C283,H283,-1)</f>
        <v>56.094000000000001</v>
      </c>
      <c r="J283" s="187">
        <f t="shared" si="9"/>
        <v>56.216776343705241</v>
      </c>
      <c r="K283" s="187" cm="1">
        <f t="array" ref="K283">[15]!CalculateDICetip(C283,H283,1)*G283</f>
        <v>56.124925183140007</v>
      </c>
      <c r="L283" s="154">
        <v>280097</v>
      </c>
      <c r="M283" s="154" t="s">
        <v>1176</v>
      </c>
      <c r="N283" s="154" t="s">
        <v>1007</v>
      </c>
      <c r="O283" s="154" t="s">
        <v>1008</v>
      </c>
      <c r="P283" s="154">
        <v>27215</v>
      </c>
      <c r="Q283" s="154" t="s">
        <v>1095</v>
      </c>
      <c r="R283" s="154">
        <v>4</v>
      </c>
      <c r="S283" s="154" t="s">
        <v>1061</v>
      </c>
      <c r="T283" s="154" t="s">
        <v>1177</v>
      </c>
      <c r="U283" s="154" t="s">
        <v>1071</v>
      </c>
      <c r="V283" s="154" t="s">
        <v>1072</v>
      </c>
      <c r="W283" s="154" t="s">
        <v>1178</v>
      </c>
      <c r="X283" s="154" t="s">
        <v>1179</v>
      </c>
    </row>
    <row r="284" spans="1:24">
      <c r="A284" s="154" t="s">
        <v>102</v>
      </c>
      <c r="B284" s="154" t="s">
        <v>1401</v>
      </c>
      <c r="C284" s="155">
        <v>45975</v>
      </c>
      <c r="D284" s="155">
        <v>45974</v>
      </c>
      <c r="E284" s="159">
        <v>1327.2</v>
      </c>
      <c r="F284" s="159">
        <v>132.72</v>
      </c>
      <c r="G284" s="159">
        <v>132.72</v>
      </c>
      <c r="H284" s="184">
        <f t="shared" si="8"/>
        <v>45978</v>
      </c>
      <c r="I284" s="187" cm="1">
        <f t="array" ref="I284">G284*[15]!CalculateINPC(C284,H284,-1)</f>
        <v>132.72</v>
      </c>
      <c r="J284" s="187">
        <f t="shared" si="9"/>
        <v>133.01049232246871</v>
      </c>
      <c r="K284" s="187" cm="1">
        <f t="array" ref="K284">[15]!CalculateDICetip(C284,H284,1)*G284</f>
        <v>132.79316986320001</v>
      </c>
      <c r="L284" s="154">
        <v>280099</v>
      </c>
      <c r="M284" s="154" t="s">
        <v>1006</v>
      </c>
      <c r="N284" s="154" t="s">
        <v>1007</v>
      </c>
      <c r="O284" s="154" t="s">
        <v>1008</v>
      </c>
      <c r="P284" s="154">
        <v>27213</v>
      </c>
      <c r="Q284" s="154" t="s">
        <v>1101</v>
      </c>
      <c r="R284" s="154">
        <v>4</v>
      </c>
      <c r="S284" s="154" t="s">
        <v>1061</v>
      </c>
      <c r="T284" s="154" t="s">
        <v>1180</v>
      </c>
      <c r="U284" s="154" t="s">
        <v>1071</v>
      </c>
      <c r="V284" s="154" t="s">
        <v>1072</v>
      </c>
      <c r="W284" s="154" t="s">
        <v>399</v>
      </c>
      <c r="X284" s="154" t="s">
        <v>1181</v>
      </c>
    </row>
    <row r="285" spans="1:24">
      <c r="A285" s="154" t="s">
        <v>102</v>
      </c>
      <c r="B285" s="154" t="s">
        <v>1401</v>
      </c>
      <c r="C285" s="155">
        <v>45975</v>
      </c>
      <c r="D285" s="155">
        <v>45974</v>
      </c>
      <c r="E285" s="159">
        <v>1327.2</v>
      </c>
      <c r="F285" s="159">
        <v>132.72</v>
      </c>
      <c r="G285" s="159">
        <v>132.72</v>
      </c>
      <c r="H285" s="184">
        <f t="shared" si="8"/>
        <v>45978</v>
      </c>
      <c r="I285" s="187" cm="1">
        <f t="array" ref="I285">G285*[15]!CalculateINPC(C285,H285,-1)</f>
        <v>132.72</v>
      </c>
      <c r="J285" s="187">
        <f t="shared" si="9"/>
        <v>133.01049232246871</v>
      </c>
      <c r="K285" s="187" cm="1">
        <f t="array" ref="K285">[15]!CalculateDICetip(C285,H285,1)*G285</f>
        <v>132.79316986320001</v>
      </c>
      <c r="L285" s="154">
        <v>280099</v>
      </c>
      <c r="M285" s="154" t="s">
        <v>1006</v>
      </c>
      <c r="N285" s="154" t="s">
        <v>1007</v>
      </c>
      <c r="O285" s="154" t="s">
        <v>1008</v>
      </c>
      <c r="P285" s="154">
        <v>27201</v>
      </c>
      <c r="Q285" s="154" t="s">
        <v>1120</v>
      </c>
      <c r="R285" s="154">
        <v>4</v>
      </c>
      <c r="S285" s="154" t="s">
        <v>1061</v>
      </c>
      <c r="T285" s="154" t="s">
        <v>1180</v>
      </c>
      <c r="U285" s="154" t="s">
        <v>1071</v>
      </c>
      <c r="V285" s="154" t="s">
        <v>1072</v>
      </c>
      <c r="W285" s="154" t="s">
        <v>399</v>
      </c>
      <c r="X285" s="154" t="s">
        <v>1181</v>
      </c>
    </row>
    <row r="286" spans="1:24">
      <c r="A286" s="154" t="s">
        <v>102</v>
      </c>
      <c r="B286" s="154" t="s">
        <v>1401</v>
      </c>
      <c r="C286" s="155">
        <v>45945</v>
      </c>
      <c r="D286" s="155">
        <v>45922</v>
      </c>
      <c r="E286" s="159">
        <v>2216.41</v>
      </c>
      <c r="F286" s="159">
        <v>11.082050000000001</v>
      </c>
      <c r="G286" s="159">
        <v>11.082050000000001</v>
      </c>
      <c r="H286" s="184">
        <f t="shared" si="8"/>
        <v>45978</v>
      </c>
      <c r="I286" s="187" cm="1">
        <f t="array" ref="I286">G286*[15]!CalculateINPC(C286,H286,-1)</f>
        <v>11.085367300847</v>
      </c>
      <c r="J286" s="187">
        <f t="shared" si="9"/>
        <v>11.351804746988524</v>
      </c>
      <c r="K286" s="187" cm="1">
        <f t="array" ref="K286">[15]!CalculateDICetip(C286,H286,1)*G286</f>
        <v>11.223427258106</v>
      </c>
      <c r="L286" s="154">
        <v>277957</v>
      </c>
      <c r="M286" s="154" t="s">
        <v>979</v>
      </c>
      <c r="N286" s="154" t="s">
        <v>980</v>
      </c>
      <c r="O286" s="154" t="s">
        <v>981</v>
      </c>
      <c r="P286" s="154">
        <v>29660</v>
      </c>
      <c r="Q286" s="154" t="s">
        <v>922</v>
      </c>
      <c r="R286" s="154">
        <v>4</v>
      </c>
      <c r="S286" s="154" t="s">
        <v>1061</v>
      </c>
      <c r="T286" s="154" t="s">
        <v>982</v>
      </c>
      <c r="U286" s="154" t="s">
        <v>916</v>
      </c>
      <c r="V286" s="154" t="s">
        <v>916</v>
      </c>
      <c r="W286" s="154" t="s">
        <v>130</v>
      </c>
      <c r="X286" s="154" t="s">
        <v>1186</v>
      </c>
    </row>
    <row r="287" spans="1:24">
      <c r="A287" s="154" t="s">
        <v>102</v>
      </c>
      <c r="B287" s="154" t="s">
        <v>1401</v>
      </c>
      <c r="C287" s="155">
        <v>45945</v>
      </c>
      <c r="D287" s="155">
        <v>45943</v>
      </c>
      <c r="E287" s="159">
        <v>182.24</v>
      </c>
      <c r="F287" s="159">
        <v>182.24</v>
      </c>
      <c r="G287" s="159">
        <v>182.24</v>
      </c>
      <c r="H287" s="184">
        <f t="shared" si="8"/>
        <v>45978</v>
      </c>
      <c r="I287" s="187" cm="1">
        <f t="array" ref="I287">G287*[15]!CalculateINPC(C287,H287,-1)</f>
        <v>182.29455172160002</v>
      </c>
      <c r="J287" s="187">
        <f t="shared" si="9"/>
        <v>186.67601184719331</v>
      </c>
      <c r="K287" s="187" cm="1">
        <f t="array" ref="K287">[15]!CalculateDICetip(C287,H287,1)*G287</f>
        <v>184.56489399680001</v>
      </c>
      <c r="L287" s="154">
        <v>275438</v>
      </c>
      <c r="M287" s="154" t="s">
        <v>200</v>
      </c>
      <c r="N287" s="154" t="s">
        <v>1187</v>
      </c>
      <c r="O287" s="154" t="s">
        <v>1188</v>
      </c>
      <c r="P287" s="154">
        <v>27180</v>
      </c>
      <c r="Q287" s="154" t="s">
        <v>1064</v>
      </c>
      <c r="R287" s="154">
        <v>4</v>
      </c>
      <c r="S287" s="154" t="s">
        <v>1061</v>
      </c>
      <c r="T287" s="154" t="s">
        <v>1189</v>
      </c>
      <c r="U287" s="154" t="s">
        <v>1071</v>
      </c>
      <c r="V287" s="154" t="s">
        <v>1072</v>
      </c>
      <c r="W287" s="154" t="s">
        <v>117</v>
      </c>
      <c r="X287" s="154" t="s">
        <v>1190</v>
      </c>
    </row>
    <row r="288" spans="1:24">
      <c r="A288" s="154" t="s">
        <v>102</v>
      </c>
      <c r="B288" s="154" t="s">
        <v>1401</v>
      </c>
      <c r="C288" s="155">
        <v>45916</v>
      </c>
      <c r="D288" s="155">
        <v>45912</v>
      </c>
      <c r="E288" s="159">
        <v>879.83</v>
      </c>
      <c r="F288" s="159">
        <v>3.7899999999970002</v>
      </c>
      <c r="G288" s="159">
        <v>3.7899999999970002</v>
      </c>
      <c r="H288" s="184">
        <f t="shared" si="8"/>
        <v>45978</v>
      </c>
      <c r="I288" s="187" cm="1">
        <f t="array" ref="I288">G288*[15]!CalculateINPC(C288,H288,-1)</f>
        <v>3.8108500406969834</v>
      </c>
      <c r="J288" s="187">
        <f t="shared" si="9"/>
        <v>3.9651789074729948</v>
      </c>
      <c r="K288" s="187" cm="1">
        <f t="array" ref="K288">[15]!CalculateDICetip(C288,H288,1)*G288</f>
        <v>3.8830346459969269</v>
      </c>
      <c r="L288" s="154">
        <v>273181</v>
      </c>
      <c r="M288" s="154" t="s">
        <v>411</v>
      </c>
      <c r="N288" s="154" t="s">
        <v>635</v>
      </c>
      <c r="O288" s="154" t="s">
        <v>636</v>
      </c>
      <c r="P288" s="154">
        <v>27195</v>
      </c>
      <c r="Q288" s="154" t="s">
        <v>1098</v>
      </c>
      <c r="R288" s="154">
        <v>4</v>
      </c>
      <c r="S288" s="154" t="s">
        <v>1061</v>
      </c>
      <c r="T288" s="154" t="s">
        <v>984</v>
      </c>
      <c r="U288" s="154" t="s">
        <v>916</v>
      </c>
      <c r="V288" s="154" t="s">
        <v>916</v>
      </c>
      <c r="W288" s="154" t="s">
        <v>333</v>
      </c>
      <c r="X288" s="154" t="s">
        <v>1191</v>
      </c>
    </row>
    <row r="289" spans="1:24">
      <c r="A289" s="154" t="s">
        <v>102</v>
      </c>
      <c r="B289" s="154" t="s">
        <v>1401</v>
      </c>
      <c r="C289" s="155">
        <v>45916</v>
      </c>
      <c r="D289" s="155">
        <v>45912</v>
      </c>
      <c r="E289" s="159">
        <v>879.83</v>
      </c>
      <c r="F289" s="159">
        <v>1.539999999997</v>
      </c>
      <c r="G289" s="159">
        <v>1.539999999997</v>
      </c>
      <c r="H289" s="184">
        <f t="shared" si="8"/>
        <v>45978</v>
      </c>
      <c r="I289" s="187" cm="1">
        <f t="array" ref="I289">G289*[15]!CalculateINPC(C289,H289,-1)</f>
        <v>1.5484720481969834</v>
      </c>
      <c r="J289" s="187">
        <f t="shared" si="9"/>
        <v>1.6111808753301713</v>
      </c>
      <c r="K289" s="187" cm="1">
        <f t="array" ref="K289">[15]!CalculateDICetip(C289,H289,1)*G289</f>
        <v>1.5778029959969264</v>
      </c>
      <c r="L289" s="154">
        <v>273181</v>
      </c>
      <c r="M289" s="154" t="s">
        <v>411</v>
      </c>
      <c r="N289" s="154" t="s">
        <v>645</v>
      </c>
      <c r="O289" s="154" t="s">
        <v>646</v>
      </c>
      <c r="P289" s="154">
        <v>27195</v>
      </c>
      <c r="Q289" s="154" t="s">
        <v>1098</v>
      </c>
      <c r="R289" s="154">
        <v>4</v>
      </c>
      <c r="S289" s="154" t="s">
        <v>1061</v>
      </c>
      <c r="T289" s="154" t="s">
        <v>984</v>
      </c>
      <c r="U289" s="154" t="s">
        <v>916</v>
      </c>
      <c r="V289" s="154" t="s">
        <v>916</v>
      </c>
      <c r="W289" s="154" t="s">
        <v>333</v>
      </c>
      <c r="X289" s="154" t="s">
        <v>1191</v>
      </c>
    </row>
    <row r="290" spans="1:24">
      <c r="A290" s="154" t="s">
        <v>102</v>
      </c>
      <c r="B290" s="154" t="s">
        <v>1401</v>
      </c>
      <c r="C290" s="155">
        <v>45916</v>
      </c>
      <c r="D290" s="155">
        <v>45912</v>
      </c>
      <c r="E290" s="159">
        <v>879.83</v>
      </c>
      <c r="F290" s="159">
        <v>20.529999999998001</v>
      </c>
      <c r="G290" s="159">
        <v>20.529999999998001</v>
      </c>
      <c r="H290" s="184">
        <f t="shared" si="8"/>
        <v>45978</v>
      </c>
      <c r="I290" s="187" cm="1">
        <f t="array" ref="I290">G290*[15]!CalculateINPC(C290,H290,-1)</f>
        <v>20.642942304897989</v>
      </c>
      <c r="J290" s="187">
        <f t="shared" si="9"/>
        <v>21.478924266616644</v>
      </c>
      <c r="K290" s="187" cm="1">
        <f t="array" ref="K290">[15]!CalculateDICetip(C290,H290,1)*G290</f>
        <v>21.033958121997955</v>
      </c>
      <c r="L290" s="154">
        <v>273181</v>
      </c>
      <c r="M290" s="154" t="s">
        <v>411</v>
      </c>
      <c r="N290" s="154" t="s">
        <v>316</v>
      </c>
      <c r="O290" s="154" t="s">
        <v>317</v>
      </c>
      <c r="P290" s="154">
        <v>27195</v>
      </c>
      <c r="Q290" s="154" t="s">
        <v>1098</v>
      </c>
      <c r="R290" s="154">
        <v>4</v>
      </c>
      <c r="S290" s="154" t="s">
        <v>1061</v>
      </c>
      <c r="T290" s="154" t="s">
        <v>984</v>
      </c>
      <c r="U290" s="154" t="s">
        <v>916</v>
      </c>
      <c r="V290" s="154" t="s">
        <v>916</v>
      </c>
      <c r="W290" s="154" t="s">
        <v>333</v>
      </c>
      <c r="X290" s="154" t="s">
        <v>1191</v>
      </c>
    </row>
    <row r="291" spans="1:24">
      <c r="A291" s="154" t="s">
        <v>102</v>
      </c>
      <c r="B291" s="154" t="s">
        <v>1401</v>
      </c>
      <c r="C291" s="155">
        <v>45916</v>
      </c>
      <c r="D291" s="155">
        <v>45912</v>
      </c>
      <c r="E291" s="159">
        <v>879.83</v>
      </c>
      <c r="F291" s="159">
        <v>7.9800000000039999</v>
      </c>
      <c r="G291" s="159">
        <v>7.9800000000039999</v>
      </c>
      <c r="H291" s="184">
        <f t="shared" si="8"/>
        <v>45978</v>
      </c>
      <c r="I291" s="187" cm="1">
        <f t="array" ref="I291">G291*[15]!CalculateINPC(C291,H291,-1)</f>
        <v>8.0239006134040221</v>
      </c>
      <c r="J291" s="187">
        <f t="shared" si="9"/>
        <v>8.3488463540040634</v>
      </c>
      <c r="K291" s="187" cm="1">
        <f t="array" ref="K291">[15]!CalculateDICetip(C291,H291,1)*G291</f>
        <v>8.1758882520040981</v>
      </c>
      <c r="L291" s="154">
        <v>273181</v>
      </c>
      <c r="M291" s="154" t="s">
        <v>411</v>
      </c>
      <c r="N291" s="154" t="s">
        <v>560</v>
      </c>
      <c r="O291" s="154" t="s">
        <v>561</v>
      </c>
      <c r="P291" s="154">
        <v>27195</v>
      </c>
      <c r="Q291" s="154" t="s">
        <v>1098</v>
      </c>
      <c r="R291" s="154">
        <v>4</v>
      </c>
      <c r="S291" s="154" t="s">
        <v>1061</v>
      </c>
      <c r="T291" s="154" t="s">
        <v>984</v>
      </c>
      <c r="U291" s="154" t="s">
        <v>916</v>
      </c>
      <c r="V291" s="154" t="s">
        <v>916</v>
      </c>
      <c r="W291" s="154" t="s">
        <v>333</v>
      </c>
      <c r="X291" s="154" t="s">
        <v>1191</v>
      </c>
    </row>
    <row r="292" spans="1:24">
      <c r="A292" s="154" t="s">
        <v>102</v>
      </c>
      <c r="B292" s="154" t="s">
        <v>1401</v>
      </c>
      <c r="C292" s="155">
        <v>45916</v>
      </c>
      <c r="D292" s="155">
        <v>45912</v>
      </c>
      <c r="E292" s="159">
        <v>879.83</v>
      </c>
      <c r="F292" s="159">
        <v>7.9800000000039999</v>
      </c>
      <c r="G292" s="159">
        <v>7.9800000000039999</v>
      </c>
      <c r="H292" s="184">
        <f t="shared" si="8"/>
        <v>45978</v>
      </c>
      <c r="I292" s="187" cm="1">
        <f t="array" ref="I292">G292*[15]!CalculateINPC(C292,H292,-1)</f>
        <v>8.0239006134040221</v>
      </c>
      <c r="J292" s="187">
        <f t="shared" si="9"/>
        <v>8.3488463540040634</v>
      </c>
      <c r="K292" s="187" cm="1">
        <f t="array" ref="K292">[15]!CalculateDICetip(C292,H292,1)*G292</f>
        <v>8.1758882520040981</v>
      </c>
      <c r="L292" s="154">
        <v>273181</v>
      </c>
      <c r="M292" s="154" t="s">
        <v>411</v>
      </c>
      <c r="N292" s="154" t="s">
        <v>560</v>
      </c>
      <c r="O292" s="154" t="s">
        <v>561</v>
      </c>
      <c r="P292" s="154">
        <v>27189</v>
      </c>
      <c r="Q292" s="154" t="s">
        <v>1152</v>
      </c>
      <c r="R292" s="154">
        <v>4</v>
      </c>
      <c r="S292" s="154" t="s">
        <v>1061</v>
      </c>
      <c r="T292" s="154" t="s">
        <v>984</v>
      </c>
      <c r="U292" s="154" t="s">
        <v>916</v>
      </c>
      <c r="V292" s="154" t="s">
        <v>916</v>
      </c>
      <c r="W292" s="154" t="s">
        <v>333</v>
      </c>
      <c r="X292" s="154" t="s">
        <v>1191</v>
      </c>
    </row>
    <row r="293" spans="1:24">
      <c r="A293" s="154" t="s">
        <v>102</v>
      </c>
      <c r="B293" s="154" t="s">
        <v>1401</v>
      </c>
      <c r="C293" s="155">
        <v>45916</v>
      </c>
      <c r="D293" s="155">
        <v>45912</v>
      </c>
      <c r="E293" s="159">
        <v>879.83</v>
      </c>
      <c r="F293" s="159">
        <v>3.7899999999970002</v>
      </c>
      <c r="G293" s="159">
        <v>3.7899999999970002</v>
      </c>
      <c r="H293" s="184">
        <f t="shared" si="8"/>
        <v>45978</v>
      </c>
      <c r="I293" s="187" cm="1">
        <f t="array" ref="I293">G293*[15]!CalculateINPC(C293,H293,-1)</f>
        <v>3.8108500406969834</v>
      </c>
      <c r="J293" s="187">
        <f t="shared" si="9"/>
        <v>3.9651789074729948</v>
      </c>
      <c r="K293" s="187" cm="1">
        <f t="array" ref="K293">[15]!CalculateDICetip(C293,H293,1)*G293</f>
        <v>3.8830346459969269</v>
      </c>
      <c r="L293" s="154">
        <v>273181</v>
      </c>
      <c r="M293" s="154" t="s">
        <v>411</v>
      </c>
      <c r="N293" s="154" t="s">
        <v>635</v>
      </c>
      <c r="O293" s="154" t="s">
        <v>636</v>
      </c>
      <c r="P293" s="154">
        <v>27234</v>
      </c>
      <c r="Q293" s="154" t="s">
        <v>1083</v>
      </c>
      <c r="R293" s="154">
        <v>4</v>
      </c>
      <c r="S293" s="154" t="s">
        <v>1061</v>
      </c>
      <c r="T293" s="154" t="s">
        <v>984</v>
      </c>
      <c r="U293" s="154" t="s">
        <v>916</v>
      </c>
      <c r="V293" s="154" t="s">
        <v>916</v>
      </c>
      <c r="W293" s="154" t="s">
        <v>333</v>
      </c>
      <c r="X293" s="154" t="s">
        <v>1191</v>
      </c>
    </row>
    <row r="294" spans="1:24">
      <c r="A294" s="154" t="s">
        <v>102</v>
      </c>
      <c r="B294" s="154" t="s">
        <v>1401</v>
      </c>
      <c r="C294" s="155">
        <v>45916</v>
      </c>
      <c r="D294" s="155">
        <v>45912</v>
      </c>
      <c r="E294" s="159">
        <v>879.83</v>
      </c>
      <c r="F294" s="159">
        <v>1.539999999997</v>
      </c>
      <c r="G294" s="159">
        <v>1.539999999997</v>
      </c>
      <c r="H294" s="184">
        <f t="shared" si="8"/>
        <v>45978</v>
      </c>
      <c r="I294" s="187" cm="1">
        <f t="array" ref="I294">G294*[15]!CalculateINPC(C294,H294,-1)</f>
        <v>1.5484720481969834</v>
      </c>
      <c r="J294" s="187">
        <f t="shared" si="9"/>
        <v>1.6111808753301713</v>
      </c>
      <c r="K294" s="187" cm="1">
        <f t="array" ref="K294">[15]!CalculateDICetip(C294,H294,1)*G294</f>
        <v>1.5778029959969264</v>
      </c>
      <c r="L294" s="154">
        <v>273181</v>
      </c>
      <c r="M294" s="154" t="s">
        <v>411</v>
      </c>
      <c r="N294" s="154" t="s">
        <v>645</v>
      </c>
      <c r="O294" s="154" t="s">
        <v>646</v>
      </c>
      <c r="P294" s="154">
        <v>27234</v>
      </c>
      <c r="Q294" s="154" t="s">
        <v>1083</v>
      </c>
      <c r="R294" s="154">
        <v>4</v>
      </c>
      <c r="S294" s="154" t="s">
        <v>1061</v>
      </c>
      <c r="T294" s="154" t="s">
        <v>984</v>
      </c>
      <c r="U294" s="154" t="s">
        <v>916</v>
      </c>
      <c r="V294" s="154" t="s">
        <v>916</v>
      </c>
      <c r="W294" s="154" t="s">
        <v>333</v>
      </c>
      <c r="X294" s="154" t="s">
        <v>1191</v>
      </c>
    </row>
    <row r="295" spans="1:24">
      <c r="A295" s="154" t="s">
        <v>102</v>
      </c>
      <c r="B295" s="154" t="s">
        <v>1401</v>
      </c>
      <c r="C295" s="155">
        <v>45916</v>
      </c>
      <c r="D295" s="155">
        <v>45912</v>
      </c>
      <c r="E295" s="159">
        <v>879.83</v>
      </c>
      <c r="F295" s="159">
        <v>20.529999999998001</v>
      </c>
      <c r="G295" s="159">
        <v>20.529999999998001</v>
      </c>
      <c r="H295" s="184">
        <f t="shared" si="8"/>
        <v>45978</v>
      </c>
      <c r="I295" s="187" cm="1">
        <f t="array" ref="I295">G295*[15]!CalculateINPC(C295,H295,-1)</f>
        <v>20.642942304897989</v>
      </c>
      <c r="J295" s="187">
        <f t="shared" si="9"/>
        <v>21.478924266616644</v>
      </c>
      <c r="K295" s="187" cm="1">
        <f t="array" ref="K295">[15]!CalculateDICetip(C295,H295,1)*G295</f>
        <v>21.033958121997955</v>
      </c>
      <c r="L295" s="154">
        <v>273181</v>
      </c>
      <c r="M295" s="154" t="s">
        <v>411</v>
      </c>
      <c r="N295" s="154" t="s">
        <v>316</v>
      </c>
      <c r="O295" s="154" t="s">
        <v>317</v>
      </c>
      <c r="P295" s="154">
        <v>27234</v>
      </c>
      <c r="Q295" s="154" t="s">
        <v>1083</v>
      </c>
      <c r="R295" s="154">
        <v>4</v>
      </c>
      <c r="S295" s="154" t="s">
        <v>1061</v>
      </c>
      <c r="T295" s="154" t="s">
        <v>984</v>
      </c>
      <c r="U295" s="154" t="s">
        <v>916</v>
      </c>
      <c r="V295" s="154" t="s">
        <v>916</v>
      </c>
      <c r="W295" s="154" t="s">
        <v>333</v>
      </c>
      <c r="X295" s="154" t="s">
        <v>1191</v>
      </c>
    </row>
    <row r="296" spans="1:24">
      <c r="A296" s="154" t="s">
        <v>102</v>
      </c>
      <c r="B296" s="154" t="s">
        <v>1401</v>
      </c>
      <c r="C296" s="155">
        <v>45916</v>
      </c>
      <c r="D296" s="155">
        <v>45912</v>
      </c>
      <c r="E296" s="159">
        <v>879.83</v>
      </c>
      <c r="F296" s="159">
        <v>7.9700000001050002</v>
      </c>
      <c r="G296" s="159">
        <v>7.9700000001050002</v>
      </c>
      <c r="H296" s="184">
        <f t="shared" si="8"/>
        <v>45978</v>
      </c>
      <c r="I296" s="187" cm="1">
        <f t="array" ref="I296">G296*[15]!CalculateINPC(C296,H296,-1)</f>
        <v>8.0138456002055776</v>
      </c>
      <c r="J296" s="187">
        <f t="shared" si="9"/>
        <v>8.3383841406335417</v>
      </c>
      <c r="K296" s="187" cm="1">
        <f t="array" ref="K296">[15]!CalculateDICetip(C296,H296,1)*G296</f>
        <v>8.1656427781075784</v>
      </c>
      <c r="L296" s="154">
        <v>273181</v>
      </c>
      <c r="M296" s="154" t="s">
        <v>411</v>
      </c>
      <c r="N296" s="154" t="s">
        <v>560</v>
      </c>
      <c r="O296" s="154" t="s">
        <v>561</v>
      </c>
      <c r="P296" s="154">
        <v>27234</v>
      </c>
      <c r="Q296" s="154" t="s">
        <v>1083</v>
      </c>
      <c r="R296" s="154">
        <v>4</v>
      </c>
      <c r="S296" s="154" t="s">
        <v>1061</v>
      </c>
      <c r="T296" s="154" t="s">
        <v>984</v>
      </c>
      <c r="U296" s="154" t="s">
        <v>916</v>
      </c>
      <c r="V296" s="154" t="s">
        <v>916</v>
      </c>
      <c r="W296" s="154" t="s">
        <v>333</v>
      </c>
      <c r="X296" s="154" t="s">
        <v>1191</v>
      </c>
    </row>
    <row r="297" spans="1:24">
      <c r="A297" s="154" t="s">
        <v>102</v>
      </c>
      <c r="B297" s="154" t="s">
        <v>1401</v>
      </c>
      <c r="C297" s="155">
        <v>45916</v>
      </c>
      <c r="D297" s="155">
        <v>45912</v>
      </c>
      <c r="E297" s="159">
        <v>879.83</v>
      </c>
      <c r="F297" s="159">
        <v>3.7899999999970002</v>
      </c>
      <c r="G297" s="159">
        <v>3.7899999999970002</v>
      </c>
      <c r="H297" s="184">
        <f t="shared" si="8"/>
        <v>45978</v>
      </c>
      <c r="I297" s="187" cm="1">
        <f t="array" ref="I297">G297*[15]!CalculateINPC(C297,H297,-1)</f>
        <v>3.8108500406969834</v>
      </c>
      <c r="J297" s="187">
        <f t="shared" si="9"/>
        <v>3.9651789074729948</v>
      </c>
      <c r="K297" s="187" cm="1">
        <f t="array" ref="K297">[15]!CalculateDICetip(C297,H297,1)*G297</f>
        <v>3.8830346459969269</v>
      </c>
      <c r="L297" s="154">
        <v>273181</v>
      </c>
      <c r="M297" s="154" t="s">
        <v>411</v>
      </c>
      <c r="N297" s="154" t="s">
        <v>635</v>
      </c>
      <c r="O297" s="154" t="s">
        <v>636</v>
      </c>
      <c r="P297" s="154">
        <v>27222</v>
      </c>
      <c r="Q297" s="154" t="s">
        <v>1132</v>
      </c>
      <c r="R297" s="154">
        <v>4</v>
      </c>
      <c r="S297" s="154" t="s">
        <v>1061</v>
      </c>
      <c r="T297" s="154" t="s">
        <v>984</v>
      </c>
      <c r="U297" s="154" t="s">
        <v>916</v>
      </c>
      <c r="V297" s="154" t="s">
        <v>916</v>
      </c>
      <c r="W297" s="154" t="s">
        <v>333</v>
      </c>
      <c r="X297" s="154" t="s">
        <v>1191</v>
      </c>
    </row>
    <row r="298" spans="1:24">
      <c r="A298" s="154" t="s">
        <v>102</v>
      </c>
      <c r="B298" s="154" t="s">
        <v>1401</v>
      </c>
      <c r="C298" s="155">
        <v>45916</v>
      </c>
      <c r="D298" s="155">
        <v>45912</v>
      </c>
      <c r="E298" s="159">
        <v>879.83</v>
      </c>
      <c r="F298" s="159">
        <v>20.529999999998001</v>
      </c>
      <c r="G298" s="159">
        <v>20.529999999998001</v>
      </c>
      <c r="H298" s="184">
        <f t="shared" si="8"/>
        <v>45978</v>
      </c>
      <c r="I298" s="187" cm="1">
        <f t="array" ref="I298">G298*[15]!CalculateINPC(C298,H298,-1)</f>
        <v>20.642942304897989</v>
      </c>
      <c r="J298" s="187">
        <f t="shared" si="9"/>
        <v>21.478924266616644</v>
      </c>
      <c r="K298" s="187" cm="1">
        <f t="array" ref="K298">[15]!CalculateDICetip(C298,H298,1)*G298</f>
        <v>21.033958121997955</v>
      </c>
      <c r="L298" s="154">
        <v>273181</v>
      </c>
      <c r="M298" s="154" t="s">
        <v>411</v>
      </c>
      <c r="N298" s="154" t="s">
        <v>316</v>
      </c>
      <c r="O298" s="154" t="s">
        <v>317</v>
      </c>
      <c r="P298" s="154">
        <v>27222</v>
      </c>
      <c r="Q298" s="154" t="s">
        <v>1132</v>
      </c>
      <c r="R298" s="154">
        <v>4</v>
      </c>
      <c r="S298" s="154" t="s">
        <v>1061</v>
      </c>
      <c r="T298" s="154" t="s">
        <v>984</v>
      </c>
      <c r="U298" s="154" t="s">
        <v>916</v>
      </c>
      <c r="V298" s="154" t="s">
        <v>916</v>
      </c>
      <c r="W298" s="154" t="s">
        <v>333</v>
      </c>
      <c r="X298" s="154" t="s">
        <v>1191</v>
      </c>
    </row>
    <row r="299" spans="1:24">
      <c r="A299" s="154" t="s">
        <v>102</v>
      </c>
      <c r="B299" s="154" t="s">
        <v>1401</v>
      </c>
      <c r="C299" s="155">
        <v>45916</v>
      </c>
      <c r="D299" s="155">
        <v>45912</v>
      </c>
      <c r="E299" s="159">
        <v>879.83</v>
      </c>
      <c r="F299" s="159">
        <v>1.539999999997</v>
      </c>
      <c r="G299" s="159">
        <v>1.539999999997</v>
      </c>
      <c r="H299" s="184">
        <f t="shared" si="8"/>
        <v>45978</v>
      </c>
      <c r="I299" s="187" cm="1">
        <f t="array" ref="I299">G299*[15]!CalculateINPC(C299,H299,-1)</f>
        <v>1.5484720481969834</v>
      </c>
      <c r="J299" s="187">
        <f t="shared" si="9"/>
        <v>1.6111808753301713</v>
      </c>
      <c r="K299" s="187" cm="1">
        <f t="array" ref="K299">[15]!CalculateDICetip(C299,H299,1)*G299</f>
        <v>1.5778029959969264</v>
      </c>
      <c r="L299" s="154">
        <v>273181</v>
      </c>
      <c r="M299" s="154" t="s">
        <v>411</v>
      </c>
      <c r="N299" s="154" t="s">
        <v>645</v>
      </c>
      <c r="O299" s="154" t="s">
        <v>646</v>
      </c>
      <c r="P299" s="154">
        <v>27222</v>
      </c>
      <c r="Q299" s="154" t="s">
        <v>1132</v>
      </c>
      <c r="R299" s="154">
        <v>4</v>
      </c>
      <c r="S299" s="154" t="s">
        <v>1061</v>
      </c>
      <c r="T299" s="154" t="s">
        <v>984</v>
      </c>
      <c r="U299" s="154" t="s">
        <v>916</v>
      </c>
      <c r="V299" s="154" t="s">
        <v>916</v>
      </c>
      <c r="W299" s="154" t="s">
        <v>333</v>
      </c>
      <c r="X299" s="154" t="s">
        <v>1191</v>
      </c>
    </row>
    <row r="300" spans="1:24">
      <c r="A300" s="154" t="s">
        <v>102</v>
      </c>
      <c r="B300" s="154" t="s">
        <v>1401</v>
      </c>
      <c r="C300" s="155">
        <v>45916</v>
      </c>
      <c r="D300" s="155">
        <v>45912</v>
      </c>
      <c r="E300" s="159">
        <v>879.83</v>
      </c>
      <c r="F300" s="159">
        <v>20.529999999998001</v>
      </c>
      <c r="G300" s="159">
        <v>20.529999999998001</v>
      </c>
      <c r="H300" s="184">
        <f t="shared" si="8"/>
        <v>45978</v>
      </c>
      <c r="I300" s="187" cm="1">
        <f t="array" ref="I300">G300*[15]!CalculateINPC(C300,H300,-1)</f>
        <v>20.642942304897989</v>
      </c>
      <c r="J300" s="187">
        <f t="shared" si="9"/>
        <v>21.478924266616644</v>
      </c>
      <c r="K300" s="187" cm="1">
        <f t="array" ref="K300">[15]!CalculateDICetip(C300,H300,1)*G300</f>
        <v>21.033958121997955</v>
      </c>
      <c r="L300" s="154">
        <v>273181</v>
      </c>
      <c r="M300" s="154" t="s">
        <v>411</v>
      </c>
      <c r="N300" s="154" t="s">
        <v>316</v>
      </c>
      <c r="O300" s="154" t="s">
        <v>317</v>
      </c>
      <c r="P300" s="154">
        <v>27228</v>
      </c>
      <c r="Q300" s="154" t="s">
        <v>1126</v>
      </c>
      <c r="R300" s="154">
        <v>4</v>
      </c>
      <c r="S300" s="154" t="s">
        <v>1061</v>
      </c>
      <c r="T300" s="154" t="s">
        <v>984</v>
      </c>
      <c r="U300" s="154" t="s">
        <v>916</v>
      </c>
      <c r="V300" s="154" t="s">
        <v>916</v>
      </c>
      <c r="W300" s="154" t="s">
        <v>333</v>
      </c>
      <c r="X300" s="154" t="s">
        <v>1191</v>
      </c>
    </row>
    <row r="301" spans="1:24">
      <c r="A301" s="154" t="s">
        <v>102</v>
      </c>
      <c r="B301" s="154" t="s">
        <v>1401</v>
      </c>
      <c r="C301" s="155">
        <v>45916</v>
      </c>
      <c r="D301" s="155">
        <v>45912</v>
      </c>
      <c r="E301" s="159">
        <v>879.83</v>
      </c>
      <c r="F301" s="159">
        <v>3.7899999999970002</v>
      </c>
      <c r="G301" s="159">
        <v>3.7899999999970002</v>
      </c>
      <c r="H301" s="184">
        <f t="shared" si="8"/>
        <v>45978</v>
      </c>
      <c r="I301" s="187" cm="1">
        <f t="array" ref="I301">G301*[15]!CalculateINPC(C301,H301,-1)</f>
        <v>3.8108500406969834</v>
      </c>
      <c r="J301" s="187">
        <f t="shared" si="9"/>
        <v>3.9651789074729948</v>
      </c>
      <c r="K301" s="187" cm="1">
        <f t="array" ref="K301">[15]!CalculateDICetip(C301,H301,1)*G301</f>
        <v>3.8830346459969269</v>
      </c>
      <c r="L301" s="154">
        <v>273181</v>
      </c>
      <c r="M301" s="154" t="s">
        <v>411</v>
      </c>
      <c r="N301" s="154" t="s">
        <v>635</v>
      </c>
      <c r="O301" s="154" t="s">
        <v>636</v>
      </c>
      <c r="P301" s="154">
        <v>27228</v>
      </c>
      <c r="Q301" s="154" t="s">
        <v>1126</v>
      </c>
      <c r="R301" s="154">
        <v>4</v>
      </c>
      <c r="S301" s="154" t="s">
        <v>1061</v>
      </c>
      <c r="T301" s="154" t="s">
        <v>984</v>
      </c>
      <c r="U301" s="154" t="s">
        <v>916</v>
      </c>
      <c r="V301" s="154" t="s">
        <v>916</v>
      </c>
      <c r="W301" s="154" t="s">
        <v>333</v>
      </c>
      <c r="X301" s="154" t="s">
        <v>1191</v>
      </c>
    </row>
    <row r="302" spans="1:24">
      <c r="A302" s="154" t="s">
        <v>102</v>
      </c>
      <c r="B302" s="154" t="s">
        <v>1401</v>
      </c>
      <c r="C302" s="155">
        <v>45916</v>
      </c>
      <c r="D302" s="155">
        <v>45912</v>
      </c>
      <c r="E302" s="159">
        <v>879.83</v>
      </c>
      <c r="F302" s="159">
        <v>1.539999999997</v>
      </c>
      <c r="G302" s="159">
        <v>1.539999999997</v>
      </c>
      <c r="H302" s="184">
        <f t="shared" si="8"/>
        <v>45978</v>
      </c>
      <c r="I302" s="187" cm="1">
        <f t="array" ref="I302">G302*[15]!CalculateINPC(C302,H302,-1)</f>
        <v>1.5484720481969834</v>
      </c>
      <c r="J302" s="187">
        <f t="shared" si="9"/>
        <v>1.6111808753301713</v>
      </c>
      <c r="K302" s="187" cm="1">
        <f t="array" ref="K302">[15]!CalculateDICetip(C302,H302,1)*G302</f>
        <v>1.5778029959969264</v>
      </c>
      <c r="L302" s="154">
        <v>273181</v>
      </c>
      <c r="M302" s="154" t="s">
        <v>411</v>
      </c>
      <c r="N302" s="154" t="s">
        <v>645</v>
      </c>
      <c r="O302" s="154" t="s">
        <v>646</v>
      </c>
      <c r="P302" s="154">
        <v>27228</v>
      </c>
      <c r="Q302" s="154" t="s">
        <v>1126</v>
      </c>
      <c r="R302" s="154">
        <v>4</v>
      </c>
      <c r="S302" s="154" t="s">
        <v>1061</v>
      </c>
      <c r="T302" s="154" t="s">
        <v>984</v>
      </c>
      <c r="U302" s="154" t="s">
        <v>916</v>
      </c>
      <c r="V302" s="154" t="s">
        <v>916</v>
      </c>
      <c r="W302" s="154" t="s">
        <v>333</v>
      </c>
      <c r="X302" s="154" t="s">
        <v>1191</v>
      </c>
    </row>
    <row r="303" spans="1:24">
      <c r="A303" s="154" t="s">
        <v>102</v>
      </c>
      <c r="B303" s="154" t="s">
        <v>1401</v>
      </c>
      <c r="C303" s="155">
        <v>45916</v>
      </c>
      <c r="D303" s="155">
        <v>45912</v>
      </c>
      <c r="E303" s="159">
        <v>879.83</v>
      </c>
      <c r="F303" s="159">
        <v>20.529999999998001</v>
      </c>
      <c r="G303" s="159">
        <v>20.529999999998001</v>
      </c>
      <c r="H303" s="184">
        <f t="shared" si="8"/>
        <v>45978</v>
      </c>
      <c r="I303" s="187" cm="1">
        <f t="array" ref="I303">G303*[15]!CalculateINPC(C303,H303,-1)</f>
        <v>20.642942304897989</v>
      </c>
      <c r="J303" s="187">
        <f t="shared" si="9"/>
        <v>21.478924266616644</v>
      </c>
      <c r="K303" s="187" cm="1">
        <f t="array" ref="K303">[15]!CalculateDICetip(C303,H303,1)*G303</f>
        <v>21.033958121997955</v>
      </c>
      <c r="L303" s="154">
        <v>273181</v>
      </c>
      <c r="M303" s="154" t="s">
        <v>411</v>
      </c>
      <c r="N303" s="154" t="s">
        <v>316</v>
      </c>
      <c r="O303" s="154" t="s">
        <v>317</v>
      </c>
      <c r="P303" s="154">
        <v>27213</v>
      </c>
      <c r="Q303" s="154" t="s">
        <v>1101</v>
      </c>
      <c r="R303" s="154">
        <v>4</v>
      </c>
      <c r="S303" s="154" t="s">
        <v>1061</v>
      </c>
      <c r="T303" s="154" t="s">
        <v>984</v>
      </c>
      <c r="U303" s="154" t="s">
        <v>916</v>
      </c>
      <c r="V303" s="154" t="s">
        <v>916</v>
      </c>
      <c r="W303" s="154" t="s">
        <v>333</v>
      </c>
      <c r="X303" s="154" t="s">
        <v>1191</v>
      </c>
    </row>
    <row r="304" spans="1:24">
      <c r="A304" s="154" t="s">
        <v>102</v>
      </c>
      <c r="B304" s="154" t="s">
        <v>1401</v>
      </c>
      <c r="C304" s="155">
        <v>45916</v>
      </c>
      <c r="D304" s="155">
        <v>45912</v>
      </c>
      <c r="E304" s="159">
        <v>879.83</v>
      </c>
      <c r="F304" s="159">
        <v>3.7899999999970002</v>
      </c>
      <c r="G304" s="159">
        <v>3.7899999999970002</v>
      </c>
      <c r="H304" s="184">
        <f t="shared" si="8"/>
        <v>45978</v>
      </c>
      <c r="I304" s="187" cm="1">
        <f t="array" ref="I304">G304*[15]!CalculateINPC(C304,H304,-1)</f>
        <v>3.8108500406969834</v>
      </c>
      <c r="J304" s="187">
        <f t="shared" si="9"/>
        <v>3.9651789074729948</v>
      </c>
      <c r="K304" s="187" cm="1">
        <f t="array" ref="K304">[15]!CalculateDICetip(C304,H304,1)*G304</f>
        <v>3.8830346459969269</v>
      </c>
      <c r="L304" s="154">
        <v>273181</v>
      </c>
      <c r="M304" s="154" t="s">
        <v>411</v>
      </c>
      <c r="N304" s="154" t="s">
        <v>635</v>
      </c>
      <c r="O304" s="154" t="s">
        <v>636</v>
      </c>
      <c r="P304" s="154">
        <v>27198</v>
      </c>
      <c r="Q304" s="154" t="s">
        <v>1135</v>
      </c>
      <c r="R304" s="154">
        <v>4</v>
      </c>
      <c r="S304" s="154" t="s">
        <v>1061</v>
      </c>
      <c r="T304" s="154" t="s">
        <v>984</v>
      </c>
      <c r="U304" s="154" t="s">
        <v>916</v>
      </c>
      <c r="V304" s="154" t="s">
        <v>916</v>
      </c>
      <c r="W304" s="154" t="s">
        <v>333</v>
      </c>
      <c r="X304" s="154" t="s">
        <v>1191</v>
      </c>
    </row>
    <row r="305" spans="1:24">
      <c r="A305" s="154" t="s">
        <v>102</v>
      </c>
      <c r="B305" s="154" t="s">
        <v>1401</v>
      </c>
      <c r="C305" s="155">
        <v>45916</v>
      </c>
      <c r="D305" s="155">
        <v>45912</v>
      </c>
      <c r="E305" s="159">
        <v>879.83</v>
      </c>
      <c r="F305" s="159">
        <v>20.529999999998001</v>
      </c>
      <c r="G305" s="159">
        <v>20.529999999998001</v>
      </c>
      <c r="H305" s="184">
        <f t="shared" si="8"/>
        <v>45978</v>
      </c>
      <c r="I305" s="187" cm="1">
        <f t="array" ref="I305">G305*[15]!CalculateINPC(C305,H305,-1)</f>
        <v>20.642942304897989</v>
      </c>
      <c r="J305" s="187">
        <f t="shared" si="9"/>
        <v>21.478924266616644</v>
      </c>
      <c r="K305" s="187" cm="1">
        <f t="array" ref="K305">[15]!CalculateDICetip(C305,H305,1)*G305</f>
        <v>21.033958121997955</v>
      </c>
      <c r="L305" s="154">
        <v>273181</v>
      </c>
      <c r="M305" s="154" t="s">
        <v>411</v>
      </c>
      <c r="N305" s="154" t="s">
        <v>316</v>
      </c>
      <c r="O305" s="154" t="s">
        <v>317</v>
      </c>
      <c r="P305" s="154">
        <v>27198</v>
      </c>
      <c r="Q305" s="154" t="s">
        <v>1135</v>
      </c>
      <c r="R305" s="154">
        <v>4</v>
      </c>
      <c r="S305" s="154" t="s">
        <v>1061</v>
      </c>
      <c r="T305" s="154" t="s">
        <v>984</v>
      </c>
      <c r="U305" s="154" t="s">
        <v>916</v>
      </c>
      <c r="V305" s="154" t="s">
        <v>916</v>
      </c>
      <c r="W305" s="154" t="s">
        <v>333</v>
      </c>
      <c r="X305" s="154" t="s">
        <v>1191</v>
      </c>
    </row>
    <row r="306" spans="1:24">
      <c r="A306" s="154" t="s">
        <v>102</v>
      </c>
      <c r="B306" s="154" t="s">
        <v>1401</v>
      </c>
      <c r="C306" s="155">
        <v>45916</v>
      </c>
      <c r="D306" s="155">
        <v>45912</v>
      </c>
      <c r="E306" s="159">
        <v>879.83</v>
      </c>
      <c r="F306" s="159">
        <v>3.7899999999970002</v>
      </c>
      <c r="G306" s="159">
        <v>3.7899999999970002</v>
      </c>
      <c r="H306" s="184">
        <f t="shared" si="8"/>
        <v>45978</v>
      </c>
      <c r="I306" s="187" cm="1">
        <f t="array" ref="I306">G306*[15]!CalculateINPC(C306,H306,-1)</f>
        <v>3.8108500406969834</v>
      </c>
      <c r="J306" s="187">
        <f t="shared" si="9"/>
        <v>3.9651789074729948</v>
      </c>
      <c r="K306" s="187" cm="1">
        <f t="array" ref="K306">[15]!CalculateDICetip(C306,H306,1)*G306</f>
        <v>3.8830346459969269</v>
      </c>
      <c r="L306" s="154">
        <v>273181</v>
      </c>
      <c r="M306" s="154" t="s">
        <v>411</v>
      </c>
      <c r="N306" s="154" t="s">
        <v>635</v>
      </c>
      <c r="O306" s="154" t="s">
        <v>636</v>
      </c>
      <c r="P306" s="154">
        <v>27213</v>
      </c>
      <c r="Q306" s="154" t="s">
        <v>1101</v>
      </c>
      <c r="R306" s="154">
        <v>4</v>
      </c>
      <c r="S306" s="154" t="s">
        <v>1061</v>
      </c>
      <c r="T306" s="154" t="s">
        <v>984</v>
      </c>
      <c r="U306" s="154" t="s">
        <v>916</v>
      </c>
      <c r="V306" s="154" t="s">
        <v>916</v>
      </c>
      <c r="W306" s="154" t="s">
        <v>333</v>
      </c>
      <c r="X306" s="154" t="s">
        <v>1191</v>
      </c>
    </row>
    <row r="307" spans="1:24">
      <c r="A307" s="154" t="s">
        <v>102</v>
      </c>
      <c r="B307" s="154" t="s">
        <v>1401</v>
      </c>
      <c r="C307" s="155">
        <v>45916</v>
      </c>
      <c r="D307" s="155">
        <v>45912</v>
      </c>
      <c r="E307" s="159">
        <v>879.83</v>
      </c>
      <c r="F307" s="159">
        <v>7.9800000000039999</v>
      </c>
      <c r="G307" s="159">
        <v>7.9800000000039999</v>
      </c>
      <c r="H307" s="184">
        <f t="shared" si="8"/>
        <v>45978</v>
      </c>
      <c r="I307" s="187" cm="1">
        <f t="array" ref="I307">G307*[15]!CalculateINPC(C307,H307,-1)</f>
        <v>8.0239006134040221</v>
      </c>
      <c r="J307" s="187">
        <f t="shared" si="9"/>
        <v>8.3488463540040634</v>
      </c>
      <c r="K307" s="187" cm="1">
        <f t="array" ref="K307">[15]!CalculateDICetip(C307,H307,1)*G307</f>
        <v>8.1758882520040981</v>
      </c>
      <c r="L307" s="154">
        <v>273181</v>
      </c>
      <c r="M307" s="154" t="s">
        <v>411</v>
      </c>
      <c r="N307" s="154" t="s">
        <v>560</v>
      </c>
      <c r="O307" s="154" t="s">
        <v>561</v>
      </c>
      <c r="P307" s="154">
        <v>27228</v>
      </c>
      <c r="Q307" s="154" t="s">
        <v>1126</v>
      </c>
      <c r="R307" s="154">
        <v>4</v>
      </c>
      <c r="S307" s="154" t="s">
        <v>1061</v>
      </c>
      <c r="T307" s="154" t="s">
        <v>984</v>
      </c>
      <c r="U307" s="154" t="s">
        <v>916</v>
      </c>
      <c r="V307" s="154" t="s">
        <v>916</v>
      </c>
      <c r="W307" s="154" t="s">
        <v>333</v>
      </c>
      <c r="X307" s="154" t="s">
        <v>1191</v>
      </c>
    </row>
    <row r="308" spans="1:24">
      <c r="A308" s="154" t="s">
        <v>102</v>
      </c>
      <c r="B308" s="154" t="s">
        <v>1401</v>
      </c>
      <c r="C308" s="155">
        <v>45916</v>
      </c>
      <c r="D308" s="155">
        <v>45912</v>
      </c>
      <c r="E308" s="159">
        <v>879.83</v>
      </c>
      <c r="F308" s="159">
        <v>7.9800000000039999</v>
      </c>
      <c r="G308" s="159">
        <v>7.9800000000039999</v>
      </c>
      <c r="H308" s="184">
        <f t="shared" si="8"/>
        <v>45978</v>
      </c>
      <c r="I308" s="187" cm="1">
        <f t="array" ref="I308">G308*[15]!CalculateINPC(C308,H308,-1)</f>
        <v>8.0239006134040221</v>
      </c>
      <c r="J308" s="187">
        <f t="shared" si="9"/>
        <v>8.3488463540040634</v>
      </c>
      <c r="K308" s="187" cm="1">
        <f t="array" ref="K308">[15]!CalculateDICetip(C308,H308,1)*G308</f>
        <v>8.1758882520040981</v>
      </c>
      <c r="L308" s="154">
        <v>273181</v>
      </c>
      <c r="M308" s="154" t="s">
        <v>411</v>
      </c>
      <c r="N308" s="154" t="s">
        <v>560</v>
      </c>
      <c r="O308" s="154" t="s">
        <v>561</v>
      </c>
      <c r="P308" s="154">
        <v>27222</v>
      </c>
      <c r="Q308" s="154" t="s">
        <v>1132</v>
      </c>
      <c r="R308" s="154">
        <v>4</v>
      </c>
      <c r="S308" s="154" t="s">
        <v>1061</v>
      </c>
      <c r="T308" s="154" t="s">
        <v>984</v>
      </c>
      <c r="U308" s="154" t="s">
        <v>916</v>
      </c>
      <c r="V308" s="154" t="s">
        <v>916</v>
      </c>
      <c r="W308" s="154" t="s">
        <v>333</v>
      </c>
      <c r="X308" s="154" t="s">
        <v>1191</v>
      </c>
    </row>
    <row r="309" spans="1:24">
      <c r="A309" s="154" t="s">
        <v>102</v>
      </c>
      <c r="B309" s="154" t="s">
        <v>1401</v>
      </c>
      <c r="C309" s="155">
        <v>45916</v>
      </c>
      <c r="D309" s="155">
        <v>45912</v>
      </c>
      <c r="E309" s="159">
        <v>879.83</v>
      </c>
      <c r="F309" s="159">
        <v>1.539999999997</v>
      </c>
      <c r="G309" s="159">
        <v>1.539999999997</v>
      </c>
      <c r="H309" s="184">
        <f t="shared" si="8"/>
        <v>45978</v>
      </c>
      <c r="I309" s="187" cm="1">
        <f t="array" ref="I309">G309*[15]!CalculateINPC(C309,H309,-1)</f>
        <v>1.5484720481969834</v>
      </c>
      <c r="J309" s="187">
        <f t="shared" si="9"/>
        <v>1.6111808753301713</v>
      </c>
      <c r="K309" s="187" cm="1">
        <f t="array" ref="K309">[15]!CalculateDICetip(C309,H309,1)*G309</f>
        <v>1.5778029959969264</v>
      </c>
      <c r="L309" s="154">
        <v>273181</v>
      </c>
      <c r="M309" s="154" t="s">
        <v>411</v>
      </c>
      <c r="N309" s="154" t="s">
        <v>645</v>
      </c>
      <c r="O309" s="154" t="s">
        <v>646</v>
      </c>
      <c r="P309" s="154">
        <v>27213</v>
      </c>
      <c r="Q309" s="154" t="s">
        <v>1101</v>
      </c>
      <c r="R309" s="154">
        <v>4</v>
      </c>
      <c r="S309" s="154" t="s">
        <v>1061</v>
      </c>
      <c r="T309" s="154" t="s">
        <v>984</v>
      </c>
      <c r="U309" s="154" t="s">
        <v>916</v>
      </c>
      <c r="V309" s="154" t="s">
        <v>916</v>
      </c>
      <c r="W309" s="154" t="s">
        <v>333</v>
      </c>
      <c r="X309" s="154" t="s">
        <v>1191</v>
      </c>
    </row>
    <row r="310" spans="1:24">
      <c r="A310" s="154" t="s">
        <v>102</v>
      </c>
      <c r="B310" s="154" t="s">
        <v>1401</v>
      </c>
      <c r="C310" s="155">
        <v>45916</v>
      </c>
      <c r="D310" s="155">
        <v>45912</v>
      </c>
      <c r="E310" s="159">
        <v>879.83</v>
      </c>
      <c r="F310" s="159">
        <v>7.9800000000039999</v>
      </c>
      <c r="G310" s="159">
        <v>7.9800000000039999</v>
      </c>
      <c r="H310" s="184">
        <f t="shared" si="8"/>
        <v>45978</v>
      </c>
      <c r="I310" s="187" cm="1">
        <f t="array" ref="I310">G310*[15]!CalculateINPC(C310,H310,-1)</f>
        <v>8.0239006134040221</v>
      </c>
      <c r="J310" s="187">
        <f t="shared" si="9"/>
        <v>8.3488463540040634</v>
      </c>
      <c r="K310" s="187" cm="1">
        <f t="array" ref="K310">[15]!CalculateDICetip(C310,H310,1)*G310</f>
        <v>8.1758882520040981</v>
      </c>
      <c r="L310" s="154">
        <v>273181</v>
      </c>
      <c r="M310" s="154" t="s">
        <v>411</v>
      </c>
      <c r="N310" s="154" t="s">
        <v>560</v>
      </c>
      <c r="O310" s="154" t="s">
        <v>561</v>
      </c>
      <c r="P310" s="154">
        <v>27213</v>
      </c>
      <c r="Q310" s="154" t="s">
        <v>1101</v>
      </c>
      <c r="R310" s="154">
        <v>4</v>
      </c>
      <c r="S310" s="154" t="s">
        <v>1061</v>
      </c>
      <c r="T310" s="154" t="s">
        <v>984</v>
      </c>
      <c r="U310" s="154" t="s">
        <v>916</v>
      </c>
      <c r="V310" s="154" t="s">
        <v>916</v>
      </c>
      <c r="W310" s="154" t="s">
        <v>333</v>
      </c>
      <c r="X310" s="154" t="s">
        <v>1191</v>
      </c>
    </row>
    <row r="311" spans="1:24">
      <c r="A311" s="154" t="s">
        <v>102</v>
      </c>
      <c r="B311" s="154" t="s">
        <v>1401</v>
      </c>
      <c r="C311" s="155">
        <v>45916</v>
      </c>
      <c r="D311" s="155">
        <v>45912</v>
      </c>
      <c r="E311" s="159">
        <v>879.83</v>
      </c>
      <c r="F311" s="159">
        <v>20.529999999998001</v>
      </c>
      <c r="G311" s="159">
        <v>20.529999999998001</v>
      </c>
      <c r="H311" s="184">
        <f t="shared" si="8"/>
        <v>45978</v>
      </c>
      <c r="I311" s="187" cm="1">
        <f t="array" ref="I311">G311*[15]!CalculateINPC(C311,H311,-1)</f>
        <v>20.642942304897989</v>
      </c>
      <c r="J311" s="187">
        <f t="shared" si="9"/>
        <v>21.478924266616644</v>
      </c>
      <c r="K311" s="187" cm="1">
        <f t="array" ref="K311">[15]!CalculateDICetip(C311,H311,1)*G311</f>
        <v>21.033958121997955</v>
      </c>
      <c r="L311" s="154">
        <v>273181</v>
      </c>
      <c r="M311" s="154" t="s">
        <v>411</v>
      </c>
      <c r="N311" s="154" t="s">
        <v>316</v>
      </c>
      <c r="O311" s="154" t="s">
        <v>317</v>
      </c>
      <c r="P311" s="154">
        <v>27189</v>
      </c>
      <c r="Q311" s="154" t="s">
        <v>1152</v>
      </c>
      <c r="R311" s="154">
        <v>4</v>
      </c>
      <c r="S311" s="154" t="s">
        <v>1061</v>
      </c>
      <c r="T311" s="154" t="s">
        <v>984</v>
      </c>
      <c r="U311" s="154" t="s">
        <v>916</v>
      </c>
      <c r="V311" s="154" t="s">
        <v>916</v>
      </c>
      <c r="W311" s="154" t="s">
        <v>333</v>
      </c>
      <c r="X311" s="154" t="s">
        <v>1191</v>
      </c>
    </row>
    <row r="312" spans="1:24">
      <c r="A312" s="154" t="s">
        <v>102</v>
      </c>
      <c r="B312" s="154" t="s">
        <v>1401</v>
      </c>
      <c r="C312" s="155">
        <v>45916</v>
      </c>
      <c r="D312" s="155">
        <v>45912</v>
      </c>
      <c r="E312" s="159">
        <v>879.83</v>
      </c>
      <c r="F312" s="159">
        <v>3.7899999999970002</v>
      </c>
      <c r="G312" s="159">
        <v>3.7899999999970002</v>
      </c>
      <c r="H312" s="184">
        <f t="shared" si="8"/>
        <v>45978</v>
      </c>
      <c r="I312" s="187" cm="1">
        <f t="array" ref="I312">G312*[15]!CalculateINPC(C312,H312,-1)</f>
        <v>3.8108500406969834</v>
      </c>
      <c r="J312" s="187">
        <f t="shared" si="9"/>
        <v>3.9651789074729948</v>
      </c>
      <c r="K312" s="187" cm="1">
        <f t="array" ref="K312">[15]!CalculateDICetip(C312,H312,1)*G312</f>
        <v>3.8830346459969269</v>
      </c>
      <c r="L312" s="154">
        <v>273181</v>
      </c>
      <c r="M312" s="154" t="s">
        <v>411</v>
      </c>
      <c r="N312" s="154" t="s">
        <v>635</v>
      </c>
      <c r="O312" s="154" t="s">
        <v>636</v>
      </c>
      <c r="P312" s="154">
        <v>27189</v>
      </c>
      <c r="Q312" s="154" t="s">
        <v>1152</v>
      </c>
      <c r="R312" s="154">
        <v>4</v>
      </c>
      <c r="S312" s="154" t="s">
        <v>1061</v>
      </c>
      <c r="T312" s="154" t="s">
        <v>984</v>
      </c>
      <c r="U312" s="154" t="s">
        <v>916</v>
      </c>
      <c r="V312" s="154" t="s">
        <v>916</v>
      </c>
      <c r="W312" s="154" t="s">
        <v>333</v>
      </c>
      <c r="X312" s="154" t="s">
        <v>1191</v>
      </c>
    </row>
    <row r="313" spans="1:24">
      <c r="A313" s="154" t="s">
        <v>102</v>
      </c>
      <c r="B313" s="154" t="s">
        <v>1401</v>
      </c>
      <c r="C313" s="155">
        <v>45916</v>
      </c>
      <c r="D313" s="155">
        <v>45912</v>
      </c>
      <c r="E313" s="159">
        <v>879.83</v>
      </c>
      <c r="F313" s="159">
        <v>1.539999999997</v>
      </c>
      <c r="G313" s="159">
        <v>1.539999999997</v>
      </c>
      <c r="H313" s="184">
        <f t="shared" si="8"/>
        <v>45978</v>
      </c>
      <c r="I313" s="187" cm="1">
        <f t="array" ref="I313">G313*[15]!CalculateINPC(C313,H313,-1)</f>
        <v>1.5484720481969834</v>
      </c>
      <c r="J313" s="187">
        <f t="shared" si="9"/>
        <v>1.6111808753301713</v>
      </c>
      <c r="K313" s="187" cm="1">
        <f t="array" ref="K313">[15]!CalculateDICetip(C313,H313,1)*G313</f>
        <v>1.5778029959969264</v>
      </c>
      <c r="L313" s="154">
        <v>273181</v>
      </c>
      <c r="M313" s="154" t="s">
        <v>411</v>
      </c>
      <c r="N313" s="154" t="s">
        <v>645</v>
      </c>
      <c r="O313" s="154" t="s">
        <v>646</v>
      </c>
      <c r="P313" s="154">
        <v>27189</v>
      </c>
      <c r="Q313" s="154" t="s">
        <v>1152</v>
      </c>
      <c r="R313" s="154">
        <v>4</v>
      </c>
      <c r="S313" s="154" t="s">
        <v>1061</v>
      </c>
      <c r="T313" s="154" t="s">
        <v>984</v>
      </c>
      <c r="U313" s="154" t="s">
        <v>916</v>
      </c>
      <c r="V313" s="154" t="s">
        <v>916</v>
      </c>
      <c r="W313" s="154" t="s">
        <v>333</v>
      </c>
      <c r="X313" s="154" t="s">
        <v>1191</v>
      </c>
    </row>
    <row r="314" spans="1:24">
      <c r="A314" s="154" t="s">
        <v>102</v>
      </c>
      <c r="B314" s="154" t="s">
        <v>1401</v>
      </c>
      <c r="C314" s="155">
        <v>45916</v>
      </c>
      <c r="D314" s="155">
        <v>45912</v>
      </c>
      <c r="E314" s="159">
        <v>879.83</v>
      </c>
      <c r="F314" s="159">
        <v>1.539999999997</v>
      </c>
      <c r="G314" s="159">
        <v>1.539999999997</v>
      </c>
      <c r="H314" s="184">
        <f t="shared" si="8"/>
        <v>45978</v>
      </c>
      <c r="I314" s="187" cm="1">
        <f t="array" ref="I314">G314*[15]!CalculateINPC(C314,H314,-1)</f>
        <v>1.5484720481969834</v>
      </c>
      <c r="J314" s="187">
        <f t="shared" si="9"/>
        <v>1.6111808753301713</v>
      </c>
      <c r="K314" s="187" cm="1">
        <f t="array" ref="K314">[15]!CalculateDICetip(C314,H314,1)*G314</f>
        <v>1.5778029959969264</v>
      </c>
      <c r="L314" s="154">
        <v>273181</v>
      </c>
      <c r="M314" s="154" t="s">
        <v>411</v>
      </c>
      <c r="N314" s="154" t="s">
        <v>645</v>
      </c>
      <c r="O314" s="154" t="s">
        <v>646</v>
      </c>
      <c r="P314" s="154">
        <v>27198</v>
      </c>
      <c r="Q314" s="154" t="s">
        <v>1135</v>
      </c>
      <c r="R314" s="154">
        <v>4</v>
      </c>
      <c r="S314" s="154" t="s">
        <v>1061</v>
      </c>
      <c r="T314" s="154" t="s">
        <v>984</v>
      </c>
      <c r="U314" s="154" t="s">
        <v>916</v>
      </c>
      <c r="V314" s="154" t="s">
        <v>916</v>
      </c>
      <c r="W314" s="154" t="s">
        <v>333</v>
      </c>
      <c r="X314" s="154" t="s">
        <v>1191</v>
      </c>
    </row>
    <row r="315" spans="1:24">
      <c r="A315" s="154" t="s">
        <v>102</v>
      </c>
      <c r="B315" s="154" t="s">
        <v>1401</v>
      </c>
      <c r="C315" s="155">
        <v>45916</v>
      </c>
      <c r="D315" s="155">
        <v>45912</v>
      </c>
      <c r="E315" s="159">
        <v>879.83</v>
      </c>
      <c r="F315" s="159">
        <v>7.9800000000039999</v>
      </c>
      <c r="G315" s="159">
        <v>7.9800000000039999</v>
      </c>
      <c r="H315" s="184">
        <f t="shared" si="8"/>
        <v>45978</v>
      </c>
      <c r="I315" s="187" cm="1">
        <f t="array" ref="I315">G315*[15]!CalculateINPC(C315,H315,-1)</f>
        <v>8.0239006134040221</v>
      </c>
      <c r="J315" s="187">
        <f t="shared" si="9"/>
        <v>8.3488463540040634</v>
      </c>
      <c r="K315" s="187" cm="1">
        <f t="array" ref="K315">[15]!CalculateDICetip(C315,H315,1)*G315</f>
        <v>8.1758882520040981</v>
      </c>
      <c r="L315" s="154">
        <v>273181</v>
      </c>
      <c r="M315" s="154" t="s">
        <v>411</v>
      </c>
      <c r="N315" s="154" t="s">
        <v>560</v>
      </c>
      <c r="O315" s="154" t="s">
        <v>561</v>
      </c>
      <c r="P315" s="154">
        <v>27198</v>
      </c>
      <c r="Q315" s="154" t="s">
        <v>1135</v>
      </c>
      <c r="R315" s="154">
        <v>4</v>
      </c>
      <c r="S315" s="154" t="s">
        <v>1061</v>
      </c>
      <c r="T315" s="154" t="s">
        <v>984</v>
      </c>
      <c r="U315" s="154" t="s">
        <v>916</v>
      </c>
      <c r="V315" s="154" t="s">
        <v>916</v>
      </c>
      <c r="W315" s="154" t="s">
        <v>333</v>
      </c>
      <c r="X315" s="154" t="s">
        <v>1191</v>
      </c>
    </row>
    <row r="316" spans="1:24">
      <c r="A316" s="154" t="s">
        <v>102</v>
      </c>
      <c r="B316" s="154" t="s">
        <v>1401</v>
      </c>
      <c r="C316" s="155">
        <v>45916</v>
      </c>
      <c r="D316" s="155">
        <v>45912</v>
      </c>
      <c r="E316" s="159">
        <v>879.83</v>
      </c>
      <c r="F316" s="159">
        <v>3.7899999999970002</v>
      </c>
      <c r="G316" s="159">
        <v>3.7899999999970002</v>
      </c>
      <c r="H316" s="184">
        <f t="shared" si="8"/>
        <v>45978</v>
      </c>
      <c r="I316" s="187" cm="1">
        <f t="array" ref="I316">G316*[15]!CalculateINPC(C316,H316,-1)</f>
        <v>3.8108500406969834</v>
      </c>
      <c r="J316" s="187">
        <f t="shared" si="9"/>
        <v>3.9651789074729948</v>
      </c>
      <c r="K316" s="187" cm="1">
        <f t="array" ref="K316">[15]!CalculateDICetip(C316,H316,1)*G316</f>
        <v>3.8830346459969269</v>
      </c>
      <c r="L316" s="154">
        <v>273181</v>
      </c>
      <c r="M316" s="154" t="s">
        <v>411</v>
      </c>
      <c r="N316" s="154" t="s">
        <v>635</v>
      </c>
      <c r="O316" s="154" t="s">
        <v>636</v>
      </c>
      <c r="P316" s="154">
        <v>27193</v>
      </c>
      <c r="Q316" s="154" t="s">
        <v>1123</v>
      </c>
      <c r="R316" s="154">
        <v>4</v>
      </c>
      <c r="S316" s="154" t="s">
        <v>1061</v>
      </c>
      <c r="T316" s="154" t="s">
        <v>984</v>
      </c>
      <c r="U316" s="154" t="s">
        <v>916</v>
      </c>
      <c r="V316" s="154" t="s">
        <v>916</v>
      </c>
      <c r="W316" s="154" t="s">
        <v>333</v>
      </c>
      <c r="X316" s="154" t="s">
        <v>1191</v>
      </c>
    </row>
    <row r="317" spans="1:24">
      <c r="A317" s="154" t="s">
        <v>102</v>
      </c>
      <c r="B317" s="154" t="s">
        <v>1401</v>
      </c>
      <c r="C317" s="155">
        <v>45916</v>
      </c>
      <c r="D317" s="155">
        <v>45912</v>
      </c>
      <c r="E317" s="159">
        <v>879.83</v>
      </c>
      <c r="F317" s="159">
        <v>7.9800000000039999</v>
      </c>
      <c r="G317" s="159">
        <v>7.9800000000039999</v>
      </c>
      <c r="H317" s="184">
        <f t="shared" si="8"/>
        <v>45978</v>
      </c>
      <c r="I317" s="187" cm="1">
        <f t="array" ref="I317">G317*[15]!CalculateINPC(C317,H317,-1)</f>
        <v>8.0239006134040221</v>
      </c>
      <c r="J317" s="187">
        <f t="shared" si="9"/>
        <v>8.3488463540040634</v>
      </c>
      <c r="K317" s="187" cm="1">
        <f t="array" ref="K317">[15]!CalculateDICetip(C317,H317,1)*G317</f>
        <v>8.1758882520040981</v>
      </c>
      <c r="L317" s="154">
        <v>273181</v>
      </c>
      <c r="M317" s="154" t="s">
        <v>411</v>
      </c>
      <c r="N317" s="154" t="s">
        <v>560</v>
      </c>
      <c r="O317" s="154" t="s">
        <v>561</v>
      </c>
      <c r="P317" s="154">
        <v>27193</v>
      </c>
      <c r="Q317" s="154" t="s">
        <v>1123</v>
      </c>
      <c r="R317" s="154">
        <v>4</v>
      </c>
      <c r="S317" s="154" t="s">
        <v>1061</v>
      </c>
      <c r="T317" s="154" t="s">
        <v>984</v>
      </c>
      <c r="U317" s="154" t="s">
        <v>916</v>
      </c>
      <c r="V317" s="154" t="s">
        <v>916</v>
      </c>
      <c r="W317" s="154" t="s">
        <v>333</v>
      </c>
      <c r="X317" s="154" t="s">
        <v>1191</v>
      </c>
    </row>
    <row r="318" spans="1:24">
      <c r="A318" s="154" t="s">
        <v>102</v>
      </c>
      <c r="B318" s="154" t="s">
        <v>1401</v>
      </c>
      <c r="C318" s="155">
        <v>45916</v>
      </c>
      <c r="D318" s="155">
        <v>45912</v>
      </c>
      <c r="E318" s="159">
        <v>879.83</v>
      </c>
      <c r="F318" s="159">
        <v>20.529999999998001</v>
      </c>
      <c r="G318" s="159">
        <v>20.529999999998001</v>
      </c>
      <c r="H318" s="184">
        <f t="shared" si="8"/>
        <v>45978</v>
      </c>
      <c r="I318" s="187" cm="1">
        <f t="array" ref="I318">G318*[15]!CalculateINPC(C318,H318,-1)</f>
        <v>20.642942304897989</v>
      </c>
      <c r="J318" s="187">
        <f t="shared" si="9"/>
        <v>21.478924266616644</v>
      </c>
      <c r="K318" s="187" cm="1">
        <f t="array" ref="K318">[15]!CalculateDICetip(C318,H318,1)*G318</f>
        <v>21.033958121997955</v>
      </c>
      <c r="L318" s="154">
        <v>273181</v>
      </c>
      <c r="M318" s="154" t="s">
        <v>411</v>
      </c>
      <c r="N318" s="154" t="s">
        <v>316</v>
      </c>
      <c r="O318" s="154" t="s">
        <v>317</v>
      </c>
      <c r="P318" s="154">
        <v>27193</v>
      </c>
      <c r="Q318" s="154" t="s">
        <v>1123</v>
      </c>
      <c r="R318" s="154">
        <v>4</v>
      </c>
      <c r="S318" s="154" t="s">
        <v>1061</v>
      </c>
      <c r="T318" s="154" t="s">
        <v>984</v>
      </c>
      <c r="U318" s="154" t="s">
        <v>916</v>
      </c>
      <c r="V318" s="154" t="s">
        <v>916</v>
      </c>
      <c r="W318" s="154" t="s">
        <v>333</v>
      </c>
      <c r="X318" s="154" t="s">
        <v>1191</v>
      </c>
    </row>
    <row r="319" spans="1:24">
      <c r="A319" s="154" t="s">
        <v>102</v>
      </c>
      <c r="B319" s="154" t="s">
        <v>1401</v>
      </c>
      <c r="C319" s="155">
        <v>45916</v>
      </c>
      <c r="D319" s="155">
        <v>45912</v>
      </c>
      <c r="E319" s="159">
        <v>879.83</v>
      </c>
      <c r="F319" s="159">
        <v>1.539999999997</v>
      </c>
      <c r="G319" s="159">
        <v>1.539999999997</v>
      </c>
      <c r="H319" s="184">
        <f t="shared" si="8"/>
        <v>45978</v>
      </c>
      <c r="I319" s="187" cm="1">
        <f t="array" ref="I319">G319*[15]!CalculateINPC(C319,H319,-1)</f>
        <v>1.5484720481969834</v>
      </c>
      <c r="J319" s="187">
        <f t="shared" si="9"/>
        <v>1.6111808753301713</v>
      </c>
      <c r="K319" s="187" cm="1">
        <f t="array" ref="K319">[15]!CalculateDICetip(C319,H319,1)*G319</f>
        <v>1.5778029959969264</v>
      </c>
      <c r="L319" s="154">
        <v>273181</v>
      </c>
      <c r="M319" s="154" t="s">
        <v>411</v>
      </c>
      <c r="N319" s="154" t="s">
        <v>645</v>
      </c>
      <c r="O319" s="154" t="s">
        <v>646</v>
      </c>
      <c r="P319" s="154">
        <v>27193</v>
      </c>
      <c r="Q319" s="154" t="s">
        <v>1123</v>
      </c>
      <c r="R319" s="154">
        <v>4</v>
      </c>
      <c r="S319" s="154" t="s">
        <v>1061</v>
      </c>
      <c r="T319" s="154" t="s">
        <v>984</v>
      </c>
      <c r="U319" s="154" t="s">
        <v>916</v>
      </c>
      <c r="V319" s="154" t="s">
        <v>916</v>
      </c>
      <c r="W319" s="154" t="s">
        <v>333</v>
      </c>
      <c r="X319" s="154" t="s">
        <v>1191</v>
      </c>
    </row>
    <row r="320" spans="1:24">
      <c r="A320" s="154" t="s">
        <v>102</v>
      </c>
      <c r="B320" s="154" t="s">
        <v>1401</v>
      </c>
      <c r="C320" s="155">
        <v>45916</v>
      </c>
      <c r="D320" s="155">
        <v>45912</v>
      </c>
      <c r="E320" s="159">
        <v>879.83</v>
      </c>
      <c r="F320" s="159">
        <v>7.9800000000039999</v>
      </c>
      <c r="G320" s="159">
        <v>7.9800000000039999</v>
      </c>
      <c r="H320" s="184">
        <f t="shared" si="8"/>
        <v>45978</v>
      </c>
      <c r="I320" s="187" cm="1">
        <f t="array" ref="I320">G320*[15]!CalculateINPC(C320,H320,-1)</f>
        <v>8.0239006134040221</v>
      </c>
      <c r="J320" s="187">
        <f t="shared" si="9"/>
        <v>8.3488463540040634</v>
      </c>
      <c r="K320" s="187" cm="1">
        <f t="array" ref="K320">[15]!CalculateDICetip(C320,H320,1)*G320</f>
        <v>8.1758882520040981</v>
      </c>
      <c r="L320" s="154">
        <v>273181</v>
      </c>
      <c r="M320" s="154" t="s">
        <v>411</v>
      </c>
      <c r="N320" s="154" t="s">
        <v>560</v>
      </c>
      <c r="O320" s="154" t="s">
        <v>561</v>
      </c>
      <c r="P320" s="154">
        <v>27187</v>
      </c>
      <c r="Q320" s="154" t="s">
        <v>1146</v>
      </c>
      <c r="R320" s="154">
        <v>4</v>
      </c>
      <c r="S320" s="154" t="s">
        <v>1061</v>
      </c>
      <c r="T320" s="154" t="s">
        <v>984</v>
      </c>
      <c r="U320" s="154" t="s">
        <v>916</v>
      </c>
      <c r="V320" s="154" t="s">
        <v>916</v>
      </c>
      <c r="W320" s="154" t="s">
        <v>333</v>
      </c>
      <c r="X320" s="154" t="s">
        <v>1191</v>
      </c>
    </row>
    <row r="321" spans="1:24">
      <c r="A321" s="154" t="s">
        <v>102</v>
      </c>
      <c r="B321" s="154" t="s">
        <v>1401</v>
      </c>
      <c r="C321" s="155">
        <v>45916</v>
      </c>
      <c r="D321" s="155">
        <v>45912</v>
      </c>
      <c r="E321" s="159">
        <v>879.83</v>
      </c>
      <c r="F321" s="159">
        <v>1.539999999997</v>
      </c>
      <c r="G321" s="159">
        <v>1.539999999997</v>
      </c>
      <c r="H321" s="184">
        <f t="shared" si="8"/>
        <v>45978</v>
      </c>
      <c r="I321" s="187" cm="1">
        <f t="array" ref="I321">G321*[15]!CalculateINPC(C321,H321,-1)</f>
        <v>1.5484720481969834</v>
      </c>
      <c r="J321" s="187">
        <f t="shared" si="9"/>
        <v>1.6111808753301713</v>
      </c>
      <c r="K321" s="187" cm="1">
        <f t="array" ref="K321">[15]!CalculateDICetip(C321,H321,1)*G321</f>
        <v>1.5778029959969264</v>
      </c>
      <c r="L321" s="154">
        <v>273181</v>
      </c>
      <c r="M321" s="154" t="s">
        <v>411</v>
      </c>
      <c r="N321" s="154" t="s">
        <v>645</v>
      </c>
      <c r="O321" s="154" t="s">
        <v>646</v>
      </c>
      <c r="P321" s="154">
        <v>27187</v>
      </c>
      <c r="Q321" s="154" t="s">
        <v>1146</v>
      </c>
      <c r="R321" s="154">
        <v>4</v>
      </c>
      <c r="S321" s="154" t="s">
        <v>1061</v>
      </c>
      <c r="T321" s="154" t="s">
        <v>984</v>
      </c>
      <c r="U321" s="154" t="s">
        <v>916</v>
      </c>
      <c r="V321" s="154" t="s">
        <v>916</v>
      </c>
      <c r="W321" s="154" t="s">
        <v>333</v>
      </c>
      <c r="X321" s="154" t="s">
        <v>1191</v>
      </c>
    </row>
    <row r="322" spans="1:24">
      <c r="A322" s="154" t="s">
        <v>102</v>
      </c>
      <c r="B322" s="154" t="s">
        <v>1401</v>
      </c>
      <c r="C322" s="155">
        <v>45916</v>
      </c>
      <c r="D322" s="155">
        <v>45912</v>
      </c>
      <c r="E322" s="159">
        <v>879.83</v>
      </c>
      <c r="F322" s="159">
        <v>3.7899999999970002</v>
      </c>
      <c r="G322" s="159">
        <v>3.7899999999970002</v>
      </c>
      <c r="H322" s="184">
        <f t="shared" si="8"/>
        <v>45978</v>
      </c>
      <c r="I322" s="187" cm="1">
        <f t="array" ref="I322">G322*[15]!CalculateINPC(C322,H322,-1)</f>
        <v>3.8108500406969834</v>
      </c>
      <c r="J322" s="187">
        <f t="shared" si="9"/>
        <v>3.9651789074729948</v>
      </c>
      <c r="K322" s="187" cm="1">
        <f t="array" ref="K322">[15]!CalculateDICetip(C322,H322,1)*G322</f>
        <v>3.8830346459969269</v>
      </c>
      <c r="L322" s="154">
        <v>273181</v>
      </c>
      <c r="M322" s="154" t="s">
        <v>411</v>
      </c>
      <c r="N322" s="154" t="s">
        <v>635</v>
      </c>
      <c r="O322" s="154" t="s">
        <v>636</v>
      </c>
      <c r="P322" s="154">
        <v>27205</v>
      </c>
      <c r="Q322" s="154" t="s">
        <v>1089</v>
      </c>
      <c r="R322" s="154">
        <v>4</v>
      </c>
      <c r="S322" s="154" t="s">
        <v>1061</v>
      </c>
      <c r="T322" s="154" t="s">
        <v>984</v>
      </c>
      <c r="U322" s="154" t="s">
        <v>916</v>
      </c>
      <c r="V322" s="154" t="s">
        <v>916</v>
      </c>
      <c r="W322" s="154" t="s">
        <v>333</v>
      </c>
      <c r="X322" s="154" t="s">
        <v>1191</v>
      </c>
    </row>
    <row r="323" spans="1:24">
      <c r="A323" s="154" t="s">
        <v>102</v>
      </c>
      <c r="B323" s="154" t="s">
        <v>1401</v>
      </c>
      <c r="C323" s="155">
        <v>45916</v>
      </c>
      <c r="D323" s="155">
        <v>45912</v>
      </c>
      <c r="E323" s="159">
        <v>879.83</v>
      </c>
      <c r="F323" s="159">
        <v>1.539999999997</v>
      </c>
      <c r="G323" s="159">
        <v>1.539999999997</v>
      </c>
      <c r="H323" s="184">
        <f t="shared" si="8"/>
        <v>45978</v>
      </c>
      <c r="I323" s="187" cm="1">
        <f t="array" ref="I323">G323*[15]!CalculateINPC(C323,H323,-1)</f>
        <v>1.5484720481969834</v>
      </c>
      <c r="J323" s="187">
        <f t="shared" si="9"/>
        <v>1.6111808753301713</v>
      </c>
      <c r="K323" s="187" cm="1">
        <f t="array" ref="K323">[15]!CalculateDICetip(C323,H323,1)*G323</f>
        <v>1.5778029959969264</v>
      </c>
      <c r="L323" s="154">
        <v>273181</v>
      </c>
      <c r="M323" s="154" t="s">
        <v>411</v>
      </c>
      <c r="N323" s="154" t="s">
        <v>645</v>
      </c>
      <c r="O323" s="154" t="s">
        <v>646</v>
      </c>
      <c r="P323" s="154">
        <v>27205</v>
      </c>
      <c r="Q323" s="154" t="s">
        <v>1089</v>
      </c>
      <c r="R323" s="154">
        <v>4</v>
      </c>
      <c r="S323" s="154" t="s">
        <v>1061</v>
      </c>
      <c r="T323" s="154" t="s">
        <v>984</v>
      </c>
      <c r="U323" s="154" t="s">
        <v>916</v>
      </c>
      <c r="V323" s="154" t="s">
        <v>916</v>
      </c>
      <c r="W323" s="154" t="s">
        <v>333</v>
      </c>
      <c r="X323" s="154" t="s">
        <v>1191</v>
      </c>
    </row>
    <row r="324" spans="1:24">
      <c r="A324" s="154" t="s">
        <v>102</v>
      </c>
      <c r="B324" s="154" t="s">
        <v>1401</v>
      </c>
      <c r="C324" s="155">
        <v>45916</v>
      </c>
      <c r="D324" s="155">
        <v>45912</v>
      </c>
      <c r="E324" s="159">
        <v>879.83</v>
      </c>
      <c r="F324" s="159">
        <v>20.529999999998001</v>
      </c>
      <c r="G324" s="159">
        <v>20.529999999998001</v>
      </c>
      <c r="H324" s="184">
        <f t="shared" ref="H324:H387" si="10">$A$2</f>
        <v>45978</v>
      </c>
      <c r="I324" s="187" cm="1">
        <f t="array" ref="I324">G324*[15]!CalculateINPC(C324,H324,-1)</f>
        <v>20.642942304897989</v>
      </c>
      <c r="J324" s="187">
        <f t="shared" ref="J324:J387" si="11">G324*1.3^((H324-C324)/360)</f>
        <v>21.478924266616644</v>
      </c>
      <c r="K324" s="187" cm="1">
        <f t="array" ref="K324">[15]!CalculateDICetip(C324,H324,1)*G324</f>
        <v>21.033958121997955</v>
      </c>
      <c r="L324" s="154">
        <v>273181</v>
      </c>
      <c r="M324" s="154" t="s">
        <v>411</v>
      </c>
      <c r="N324" s="154" t="s">
        <v>316</v>
      </c>
      <c r="O324" s="154" t="s">
        <v>317</v>
      </c>
      <c r="P324" s="154">
        <v>27205</v>
      </c>
      <c r="Q324" s="154" t="s">
        <v>1089</v>
      </c>
      <c r="R324" s="154">
        <v>4</v>
      </c>
      <c r="S324" s="154" t="s">
        <v>1061</v>
      </c>
      <c r="T324" s="154" t="s">
        <v>984</v>
      </c>
      <c r="U324" s="154" t="s">
        <v>916</v>
      </c>
      <c r="V324" s="154" t="s">
        <v>916</v>
      </c>
      <c r="W324" s="154" t="s">
        <v>333</v>
      </c>
      <c r="X324" s="154" t="s">
        <v>1191</v>
      </c>
    </row>
    <row r="325" spans="1:24">
      <c r="A325" s="154" t="s">
        <v>102</v>
      </c>
      <c r="B325" s="154" t="s">
        <v>1401</v>
      </c>
      <c r="C325" s="155">
        <v>45916</v>
      </c>
      <c r="D325" s="155">
        <v>45912</v>
      </c>
      <c r="E325" s="159">
        <v>879.83</v>
      </c>
      <c r="F325" s="159">
        <v>20.529999999998001</v>
      </c>
      <c r="G325" s="159">
        <v>20.529999999998001</v>
      </c>
      <c r="H325" s="184">
        <f t="shared" si="10"/>
        <v>45978</v>
      </c>
      <c r="I325" s="187" cm="1">
        <f t="array" ref="I325">G325*[15]!CalculateINPC(C325,H325,-1)</f>
        <v>20.642942304897989</v>
      </c>
      <c r="J325" s="187">
        <f t="shared" si="11"/>
        <v>21.478924266616644</v>
      </c>
      <c r="K325" s="187" cm="1">
        <f t="array" ref="K325">[15]!CalculateDICetip(C325,H325,1)*G325</f>
        <v>21.033958121997955</v>
      </c>
      <c r="L325" s="154">
        <v>273181</v>
      </c>
      <c r="M325" s="154" t="s">
        <v>411</v>
      </c>
      <c r="N325" s="154" t="s">
        <v>316</v>
      </c>
      <c r="O325" s="154" t="s">
        <v>317</v>
      </c>
      <c r="P325" s="154">
        <v>27220</v>
      </c>
      <c r="Q325" s="154" t="s">
        <v>1092</v>
      </c>
      <c r="R325" s="154">
        <v>4</v>
      </c>
      <c r="S325" s="154" t="s">
        <v>1061</v>
      </c>
      <c r="T325" s="154" t="s">
        <v>984</v>
      </c>
      <c r="U325" s="154" t="s">
        <v>916</v>
      </c>
      <c r="V325" s="154" t="s">
        <v>916</v>
      </c>
      <c r="W325" s="154" t="s">
        <v>333</v>
      </c>
      <c r="X325" s="154" t="s">
        <v>1191</v>
      </c>
    </row>
    <row r="326" spans="1:24">
      <c r="A326" s="154" t="s">
        <v>102</v>
      </c>
      <c r="B326" s="154" t="s">
        <v>1401</v>
      </c>
      <c r="C326" s="155">
        <v>45916</v>
      </c>
      <c r="D326" s="155">
        <v>45912</v>
      </c>
      <c r="E326" s="159">
        <v>879.83</v>
      </c>
      <c r="F326" s="159">
        <v>7.9800000000039999</v>
      </c>
      <c r="G326" s="159">
        <v>7.9800000000039999</v>
      </c>
      <c r="H326" s="184">
        <f t="shared" si="10"/>
        <v>45978</v>
      </c>
      <c r="I326" s="187" cm="1">
        <f t="array" ref="I326">G326*[15]!CalculateINPC(C326,H326,-1)</f>
        <v>8.0239006134040221</v>
      </c>
      <c r="J326" s="187">
        <f t="shared" si="11"/>
        <v>8.3488463540040634</v>
      </c>
      <c r="K326" s="187" cm="1">
        <f t="array" ref="K326">[15]!CalculateDICetip(C326,H326,1)*G326</f>
        <v>8.1758882520040981</v>
      </c>
      <c r="L326" s="154">
        <v>273181</v>
      </c>
      <c r="M326" s="154" t="s">
        <v>411</v>
      </c>
      <c r="N326" s="154" t="s">
        <v>560</v>
      </c>
      <c r="O326" s="154" t="s">
        <v>561</v>
      </c>
      <c r="P326" s="154">
        <v>27205</v>
      </c>
      <c r="Q326" s="154" t="s">
        <v>1089</v>
      </c>
      <c r="R326" s="154">
        <v>4</v>
      </c>
      <c r="S326" s="154" t="s">
        <v>1061</v>
      </c>
      <c r="T326" s="154" t="s">
        <v>984</v>
      </c>
      <c r="U326" s="154" t="s">
        <v>916</v>
      </c>
      <c r="V326" s="154" t="s">
        <v>916</v>
      </c>
      <c r="W326" s="154" t="s">
        <v>333</v>
      </c>
      <c r="X326" s="154" t="s">
        <v>1191</v>
      </c>
    </row>
    <row r="327" spans="1:24">
      <c r="A327" s="154" t="s">
        <v>102</v>
      </c>
      <c r="B327" s="154" t="s">
        <v>1401</v>
      </c>
      <c r="C327" s="155">
        <v>45916</v>
      </c>
      <c r="D327" s="155">
        <v>45912</v>
      </c>
      <c r="E327" s="159">
        <v>879.83</v>
      </c>
      <c r="F327" s="159">
        <v>3.7899999999970002</v>
      </c>
      <c r="G327" s="159">
        <v>3.7899999999970002</v>
      </c>
      <c r="H327" s="184">
        <f t="shared" si="10"/>
        <v>45978</v>
      </c>
      <c r="I327" s="187" cm="1">
        <f t="array" ref="I327">G327*[15]!CalculateINPC(C327,H327,-1)</f>
        <v>3.8108500406969834</v>
      </c>
      <c r="J327" s="187">
        <f t="shared" si="11"/>
        <v>3.9651789074729948</v>
      </c>
      <c r="K327" s="187" cm="1">
        <f t="array" ref="K327">[15]!CalculateDICetip(C327,H327,1)*G327</f>
        <v>3.8830346459969269</v>
      </c>
      <c r="L327" s="154">
        <v>273181</v>
      </c>
      <c r="M327" s="154" t="s">
        <v>411</v>
      </c>
      <c r="N327" s="154" t="s">
        <v>635</v>
      </c>
      <c r="O327" s="154" t="s">
        <v>636</v>
      </c>
      <c r="P327" s="154">
        <v>27220</v>
      </c>
      <c r="Q327" s="154" t="s">
        <v>1092</v>
      </c>
      <c r="R327" s="154">
        <v>4</v>
      </c>
      <c r="S327" s="154" t="s">
        <v>1061</v>
      </c>
      <c r="T327" s="154" t="s">
        <v>984</v>
      </c>
      <c r="U327" s="154" t="s">
        <v>916</v>
      </c>
      <c r="V327" s="154" t="s">
        <v>916</v>
      </c>
      <c r="W327" s="154" t="s">
        <v>333</v>
      </c>
      <c r="X327" s="154" t="s">
        <v>1191</v>
      </c>
    </row>
    <row r="328" spans="1:24">
      <c r="A328" s="154" t="s">
        <v>102</v>
      </c>
      <c r="B328" s="154" t="s">
        <v>1401</v>
      </c>
      <c r="C328" s="155">
        <v>45916</v>
      </c>
      <c r="D328" s="155">
        <v>45912</v>
      </c>
      <c r="E328" s="159">
        <v>879.83</v>
      </c>
      <c r="F328" s="159">
        <v>1.539999999997</v>
      </c>
      <c r="G328" s="159">
        <v>1.539999999997</v>
      </c>
      <c r="H328" s="184">
        <f t="shared" si="10"/>
        <v>45978</v>
      </c>
      <c r="I328" s="187" cm="1">
        <f t="array" ref="I328">G328*[15]!CalculateINPC(C328,H328,-1)</f>
        <v>1.5484720481969834</v>
      </c>
      <c r="J328" s="187">
        <f t="shared" si="11"/>
        <v>1.6111808753301713</v>
      </c>
      <c r="K328" s="187" cm="1">
        <f t="array" ref="K328">[15]!CalculateDICetip(C328,H328,1)*G328</f>
        <v>1.5778029959969264</v>
      </c>
      <c r="L328" s="154">
        <v>273181</v>
      </c>
      <c r="M328" s="154" t="s">
        <v>411</v>
      </c>
      <c r="N328" s="154" t="s">
        <v>645</v>
      </c>
      <c r="O328" s="154" t="s">
        <v>646</v>
      </c>
      <c r="P328" s="154">
        <v>27226</v>
      </c>
      <c r="Q328" s="154" t="s">
        <v>1145</v>
      </c>
      <c r="R328" s="154">
        <v>4</v>
      </c>
      <c r="S328" s="154" t="s">
        <v>1061</v>
      </c>
      <c r="T328" s="154" t="s">
        <v>984</v>
      </c>
      <c r="U328" s="154" t="s">
        <v>916</v>
      </c>
      <c r="V328" s="154" t="s">
        <v>916</v>
      </c>
      <c r="W328" s="154" t="s">
        <v>333</v>
      </c>
      <c r="X328" s="154" t="s">
        <v>1191</v>
      </c>
    </row>
    <row r="329" spans="1:24">
      <c r="A329" s="154" t="s">
        <v>102</v>
      </c>
      <c r="B329" s="154" t="s">
        <v>1401</v>
      </c>
      <c r="C329" s="155">
        <v>45916</v>
      </c>
      <c r="D329" s="155">
        <v>45912</v>
      </c>
      <c r="E329" s="159">
        <v>879.83</v>
      </c>
      <c r="F329" s="159">
        <v>3.7899999999970002</v>
      </c>
      <c r="G329" s="159">
        <v>3.7899999999970002</v>
      </c>
      <c r="H329" s="184">
        <f t="shared" si="10"/>
        <v>45978</v>
      </c>
      <c r="I329" s="187" cm="1">
        <f t="array" ref="I329">G329*[15]!CalculateINPC(C329,H329,-1)</f>
        <v>3.8108500406969834</v>
      </c>
      <c r="J329" s="187">
        <f t="shared" si="11"/>
        <v>3.9651789074729948</v>
      </c>
      <c r="K329" s="187" cm="1">
        <f t="array" ref="K329">[15]!CalculateDICetip(C329,H329,1)*G329</f>
        <v>3.8830346459969269</v>
      </c>
      <c r="L329" s="154">
        <v>273181</v>
      </c>
      <c r="M329" s="154" t="s">
        <v>411</v>
      </c>
      <c r="N329" s="154" t="s">
        <v>635</v>
      </c>
      <c r="O329" s="154" t="s">
        <v>636</v>
      </c>
      <c r="P329" s="154">
        <v>27226</v>
      </c>
      <c r="Q329" s="154" t="s">
        <v>1145</v>
      </c>
      <c r="R329" s="154">
        <v>4</v>
      </c>
      <c r="S329" s="154" t="s">
        <v>1061</v>
      </c>
      <c r="T329" s="154" t="s">
        <v>984</v>
      </c>
      <c r="U329" s="154" t="s">
        <v>916</v>
      </c>
      <c r="V329" s="154" t="s">
        <v>916</v>
      </c>
      <c r="W329" s="154" t="s">
        <v>333</v>
      </c>
      <c r="X329" s="154" t="s">
        <v>1191</v>
      </c>
    </row>
    <row r="330" spans="1:24">
      <c r="A330" s="154" t="s">
        <v>102</v>
      </c>
      <c r="B330" s="154" t="s">
        <v>1401</v>
      </c>
      <c r="C330" s="155">
        <v>45916</v>
      </c>
      <c r="D330" s="155">
        <v>45912</v>
      </c>
      <c r="E330" s="159">
        <v>879.83</v>
      </c>
      <c r="F330" s="159">
        <v>20.529999999998001</v>
      </c>
      <c r="G330" s="159">
        <v>20.529999999998001</v>
      </c>
      <c r="H330" s="184">
        <f t="shared" si="10"/>
        <v>45978</v>
      </c>
      <c r="I330" s="187" cm="1">
        <f t="array" ref="I330">G330*[15]!CalculateINPC(C330,H330,-1)</f>
        <v>20.642942304897989</v>
      </c>
      <c r="J330" s="187">
        <f t="shared" si="11"/>
        <v>21.478924266616644</v>
      </c>
      <c r="K330" s="187" cm="1">
        <f t="array" ref="K330">[15]!CalculateDICetip(C330,H330,1)*G330</f>
        <v>21.033958121997955</v>
      </c>
      <c r="L330" s="154">
        <v>273181</v>
      </c>
      <c r="M330" s="154" t="s">
        <v>411</v>
      </c>
      <c r="N330" s="154" t="s">
        <v>316</v>
      </c>
      <c r="O330" s="154" t="s">
        <v>317</v>
      </c>
      <c r="P330" s="154">
        <v>27226</v>
      </c>
      <c r="Q330" s="154" t="s">
        <v>1145</v>
      </c>
      <c r="R330" s="154">
        <v>4</v>
      </c>
      <c r="S330" s="154" t="s">
        <v>1061</v>
      </c>
      <c r="T330" s="154" t="s">
        <v>984</v>
      </c>
      <c r="U330" s="154" t="s">
        <v>916</v>
      </c>
      <c r="V330" s="154" t="s">
        <v>916</v>
      </c>
      <c r="W330" s="154" t="s">
        <v>333</v>
      </c>
      <c r="X330" s="154" t="s">
        <v>1191</v>
      </c>
    </row>
    <row r="331" spans="1:24">
      <c r="A331" s="154" t="s">
        <v>102</v>
      </c>
      <c r="B331" s="154" t="s">
        <v>1401</v>
      </c>
      <c r="C331" s="155">
        <v>45916</v>
      </c>
      <c r="D331" s="155">
        <v>45912</v>
      </c>
      <c r="E331" s="159">
        <v>879.83</v>
      </c>
      <c r="F331" s="159">
        <v>1.539999999997</v>
      </c>
      <c r="G331" s="159">
        <v>1.539999999997</v>
      </c>
      <c r="H331" s="184">
        <f t="shared" si="10"/>
        <v>45978</v>
      </c>
      <c r="I331" s="187" cm="1">
        <f t="array" ref="I331">G331*[15]!CalculateINPC(C331,H331,-1)</f>
        <v>1.5484720481969834</v>
      </c>
      <c r="J331" s="187">
        <f t="shared" si="11"/>
        <v>1.6111808753301713</v>
      </c>
      <c r="K331" s="187" cm="1">
        <f t="array" ref="K331">[15]!CalculateDICetip(C331,H331,1)*G331</f>
        <v>1.5778029959969264</v>
      </c>
      <c r="L331" s="154">
        <v>273181</v>
      </c>
      <c r="M331" s="154" t="s">
        <v>411</v>
      </c>
      <c r="N331" s="154" t="s">
        <v>645</v>
      </c>
      <c r="O331" s="154" t="s">
        <v>646</v>
      </c>
      <c r="P331" s="154">
        <v>27211</v>
      </c>
      <c r="Q331" s="154" t="s">
        <v>1107</v>
      </c>
      <c r="R331" s="154">
        <v>4</v>
      </c>
      <c r="S331" s="154" t="s">
        <v>1061</v>
      </c>
      <c r="T331" s="154" t="s">
        <v>984</v>
      </c>
      <c r="U331" s="154" t="s">
        <v>916</v>
      </c>
      <c r="V331" s="154" t="s">
        <v>916</v>
      </c>
      <c r="W331" s="154" t="s">
        <v>333</v>
      </c>
      <c r="X331" s="154" t="s">
        <v>1191</v>
      </c>
    </row>
    <row r="332" spans="1:24">
      <c r="A332" s="154" t="s">
        <v>102</v>
      </c>
      <c r="B332" s="154" t="s">
        <v>1401</v>
      </c>
      <c r="C332" s="155">
        <v>45916</v>
      </c>
      <c r="D332" s="155">
        <v>45912</v>
      </c>
      <c r="E332" s="159">
        <v>879.83</v>
      </c>
      <c r="F332" s="159">
        <v>3.7899999999970002</v>
      </c>
      <c r="G332" s="159">
        <v>3.7899999999970002</v>
      </c>
      <c r="H332" s="184">
        <f t="shared" si="10"/>
        <v>45978</v>
      </c>
      <c r="I332" s="187" cm="1">
        <f t="array" ref="I332">G332*[15]!CalculateINPC(C332,H332,-1)</f>
        <v>3.8108500406969834</v>
      </c>
      <c r="J332" s="187">
        <f t="shared" si="11"/>
        <v>3.9651789074729948</v>
      </c>
      <c r="K332" s="187" cm="1">
        <f t="array" ref="K332">[15]!CalculateDICetip(C332,H332,1)*G332</f>
        <v>3.8830346459969269</v>
      </c>
      <c r="L332" s="154">
        <v>273181</v>
      </c>
      <c r="M332" s="154" t="s">
        <v>411</v>
      </c>
      <c r="N332" s="154" t="s">
        <v>635</v>
      </c>
      <c r="O332" s="154" t="s">
        <v>636</v>
      </c>
      <c r="P332" s="154">
        <v>27211</v>
      </c>
      <c r="Q332" s="154" t="s">
        <v>1107</v>
      </c>
      <c r="R332" s="154">
        <v>4</v>
      </c>
      <c r="S332" s="154" t="s">
        <v>1061</v>
      </c>
      <c r="T332" s="154" t="s">
        <v>984</v>
      </c>
      <c r="U332" s="154" t="s">
        <v>916</v>
      </c>
      <c r="V332" s="154" t="s">
        <v>916</v>
      </c>
      <c r="W332" s="154" t="s">
        <v>333</v>
      </c>
      <c r="X332" s="154" t="s">
        <v>1191</v>
      </c>
    </row>
    <row r="333" spans="1:24">
      <c r="A333" s="154" t="s">
        <v>102</v>
      </c>
      <c r="B333" s="154" t="s">
        <v>1401</v>
      </c>
      <c r="C333" s="155">
        <v>45916</v>
      </c>
      <c r="D333" s="155">
        <v>45912</v>
      </c>
      <c r="E333" s="159">
        <v>879.83</v>
      </c>
      <c r="F333" s="159">
        <v>7.9800000000039999</v>
      </c>
      <c r="G333" s="159">
        <v>7.9800000000039999</v>
      </c>
      <c r="H333" s="184">
        <f t="shared" si="10"/>
        <v>45978</v>
      </c>
      <c r="I333" s="187" cm="1">
        <f t="array" ref="I333">G333*[15]!CalculateINPC(C333,H333,-1)</f>
        <v>8.0239006134040221</v>
      </c>
      <c r="J333" s="187">
        <f t="shared" si="11"/>
        <v>8.3488463540040634</v>
      </c>
      <c r="K333" s="187" cm="1">
        <f t="array" ref="K333">[15]!CalculateDICetip(C333,H333,1)*G333</f>
        <v>8.1758882520040981</v>
      </c>
      <c r="L333" s="154">
        <v>273181</v>
      </c>
      <c r="M333" s="154" t="s">
        <v>411</v>
      </c>
      <c r="N333" s="154" t="s">
        <v>560</v>
      </c>
      <c r="O333" s="154" t="s">
        <v>561</v>
      </c>
      <c r="P333" s="154">
        <v>27226</v>
      </c>
      <c r="Q333" s="154" t="s">
        <v>1145</v>
      </c>
      <c r="R333" s="154">
        <v>4</v>
      </c>
      <c r="S333" s="154" t="s">
        <v>1061</v>
      </c>
      <c r="T333" s="154" t="s">
        <v>984</v>
      </c>
      <c r="U333" s="154" t="s">
        <v>916</v>
      </c>
      <c r="V333" s="154" t="s">
        <v>916</v>
      </c>
      <c r="W333" s="154" t="s">
        <v>333</v>
      </c>
      <c r="X333" s="154" t="s">
        <v>1191</v>
      </c>
    </row>
    <row r="334" spans="1:24">
      <c r="A334" s="154" t="s">
        <v>102</v>
      </c>
      <c r="B334" s="154" t="s">
        <v>1401</v>
      </c>
      <c r="C334" s="155">
        <v>45916</v>
      </c>
      <c r="D334" s="155">
        <v>45912</v>
      </c>
      <c r="E334" s="159">
        <v>879.83</v>
      </c>
      <c r="F334" s="159">
        <v>20.529999999998001</v>
      </c>
      <c r="G334" s="159">
        <v>20.529999999998001</v>
      </c>
      <c r="H334" s="184">
        <f t="shared" si="10"/>
        <v>45978</v>
      </c>
      <c r="I334" s="187" cm="1">
        <f t="array" ref="I334">G334*[15]!CalculateINPC(C334,H334,-1)</f>
        <v>20.642942304897989</v>
      </c>
      <c r="J334" s="187">
        <f t="shared" si="11"/>
        <v>21.478924266616644</v>
      </c>
      <c r="K334" s="187" cm="1">
        <f t="array" ref="K334">[15]!CalculateDICetip(C334,H334,1)*G334</f>
        <v>21.033958121997955</v>
      </c>
      <c r="L334" s="154">
        <v>273181</v>
      </c>
      <c r="M334" s="154" t="s">
        <v>411</v>
      </c>
      <c r="N334" s="154" t="s">
        <v>316</v>
      </c>
      <c r="O334" s="154" t="s">
        <v>317</v>
      </c>
      <c r="P334" s="154">
        <v>27211</v>
      </c>
      <c r="Q334" s="154" t="s">
        <v>1107</v>
      </c>
      <c r="R334" s="154">
        <v>4</v>
      </c>
      <c r="S334" s="154" t="s">
        <v>1061</v>
      </c>
      <c r="T334" s="154" t="s">
        <v>984</v>
      </c>
      <c r="U334" s="154" t="s">
        <v>916</v>
      </c>
      <c r="V334" s="154" t="s">
        <v>916</v>
      </c>
      <c r="W334" s="154" t="s">
        <v>333</v>
      </c>
      <c r="X334" s="154" t="s">
        <v>1191</v>
      </c>
    </row>
    <row r="335" spans="1:24">
      <c r="A335" s="154" t="s">
        <v>102</v>
      </c>
      <c r="B335" s="154" t="s">
        <v>1401</v>
      </c>
      <c r="C335" s="155">
        <v>45916</v>
      </c>
      <c r="D335" s="155">
        <v>45912</v>
      </c>
      <c r="E335" s="159">
        <v>879.83</v>
      </c>
      <c r="F335" s="159">
        <v>1.539999999997</v>
      </c>
      <c r="G335" s="159">
        <v>1.539999999997</v>
      </c>
      <c r="H335" s="184">
        <f t="shared" si="10"/>
        <v>45978</v>
      </c>
      <c r="I335" s="187" cm="1">
        <f t="array" ref="I335">G335*[15]!CalculateINPC(C335,H335,-1)</f>
        <v>1.5484720481969834</v>
      </c>
      <c r="J335" s="187">
        <f t="shared" si="11"/>
        <v>1.6111808753301713</v>
      </c>
      <c r="K335" s="187" cm="1">
        <f t="array" ref="K335">[15]!CalculateDICetip(C335,H335,1)*G335</f>
        <v>1.5778029959969264</v>
      </c>
      <c r="L335" s="154">
        <v>273181</v>
      </c>
      <c r="M335" s="154" t="s">
        <v>411</v>
      </c>
      <c r="N335" s="154" t="s">
        <v>645</v>
      </c>
      <c r="O335" s="154" t="s">
        <v>646</v>
      </c>
      <c r="P335" s="154">
        <v>27220</v>
      </c>
      <c r="Q335" s="154" t="s">
        <v>1092</v>
      </c>
      <c r="R335" s="154">
        <v>4</v>
      </c>
      <c r="S335" s="154" t="s">
        <v>1061</v>
      </c>
      <c r="T335" s="154" t="s">
        <v>984</v>
      </c>
      <c r="U335" s="154" t="s">
        <v>916</v>
      </c>
      <c r="V335" s="154" t="s">
        <v>916</v>
      </c>
      <c r="W335" s="154" t="s">
        <v>333</v>
      </c>
      <c r="X335" s="154" t="s">
        <v>1191</v>
      </c>
    </row>
    <row r="336" spans="1:24">
      <c r="A336" s="154" t="s">
        <v>102</v>
      </c>
      <c r="B336" s="154" t="s">
        <v>1401</v>
      </c>
      <c r="C336" s="155">
        <v>45916</v>
      </c>
      <c r="D336" s="155">
        <v>45912</v>
      </c>
      <c r="E336" s="159">
        <v>879.83</v>
      </c>
      <c r="F336" s="159">
        <v>7.9800000000039999</v>
      </c>
      <c r="G336" s="159">
        <v>7.9800000000039999</v>
      </c>
      <c r="H336" s="184">
        <f t="shared" si="10"/>
        <v>45978</v>
      </c>
      <c r="I336" s="187" cm="1">
        <f t="array" ref="I336">G336*[15]!CalculateINPC(C336,H336,-1)</f>
        <v>8.0239006134040221</v>
      </c>
      <c r="J336" s="187">
        <f t="shared" si="11"/>
        <v>8.3488463540040634</v>
      </c>
      <c r="K336" s="187" cm="1">
        <f t="array" ref="K336">[15]!CalculateDICetip(C336,H336,1)*G336</f>
        <v>8.1758882520040981</v>
      </c>
      <c r="L336" s="154">
        <v>273181</v>
      </c>
      <c r="M336" s="154" t="s">
        <v>411</v>
      </c>
      <c r="N336" s="154" t="s">
        <v>560</v>
      </c>
      <c r="O336" s="154" t="s">
        <v>561</v>
      </c>
      <c r="P336" s="154">
        <v>27220</v>
      </c>
      <c r="Q336" s="154" t="s">
        <v>1092</v>
      </c>
      <c r="R336" s="154">
        <v>4</v>
      </c>
      <c r="S336" s="154" t="s">
        <v>1061</v>
      </c>
      <c r="T336" s="154" t="s">
        <v>984</v>
      </c>
      <c r="U336" s="154" t="s">
        <v>916</v>
      </c>
      <c r="V336" s="154" t="s">
        <v>916</v>
      </c>
      <c r="W336" s="154" t="s">
        <v>333</v>
      </c>
      <c r="X336" s="154" t="s">
        <v>1191</v>
      </c>
    </row>
    <row r="337" spans="1:24">
      <c r="A337" s="154" t="s">
        <v>102</v>
      </c>
      <c r="B337" s="154" t="s">
        <v>1401</v>
      </c>
      <c r="C337" s="155">
        <v>45916</v>
      </c>
      <c r="D337" s="155">
        <v>45912</v>
      </c>
      <c r="E337" s="159">
        <v>879.83</v>
      </c>
      <c r="F337" s="159">
        <v>3.7899999999970002</v>
      </c>
      <c r="G337" s="159">
        <v>3.7899999999970002</v>
      </c>
      <c r="H337" s="184">
        <f t="shared" si="10"/>
        <v>45978</v>
      </c>
      <c r="I337" s="187" cm="1">
        <f t="array" ref="I337">G337*[15]!CalculateINPC(C337,H337,-1)</f>
        <v>3.8108500406969834</v>
      </c>
      <c r="J337" s="187">
        <f t="shared" si="11"/>
        <v>3.9651789074729948</v>
      </c>
      <c r="K337" s="187" cm="1">
        <f t="array" ref="K337">[15]!CalculateDICetip(C337,H337,1)*G337</f>
        <v>3.8830346459969269</v>
      </c>
      <c r="L337" s="154">
        <v>273181</v>
      </c>
      <c r="M337" s="154" t="s">
        <v>411</v>
      </c>
      <c r="N337" s="154" t="s">
        <v>635</v>
      </c>
      <c r="O337" s="154" t="s">
        <v>636</v>
      </c>
      <c r="P337" s="154">
        <v>27187</v>
      </c>
      <c r="Q337" s="154" t="s">
        <v>1146</v>
      </c>
      <c r="R337" s="154">
        <v>4</v>
      </c>
      <c r="S337" s="154" t="s">
        <v>1061</v>
      </c>
      <c r="T337" s="154" t="s">
        <v>984</v>
      </c>
      <c r="U337" s="154" t="s">
        <v>916</v>
      </c>
      <c r="V337" s="154" t="s">
        <v>916</v>
      </c>
      <c r="W337" s="154" t="s">
        <v>333</v>
      </c>
      <c r="X337" s="154" t="s">
        <v>1191</v>
      </c>
    </row>
    <row r="338" spans="1:24">
      <c r="A338" s="154" t="s">
        <v>102</v>
      </c>
      <c r="B338" s="154" t="s">
        <v>1401</v>
      </c>
      <c r="C338" s="155">
        <v>45916</v>
      </c>
      <c r="D338" s="155">
        <v>45912</v>
      </c>
      <c r="E338" s="159">
        <v>879.83</v>
      </c>
      <c r="F338" s="159">
        <v>20.529999999998001</v>
      </c>
      <c r="G338" s="159">
        <v>20.529999999998001</v>
      </c>
      <c r="H338" s="184">
        <f t="shared" si="10"/>
        <v>45978</v>
      </c>
      <c r="I338" s="187" cm="1">
        <f t="array" ref="I338">G338*[15]!CalculateINPC(C338,H338,-1)</f>
        <v>20.642942304897989</v>
      </c>
      <c r="J338" s="187">
        <f t="shared" si="11"/>
        <v>21.478924266616644</v>
      </c>
      <c r="K338" s="187" cm="1">
        <f t="array" ref="K338">[15]!CalculateDICetip(C338,H338,1)*G338</f>
        <v>21.033958121997955</v>
      </c>
      <c r="L338" s="154">
        <v>273181</v>
      </c>
      <c r="M338" s="154" t="s">
        <v>411</v>
      </c>
      <c r="N338" s="154" t="s">
        <v>316</v>
      </c>
      <c r="O338" s="154" t="s">
        <v>317</v>
      </c>
      <c r="P338" s="154">
        <v>27187</v>
      </c>
      <c r="Q338" s="154" t="s">
        <v>1146</v>
      </c>
      <c r="R338" s="154">
        <v>4</v>
      </c>
      <c r="S338" s="154" t="s">
        <v>1061</v>
      </c>
      <c r="T338" s="154" t="s">
        <v>984</v>
      </c>
      <c r="U338" s="154" t="s">
        <v>916</v>
      </c>
      <c r="V338" s="154" t="s">
        <v>916</v>
      </c>
      <c r="W338" s="154" t="s">
        <v>333</v>
      </c>
      <c r="X338" s="154" t="s">
        <v>1191</v>
      </c>
    </row>
    <row r="339" spans="1:24">
      <c r="A339" s="154" t="s">
        <v>102</v>
      </c>
      <c r="B339" s="154" t="s">
        <v>1401</v>
      </c>
      <c r="C339" s="155">
        <v>45916</v>
      </c>
      <c r="D339" s="155">
        <v>45912</v>
      </c>
      <c r="E339" s="159">
        <v>879.83</v>
      </c>
      <c r="F339" s="159">
        <v>7.9800000000039999</v>
      </c>
      <c r="G339" s="159">
        <v>7.9800000000039999</v>
      </c>
      <c r="H339" s="184">
        <f t="shared" si="10"/>
        <v>45978</v>
      </c>
      <c r="I339" s="187" cm="1">
        <f t="array" ref="I339">G339*[15]!CalculateINPC(C339,H339,-1)</f>
        <v>8.0239006134040221</v>
      </c>
      <c r="J339" s="187">
        <f t="shared" si="11"/>
        <v>8.3488463540040634</v>
      </c>
      <c r="K339" s="187" cm="1">
        <f t="array" ref="K339">[15]!CalculateDICetip(C339,H339,1)*G339</f>
        <v>8.1758882520040981</v>
      </c>
      <c r="L339" s="154">
        <v>273181</v>
      </c>
      <c r="M339" s="154" t="s">
        <v>411</v>
      </c>
      <c r="N339" s="154" t="s">
        <v>560</v>
      </c>
      <c r="O339" s="154" t="s">
        <v>561</v>
      </c>
      <c r="P339" s="154">
        <v>27184</v>
      </c>
      <c r="Q339" s="154" t="s">
        <v>1141</v>
      </c>
      <c r="R339" s="154">
        <v>4</v>
      </c>
      <c r="S339" s="154" t="s">
        <v>1061</v>
      </c>
      <c r="T339" s="154" t="s">
        <v>984</v>
      </c>
      <c r="U339" s="154" t="s">
        <v>916</v>
      </c>
      <c r="V339" s="154" t="s">
        <v>916</v>
      </c>
      <c r="W339" s="154" t="s">
        <v>333</v>
      </c>
      <c r="X339" s="154" t="s">
        <v>1191</v>
      </c>
    </row>
    <row r="340" spans="1:24">
      <c r="A340" s="154" t="s">
        <v>102</v>
      </c>
      <c r="B340" s="154" t="s">
        <v>1401</v>
      </c>
      <c r="C340" s="155">
        <v>45916</v>
      </c>
      <c r="D340" s="155">
        <v>45912</v>
      </c>
      <c r="E340" s="159">
        <v>879.83</v>
      </c>
      <c r="F340" s="159">
        <v>1.539999999997</v>
      </c>
      <c r="G340" s="159">
        <v>1.539999999997</v>
      </c>
      <c r="H340" s="184">
        <f t="shared" si="10"/>
        <v>45978</v>
      </c>
      <c r="I340" s="187" cm="1">
        <f t="array" ref="I340">G340*[15]!CalculateINPC(C340,H340,-1)</f>
        <v>1.5484720481969834</v>
      </c>
      <c r="J340" s="187">
        <f t="shared" si="11"/>
        <v>1.6111808753301713</v>
      </c>
      <c r="K340" s="187" cm="1">
        <f t="array" ref="K340">[15]!CalculateDICetip(C340,H340,1)*G340</f>
        <v>1.5778029959969264</v>
      </c>
      <c r="L340" s="154">
        <v>273181</v>
      </c>
      <c r="M340" s="154" t="s">
        <v>411</v>
      </c>
      <c r="N340" s="154" t="s">
        <v>645</v>
      </c>
      <c r="O340" s="154" t="s">
        <v>646</v>
      </c>
      <c r="P340" s="154">
        <v>27184</v>
      </c>
      <c r="Q340" s="154" t="s">
        <v>1141</v>
      </c>
      <c r="R340" s="154">
        <v>4</v>
      </c>
      <c r="S340" s="154" t="s">
        <v>1061</v>
      </c>
      <c r="T340" s="154" t="s">
        <v>984</v>
      </c>
      <c r="U340" s="154" t="s">
        <v>916</v>
      </c>
      <c r="V340" s="154" t="s">
        <v>916</v>
      </c>
      <c r="W340" s="154" t="s">
        <v>333</v>
      </c>
      <c r="X340" s="154" t="s">
        <v>1191</v>
      </c>
    </row>
    <row r="341" spans="1:24">
      <c r="A341" s="154" t="s">
        <v>102</v>
      </c>
      <c r="B341" s="154" t="s">
        <v>1401</v>
      </c>
      <c r="C341" s="155">
        <v>45916</v>
      </c>
      <c r="D341" s="155">
        <v>45912</v>
      </c>
      <c r="E341" s="159">
        <v>879.83</v>
      </c>
      <c r="F341" s="159">
        <v>20.529999999998001</v>
      </c>
      <c r="G341" s="159">
        <v>20.529999999998001</v>
      </c>
      <c r="H341" s="184">
        <f t="shared" si="10"/>
        <v>45978</v>
      </c>
      <c r="I341" s="187" cm="1">
        <f t="array" ref="I341">G341*[15]!CalculateINPC(C341,H341,-1)</f>
        <v>20.642942304897989</v>
      </c>
      <c r="J341" s="187">
        <f t="shared" si="11"/>
        <v>21.478924266616644</v>
      </c>
      <c r="K341" s="187" cm="1">
        <f t="array" ref="K341">[15]!CalculateDICetip(C341,H341,1)*G341</f>
        <v>21.033958121997955</v>
      </c>
      <c r="L341" s="154">
        <v>273181</v>
      </c>
      <c r="M341" s="154" t="s">
        <v>411</v>
      </c>
      <c r="N341" s="154" t="s">
        <v>316</v>
      </c>
      <c r="O341" s="154" t="s">
        <v>317</v>
      </c>
      <c r="P341" s="154">
        <v>27184</v>
      </c>
      <c r="Q341" s="154" t="s">
        <v>1141</v>
      </c>
      <c r="R341" s="154">
        <v>4</v>
      </c>
      <c r="S341" s="154" t="s">
        <v>1061</v>
      </c>
      <c r="T341" s="154" t="s">
        <v>984</v>
      </c>
      <c r="U341" s="154" t="s">
        <v>916</v>
      </c>
      <c r="V341" s="154" t="s">
        <v>916</v>
      </c>
      <c r="W341" s="154" t="s">
        <v>333</v>
      </c>
      <c r="X341" s="154" t="s">
        <v>1191</v>
      </c>
    </row>
    <row r="342" spans="1:24">
      <c r="A342" s="154" t="s">
        <v>102</v>
      </c>
      <c r="B342" s="154" t="s">
        <v>1401</v>
      </c>
      <c r="C342" s="155">
        <v>45916</v>
      </c>
      <c r="D342" s="155">
        <v>45912</v>
      </c>
      <c r="E342" s="159">
        <v>879.83</v>
      </c>
      <c r="F342" s="159">
        <v>3.7899999999970002</v>
      </c>
      <c r="G342" s="159">
        <v>3.7899999999970002</v>
      </c>
      <c r="H342" s="184">
        <f t="shared" si="10"/>
        <v>45978</v>
      </c>
      <c r="I342" s="187" cm="1">
        <f t="array" ref="I342">G342*[15]!CalculateINPC(C342,H342,-1)</f>
        <v>3.8108500406969834</v>
      </c>
      <c r="J342" s="187">
        <f t="shared" si="11"/>
        <v>3.9651789074729948</v>
      </c>
      <c r="K342" s="187" cm="1">
        <f t="array" ref="K342">[15]!CalculateDICetip(C342,H342,1)*G342</f>
        <v>3.8830346459969269</v>
      </c>
      <c r="L342" s="154">
        <v>273181</v>
      </c>
      <c r="M342" s="154" t="s">
        <v>411</v>
      </c>
      <c r="N342" s="154" t="s">
        <v>635</v>
      </c>
      <c r="O342" s="154" t="s">
        <v>636</v>
      </c>
      <c r="P342" s="154">
        <v>27184</v>
      </c>
      <c r="Q342" s="154" t="s">
        <v>1141</v>
      </c>
      <c r="R342" s="154">
        <v>4</v>
      </c>
      <c r="S342" s="154" t="s">
        <v>1061</v>
      </c>
      <c r="T342" s="154" t="s">
        <v>984</v>
      </c>
      <c r="U342" s="154" t="s">
        <v>916</v>
      </c>
      <c r="V342" s="154" t="s">
        <v>916</v>
      </c>
      <c r="W342" s="154" t="s">
        <v>333</v>
      </c>
      <c r="X342" s="154" t="s">
        <v>1191</v>
      </c>
    </row>
    <row r="343" spans="1:24">
      <c r="A343" s="154" t="s">
        <v>102</v>
      </c>
      <c r="B343" s="154" t="s">
        <v>1401</v>
      </c>
      <c r="C343" s="155">
        <v>45916</v>
      </c>
      <c r="D343" s="155">
        <v>45912</v>
      </c>
      <c r="E343" s="159">
        <v>879.83</v>
      </c>
      <c r="F343" s="159">
        <v>7.9800000000039999</v>
      </c>
      <c r="G343" s="159">
        <v>7.9800000000039999</v>
      </c>
      <c r="H343" s="184">
        <f t="shared" si="10"/>
        <v>45978</v>
      </c>
      <c r="I343" s="187" cm="1">
        <f t="array" ref="I343">G343*[15]!CalculateINPC(C343,H343,-1)</f>
        <v>8.0239006134040221</v>
      </c>
      <c r="J343" s="187">
        <f t="shared" si="11"/>
        <v>8.3488463540040634</v>
      </c>
      <c r="K343" s="187" cm="1">
        <f t="array" ref="K343">[15]!CalculateDICetip(C343,H343,1)*G343</f>
        <v>8.1758882520040981</v>
      </c>
      <c r="L343" s="154">
        <v>273181</v>
      </c>
      <c r="M343" s="154" t="s">
        <v>411</v>
      </c>
      <c r="N343" s="154" t="s">
        <v>560</v>
      </c>
      <c r="O343" s="154" t="s">
        <v>561</v>
      </c>
      <c r="P343" s="154">
        <v>27223</v>
      </c>
      <c r="Q343" s="154" t="s">
        <v>1067</v>
      </c>
      <c r="R343" s="154">
        <v>4</v>
      </c>
      <c r="S343" s="154" t="s">
        <v>1061</v>
      </c>
      <c r="T343" s="154" t="s">
        <v>984</v>
      </c>
      <c r="U343" s="154" t="s">
        <v>916</v>
      </c>
      <c r="V343" s="154" t="s">
        <v>916</v>
      </c>
      <c r="W343" s="154" t="s">
        <v>333</v>
      </c>
      <c r="X343" s="154" t="s">
        <v>1191</v>
      </c>
    </row>
    <row r="344" spans="1:24">
      <c r="A344" s="154" t="s">
        <v>102</v>
      </c>
      <c r="B344" s="154" t="s">
        <v>1401</v>
      </c>
      <c r="C344" s="155">
        <v>45916</v>
      </c>
      <c r="D344" s="155">
        <v>45912</v>
      </c>
      <c r="E344" s="159">
        <v>879.83</v>
      </c>
      <c r="F344" s="159">
        <v>7.9800000000039999</v>
      </c>
      <c r="G344" s="159">
        <v>7.9800000000039999</v>
      </c>
      <c r="H344" s="184">
        <f t="shared" si="10"/>
        <v>45978</v>
      </c>
      <c r="I344" s="187" cm="1">
        <f t="array" ref="I344">G344*[15]!CalculateINPC(C344,H344,-1)</f>
        <v>8.0239006134040221</v>
      </c>
      <c r="J344" s="187">
        <f t="shared" si="11"/>
        <v>8.3488463540040634</v>
      </c>
      <c r="K344" s="187" cm="1">
        <f t="array" ref="K344">[15]!CalculateDICetip(C344,H344,1)*G344</f>
        <v>8.1758882520040981</v>
      </c>
      <c r="L344" s="154">
        <v>273181</v>
      </c>
      <c r="M344" s="154" t="s">
        <v>411</v>
      </c>
      <c r="N344" s="154" t="s">
        <v>560</v>
      </c>
      <c r="O344" s="154" t="s">
        <v>561</v>
      </c>
      <c r="P344" s="154">
        <v>27196</v>
      </c>
      <c r="Q344" s="154" t="s">
        <v>1162</v>
      </c>
      <c r="R344" s="154">
        <v>4</v>
      </c>
      <c r="S344" s="154" t="s">
        <v>1061</v>
      </c>
      <c r="T344" s="154" t="s">
        <v>984</v>
      </c>
      <c r="U344" s="154" t="s">
        <v>916</v>
      </c>
      <c r="V344" s="154" t="s">
        <v>916</v>
      </c>
      <c r="W344" s="154" t="s">
        <v>333</v>
      </c>
      <c r="X344" s="154" t="s">
        <v>1191</v>
      </c>
    </row>
    <row r="345" spans="1:24">
      <c r="A345" s="154" t="s">
        <v>102</v>
      </c>
      <c r="B345" s="154" t="s">
        <v>1401</v>
      </c>
      <c r="C345" s="155">
        <v>45916</v>
      </c>
      <c r="D345" s="155">
        <v>45912</v>
      </c>
      <c r="E345" s="159">
        <v>879.83</v>
      </c>
      <c r="F345" s="159">
        <v>1.539999999997</v>
      </c>
      <c r="G345" s="159">
        <v>1.539999999997</v>
      </c>
      <c r="H345" s="184">
        <f t="shared" si="10"/>
        <v>45978</v>
      </c>
      <c r="I345" s="187" cm="1">
        <f t="array" ref="I345">G345*[15]!CalculateINPC(C345,H345,-1)</f>
        <v>1.5484720481969834</v>
      </c>
      <c r="J345" s="187">
        <f t="shared" si="11"/>
        <v>1.6111808753301713</v>
      </c>
      <c r="K345" s="187" cm="1">
        <f t="array" ref="K345">[15]!CalculateDICetip(C345,H345,1)*G345</f>
        <v>1.5778029959969264</v>
      </c>
      <c r="L345" s="154">
        <v>273181</v>
      </c>
      <c r="M345" s="154" t="s">
        <v>411</v>
      </c>
      <c r="N345" s="154" t="s">
        <v>645</v>
      </c>
      <c r="O345" s="154" t="s">
        <v>646</v>
      </c>
      <c r="P345" s="154">
        <v>27223</v>
      </c>
      <c r="Q345" s="154" t="s">
        <v>1067</v>
      </c>
      <c r="R345" s="154">
        <v>4</v>
      </c>
      <c r="S345" s="154" t="s">
        <v>1061</v>
      </c>
      <c r="T345" s="154" t="s">
        <v>984</v>
      </c>
      <c r="U345" s="154" t="s">
        <v>916</v>
      </c>
      <c r="V345" s="154" t="s">
        <v>916</v>
      </c>
      <c r="W345" s="154" t="s">
        <v>333</v>
      </c>
      <c r="X345" s="154" t="s">
        <v>1191</v>
      </c>
    </row>
    <row r="346" spans="1:24">
      <c r="A346" s="154" t="s">
        <v>102</v>
      </c>
      <c r="B346" s="154" t="s">
        <v>1401</v>
      </c>
      <c r="C346" s="155">
        <v>45916</v>
      </c>
      <c r="D346" s="155">
        <v>45912</v>
      </c>
      <c r="E346" s="159">
        <v>879.83</v>
      </c>
      <c r="F346" s="159">
        <v>7.9800000000039999</v>
      </c>
      <c r="G346" s="159">
        <v>7.9800000000039999</v>
      </c>
      <c r="H346" s="184">
        <f t="shared" si="10"/>
        <v>45978</v>
      </c>
      <c r="I346" s="187" cm="1">
        <f t="array" ref="I346">G346*[15]!CalculateINPC(C346,H346,-1)</f>
        <v>8.0239006134040221</v>
      </c>
      <c r="J346" s="187">
        <f t="shared" si="11"/>
        <v>8.3488463540040634</v>
      </c>
      <c r="K346" s="187" cm="1">
        <f t="array" ref="K346">[15]!CalculateDICetip(C346,H346,1)*G346</f>
        <v>8.1758882520040981</v>
      </c>
      <c r="L346" s="154">
        <v>273181</v>
      </c>
      <c r="M346" s="154" t="s">
        <v>411</v>
      </c>
      <c r="N346" s="154" t="s">
        <v>560</v>
      </c>
      <c r="O346" s="154" t="s">
        <v>561</v>
      </c>
      <c r="P346" s="154">
        <v>27211</v>
      </c>
      <c r="Q346" s="154" t="s">
        <v>1107</v>
      </c>
      <c r="R346" s="154">
        <v>4</v>
      </c>
      <c r="S346" s="154" t="s">
        <v>1061</v>
      </c>
      <c r="T346" s="154" t="s">
        <v>984</v>
      </c>
      <c r="U346" s="154" t="s">
        <v>916</v>
      </c>
      <c r="V346" s="154" t="s">
        <v>916</v>
      </c>
      <c r="W346" s="154" t="s">
        <v>333</v>
      </c>
      <c r="X346" s="154" t="s">
        <v>1191</v>
      </c>
    </row>
    <row r="347" spans="1:24">
      <c r="A347" s="154" t="s">
        <v>102</v>
      </c>
      <c r="B347" s="154" t="s">
        <v>1401</v>
      </c>
      <c r="C347" s="155">
        <v>45916</v>
      </c>
      <c r="D347" s="155">
        <v>45912</v>
      </c>
      <c r="E347" s="159">
        <v>879.83</v>
      </c>
      <c r="F347" s="159">
        <v>20.529999999998001</v>
      </c>
      <c r="G347" s="159">
        <v>20.529999999998001</v>
      </c>
      <c r="H347" s="184">
        <f t="shared" si="10"/>
        <v>45978</v>
      </c>
      <c r="I347" s="187" cm="1">
        <f t="array" ref="I347">G347*[15]!CalculateINPC(C347,H347,-1)</f>
        <v>20.642942304897989</v>
      </c>
      <c r="J347" s="187">
        <f t="shared" si="11"/>
        <v>21.478924266616644</v>
      </c>
      <c r="K347" s="187" cm="1">
        <f t="array" ref="K347">[15]!CalculateDICetip(C347,H347,1)*G347</f>
        <v>21.033958121997955</v>
      </c>
      <c r="L347" s="154">
        <v>273181</v>
      </c>
      <c r="M347" s="154" t="s">
        <v>411</v>
      </c>
      <c r="N347" s="154" t="s">
        <v>316</v>
      </c>
      <c r="O347" s="154" t="s">
        <v>317</v>
      </c>
      <c r="P347" s="154">
        <v>27223</v>
      </c>
      <c r="Q347" s="154" t="s">
        <v>1067</v>
      </c>
      <c r="R347" s="154">
        <v>4</v>
      </c>
      <c r="S347" s="154" t="s">
        <v>1061</v>
      </c>
      <c r="T347" s="154" t="s">
        <v>984</v>
      </c>
      <c r="U347" s="154" t="s">
        <v>916</v>
      </c>
      <c r="V347" s="154" t="s">
        <v>916</v>
      </c>
      <c r="W347" s="154" t="s">
        <v>333</v>
      </c>
      <c r="X347" s="154" t="s">
        <v>1191</v>
      </c>
    </row>
    <row r="348" spans="1:24">
      <c r="A348" s="154" t="s">
        <v>102</v>
      </c>
      <c r="B348" s="154" t="s">
        <v>1401</v>
      </c>
      <c r="C348" s="155">
        <v>45916</v>
      </c>
      <c r="D348" s="155">
        <v>45912</v>
      </c>
      <c r="E348" s="159">
        <v>879.83</v>
      </c>
      <c r="F348" s="159">
        <v>20.529999999998001</v>
      </c>
      <c r="G348" s="159">
        <v>20.529999999998001</v>
      </c>
      <c r="H348" s="184">
        <f t="shared" si="10"/>
        <v>45978</v>
      </c>
      <c r="I348" s="187" cm="1">
        <f t="array" ref="I348">G348*[15]!CalculateINPC(C348,H348,-1)</f>
        <v>20.642942304897989</v>
      </c>
      <c r="J348" s="187">
        <f t="shared" si="11"/>
        <v>21.478924266616644</v>
      </c>
      <c r="K348" s="187" cm="1">
        <f t="array" ref="K348">[15]!CalculateDICetip(C348,H348,1)*G348</f>
        <v>21.033958121997955</v>
      </c>
      <c r="L348" s="154">
        <v>273181</v>
      </c>
      <c r="M348" s="154" t="s">
        <v>411</v>
      </c>
      <c r="N348" s="154" t="s">
        <v>316</v>
      </c>
      <c r="O348" s="154" t="s">
        <v>317</v>
      </c>
      <c r="P348" s="154">
        <v>27196</v>
      </c>
      <c r="Q348" s="154" t="s">
        <v>1162</v>
      </c>
      <c r="R348" s="154">
        <v>4</v>
      </c>
      <c r="S348" s="154" t="s">
        <v>1061</v>
      </c>
      <c r="T348" s="154" t="s">
        <v>984</v>
      </c>
      <c r="U348" s="154" t="s">
        <v>916</v>
      </c>
      <c r="V348" s="154" t="s">
        <v>916</v>
      </c>
      <c r="W348" s="154" t="s">
        <v>333</v>
      </c>
      <c r="X348" s="154" t="s">
        <v>1191</v>
      </c>
    </row>
    <row r="349" spans="1:24">
      <c r="A349" s="154" t="s">
        <v>102</v>
      </c>
      <c r="B349" s="154" t="s">
        <v>1401</v>
      </c>
      <c r="C349" s="155">
        <v>45916</v>
      </c>
      <c r="D349" s="155">
        <v>45912</v>
      </c>
      <c r="E349" s="159">
        <v>879.83</v>
      </c>
      <c r="F349" s="159">
        <v>3.7899999999970002</v>
      </c>
      <c r="G349" s="159">
        <v>3.7899999999970002</v>
      </c>
      <c r="H349" s="184">
        <f t="shared" si="10"/>
        <v>45978</v>
      </c>
      <c r="I349" s="187" cm="1">
        <f t="array" ref="I349">G349*[15]!CalculateINPC(C349,H349,-1)</f>
        <v>3.8108500406969834</v>
      </c>
      <c r="J349" s="187">
        <f t="shared" si="11"/>
        <v>3.9651789074729948</v>
      </c>
      <c r="K349" s="187" cm="1">
        <f t="array" ref="K349">[15]!CalculateDICetip(C349,H349,1)*G349</f>
        <v>3.8830346459969269</v>
      </c>
      <c r="L349" s="154">
        <v>273181</v>
      </c>
      <c r="M349" s="154" t="s">
        <v>411</v>
      </c>
      <c r="N349" s="154" t="s">
        <v>635</v>
      </c>
      <c r="O349" s="154" t="s">
        <v>636</v>
      </c>
      <c r="P349" s="154">
        <v>27223</v>
      </c>
      <c r="Q349" s="154" t="s">
        <v>1067</v>
      </c>
      <c r="R349" s="154">
        <v>4</v>
      </c>
      <c r="S349" s="154" t="s">
        <v>1061</v>
      </c>
      <c r="T349" s="154" t="s">
        <v>984</v>
      </c>
      <c r="U349" s="154" t="s">
        <v>916</v>
      </c>
      <c r="V349" s="154" t="s">
        <v>916</v>
      </c>
      <c r="W349" s="154" t="s">
        <v>333</v>
      </c>
      <c r="X349" s="154" t="s">
        <v>1191</v>
      </c>
    </row>
    <row r="350" spans="1:24">
      <c r="A350" s="154" t="s">
        <v>102</v>
      </c>
      <c r="B350" s="154" t="s">
        <v>1401</v>
      </c>
      <c r="C350" s="155">
        <v>45916</v>
      </c>
      <c r="D350" s="155">
        <v>45912</v>
      </c>
      <c r="E350" s="159">
        <v>879.83</v>
      </c>
      <c r="F350" s="159">
        <v>3.7899999999970002</v>
      </c>
      <c r="G350" s="159">
        <v>3.7899999999970002</v>
      </c>
      <c r="H350" s="184">
        <f t="shared" si="10"/>
        <v>45978</v>
      </c>
      <c r="I350" s="187" cm="1">
        <f t="array" ref="I350">G350*[15]!CalculateINPC(C350,H350,-1)</f>
        <v>3.8108500406969834</v>
      </c>
      <c r="J350" s="187">
        <f t="shared" si="11"/>
        <v>3.9651789074729948</v>
      </c>
      <c r="K350" s="187" cm="1">
        <f t="array" ref="K350">[15]!CalculateDICetip(C350,H350,1)*G350</f>
        <v>3.8830346459969269</v>
      </c>
      <c r="L350" s="154">
        <v>273181</v>
      </c>
      <c r="M350" s="154" t="s">
        <v>411</v>
      </c>
      <c r="N350" s="154" t="s">
        <v>635</v>
      </c>
      <c r="O350" s="154" t="s">
        <v>636</v>
      </c>
      <c r="P350" s="154">
        <v>27196</v>
      </c>
      <c r="Q350" s="154" t="s">
        <v>1162</v>
      </c>
      <c r="R350" s="154">
        <v>4</v>
      </c>
      <c r="S350" s="154" t="s">
        <v>1061</v>
      </c>
      <c r="T350" s="154" t="s">
        <v>984</v>
      </c>
      <c r="U350" s="154" t="s">
        <v>916</v>
      </c>
      <c r="V350" s="154" t="s">
        <v>916</v>
      </c>
      <c r="W350" s="154" t="s">
        <v>333</v>
      </c>
      <c r="X350" s="154" t="s">
        <v>1191</v>
      </c>
    </row>
    <row r="351" spans="1:24">
      <c r="A351" s="154" t="s">
        <v>102</v>
      </c>
      <c r="B351" s="154" t="s">
        <v>1401</v>
      </c>
      <c r="C351" s="155">
        <v>45916</v>
      </c>
      <c r="D351" s="155">
        <v>45912</v>
      </c>
      <c r="E351" s="159">
        <v>879.83</v>
      </c>
      <c r="F351" s="159">
        <v>1.539999999997</v>
      </c>
      <c r="G351" s="159">
        <v>1.539999999997</v>
      </c>
      <c r="H351" s="184">
        <f t="shared" si="10"/>
        <v>45978</v>
      </c>
      <c r="I351" s="187" cm="1">
        <f t="array" ref="I351">G351*[15]!CalculateINPC(C351,H351,-1)</f>
        <v>1.5484720481969834</v>
      </c>
      <c r="J351" s="187">
        <f t="shared" si="11"/>
        <v>1.6111808753301713</v>
      </c>
      <c r="K351" s="187" cm="1">
        <f t="array" ref="K351">[15]!CalculateDICetip(C351,H351,1)*G351</f>
        <v>1.5778029959969264</v>
      </c>
      <c r="L351" s="154">
        <v>273181</v>
      </c>
      <c r="M351" s="154" t="s">
        <v>411</v>
      </c>
      <c r="N351" s="154" t="s">
        <v>645</v>
      </c>
      <c r="O351" s="154" t="s">
        <v>646</v>
      </c>
      <c r="P351" s="154">
        <v>27196</v>
      </c>
      <c r="Q351" s="154" t="s">
        <v>1162</v>
      </c>
      <c r="R351" s="154">
        <v>4</v>
      </c>
      <c r="S351" s="154" t="s">
        <v>1061</v>
      </c>
      <c r="T351" s="154" t="s">
        <v>984</v>
      </c>
      <c r="U351" s="154" t="s">
        <v>916</v>
      </c>
      <c r="V351" s="154" t="s">
        <v>916</v>
      </c>
      <c r="W351" s="154" t="s">
        <v>333</v>
      </c>
      <c r="X351" s="154" t="s">
        <v>1191</v>
      </c>
    </row>
    <row r="352" spans="1:24">
      <c r="A352" s="154" t="s">
        <v>102</v>
      </c>
      <c r="B352" s="154" t="s">
        <v>1401</v>
      </c>
      <c r="C352" s="155">
        <v>45916</v>
      </c>
      <c r="D352" s="155">
        <v>45912</v>
      </c>
      <c r="E352" s="159">
        <v>879.83</v>
      </c>
      <c r="F352" s="159">
        <v>1.539999999997</v>
      </c>
      <c r="G352" s="159">
        <v>1.539999999997</v>
      </c>
      <c r="H352" s="184">
        <f t="shared" si="10"/>
        <v>45978</v>
      </c>
      <c r="I352" s="187" cm="1">
        <f t="array" ref="I352">G352*[15]!CalculateINPC(C352,H352,-1)</f>
        <v>1.5484720481969834</v>
      </c>
      <c r="J352" s="187">
        <f t="shared" si="11"/>
        <v>1.6111808753301713</v>
      </c>
      <c r="K352" s="187" cm="1">
        <f t="array" ref="K352">[15]!CalculateDICetip(C352,H352,1)*G352</f>
        <v>1.5778029959969264</v>
      </c>
      <c r="L352" s="154">
        <v>273181</v>
      </c>
      <c r="M352" s="154" t="s">
        <v>411</v>
      </c>
      <c r="N352" s="154" t="s">
        <v>645</v>
      </c>
      <c r="O352" s="154" t="s">
        <v>646</v>
      </c>
      <c r="P352" s="154">
        <v>27191</v>
      </c>
      <c r="Q352" s="154" t="s">
        <v>1148</v>
      </c>
      <c r="R352" s="154">
        <v>4</v>
      </c>
      <c r="S352" s="154" t="s">
        <v>1061</v>
      </c>
      <c r="T352" s="154" t="s">
        <v>984</v>
      </c>
      <c r="U352" s="154" t="s">
        <v>916</v>
      </c>
      <c r="V352" s="154" t="s">
        <v>916</v>
      </c>
      <c r="W352" s="154" t="s">
        <v>333</v>
      </c>
      <c r="X352" s="154" t="s">
        <v>1191</v>
      </c>
    </row>
    <row r="353" spans="1:24">
      <c r="A353" s="154" t="s">
        <v>102</v>
      </c>
      <c r="B353" s="154" t="s">
        <v>1401</v>
      </c>
      <c r="C353" s="155">
        <v>45916</v>
      </c>
      <c r="D353" s="155">
        <v>45912</v>
      </c>
      <c r="E353" s="159">
        <v>879.83</v>
      </c>
      <c r="F353" s="159">
        <v>20.529999999998001</v>
      </c>
      <c r="G353" s="159">
        <v>20.529999999998001</v>
      </c>
      <c r="H353" s="184">
        <f t="shared" si="10"/>
        <v>45978</v>
      </c>
      <c r="I353" s="187" cm="1">
        <f t="array" ref="I353">G353*[15]!CalculateINPC(C353,H353,-1)</f>
        <v>20.642942304897989</v>
      </c>
      <c r="J353" s="187">
        <f t="shared" si="11"/>
        <v>21.478924266616644</v>
      </c>
      <c r="K353" s="187" cm="1">
        <f t="array" ref="K353">[15]!CalculateDICetip(C353,H353,1)*G353</f>
        <v>21.033958121997955</v>
      </c>
      <c r="L353" s="154">
        <v>273181</v>
      </c>
      <c r="M353" s="154" t="s">
        <v>411</v>
      </c>
      <c r="N353" s="154" t="s">
        <v>316</v>
      </c>
      <c r="O353" s="154" t="s">
        <v>317</v>
      </c>
      <c r="P353" s="154">
        <v>27191</v>
      </c>
      <c r="Q353" s="154" t="s">
        <v>1148</v>
      </c>
      <c r="R353" s="154">
        <v>4</v>
      </c>
      <c r="S353" s="154" t="s">
        <v>1061</v>
      </c>
      <c r="T353" s="154" t="s">
        <v>984</v>
      </c>
      <c r="U353" s="154" t="s">
        <v>916</v>
      </c>
      <c r="V353" s="154" t="s">
        <v>916</v>
      </c>
      <c r="W353" s="154" t="s">
        <v>333</v>
      </c>
      <c r="X353" s="154" t="s">
        <v>1191</v>
      </c>
    </row>
    <row r="354" spans="1:24">
      <c r="A354" s="154" t="s">
        <v>102</v>
      </c>
      <c r="B354" s="154" t="s">
        <v>1401</v>
      </c>
      <c r="C354" s="155">
        <v>45916</v>
      </c>
      <c r="D354" s="155">
        <v>45912</v>
      </c>
      <c r="E354" s="159">
        <v>879.83</v>
      </c>
      <c r="F354" s="159">
        <v>3.7899999999970002</v>
      </c>
      <c r="G354" s="159">
        <v>3.7899999999970002</v>
      </c>
      <c r="H354" s="184">
        <f t="shared" si="10"/>
        <v>45978</v>
      </c>
      <c r="I354" s="187" cm="1">
        <f t="array" ref="I354">G354*[15]!CalculateINPC(C354,H354,-1)</f>
        <v>3.8108500406969834</v>
      </c>
      <c r="J354" s="187">
        <f t="shared" si="11"/>
        <v>3.9651789074729948</v>
      </c>
      <c r="K354" s="187" cm="1">
        <f t="array" ref="K354">[15]!CalculateDICetip(C354,H354,1)*G354</f>
        <v>3.8830346459969269</v>
      </c>
      <c r="L354" s="154">
        <v>273181</v>
      </c>
      <c r="M354" s="154" t="s">
        <v>411</v>
      </c>
      <c r="N354" s="154" t="s">
        <v>635</v>
      </c>
      <c r="O354" s="154" t="s">
        <v>636</v>
      </c>
      <c r="P354" s="154">
        <v>27191</v>
      </c>
      <c r="Q354" s="154" t="s">
        <v>1148</v>
      </c>
      <c r="R354" s="154">
        <v>4</v>
      </c>
      <c r="S354" s="154" t="s">
        <v>1061</v>
      </c>
      <c r="T354" s="154" t="s">
        <v>984</v>
      </c>
      <c r="U354" s="154" t="s">
        <v>916</v>
      </c>
      <c r="V354" s="154" t="s">
        <v>916</v>
      </c>
      <c r="W354" s="154" t="s">
        <v>333</v>
      </c>
      <c r="X354" s="154" t="s">
        <v>1191</v>
      </c>
    </row>
    <row r="355" spans="1:24">
      <c r="A355" s="154" t="s">
        <v>102</v>
      </c>
      <c r="B355" s="154" t="s">
        <v>1401</v>
      </c>
      <c r="C355" s="155">
        <v>45916</v>
      </c>
      <c r="D355" s="155">
        <v>45912</v>
      </c>
      <c r="E355" s="159">
        <v>879.83</v>
      </c>
      <c r="F355" s="159">
        <v>7.9800000000039999</v>
      </c>
      <c r="G355" s="159">
        <v>7.9800000000039999</v>
      </c>
      <c r="H355" s="184">
        <f t="shared" si="10"/>
        <v>45978</v>
      </c>
      <c r="I355" s="187" cm="1">
        <f t="array" ref="I355">G355*[15]!CalculateINPC(C355,H355,-1)</f>
        <v>8.0239006134040221</v>
      </c>
      <c r="J355" s="187">
        <f t="shared" si="11"/>
        <v>8.3488463540040634</v>
      </c>
      <c r="K355" s="187" cm="1">
        <f t="array" ref="K355">[15]!CalculateDICetip(C355,H355,1)*G355</f>
        <v>8.1758882520040981</v>
      </c>
      <c r="L355" s="154">
        <v>273181</v>
      </c>
      <c r="M355" s="154" t="s">
        <v>411</v>
      </c>
      <c r="N355" s="154" t="s">
        <v>560</v>
      </c>
      <c r="O355" s="154" t="s">
        <v>561</v>
      </c>
      <c r="P355" s="154">
        <v>27191</v>
      </c>
      <c r="Q355" s="154" t="s">
        <v>1148</v>
      </c>
      <c r="R355" s="154">
        <v>4</v>
      </c>
      <c r="S355" s="154" t="s">
        <v>1061</v>
      </c>
      <c r="T355" s="154" t="s">
        <v>984</v>
      </c>
      <c r="U355" s="154" t="s">
        <v>916</v>
      </c>
      <c r="V355" s="154" t="s">
        <v>916</v>
      </c>
      <c r="W355" s="154" t="s">
        <v>333</v>
      </c>
      <c r="X355" s="154" t="s">
        <v>1191</v>
      </c>
    </row>
    <row r="356" spans="1:24">
      <c r="A356" s="154" t="s">
        <v>102</v>
      </c>
      <c r="B356" s="154" t="s">
        <v>1401</v>
      </c>
      <c r="C356" s="155">
        <v>45916</v>
      </c>
      <c r="D356" s="155">
        <v>45912</v>
      </c>
      <c r="E356" s="159">
        <v>879.83</v>
      </c>
      <c r="F356" s="159">
        <v>20.529999999998001</v>
      </c>
      <c r="G356" s="159">
        <v>20.529999999998001</v>
      </c>
      <c r="H356" s="184">
        <f t="shared" si="10"/>
        <v>45978</v>
      </c>
      <c r="I356" s="187" cm="1">
        <f t="array" ref="I356">G356*[15]!CalculateINPC(C356,H356,-1)</f>
        <v>20.642942304897989</v>
      </c>
      <c r="J356" s="187">
        <f t="shared" si="11"/>
        <v>21.478924266616644</v>
      </c>
      <c r="K356" s="187" cm="1">
        <f t="array" ref="K356">[15]!CalculateDICetip(C356,H356,1)*G356</f>
        <v>21.033958121997955</v>
      </c>
      <c r="L356" s="154">
        <v>273181</v>
      </c>
      <c r="M356" s="154" t="s">
        <v>411</v>
      </c>
      <c r="N356" s="154" t="s">
        <v>316</v>
      </c>
      <c r="O356" s="154" t="s">
        <v>317</v>
      </c>
      <c r="P356" s="154">
        <v>27203</v>
      </c>
      <c r="Q356" s="154" t="s">
        <v>1086</v>
      </c>
      <c r="R356" s="154">
        <v>4</v>
      </c>
      <c r="S356" s="154" t="s">
        <v>1061</v>
      </c>
      <c r="T356" s="154" t="s">
        <v>984</v>
      </c>
      <c r="U356" s="154" t="s">
        <v>916</v>
      </c>
      <c r="V356" s="154" t="s">
        <v>916</v>
      </c>
      <c r="W356" s="154" t="s">
        <v>333</v>
      </c>
      <c r="X356" s="154" t="s">
        <v>1191</v>
      </c>
    </row>
    <row r="357" spans="1:24">
      <c r="A357" s="154" t="s">
        <v>102</v>
      </c>
      <c r="B357" s="154" t="s">
        <v>1401</v>
      </c>
      <c r="C357" s="155">
        <v>45916</v>
      </c>
      <c r="D357" s="155">
        <v>45912</v>
      </c>
      <c r="E357" s="159">
        <v>879.83</v>
      </c>
      <c r="F357" s="159">
        <v>1.539999999997</v>
      </c>
      <c r="G357" s="159">
        <v>1.539999999997</v>
      </c>
      <c r="H357" s="184">
        <f t="shared" si="10"/>
        <v>45978</v>
      </c>
      <c r="I357" s="187" cm="1">
        <f t="array" ref="I357">G357*[15]!CalculateINPC(C357,H357,-1)</f>
        <v>1.5484720481969834</v>
      </c>
      <c r="J357" s="187">
        <f t="shared" si="11"/>
        <v>1.6111808753301713</v>
      </c>
      <c r="K357" s="187" cm="1">
        <f t="array" ref="K357">[15]!CalculateDICetip(C357,H357,1)*G357</f>
        <v>1.5778029959969264</v>
      </c>
      <c r="L357" s="154">
        <v>273181</v>
      </c>
      <c r="M357" s="154" t="s">
        <v>411</v>
      </c>
      <c r="N357" s="154" t="s">
        <v>645</v>
      </c>
      <c r="O357" s="154" t="s">
        <v>646</v>
      </c>
      <c r="P357" s="154">
        <v>27203</v>
      </c>
      <c r="Q357" s="154" t="s">
        <v>1086</v>
      </c>
      <c r="R357" s="154">
        <v>4</v>
      </c>
      <c r="S357" s="154" t="s">
        <v>1061</v>
      </c>
      <c r="T357" s="154" t="s">
        <v>984</v>
      </c>
      <c r="U357" s="154" t="s">
        <v>916</v>
      </c>
      <c r="V357" s="154" t="s">
        <v>916</v>
      </c>
      <c r="W357" s="154" t="s">
        <v>333</v>
      </c>
      <c r="X357" s="154" t="s">
        <v>1191</v>
      </c>
    </row>
    <row r="358" spans="1:24">
      <c r="A358" s="154" t="s">
        <v>102</v>
      </c>
      <c r="B358" s="154" t="s">
        <v>1401</v>
      </c>
      <c r="C358" s="155">
        <v>45916</v>
      </c>
      <c r="D358" s="155">
        <v>45912</v>
      </c>
      <c r="E358" s="159">
        <v>879.83</v>
      </c>
      <c r="F358" s="159">
        <v>3.7899999999970002</v>
      </c>
      <c r="G358" s="159">
        <v>3.7899999999970002</v>
      </c>
      <c r="H358" s="184">
        <f t="shared" si="10"/>
        <v>45978</v>
      </c>
      <c r="I358" s="187" cm="1">
        <f t="array" ref="I358">G358*[15]!CalculateINPC(C358,H358,-1)</f>
        <v>3.8108500406969834</v>
      </c>
      <c r="J358" s="187">
        <f t="shared" si="11"/>
        <v>3.9651789074729948</v>
      </c>
      <c r="K358" s="187" cm="1">
        <f t="array" ref="K358">[15]!CalculateDICetip(C358,H358,1)*G358</f>
        <v>3.8830346459969269</v>
      </c>
      <c r="L358" s="154">
        <v>273181</v>
      </c>
      <c r="M358" s="154" t="s">
        <v>411</v>
      </c>
      <c r="N358" s="154" t="s">
        <v>635</v>
      </c>
      <c r="O358" s="154" t="s">
        <v>636</v>
      </c>
      <c r="P358" s="154">
        <v>27203</v>
      </c>
      <c r="Q358" s="154" t="s">
        <v>1086</v>
      </c>
      <c r="R358" s="154">
        <v>4</v>
      </c>
      <c r="S358" s="154" t="s">
        <v>1061</v>
      </c>
      <c r="T358" s="154" t="s">
        <v>984</v>
      </c>
      <c r="U358" s="154" t="s">
        <v>916</v>
      </c>
      <c r="V358" s="154" t="s">
        <v>916</v>
      </c>
      <c r="W358" s="154" t="s">
        <v>333</v>
      </c>
      <c r="X358" s="154" t="s">
        <v>1191</v>
      </c>
    </row>
    <row r="359" spans="1:24">
      <c r="A359" s="154" t="s">
        <v>102</v>
      </c>
      <c r="B359" s="154" t="s">
        <v>1401</v>
      </c>
      <c r="C359" s="155">
        <v>45916</v>
      </c>
      <c r="D359" s="155">
        <v>45912</v>
      </c>
      <c r="E359" s="159">
        <v>879.83</v>
      </c>
      <c r="F359" s="159">
        <v>7.9800000000039999</v>
      </c>
      <c r="G359" s="159">
        <v>7.9800000000039999</v>
      </c>
      <c r="H359" s="184">
        <f t="shared" si="10"/>
        <v>45978</v>
      </c>
      <c r="I359" s="187" cm="1">
        <f t="array" ref="I359">G359*[15]!CalculateINPC(C359,H359,-1)</f>
        <v>8.0239006134040221</v>
      </c>
      <c r="J359" s="187">
        <f t="shared" si="11"/>
        <v>8.3488463540040634</v>
      </c>
      <c r="K359" s="187" cm="1">
        <f t="array" ref="K359">[15]!CalculateDICetip(C359,H359,1)*G359</f>
        <v>8.1758882520040981</v>
      </c>
      <c r="L359" s="154">
        <v>273181</v>
      </c>
      <c r="M359" s="154" t="s">
        <v>411</v>
      </c>
      <c r="N359" s="154" t="s">
        <v>560</v>
      </c>
      <c r="O359" s="154" t="s">
        <v>561</v>
      </c>
      <c r="P359" s="154">
        <v>27203</v>
      </c>
      <c r="Q359" s="154" t="s">
        <v>1086</v>
      </c>
      <c r="R359" s="154">
        <v>4</v>
      </c>
      <c r="S359" s="154" t="s">
        <v>1061</v>
      </c>
      <c r="T359" s="154" t="s">
        <v>984</v>
      </c>
      <c r="U359" s="154" t="s">
        <v>916</v>
      </c>
      <c r="V359" s="154" t="s">
        <v>916</v>
      </c>
      <c r="W359" s="154" t="s">
        <v>333</v>
      </c>
      <c r="X359" s="154" t="s">
        <v>1191</v>
      </c>
    </row>
    <row r="360" spans="1:24">
      <c r="A360" s="154" t="s">
        <v>102</v>
      </c>
      <c r="B360" s="154" t="s">
        <v>1401</v>
      </c>
      <c r="C360" s="155">
        <v>45916</v>
      </c>
      <c r="D360" s="155">
        <v>45912</v>
      </c>
      <c r="E360" s="159">
        <v>879.83</v>
      </c>
      <c r="F360" s="159">
        <v>1.539999999997</v>
      </c>
      <c r="G360" s="159">
        <v>1.539999999997</v>
      </c>
      <c r="H360" s="184">
        <f t="shared" si="10"/>
        <v>45978</v>
      </c>
      <c r="I360" s="187" cm="1">
        <f t="array" ref="I360">G360*[15]!CalculateINPC(C360,H360,-1)</f>
        <v>1.5484720481969834</v>
      </c>
      <c r="J360" s="187">
        <f t="shared" si="11"/>
        <v>1.6111808753301713</v>
      </c>
      <c r="K360" s="187" cm="1">
        <f t="array" ref="K360">[15]!CalculateDICetip(C360,H360,1)*G360</f>
        <v>1.5778029959969264</v>
      </c>
      <c r="L360" s="154">
        <v>273181</v>
      </c>
      <c r="M360" s="154" t="s">
        <v>411</v>
      </c>
      <c r="N360" s="154" t="s">
        <v>645</v>
      </c>
      <c r="O360" s="154" t="s">
        <v>646</v>
      </c>
      <c r="P360" s="154">
        <v>27185</v>
      </c>
      <c r="Q360" s="154" t="s">
        <v>1149</v>
      </c>
      <c r="R360" s="154">
        <v>4</v>
      </c>
      <c r="S360" s="154" t="s">
        <v>1061</v>
      </c>
      <c r="T360" s="154" t="s">
        <v>984</v>
      </c>
      <c r="U360" s="154" t="s">
        <v>916</v>
      </c>
      <c r="V360" s="154" t="s">
        <v>916</v>
      </c>
      <c r="W360" s="154" t="s">
        <v>333</v>
      </c>
      <c r="X360" s="154" t="s">
        <v>1191</v>
      </c>
    </row>
    <row r="361" spans="1:24">
      <c r="A361" s="154" t="s">
        <v>102</v>
      </c>
      <c r="B361" s="154" t="s">
        <v>1401</v>
      </c>
      <c r="C361" s="155">
        <v>45916</v>
      </c>
      <c r="D361" s="155">
        <v>45912</v>
      </c>
      <c r="E361" s="159">
        <v>879.83</v>
      </c>
      <c r="F361" s="159">
        <v>3.7899999999970002</v>
      </c>
      <c r="G361" s="159">
        <v>3.7899999999970002</v>
      </c>
      <c r="H361" s="184">
        <f t="shared" si="10"/>
        <v>45978</v>
      </c>
      <c r="I361" s="187" cm="1">
        <f t="array" ref="I361">G361*[15]!CalculateINPC(C361,H361,-1)</f>
        <v>3.8108500406969834</v>
      </c>
      <c r="J361" s="187">
        <f t="shared" si="11"/>
        <v>3.9651789074729948</v>
      </c>
      <c r="K361" s="187" cm="1">
        <f t="array" ref="K361">[15]!CalculateDICetip(C361,H361,1)*G361</f>
        <v>3.8830346459969269</v>
      </c>
      <c r="L361" s="154">
        <v>273181</v>
      </c>
      <c r="M361" s="154" t="s">
        <v>411</v>
      </c>
      <c r="N361" s="154" t="s">
        <v>635</v>
      </c>
      <c r="O361" s="154" t="s">
        <v>636</v>
      </c>
      <c r="P361" s="154">
        <v>27185</v>
      </c>
      <c r="Q361" s="154" t="s">
        <v>1149</v>
      </c>
      <c r="R361" s="154">
        <v>4</v>
      </c>
      <c r="S361" s="154" t="s">
        <v>1061</v>
      </c>
      <c r="T361" s="154" t="s">
        <v>984</v>
      </c>
      <c r="U361" s="154" t="s">
        <v>916</v>
      </c>
      <c r="V361" s="154" t="s">
        <v>916</v>
      </c>
      <c r="W361" s="154" t="s">
        <v>333</v>
      </c>
      <c r="X361" s="154" t="s">
        <v>1191</v>
      </c>
    </row>
    <row r="362" spans="1:24">
      <c r="A362" s="154" t="s">
        <v>102</v>
      </c>
      <c r="B362" s="154" t="s">
        <v>1401</v>
      </c>
      <c r="C362" s="155">
        <v>45916</v>
      </c>
      <c r="D362" s="155">
        <v>45912</v>
      </c>
      <c r="E362" s="159">
        <v>879.83</v>
      </c>
      <c r="F362" s="159">
        <v>20.529999999998001</v>
      </c>
      <c r="G362" s="159">
        <v>20.529999999998001</v>
      </c>
      <c r="H362" s="184">
        <f t="shared" si="10"/>
        <v>45978</v>
      </c>
      <c r="I362" s="187" cm="1">
        <f t="array" ref="I362">G362*[15]!CalculateINPC(C362,H362,-1)</f>
        <v>20.642942304897989</v>
      </c>
      <c r="J362" s="187">
        <f t="shared" si="11"/>
        <v>21.478924266616644</v>
      </c>
      <c r="K362" s="187" cm="1">
        <f t="array" ref="K362">[15]!CalculateDICetip(C362,H362,1)*G362</f>
        <v>21.033958121997955</v>
      </c>
      <c r="L362" s="154">
        <v>273181</v>
      </c>
      <c r="M362" s="154" t="s">
        <v>411</v>
      </c>
      <c r="N362" s="154" t="s">
        <v>316</v>
      </c>
      <c r="O362" s="154" t="s">
        <v>317</v>
      </c>
      <c r="P362" s="154">
        <v>27185</v>
      </c>
      <c r="Q362" s="154" t="s">
        <v>1149</v>
      </c>
      <c r="R362" s="154">
        <v>4</v>
      </c>
      <c r="S362" s="154" t="s">
        <v>1061</v>
      </c>
      <c r="T362" s="154" t="s">
        <v>984</v>
      </c>
      <c r="U362" s="154" t="s">
        <v>916</v>
      </c>
      <c r="V362" s="154" t="s">
        <v>916</v>
      </c>
      <c r="W362" s="154" t="s">
        <v>333</v>
      </c>
      <c r="X362" s="154" t="s">
        <v>1191</v>
      </c>
    </row>
    <row r="363" spans="1:24">
      <c r="A363" s="154" t="s">
        <v>102</v>
      </c>
      <c r="B363" s="154" t="s">
        <v>1401</v>
      </c>
      <c r="C363" s="155">
        <v>45916</v>
      </c>
      <c r="D363" s="155">
        <v>45912</v>
      </c>
      <c r="E363" s="159">
        <v>879.83</v>
      </c>
      <c r="F363" s="159">
        <v>7.9800000000039999</v>
      </c>
      <c r="G363" s="159">
        <v>7.9800000000039999</v>
      </c>
      <c r="H363" s="184">
        <f t="shared" si="10"/>
        <v>45978</v>
      </c>
      <c r="I363" s="187" cm="1">
        <f t="array" ref="I363">G363*[15]!CalculateINPC(C363,H363,-1)</f>
        <v>8.0239006134040221</v>
      </c>
      <c r="J363" s="187">
        <f t="shared" si="11"/>
        <v>8.3488463540040634</v>
      </c>
      <c r="K363" s="187" cm="1">
        <f t="array" ref="K363">[15]!CalculateDICetip(C363,H363,1)*G363</f>
        <v>8.1758882520040981</v>
      </c>
      <c r="L363" s="154">
        <v>273181</v>
      </c>
      <c r="M363" s="154" t="s">
        <v>411</v>
      </c>
      <c r="N363" s="154" t="s">
        <v>560</v>
      </c>
      <c r="O363" s="154" t="s">
        <v>561</v>
      </c>
      <c r="P363" s="154">
        <v>27185</v>
      </c>
      <c r="Q363" s="154" t="s">
        <v>1149</v>
      </c>
      <c r="R363" s="154">
        <v>4</v>
      </c>
      <c r="S363" s="154" t="s">
        <v>1061</v>
      </c>
      <c r="T363" s="154" t="s">
        <v>984</v>
      </c>
      <c r="U363" s="154" t="s">
        <v>916</v>
      </c>
      <c r="V363" s="154" t="s">
        <v>916</v>
      </c>
      <c r="W363" s="154" t="s">
        <v>333</v>
      </c>
      <c r="X363" s="154" t="s">
        <v>1191</v>
      </c>
    </row>
    <row r="364" spans="1:24">
      <c r="A364" s="154" t="s">
        <v>102</v>
      </c>
      <c r="B364" s="154" t="s">
        <v>1401</v>
      </c>
      <c r="C364" s="155">
        <v>45916</v>
      </c>
      <c r="D364" s="155">
        <v>45912</v>
      </c>
      <c r="E364" s="159">
        <v>879.83</v>
      </c>
      <c r="F364" s="159">
        <v>3.7899999999970002</v>
      </c>
      <c r="G364" s="159">
        <v>3.7899999999970002</v>
      </c>
      <c r="H364" s="184">
        <f t="shared" si="10"/>
        <v>45978</v>
      </c>
      <c r="I364" s="187" cm="1">
        <f t="array" ref="I364">G364*[15]!CalculateINPC(C364,H364,-1)</f>
        <v>3.8108500406969834</v>
      </c>
      <c r="J364" s="187">
        <f t="shared" si="11"/>
        <v>3.9651789074729948</v>
      </c>
      <c r="K364" s="187" cm="1">
        <f t="array" ref="K364">[15]!CalculateDICetip(C364,H364,1)*G364</f>
        <v>3.8830346459969269</v>
      </c>
      <c r="L364" s="154">
        <v>273181</v>
      </c>
      <c r="M364" s="154" t="s">
        <v>411</v>
      </c>
      <c r="N364" s="154" t="s">
        <v>635</v>
      </c>
      <c r="O364" s="154" t="s">
        <v>636</v>
      </c>
      <c r="P364" s="154">
        <v>27230</v>
      </c>
      <c r="Q364" s="154" t="s">
        <v>1147</v>
      </c>
      <c r="R364" s="154">
        <v>4</v>
      </c>
      <c r="S364" s="154" t="s">
        <v>1061</v>
      </c>
      <c r="T364" s="154" t="s">
        <v>984</v>
      </c>
      <c r="U364" s="154" t="s">
        <v>916</v>
      </c>
      <c r="V364" s="154" t="s">
        <v>916</v>
      </c>
      <c r="W364" s="154" t="s">
        <v>333</v>
      </c>
      <c r="X364" s="154" t="s">
        <v>1191</v>
      </c>
    </row>
    <row r="365" spans="1:24">
      <c r="A365" s="154" t="s">
        <v>102</v>
      </c>
      <c r="B365" s="154" t="s">
        <v>1401</v>
      </c>
      <c r="C365" s="155">
        <v>45916</v>
      </c>
      <c r="D365" s="155">
        <v>45912</v>
      </c>
      <c r="E365" s="159">
        <v>879.83</v>
      </c>
      <c r="F365" s="159">
        <v>7.9800000000039999</v>
      </c>
      <c r="G365" s="159">
        <v>7.9800000000039999</v>
      </c>
      <c r="H365" s="184">
        <f t="shared" si="10"/>
        <v>45978</v>
      </c>
      <c r="I365" s="187" cm="1">
        <f t="array" ref="I365">G365*[15]!CalculateINPC(C365,H365,-1)</f>
        <v>8.0239006134040221</v>
      </c>
      <c r="J365" s="187">
        <f t="shared" si="11"/>
        <v>8.3488463540040634</v>
      </c>
      <c r="K365" s="187" cm="1">
        <f t="array" ref="K365">[15]!CalculateDICetip(C365,H365,1)*G365</f>
        <v>8.1758882520040981</v>
      </c>
      <c r="L365" s="154">
        <v>273181</v>
      </c>
      <c r="M365" s="154" t="s">
        <v>411</v>
      </c>
      <c r="N365" s="154" t="s">
        <v>560</v>
      </c>
      <c r="O365" s="154" t="s">
        <v>561</v>
      </c>
      <c r="P365" s="154">
        <v>27233</v>
      </c>
      <c r="Q365" s="154" t="s">
        <v>1104</v>
      </c>
      <c r="R365" s="154">
        <v>4</v>
      </c>
      <c r="S365" s="154" t="s">
        <v>1061</v>
      </c>
      <c r="T365" s="154" t="s">
        <v>984</v>
      </c>
      <c r="U365" s="154" t="s">
        <v>916</v>
      </c>
      <c r="V365" s="154" t="s">
        <v>916</v>
      </c>
      <c r="W365" s="154" t="s">
        <v>333</v>
      </c>
      <c r="X365" s="154" t="s">
        <v>1191</v>
      </c>
    </row>
    <row r="366" spans="1:24">
      <c r="A366" s="154" t="s">
        <v>102</v>
      </c>
      <c r="B366" s="154" t="s">
        <v>1401</v>
      </c>
      <c r="C366" s="155">
        <v>45916</v>
      </c>
      <c r="D366" s="155">
        <v>45912</v>
      </c>
      <c r="E366" s="159">
        <v>879.83</v>
      </c>
      <c r="F366" s="159">
        <v>1.539999999997</v>
      </c>
      <c r="G366" s="159">
        <v>1.539999999997</v>
      </c>
      <c r="H366" s="184">
        <f t="shared" si="10"/>
        <v>45978</v>
      </c>
      <c r="I366" s="187" cm="1">
        <f t="array" ref="I366">G366*[15]!CalculateINPC(C366,H366,-1)</f>
        <v>1.5484720481969834</v>
      </c>
      <c r="J366" s="187">
        <f t="shared" si="11"/>
        <v>1.6111808753301713</v>
      </c>
      <c r="K366" s="187" cm="1">
        <f t="array" ref="K366">[15]!CalculateDICetip(C366,H366,1)*G366</f>
        <v>1.5778029959969264</v>
      </c>
      <c r="L366" s="154">
        <v>273181</v>
      </c>
      <c r="M366" s="154" t="s">
        <v>411</v>
      </c>
      <c r="N366" s="154" t="s">
        <v>645</v>
      </c>
      <c r="O366" s="154" t="s">
        <v>646</v>
      </c>
      <c r="P366" s="154">
        <v>27233</v>
      </c>
      <c r="Q366" s="154" t="s">
        <v>1104</v>
      </c>
      <c r="R366" s="154">
        <v>4</v>
      </c>
      <c r="S366" s="154" t="s">
        <v>1061</v>
      </c>
      <c r="T366" s="154" t="s">
        <v>984</v>
      </c>
      <c r="U366" s="154" t="s">
        <v>916</v>
      </c>
      <c r="V366" s="154" t="s">
        <v>916</v>
      </c>
      <c r="W366" s="154" t="s">
        <v>333</v>
      </c>
      <c r="X366" s="154" t="s">
        <v>1191</v>
      </c>
    </row>
    <row r="367" spans="1:24">
      <c r="A367" s="154" t="s">
        <v>102</v>
      </c>
      <c r="B367" s="154" t="s">
        <v>1401</v>
      </c>
      <c r="C367" s="155">
        <v>45916</v>
      </c>
      <c r="D367" s="155">
        <v>45912</v>
      </c>
      <c r="E367" s="159">
        <v>879.83</v>
      </c>
      <c r="F367" s="159">
        <v>3.7899999999970002</v>
      </c>
      <c r="G367" s="159">
        <v>3.7899999999970002</v>
      </c>
      <c r="H367" s="184">
        <f t="shared" si="10"/>
        <v>45978</v>
      </c>
      <c r="I367" s="187" cm="1">
        <f t="array" ref="I367">G367*[15]!CalculateINPC(C367,H367,-1)</f>
        <v>3.8108500406969834</v>
      </c>
      <c r="J367" s="187">
        <f t="shared" si="11"/>
        <v>3.9651789074729948</v>
      </c>
      <c r="K367" s="187" cm="1">
        <f t="array" ref="K367">[15]!CalculateDICetip(C367,H367,1)*G367</f>
        <v>3.8830346459969269</v>
      </c>
      <c r="L367" s="154">
        <v>273181</v>
      </c>
      <c r="M367" s="154" t="s">
        <v>411</v>
      </c>
      <c r="N367" s="154" t="s">
        <v>635</v>
      </c>
      <c r="O367" s="154" t="s">
        <v>636</v>
      </c>
      <c r="P367" s="154">
        <v>27233</v>
      </c>
      <c r="Q367" s="154" t="s">
        <v>1104</v>
      </c>
      <c r="R367" s="154">
        <v>4</v>
      </c>
      <c r="S367" s="154" t="s">
        <v>1061</v>
      </c>
      <c r="T367" s="154" t="s">
        <v>984</v>
      </c>
      <c r="U367" s="154" t="s">
        <v>916</v>
      </c>
      <c r="V367" s="154" t="s">
        <v>916</v>
      </c>
      <c r="W367" s="154" t="s">
        <v>333</v>
      </c>
      <c r="X367" s="154" t="s">
        <v>1191</v>
      </c>
    </row>
    <row r="368" spans="1:24">
      <c r="A368" s="154" t="s">
        <v>102</v>
      </c>
      <c r="B368" s="154" t="s">
        <v>1401</v>
      </c>
      <c r="C368" s="155">
        <v>45916</v>
      </c>
      <c r="D368" s="155">
        <v>45912</v>
      </c>
      <c r="E368" s="159">
        <v>879.83</v>
      </c>
      <c r="F368" s="159">
        <v>20.529999999998001</v>
      </c>
      <c r="G368" s="159">
        <v>20.529999999998001</v>
      </c>
      <c r="H368" s="184">
        <f t="shared" si="10"/>
        <v>45978</v>
      </c>
      <c r="I368" s="187" cm="1">
        <f t="array" ref="I368">G368*[15]!CalculateINPC(C368,H368,-1)</f>
        <v>20.642942304897989</v>
      </c>
      <c r="J368" s="187">
        <f t="shared" si="11"/>
        <v>21.478924266616644</v>
      </c>
      <c r="K368" s="187" cm="1">
        <f t="array" ref="K368">[15]!CalculateDICetip(C368,H368,1)*G368</f>
        <v>21.033958121997955</v>
      </c>
      <c r="L368" s="154">
        <v>273181</v>
      </c>
      <c r="M368" s="154" t="s">
        <v>411</v>
      </c>
      <c r="N368" s="154" t="s">
        <v>316</v>
      </c>
      <c r="O368" s="154" t="s">
        <v>317</v>
      </c>
      <c r="P368" s="154">
        <v>27233</v>
      </c>
      <c r="Q368" s="154" t="s">
        <v>1104</v>
      </c>
      <c r="R368" s="154">
        <v>4</v>
      </c>
      <c r="S368" s="154" t="s">
        <v>1061</v>
      </c>
      <c r="T368" s="154" t="s">
        <v>984</v>
      </c>
      <c r="U368" s="154" t="s">
        <v>916</v>
      </c>
      <c r="V368" s="154" t="s">
        <v>916</v>
      </c>
      <c r="W368" s="154" t="s">
        <v>333</v>
      </c>
      <c r="X368" s="154" t="s">
        <v>1191</v>
      </c>
    </row>
    <row r="369" spans="1:24">
      <c r="A369" s="154" t="s">
        <v>102</v>
      </c>
      <c r="B369" s="154" t="s">
        <v>1401</v>
      </c>
      <c r="C369" s="155">
        <v>45916</v>
      </c>
      <c r="D369" s="155">
        <v>45912</v>
      </c>
      <c r="E369" s="159">
        <v>879.83</v>
      </c>
      <c r="F369" s="159">
        <v>7.9800000000039999</v>
      </c>
      <c r="G369" s="159">
        <v>7.9800000000039999</v>
      </c>
      <c r="H369" s="184">
        <f t="shared" si="10"/>
        <v>45978</v>
      </c>
      <c r="I369" s="187" cm="1">
        <f t="array" ref="I369">G369*[15]!CalculateINPC(C369,H369,-1)</f>
        <v>8.0239006134040221</v>
      </c>
      <c r="J369" s="187">
        <f t="shared" si="11"/>
        <v>8.3488463540040634</v>
      </c>
      <c r="K369" s="187" cm="1">
        <f t="array" ref="K369">[15]!CalculateDICetip(C369,H369,1)*G369</f>
        <v>8.1758882520040981</v>
      </c>
      <c r="L369" s="154">
        <v>273181</v>
      </c>
      <c r="M369" s="154" t="s">
        <v>411</v>
      </c>
      <c r="N369" s="154" t="s">
        <v>560</v>
      </c>
      <c r="O369" s="154" t="s">
        <v>561</v>
      </c>
      <c r="P369" s="154">
        <v>27230</v>
      </c>
      <c r="Q369" s="154" t="s">
        <v>1147</v>
      </c>
      <c r="R369" s="154">
        <v>4</v>
      </c>
      <c r="S369" s="154" t="s">
        <v>1061</v>
      </c>
      <c r="T369" s="154" t="s">
        <v>984</v>
      </c>
      <c r="U369" s="154" t="s">
        <v>916</v>
      </c>
      <c r="V369" s="154" t="s">
        <v>916</v>
      </c>
      <c r="W369" s="154" t="s">
        <v>333</v>
      </c>
      <c r="X369" s="154" t="s">
        <v>1191</v>
      </c>
    </row>
    <row r="370" spans="1:24">
      <c r="A370" s="154" t="s">
        <v>102</v>
      </c>
      <c r="B370" s="154" t="s">
        <v>1401</v>
      </c>
      <c r="C370" s="155">
        <v>45916</v>
      </c>
      <c r="D370" s="155">
        <v>45912</v>
      </c>
      <c r="E370" s="159">
        <v>879.83</v>
      </c>
      <c r="F370" s="159">
        <v>1.539999999997</v>
      </c>
      <c r="G370" s="159">
        <v>1.539999999997</v>
      </c>
      <c r="H370" s="184">
        <f t="shared" si="10"/>
        <v>45978</v>
      </c>
      <c r="I370" s="187" cm="1">
        <f t="array" ref="I370">G370*[15]!CalculateINPC(C370,H370,-1)</f>
        <v>1.5484720481969834</v>
      </c>
      <c r="J370" s="187">
        <f t="shared" si="11"/>
        <v>1.6111808753301713</v>
      </c>
      <c r="K370" s="187" cm="1">
        <f t="array" ref="K370">[15]!CalculateDICetip(C370,H370,1)*G370</f>
        <v>1.5778029959969264</v>
      </c>
      <c r="L370" s="154">
        <v>273181</v>
      </c>
      <c r="M370" s="154" t="s">
        <v>411</v>
      </c>
      <c r="N370" s="154" t="s">
        <v>645</v>
      </c>
      <c r="O370" s="154" t="s">
        <v>646</v>
      </c>
      <c r="P370" s="154">
        <v>27230</v>
      </c>
      <c r="Q370" s="154" t="s">
        <v>1147</v>
      </c>
      <c r="R370" s="154">
        <v>4</v>
      </c>
      <c r="S370" s="154" t="s">
        <v>1061</v>
      </c>
      <c r="T370" s="154" t="s">
        <v>984</v>
      </c>
      <c r="U370" s="154" t="s">
        <v>916</v>
      </c>
      <c r="V370" s="154" t="s">
        <v>916</v>
      </c>
      <c r="W370" s="154" t="s">
        <v>333</v>
      </c>
      <c r="X370" s="154" t="s">
        <v>1191</v>
      </c>
    </row>
    <row r="371" spans="1:24">
      <c r="A371" s="154" t="s">
        <v>102</v>
      </c>
      <c r="B371" s="154" t="s">
        <v>1401</v>
      </c>
      <c r="C371" s="155">
        <v>45916</v>
      </c>
      <c r="D371" s="155">
        <v>45912</v>
      </c>
      <c r="E371" s="159">
        <v>879.83</v>
      </c>
      <c r="F371" s="159">
        <v>20.529999999998001</v>
      </c>
      <c r="G371" s="159">
        <v>20.529999999998001</v>
      </c>
      <c r="H371" s="184">
        <f t="shared" si="10"/>
        <v>45978</v>
      </c>
      <c r="I371" s="187" cm="1">
        <f t="array" ref="I371">G371*[15]!CalculateINPC(C371,H371,-1)</f>
        <v>20.642942304897989</v>
      </c>
      <c r="J371" s="187">
        <f t="shared" si="11"/>
        <v>21.478924266616644</v>
      </c>
      <c r="K371" s="187" cm="1">
        <f t="array" ref="K371">[15]!CalculateDICetip(C371,H371,1)*G371</f>
        <v>21.033958121997955</v>
      </c>
      <c r="L371" s="154">
        <v>273181</v>
      </c>
      <c r="M371" s="154" t="s">
        <v>411</v>
      </c>
      <c r="N371" s="154" t="s">
        <v>316</v>
      </c>
      <c r="O371" s="154" t="s">
        <v>317</v>
      </c>
      <c r="P371" s="154">
        <v>27230</v>
      </c>
      <c r="Q371" s="154" t="s">
        <v>1147</v>
      </c>
      <c r="R371" s="154">
        <v>4</v>
      </c>
      <c r="S371" s="154" t="s">
        <v>1061</v>
      </c>
      <c r="T371" s="154" t="s">
        <v>984</v>
      </c>
      <c r="U371" s="154" t="s">
        <v>916</v>
      </c>
      <c r="V371" s="154" t="s">
        <v>916</v>
      </c>
      <c r="W371" s="154" t="s">
        <v>333</v>
      </c>
      <c r="X371" s="154" t="s">
        <v>1191</v>
      </c>
    </row>
    <row r="372" spans="1:24">
      <c r="A372" s="154" t="s">
        <v>102</v>
      </c>
      <c r="B372" s="154" t="s">
        <v>1401</v>
      </c>
      <c r="C372" s="155">
        <v>45916</v>
      </c>
      <c r="D372" s="155">
        <v>45912</v>
      </c>
      <c r="E372" s="159">
        <v>879.83</v>
      </c>
      <c r="F372" s="159">
        <v>3.7899999999970002</v>
      </c>
      <c r="G372" s="159">
        <v>3.7899999999970002</v>
      </c>
      <c r="H372" s="184">
        <f t="shared" si="10"/>
        <v>45978</v>
      </c>
      <c r="I372" s="187" cm="1">
        <f t="array" ref="I372">G372*[15]!CalculateINPC(C372,H372,-1)</f>
        <v>3.8108500406969834</v>
      </c>
      <c r="J372" s="187">
        <f t="shared" si="11"/>
        <v>3.9651789074729948</v>
      </c>
      <c r="K372" s="187" cm="1">
        <f t="array" ref="K372">[15]!CalculateDICetip(C372,H372,1)*G372</f>
        <v>3.8830346459969269</v>
      </c>
      <c r="L372" s="154">
        <v>273181</v>
      </c>
      <c r="M372" s="154" t="s">
        <v>411</v>
      </c>
      <c r="N372" s="154" t="s">
        <v>635</v>
      </c>
      <c r="O372" s="154" t="s">
        <v>636</v>
      </c>
      <c r="P372" s="154">
        <v>27180</v>
      </c>
      <c r="Q372" s="154" t="s">
        <v>1064</v>
      </c>
      <c r="R372" s="154">
        <v>4</v>
      </c>
      <c r="S372" s="154" t="s">
        <v>1061</v>
      </c>
      <c r="T372" s="154" t="s">
        <v>984</v>
      </c>
      <c r="U372" s="154" t="s">
        <v>916</v>
      </c>
      <c r="V372" s="154" t="s">
        <v>916</v>
      </c>
      <c r="W372" s="154" t="s">
        <v>333</v>
      </c>
      <c r="X372" s="154" t="s">
        <v>1191</v>
      </c>
    </row>
    <row r="373" spans="1:24">
      <c r="A373" s="154" t="s">
        <v>102</v>
      </c>
      <c r="B373" s="154" t="s">
        <v>1401</v>
      </c>
      <c r="C373" s="155">
        <v>45916</v>
      </c>
      <c r="D373" s="155">
        <v>45912</v>
      </c>
      <c r="E373" s="159">
        <v>879.83</v>
      </c>
      <c r="F373" s="159">
        <v>1.539999999997</v>
      </c>
      <c r="G373" s="159">
        <v>1.539999999997</v>
      </c>
      <c r="H373" s="184">
        <f t="shared" si="10"/>
        <v>45978</v>
      </c>
      <c r="I373" s="187" cm="1">
        <f t="array" ref="I373">G373*[15]!CalculateINPC(C373,H373,-1)</f>
        <v>1.5484720481969834</v>
      </c>
      <c r="J373" s="187">
        <f t="shared" si="11"/>
        <v>1.6111808753301713</v>
      </c>
      <c r="K373" s="187" cm="1">
        <f t="array" ref="K373">[15]!CalculateDICetip(C373,H373,1)*G373</f>
        <v>1.5778029959969264</v>
      </c>
      <c r="L373" s="154">
        <v>273181</v>
      </c>
      <c r="M373" s="154" t="s">
        <v>411</v>
      </c>
      <c r="N373" s="154" t="s">
        <v>645</v>
      </c>
      <c r="O373" s="154" t="s">
        <v>646</v>
      </c>
      <c r="P373" s="154">
        <v>27180</v>
      </c>
      <c r="Q373" s="154" t="s">
        <v>1064</v>
      </c>
      <c r="R373" s="154">
        <v>4</v>
      </c>
      <c r="S373" s="154" t="s">
        <v>1061</v>
      </c>
      <c r="T373" s="154" t="s">
        <v>984</v>
      </c>
      <c r="U373" s="154" t="s">
        <v>916</v>
      </c>
      <c r="V373" s="154" t="s">
        <v>916</v>
      </c>
      <c r="W373" s="154" t="s">
        <v>333</v>
      </c>
      <c r="X373" s="154" t="s">
        <v>1191</v>
      </c>
    </row>
    <row r="374" spans="1:24">
      <c r="A374" s="154" t="s">
        <v>102</v>
      </c>
      <c r="B374" s="154" t="s">
        <v>1401</v>
      </c>
      <c r="C374" s="155">
        <v>45916</v>
      </c>
      <c r="D374" s="155">
        <v>45912</v>
      </c>
      <c r="E374" s="159">
        <v>879.83</v>
      </c>
      <c r="F374" s="159">
        <v>20.529999999998001</v>
      </c>
      <c r="G374" s="159">
        <v>20.529999999998001</v>
      </c>
      <c r="H374" s="184">
        <f t="shared" si="10"/>
        <v>45978</v>
      </c>
      <c r="I374" s="187" cm="1">
        <f t="array" ref="I374">G374*[15]!CalculateINPC(C374,H374,-1)</f>
        <v>20.642942304897989</v>
      </c>
      <c r="J374" s="187">
        <f t="shared" si="11"/>
        <v>21.478924266616644</v>
      </c>
      <c r="K374" s="187" cm="1">
        <f t="array" ref="K374">[15]!CalculateDICetip(C374,H374,1)*G374</f>
        <v>21.033958121997955</v>
      </c>
      <c r="L374" s="154">
        <v>273181</v>
      </c>
      <c r="M374" s="154" t="s">
        <v>411</v>
      </c>
      <c r="N374" s="154" t="s">
        <v>316</v>
      </c>
      <c r="O374" s="154" t="s">
        <v>317</v>
      </c>
      <c r="P374" s="154">
        <v>27180</v>
      </c>
      <c r="Q374" s="154" t="s">
        <v>1064</v>
      </c>
      <c r="R374" s="154">
        <v>4</v>
      </c>
      <c r="S374" s="154" t="s">
        <v>1061</v>
      </c>
      <c r="T374" s="154" t="s">
        <v>984</v>
      </c>
      <c r="U374" s="154" t="s">
        <v>916</v>
      </c>
      <c r="V374" s="154" t="s">
        <v>916</v>
      </c>
      <c r="W374" s="154" t="s">
        <v>333</v>
      </c>
      <c r="X374" s="154" t="s">
        <v>1191</v>
      </c>
    </row>
    <row r="375" spans="1:24">
      <c r="A375" s="154" t="s">
        <v>102</v>
      </c>
      <c r="B375" s="154" t="s">
        <v>1401</v>
      </c>
      <c r="C375" s="155">
        <v>45916</v>
      </c>
      <c r="D375" s="155">
        <v>45912</v>
      </c>
      <c r="E375" s="159">
        <v>879.83</v>
      </c>
      <c r="F375" s="159">
        <v>7.9800000000039999</v>
      </c>
      <c r="G375" s="159">
        <v>7.9800000000039999</v>
      </c>
      <c r="H375" s="184">
        <f t="shared" si="10"/>
        <v>45978</v>
      </c>
      <c r="I375" s="187" cm="1">
        <f t="array" ref="I375">G375*[15]!CalculateINPC(C375,H375,-1)</f>
        <v>8.0239006134040221</v>
      </c>
      <c r="J375" s="187">
        <f t="shared" si="11"/>
        <v>8.3488463540040634</v>
      </c>
      <c r="K375" s="187" cm="1">
        <f t="array" ref="K375">[15]!CalculateDICetip(C375,H375,1)*G375</f>
        <v>8.1758882520040981</v>
      </c>
      <c r="L375" s="154">
        <v>273181</v>
      </c>
      <c r="M375" s="154" t="s">
        <v>411</v>
      </c>
      <c r="N375" s="154" t="s">
        <v>560</v>
      </c>
      <c r="O375" s="154" t="s">
        <v>561</v>
      </c>
      <c r="P375" s="154">
        <v>27180</v>
      </c>
      <c r="Q375" s="154" t="s">
        <v>1064</v>
      </c>
      <c r="R375" s="154">
        <v>4</v>
      </c>
      <c r="S375" s="154" t="s">
        <v>1061</v>
      </c>
      <c r="T375" s="154" t="s">
        <v>984</v>
      </c>
      <c r="U375" s="154" t="s">
        <v>916</v>
      </c>
      <c r="V375" s="154" t="s">
        <v>916</v>
      </c>
      <c r="W375" s="154" t="s">
        <v>333</v>
      </c>
      <c r="X375" s="154" t="s">
        <v>1191</v>
      </c>
    </row>
    <row r="376" spans="1:24">
      <c r="A376" s="154" t="s">
        <v>102</v>
      </c>
      <c r="B376" s="154" t="s">
        <v>1401</v>
      </c>
      <c r="C376" s="155">
        <v>45916</v>
      </c>
      <c r="D376" s="155">
        <v>45912</v>
      </c>
      <c r="E376" s="159">
        <v>879.83</v>
      </c>
      <c r="F376" s="159">
        <v>3.7899999999970002</v>
      </c>
      <c r="G376" s="159">
        <v>3.7899999999970002</v>
      </c>
      <c r="H376" s="184">
        <f t="shared" si="10"/>
        <v>45978</v>
      </c>
      <c r="I376" s="187" cm="1">
        <f t="array" ref="I376">G376*[15]!CalculateINPC(C376,H376,-1)</f>
        <v>3.8108500406969834</v>
      </c>
      <c r="J376" s="187">
        <f t="shared" si="11"/>
        <v>3.9651789074729948</v>
      </c>
      <c r="K376" s="187" cm="1">
        <f t="array" ref="K376">[15]!CalculateDICetip(C376,H376,1)*G376</f>
        <v>3.8830346459969269</v>
      </c>
      <c r="L376" s="154">
        <v>273181</v>
      </c>
      <c r="M376" s="154" t="s">
        <v>411</v>
      </c>
      <c r="N376" s="154" t="s">
        <v>635</v>
      </c>
      <c r="O376" s="154" t="s">
        <v>636</v>
      </c>
      <c r="P376" s="154">
        <v>27201</v>
      </c>
      <c r="Q376" s="154" t="s">
        <v>1120</v>
      </c>
      <c r="R376" s="154">
        <v>4</v>
      </c>
      <c r="S376" s="154" t="s">
        <v>1061</v>
      </c>
      <c r="T376" s="154" t="s">
        <v>984</v>
      </c>
      <c r="U376" s="154" t="s">
        <v>916</v>
      </c>
      <c r="V376" s="154" t="s">
        <v>916</v>
      </c>
      <c r="W376" s="154" t="s">
        <v>333</v>
      </c>
      <c r="X376" s="154" t="s">
        <v>1191</v>
      </c>
    </row>
    <row r="377" spans="1:24">
      <c r="A377" s="154" t="s">
        <v>102</v>
      </c>
      <c r="B377" s="154" t="s">
        <v>1401</v>
      </c>
      <c r="C377" s="155">
        <v>45916</v>
      </c>
      <c r="D377" s="155">
        <v>45912</v>
      </c>
      <c r="E377" s="159">
        <v>879.83</v>
      </c>
      <c r="F377" s="159">
        <v>7.9800000000039999</v>
      </c>
      <c r="G377" s="159">
        <v>7.9800000000039999</v>
      </c>
      <c r="H377" s="184">
        <f t="shared" si="10"/>
        <v>45978</v>
      </c>
      <c r="I377" s="187" cm="1">
        <f t="array" ref="I377">G377*[15]!CalculateINPC(C377,H377,-1)</f>
        <v>8.0239006134040221</v>
      </c>
      <c r="J377" s="187">
        <f t="shared" si="11"/>
        <v>8.3488463540040634</v>
      </c>
      <c r="K377" s="187" cm="1">
        <f t="array" ref="K377">[15]!CalculateDICetip(C377,H377,1)*G377</f>
        <v>8.1758882520040981</v>
      </c>
      <c r="L377" s="154">
        <v>273181</v>
      </c>
      <c r="M377" s="154" t="s">
        <v>411</v>
      </c>
      <c r="N377" s="154" t="s">
        <v>560</v>
      </c>
      <c r="O377" s="154" t="s">
        <v>561</v>
      </c>
      <c r="P377" s="154">
        <v>27201</v>
      </c>
      <c r="Q377" s="154" t="s">
        <v>1120</v>
      </c>
      <c r="R377" s="154">
        <v>4</v>
      </c>
      <c r="S377" s="154" t="s">
        <v>1061</v>
      </c>
      <c r="T377" s="154" t="s">
        <v>984</v>
      </c>
      <c r="U377" s="154" t="s">
        <v>916</v>
      </c>
      <c r="V377" s="154" t="s">
        <v>916</v>
      </c>
      <c r="W377" s="154" t="s">
        <v>333</v>
      </c>
      <c r="X377" s="154" t="s">
        <v>1191</v>
      </c>
    </row>
    <row r="378" spans="1:24">
      <c r="A378" s="154" t="s">
        <v>102</v>
      </c>
      <c r="B378" s="154" t="s">
        <v>1401</v>
      </c>
      <c r="C378" s="155">
        <v>45916</v>
      </c>
      <c r="D378" s="155">
        <v>45912</v>
      </c>
      <c r="E378" s="159">
        <v>879.83</v>
      </c>
      <c r="F378" s="159">
        <v>1.539999999997</v>
      </c>
      <c r="G378" s="159">
        <v>1.539999999997</v>
      </c>
      <c r="H378" s="184">
        <f t="shared" si="10"/>
        <v>45978</v>
      </c>
      <c r="I378" s="187" cm="1">
        <f t="array" ref="I378">G378*[15]!CalculateINPC(C378,H378,-1)</f>
        <v>1.5484720481969834</v>
      </c>
      <c r="J378" s="187">
        <f t="shared" si="11"/>
        <v>1.6111808753301713</v>
      </c>
      <c r="K378" s="187" cm="1">
        <f t="array" ref="K378">[15]!CalculateDICetip(C378,H378,1)*G378</f>
        <v>1.5778029959969264</v>
      </c>
      <c r="L378" s="154">
        <v>273181</v>
      </c>
      <c r="M378" s="154" t="s">
        <v>411</v>
      </c>
      <c r="N378" s="154" t="s">
        <v>645</v>
      </c>
      <c r="O378" s="154" t="s">
        <v>646</v>
      </c>
      <c r="P378" s="154">
        <v>27201</v>
      </c>
      <c r="Q378" s="154" t="s">
        <v>1120</v>
      </c>
      <c r="R378" s="154">
        <v>4</v>
      </c>
      <c r="S378" s="154" t="s">
        <v>1061</v>
      </c>
      <c r="T378" s="154" t="s">
        <v>984</v>
      </c>
      <c r="U378" s="154" t="s">
        <v>916</v>
      </c>
      <c r="V378" s="154" t="s">
        <v>916</v>
      </c>
      <c r="W378" s="154" t="s">
        <v>333</v>
      </c>
      <c r="X378" s="154" t="s">
        <v>1191</v>
      </c>
    </row>
    <row r="379" spans="1:24">
      <c r="A379" s="154" t="s">
        <v>102</v>
      </c>
      <c r="B379" s="154" t="s">
        <v>1401</v>
      </c>
      <c r="C379" s="155">
        <v>45916</v>
      </c>
      <c r="D379" s="155">
        <v>45912</v>
      </c>
      <c r="E379" s="159">
        <v>879.83</v>
      </c>
      <c r="F379" s="159">
        <v>20.529999999998001</v>
      </c>
      <c r="G379" s="159">
        <v>20.529999999998001</v>
      </c>
      <c r="H379" s="184">
        <f t="shared" si="10"/>
        <v>45978</v>
      </c>
      <c r="I379" s="187" cm="1">
        <f t="array" ref="I379">G379*[15]!CalculateINPC(C379,H379,-1)</f>
        <v>20.642942304897989</v>
      </c>
      <c r="J379" s="187">
        <f t="shared" si="11"/>
        <v>21.478924266616644</v>
      </c>
      <c r="K379" s="187" cm="1">
        <f t="array" ref="K379">[15]!CalculateDICetip(C379,H379,1)*G379</f>
        <v>21.033958121997955</v>
      </c>
      <c r="L379" s="154">
        <v>273181</v>
      </c>
      <c r="M379" s="154" t="s">
        <v>411</v>
      </c>
      <c r="N379" s="154" t="s">
        <v>316</v>
      </c>
      <c r="O379" s="154" t="s">
        <v>317</v>
      </c>
      <c r="P379" s="154">
        <v>27201</v>
      </c>
      <c r="Q379" s="154" t="s">
        <v>1120</v>
      </c>
      <c r="R379" s="154">
        <v>4</v>
      </c>
      <c r="S379" s="154" t="s">
        <v>1061</v>
      </c>
      <c r="T379" s="154" t="s">
        <v>984</v>
      </c>
      <c r="U379" s="154" t="s">
        <v>916</v>
      </c>
      <c r="V379" s="154" t="s">
        <v>916</v>
      </c>
      <c r="W379" s="154" t="s">
        <v>333</v>
      </c>
      <c r="X379" s="154" t="s">
        <v>1191</v>
      </c>
    </row>
    <row r="380" spans="1:24">
      <c r="A380" s="154" t="s">
        <v>102</v>
      </c>
      <c r="B380" s="154" t="s">
        <v>1401</v>
      </c>
      <c r="C380" s="155">
        <v>45916</v>
      </c>
      <c r="D380" s="155">
        <v>45912</v>
      </c>
      <c r="E380" s="159">
        <v>879.83</v>
      </c>
      <c r="F380" s="159">
        <v>3.7899999999970002</v>
      </c>
      <c r="G380" s="159">
        <v>3.7899999999970002</v>
      </c>
      <c r="H380" s="184">
        <f t="shared" si="10"/>
        <v>45978</v>
      </c>
      <c r="I380" s="187" cm="1">
        <f t="array" ref="I380">G380*[15]!CalculateINPC(C380,H380,-1)</f>
        <v>3.8108500406969834</v>
      </c>
      <c r="J380" s="187">
        <f t="shared" si="11"/>
        <v>3.9651789074729948</v>
      </c>
      <c r="K380" s="187" cm="1">
        <f t="array" ref="K380">[15]!CalculateDICetip(C380,H380,1)*G380</f>
        <v>3.8830346459969269</v>
      </c>
      <c r="L380" s="154">
        <v>273181</v>
      </c>
      <c r="M380" s="154" t="s">
        <v>411</v>
      </c>
      <c r="N380" s="154" t="s">
        <v>635</v>
      </c>
      <c r="O380" s="154" t="s">
        <v>636</v>
      </c>
      <c r="P380" s="154">
        <v>27209</v>
      </c>
      <c r="Q380" s="154" t="s">
        <v>1110</v>
      </c>
      <c r="R380" s="154">
        <v>4</v>
      </c>
      <c r="S380" s="154" t="s">
        <v>1061</v>
      </c>
      <c r="T380" s="154" t="s">
        <v>984</v>
      </c>
      <c r="U380" s="154" t="s">
        <v>916</v>
      </c>
      <c r="V380" s="154" t="s">
        <v>916</v>
      </c>
      <c r="W380" s="154" t="s">
        <v>333</v>
      </c>
      <c r="X380" s="154" t="s">
        <v>1191</v>
      </c>
    </row>
    <row r="381" spans="1:24">
      <c r="A381" s="154" t="s">
        <v>102</v>
      </c>
      <c r="B381" s="154" t="s">
        <v>1401</v>
      </c>
      <c r="C381" s="155">
        <v>45916</v>
      </c>
      <c r="D381" s="155">
        <v>45912</v>
      </c>
      <c r="E381" s="159">
        <v>879.83</v>
      </c>
      <c r="F381" s="159">
        <v>20.529999999998001</v>
      </c>
      <c r="G381" s="159">
        <v>20.529999999998001</v>
      </c>
      <c r="H381" s="184">
        <f t="shared" si="10"/>
        <v>45978</v>
      </c>
      <c r="I381" s="187" cm="1">
        <f t="array" ref="I381">G381*[15]!CalculateINPC(C381,H381,-1)</f>
        <v>20.642942304897989</v>
      </c>
      <c r="J381" s="187">
        <f t="shared" si="11"/>
        <v>21.478924266616644</v>
      </c>
      <c r="K381" s="187" cm="1">
        <f t="array" ref="K381">[15]!CalculateDICetip(C381,H381,1)*G381</f>
        <v>21.033958121997955</v>
      </c>
      <c r="L381" s="154">
        <v>273181</v>
      </c>
      <c r="M381" s="154" t="s">
        <v>411</v>
      </c>
      <c r="N381" s="154" t="s">
        <v>316</v>
      </c>
      <c r="O381" s="154" t="s">
        <v>317</v>
      </c>
      <c r="P381" s="154">
        <v>27209</v>
      </c>
      <c r="Q381" s="154" t="s">
        <v>1110</v>
      </c>
      <c r="R381" s="154">
        <v>4</v>
      </c>
      <c r="S381" s="154" t="s">
        <v>1061</v>
      </c>
      <c r="T381" s="154" t="s">
        <v>984</v>
      </c>
      <c r="U381" s="154" t="s">
        <v>916</v>
      </c>
      <c r="V381" s="154" t="s">
        <v>916</v>
      </c>
      <c r="W381" s="154" t="s">
        <v>333</v>
      </c>
      <c r="X381" s="154" t="s">
        <v>1191</v>
      </c>
    </row>
    <row r="382" spans="1:24">
      <c r="A382" s="154" t="s">
        <v>102</v>
      </c>
      <c r="B382" s="154" t="s">
        <v>1401</v>
      </c>
      <c r="C382" s="155">
        <v>45916</v>
      </c>
      <c r="D382" s="155">
        <v>45912</v>
      </c>
      <c r="E382" s="159">
        <v>879.83</v>
      </c>
      <c r="F382" s="159">
        <v>1.539999999997</v>
      </c>
      <c r="G382" s="159">
        <v>1.539999999997</v>
      </c>
      <c r="H382" s="184">
        <f t="shared" si="10"/>
        <v>45978</v>
      </c>
      <c r="I382" s="187" cm="1">
        <f t="array" ref="I382">G382*[15]!CalculateINPC(C382,H382,-1)</f>
        <v>1.5484720481969834</v>
      </c>
      <c r="J382" s="187">
        <f t="shared" si="11"/>
        <v>1.6111808753301713</v>
      </c>
      <c r="K382" s="187" cm="1">
        <f t="array" ref="K382">[15]!CalculateDICetip(C382,H382,1)*G382</f>
        <v>1.5778029959969264</v>
      </c>
      <c r="L382" s="154">
        <v>273181</v>
      </c>
      <c r="M382" s="154" t="s">
        <v>411</v>
      </c>
      <c r="N382" s="154" t="s">
        <v>645</v>
      </c>
      <c r="O382" s="154" t="s">
        <v>646</v>
      </c>
      <c r="P382" s="154">
        <v>27209</v>
      </c>
      <c r="Q382" s="154" t="s">
        <v>1110</v>
      </c>
      <c r="R382" s="154">
        <v>4</v>
      </c>
      <c r="S382" s="154" t="s">
        <v>1061</v>
      </c>
      <c r="T382" s="154" t="s">
        <v>984</v>
      </c>
      <c r="U382" s="154" t="s">
        <v>916</v>
      </c>
      <c r="V382" s="154" t="s">
        <v>916</v>
      </c>
      <c r="W382" s="154" t="s">
        <v>333</v>
      </c>
      <c r="X382" s="154" t="s">
        <v>1191</v>
      </c>
    </row>
    <row r="383" spans="1:24">
      <c r="A383" s="154" t="s">
        <v>102</v>
      </c>
      <c r="B383" s="154" t="s">
        <v>1401</v>
      </c>
      <c r="C383" s="155">
        <v>45916</v>
      </c>
      <c r="D383" s="155">
        <v>45912</v>
      </c>
      <c r="E383" s="159">
        <v>879.83</v>
      </c>
      <c r="F383" s="159">
        <v>7.9800000000039999</v>
      </c>
      <c r="G383" s="159">
        <v>7.9800000000039999</v>
      </c>
      <c r="H383" s="184">
        <f t="shared" si="10"/>
        <v>45978</v>
      </c>
      <c r="I383" s="187" cm="1">
        <f t="array" ref="I383">G383*[15]!CalculateINPC(C383,H383,-1)</f>
        <v>8.0239006134040221</v>
      </c>
      <c r="J383" s="187">
        <f t="shared" si="11"/>
        <v>8.3488463540040634</v>
      </c>
      <c r="K383" s="187" cm="1">
        <f t="array" ref="K383">[15]!CalculateDICetip(C383,H383,1)*G383</f>
        <v>8.1758882520040981</v>
      </c>
      <c r="L383" s="154">
        <v>273181</v>
      </c>
      <c r="M383" s="154" t="s">
        <v>411</v>
      </c>
      <c r="N383" s="154" t="s">
        <v>560</v>
      </c>
      <c r="O383" s="154" t="s">
        <v>561</v>
      </c>
      <c r="P383" s="154">
        <v>27209</v>
      </c>
      <c r="Q383" s="154" t="s">
        <v>1110</v>
      </c>
      <c r="R383" s="154">
        <v>4</v>
      </c>
      <c r="S383" s="154" t="s">
        <v>1061</v>
      </c>
      <c r="T383" s="154" t="s">
        <v>984</v>
      </c>
      <c r="U383" s="154" t="s">
        <v>916</v>
      </c>
      <c r="V383" s="154" t="s">
        <v>916</v>
      </c>
      <c r="W383" s="154" t="s">
        <v>333</v>
      </c>
      <c r="X383" s="154" t="s">
        <v>1191</v>
      </c>
    </row>
    <row r="384" spans="1:24">
      <c r="A384" s="154" t="s">
        <v>102</v>
      </c>
      <c r="B384" s="154" t="s">
        <v>1401</v>
      </c>
      <c r="C384" s="155">
        <v>45916</v>
      </c>
      <c r="D384" s="155">
        <v>45912</v>
      </c>
      <c r="E384" s="159">
        <v>879.83</v>
      </c>
      <c r="F384" s="159">
        <v>3.7899999999970002</v>
      </c>
      <c r="G384" s="159">
        <v>3.7899999999970002</v>
      </c>
      <c r="H384" s="184">
        <f t="shared" si="10"/>
        <v>45978</v>
      </c>
      <c r="I384" s="187" cm="1">
        <f t="array" ref="I384">G384*[15]!CalculateINPC(C384,H384,-1)</f>
        <v>3.8108500406969834</v>
      </c>
      <c r="J384" s="187">
        <f t="shared" si="11"/>
        <v>3.9651789074729948</v>
      </c>
      <c r="K384" s="187" cm="1">
        <f t="array" ref="K384">[15]!CalculateDICetip(C384,H384,1)*G384</f>
        <v>3.8830346459969269</v>
      </c>
      <c r="L384" s="154">
        <v>273181</v>
      </c>
      <c r="M384" s="154" t="s">
        <v>411</v>
      </c>
      <c r="N384" s="154" t="s">
        <v>635</v>
      </c>
      <c r="O384" s="154" t="s">
        <v>636</v>
      </c>
      <c r="P384" s="154">
        <v>27215</v>
      </c>
      <c r="Q384" s="154" t="s">
        <v>1095</v>
      </c>
      <c r="R384" s="154">
        <v>4</v>
      </c>
      <c r="S384" s="154" t="s">
        <v>1061</v>
      </c>
      <c r="T384" s="154" t="s">
        <v>984</v>
      </c>
      <c r="U384" s="154" t="s">
        <v>916</v>
      </c>
      <c r="V384" s="154" t="s">
        <v>916</v>
      </c>
      <c r="W384" s="154" t="s">
        <v>333</v>
      </c>
      <c r="X384" s="154" t="s">
        <v>1191</v>
      </c>
    </row>
    <row r="385" spans="1:24">
      <c r="A385" s="154" t="s">
        <v>102</v>
      </c>
      <c r="B385" s="154" t="s">
        <v>1401</v>
      </c>
      <c r="C385" s="155">
        <v>45916</v>
      </c>
      <c r="D385" s="155">
        <v>45912</v>
      </c>
      <c r="E385" s="159">
        <v>879.83</v>
      </c>
      <c r="F385" s="159">
        <v>20.529999999998001</v>
      </c>
      <c r="G385" s="159">
        <v>20.529999999998001</v>
      </c>
      <c r="H385" s="184">
        <f t="shared" si="10"/>
        <v>45978</v>
      </c>
      <c r="I385" s="187" cm="1">
        <f t="array" ref="I385">G385*[15]!CalculateINPC(C385,H385,-1)</f>
        <v>20.642942304897989</v>
      </c>
      <c r="J385" s="187">
        <f t="shared" si="11"/>
        <v>21.478924266616644</v>
      </c>
      <c r="K385" s="187" cm="1">
        <f t="array" ref="K385">[15]!CalculateDICetip(C385,H385,1)*G385</f>
        <v>21.033958121997955</v>
      </c>
      <c r="L385" s="154">
        <v>273181</v>
      </c>
      <c r="M385" s="154" t="s">
        <v>411</v>
      </c>
      <c r="N385" s="154" t="s">
        <v>316</v>
      </c>
      <c r="O385" s="154" t="s">
        <v>317</v>
      </c>
      <c r="P385" s="154">
        <v>27215</v>
      </c>
      <c r="Q385" s="154" t="s">
        <v>1095</v>
      </c>
      <c r="R385" s="154">
        <v>4</v>
      </c>
      <c r="S385" s="154" t="s">
        <v>1061</v>
      </c>
      <c r="T385" s="154" t="s">
        <v>984</v>
      </c>
      <c r="U385" s="154" t="s">
        <v>916</v>
      </c>
      <c r="V385" s="154" t="s">
        <v>916</v>
      </c>
      <c r="W385" s="154" t="s">
        <v>333</v>
      </c>
      <c r="X385" s="154" t="s">
        <v>1191</v>
      </c>
    </row>
    <row r="386" spans="1:24">
      <c r="A386" s="154" t="s">
        <v>102</v>
      </c>
      <c r="B386" s="154" t="s">
        <v>1401</v>
      </c>
      <c r="C386" s="155">
        <v>45916</v>
      </c>
      <c r="D386" s="155">
        <v>45912</v>
      </c>
      <c r="E386" s="159">
        <v>879.83</v>
      </c>
      <c r="F386" s="159">
        <v>1.539999999997</v>
      </c>
      <c r="G386" s="159">
        <v>1.539999999997</v>
      </c>
      <c r="H386" s="184">
        <f t="shared" si="10"/>
        <v>45978</v>
      </c>
      <c r="I386" s="187" cm="1">
        <f t="array" ref="I386">G386*[15]!CalculateINPC(C386,H386,-1)</f>
        <v>1.5484720481969834</v>
      </c>
      <c r="J386" s="187">
        <f t="shared" si="11"/>
        <v>1.6111808753301713</v>
      </c>
      <c r="K386" s="187" cm="1">
        <f t="array" ref="K386">[15]!CalculateDICetip(C386,H386,1)*G386</f>
        <v>1.5778029959969264</v>
      </c>
      <c r="L386" s="154">
        <v>273181</v>
      </c>
      <c r="M386" s="154" t="s">
        <v>411</v>
      </c>
      <c r="N386" s="154" t="s">
        <v>645</v>
      </c>
      <c r="O386" s="154" t="s">
        <v>646</v>
      </c>
      <c r="P386" s="154">
        <v>27215</v>
      </c>
      <c r="Q386" s="154" t="s">
        <v>1095</v>
      </c>
      <c r="R386" s="154">
        <v>4</v>
      </c>
      <c r="S386" s="154" t="s">
        <v>1061</v>
      </c>
      <c r="T386" s="154" t="s">
        <v>984</v>
      </c>
      <c r="U386" s="154" t="s">
        <v>916</v>
      </c>
      <c r="V386" s="154" t="s">
        <v>916</v>
      </c>
      <c r="W386" s="154" t="s">
        <v>333</v>
      </c>
      <c r="X386" s="154" t="s">
        <v>1191</v>
      </c>
    </row>
    <row r="387" spans="1:24">
      <c r="A387" s="154" t="s">
        <v>102</v>
      </c>
      <c r="B387" s="154" t="s">
        <v>1401</v>
      </c>
      <c r="C387" s="155">
        <v>45916</v>
      </c>
      <c r="D387" s="155">
        <v>45912</v>
      </c>
      <c r="E387" s="159">
        <v>879.83</v>
      </c>
      <c r="F387" s="159">
        <v>7.9800000000039999</v>
      </c>
      <c r="G387" s="159">
        <v>7.9800000000039999</v>
      </c>
      <c r="H387" s="184">
        <f t="shared" si="10"/>
        <v>45978</v>
      </c>
      <c r="I387" s="187" cm="1">
        <f t="array" ref="I387">G387*[15]!CalculateINPC(C387,H387,-1)</f>
        <v>8.0239006134040221</v>
      </c>
      <c r="J387" s="187">
        <f t="shared" si="11"/>
        <v>8.3488463540040634</v>
      </c>
      <c r="K387" s="187" cm="1">
        <f t="array" ref="K387">[15]!CalculateDICetip(C387,H387,1)*G387</f>
        <v>8.1758882520040981</v>
      </c>
      <c r="L387" s="154">
        <v>273181</v>
      </c>
      <c r="M387" s="154" t="s">
        <v>411</v>
      </c>
      <c r="N387" s="154" t="s">
        <v>560</v>
      </c>
      <c r="O387" s="154" t="s">
        <v>561</v>
      </c>
      <c r="P387" s="154">
        <v>27215</v>
      </c>
      <c r="Q387" s="154" t="s">
        <v>1095</v>
      </c>
      <c r="R387" s="154">
        <v>4</v>
      </c>
      <c r="S387" s="154" t="s">
        <v>1061</v>
      </c>
      <c r="T387" s="154" t="s">
        <v>984</v>
      </c>
      <c r="U387" s="154" t="s">
        <v>916</v>
      </c>
      <c r="V387" s="154" t="s">
        <v>916</v>
      </c>
      <c r="W387" s="154" t="s">
        <v>333</v>
      </c>
      <c r="X387" s="154" t="s">
        <v>1191</v>
      </c>
    </row>
    <row r="388" spans="1:24">
      <c r="A388" s="154" t="s">
        <v>102</v>
      </c>
      <c r="B388" s="154" t="s">
        <v>1401</v>
      </c>
      <c r="C388" s="155">
        <v>45916</v>
      </c>
      <c r="D388" s="155">
        <v>45912</v>
      </c>
      <c r="E388" s="159">
        <v>879.83</v>
      </c>
      <c r="F388" s="159">
        <v>7.9800000000039999</v>
      </c>
      <c r="G388" s="159">
        <v>7.9800000000039999</v>
      </c>
      <c r="H388" s="184">
        <f t="shared" ref="H388:H451" si="12">$A$2</f>
        <v>45978</v>
      </c>
      <c r="I388" s="187" cm="1">
        <f t="array" ref="I388">G388*[15]!CalculateINPC(C388,H388,-1)</f>
        <v>8.0239006134040221</v>
      </c>
      <c r="J388" s="187">
        <f t="shared" ref="J388:J451" si="13">G388*1.3^((H388-C388)/360)</f>
        <v>8.3488463540040634</v>
      </c>
      <c r="K388" s="187" cm="1">
        <f t="array" ref="K388">[15]!CalculateDICetip(C388,H388,1)*G388</f>
        <v>8.1758882520040981</v>
      </c>
      <c r="L388" s="154">
        <v>273181</v>
      </c>
      <c r="M388" s="154" t="s">
        <v>411</v>
      </c>
      <c r="N388" s="154" t="s">
        <v>560</v>
      </c>
      <c r="O388" s="154" t="s">
        <v>561</v>
      </c>
      <c r="P388" s="154">
        <v>27218</v>
      </c>
      <c r="Q388" s="154" t="s">
        <v>1113</v>
      </c>
      <c r="R388" s="154">
        <v>4</v>
      </c>
      <c r="S388" s="154" t="s">
        <v>1061</v>
      </c>
      <c r="T388" s="154" t="s">
        <v>984</v>
      </c>
      <c r="U388" s="154" t="s">
        <v>916</v>
      </c>
      <c r="V388" s="154" t="s">
        <v>916</v>
      </c>
      <c r="W388" s="154" t="s">
        <v>333</v>
      </c>
      <c r="X388" s="154" t="s">
        <v>1191</v>
      </c>
    </row>
    <row r="389" spans="1:24">
      <c r="A389" s="154" t="s">
        <v>102</v>
      </c>
      <c r="B389" s="154" t="s">
        <v>1401</v>
      </c>
      <c r="C389" s="155">
        <v>45916</v>
      </c>
      <c r="D389" s="155">
        <v>45912</v>
      </c>
      <c r="E389" s="159">
        <v>879.83</v>
      </c>
      <c r="F389" s="159">
        <v>1.539999999997</v>
      </c>
      <c r="G389" s="159">
        <v>1.539999999997</v>
      </c>
      <c r="H389" s="184">
        <f t="shared" si="12"/>
        <v>45978</v>
      </c>
      <c r="I389" s="187" cm="1">
        <f t="array" ref="I389">G389*[15]!CalculateINPC(C389,H389,-1)</f>
        <v>1.5484720481969834</v>
      </c>
      <c r="J389" s="187">
        <f t="shared" si="13"/>
        <v>1.6111808753301713</v>
      </c>
      <c r="K389" s="187" cm="1">
        <f t="array" ref="K389">[15]!CalculateDICetip(C389,H389,1)*G389</f>
        <v>1.5778029959969264</v>
      </c>
      <c r="L389" s="154">
        <v>273181</v>
      </c>
      <c r="M389" s="154" t="s">
        <v>411</v>
      </c>
      <c r="N389" s="154" t="s">
        <v>645</v>
      </c>
      <c r="O389" s="154" t="s">
        <v>646</v>
      </c>
      <c r="P389" s="154">
        <v>27218</v>
      </c>
      <c r="Q389" s="154" t="s">
        <v>1113</v>
      </c>
      <c r="R389" s="154">
        <v>4</v>
      </c>
      <c r="S389" s="154" t="s">
        <v>1061</v>
      </c>
      <c r="T389" s="154" t="s">
        <v>984</v>
      </c>
      <c r="U389" s="154" t="s">
        <v>916</v>
      </c>
      <c r="V389" s="154" t="s">
        <v>916</v>
      </c>
      <c r="W389" s="154" t="s">
        <v>333</v>
      </c>
      <c r="X389" s="154" t="s">
        <v>1191</v>
      </c>
    </row>
    <row r="390" spans="1:24">
      <c r="A390" s="154" t="s">
        <v>102</v>
      </c>
      <c r="B390" s="154" t="s">
        <v>1401</v>
      </c>
      <c r="C390" s="155">
        <v>45916</v>
      </c>
      <c r="D390" s="155">
        <v>45912</v>
      </c>
      <c r="E390" s="159">
        <v>879.83</v>
      </c>
      <c r="F390" s="159">
        <v>20.529999999998001</v>
      </c>
      <c r="G390" s="159">
        <v>20.529999999998001</v>
      </c>
      <c r="H390" s="184">
        <f t="shared" si="12"/>
        <v>45978</v>
      </c>
      <c r="I390" s="187" cm="1">
        <f t="array" ref="I390">G390*[15]!CalculateINPC(C390,H390,-1)</f>
        <v>20.642942304897989</v>
      </c>
      <c r="J390" s="187">
        <f t="shared" si="13"/>
        <v>21.478924266616644</v>
      </c>
      <c r="K390" s="187" cm="1">
        <f t="array" ref="K390">[15]!CalculateDICetip(C390,H390,1)*G390</f>
        <v>21.033958121997955</v>
      </c>
      <c r="L390" s="154">
        <v>273181</v>
      </c>
      <c r="M390" s="154" t="s">
        <v>411</v>
      </c>
      <c r="N390" s="154" t="s">
        <v>316</v>
      </c>
      <c r="O390" s="154" t="s">
        <v>317</v>
      </c>
      <c r="P390" s="154">
        <v>27218</v>
      </c>
      <c r="Q390" s="154" t="s">
        <v>1113</v>
      </c>
      <c r="R390" s="154">
        <v>4</v>
      </c>
      <c r="S390" s="154" t="s">
        <v>1061</v>
      </c>
      <c r="T390" s="154" t="s">
        <v>984</v>
      </c>
      <c r="U390" s="154" t="s">
        <v>916</v>
      </c>
      <c r="V390" s="154" t="s">
        <v>916</v>
      </c>
      <c r="W390" s="154" t="s">
        <v>333</v>
      </c>
      <c r="X390" s="154" t="s">
        <v>1191</v>
      </c>
    </row>
    <row r="391" spans="1:24">
      <c r="A391" s="154" t="s">
        <v>102</v>
      </c>
      <c r="B391" s="154" t="s">
        <v>1401</v>
      </c>
      <c r="C391" s="155">
        <v>45916</v>
      </c>
      <c r="D391" s="155">
        <v>45912</v>
      </c>
      <c r="E391" s="159">
        <v>879.83</v>
      </c>
      <c r="F391" s="159">
        <v>3.7899999999970002</v>
      </c>
      <c r="G391" s="159">
        <v>3.7899999999970002</v>
      </c>
      <c r="H391" s="184">
        <f t="shared" si="12"/>
        <v>45978</v>
      </c>
      <c r="I391" s="187" cm="1">
        <f t="array" ref="I391">G391*[15]!CalculateINPC(C391,H391,-1)</f>
        <v>3.8108500406969834</v>
      </c>
      <c r="J391" s="187">
        <f t="shared" si="13"/>
        <v>3.9651789074729948</v>
      </c>
      <c r="K391" s="187" cm="1">
        <f t="array" ref="K391">[15]!CalculateDICetip(C391,H391,1)*G391</f>
        <v>3.8830346459969269</v>
      </c>
      <c r="L391" s="154">
        <v>273181</v>
      </c>
      <c r="M391" s="154" t="s">
        <v>411</v>
      </c>
      <c r="N391" s="154" t="s">
        <v>635</v>
      </c>
      <c r="O391" s="154" t="s">
        <v>636</v>
      </c>
      <c r="P391" s="154">
        <v>27218</v>
      </c>
      <c r="Q391" s="154" t="s">
        <v>1113</v>
      </c>
      <c r="R391" s="154">
        <v>4</v>
      </c>
      <c r="S391" s="154" t="s">
        <v>1061</v>
      </c>
      <c r="T391" s="154" t="s">
        <v>984</v>
      </c>
      <c r="U391" s="154" t="s">
        <v>916</v>
      </c>
      <c r="V391" s="154" t="s">
        <v>916</v>
      </c>
      <c r="W391" s="154" t="s">
        <v>333</v>
      </c>
      <c r="X391" s="154" t="s">
        <v>1191</v>
      </c>
    </row>
    <row r="392" spans="1:24">
      <c r="A392" s="154" t="s">
        <v>102</v>
      </c>
      <c r="B392" s="154" t="s">
        <v>1401</v>
      </c>
      <c r="C392" s="155">
        <v>45918</v>
      </c>
      <c r="D392" s="155">
        <v>45890</v>
      </c>
      <c r="E392" s="159">
        <v>2216.41</v>
      </c>
      <c r="F392" s="159">
        <v>22.164100000000001</v>
      </c>
      <c r="G392" s="159">
        <v>22.164100000000001</v>
      </c>
      <c r="H392" s="184">
        <f t="shared" si="12"/>
        <v>45978</v>
      </c>
      <c r="I392" s="187" cm="1">
        <f t="array" ref="I392">G392*[15]!CalculateINPC(C392,H392,-1)</f>
        <v>22.286032028253</v>
      </c>
      <c r="J392" s="187">
        <f t="shared" si="13"/>
        <v>23.154780035362311</v>
      </c>
      <c r="K392" s="187" cm="1">
        <f t="array" ref="K392">[15]!CalculateDICetip(C392,H392,1)*G392</f>
        <v>22.683153300465001</v>
      </c>
      <c r="L392" s="154">
        <v>273229</v>
      </c>
      <c r="M392" s="154" t="s">
        <v>979</v>
      </c>
      <c r="N392" s="154" t="s">
        <v>980</v>
      </c>
      <c r="O392" s="154" t="s">
        <v>981</v>
      </c>
      <c r="P392" s="154">
        <v>29660</v>
      </c>
      <c r="Q392" s="154" t="s">
        <v>922</v>
      </c>
      <c r="R392" s="154">
        <v>4</v>
      </c>
      <c r="S392" s="154" t="s">
        <v>1061</v>
      </c>
      <c r="T392" s="154" t="s">
        <v>988</v>
      </c>
      <c r="U392" s="154" t="s">
        <v>916</v>
      </c>
      <c r="V392" s="154" t="s">
        <v>916</v>
      </c>
      <c r="W392" s="154" t="s">
        <v>130</v>
      </c>
      <c r="X392" s="154" t="s">
        <v>1192</v>
      </c>
    </row>
    <row r="393" spans="1:24">
      <c r="A393" s="154" t="s">
        <v>102</v>
      </c>
      <c r="B393" s="154" t="s">
        <v>1401</v>
      </c>
      <c r="C393" s="155">
        <v>45888</v>
      </c>
      <c r="D393" s="155">
        <v>45887</v>
      </c>
      <c r="E393" s="159">
        <v>444.24</v>
      </c>
      <c r="F393" s="159">
        <v>222.12</v>
      </c>
      <c r="G393" s="159">
        <v>222.12</v>
      </c>
      <c r="H393" s="184">
        <f t="shared" si="12"/>
        <v>45978</v>
      </c>
      <c r="I393" s="187" cm="1">
        <f t="array" ref="I393">G393*[15]!CalculateINPC(C393,H393,-1)</f>
        <v>222.87282243120001</v>
      </c>
      <c r="J393" s="187">
        <f t="shared" si="13"/>
        <v>237.17750866336658</v>
      </c>
      <c r="K393" s="187" cm="1">
        <f t="array" ref="K393">[15]!CalculateDICetip(C393,H393,1)*G393</f>
        <v>230.09491429560001</v>
      </c>
      <c r="L393" s="154">
        <v>267629</v>
      </c>
      <c r="M393" s="154" t="s">
        <v>382</v>
      </c>
      <c r="N393" s="154" t="s">
        <v>282</v>
      </c>
      <c r="O393" s="154" t="s">
        <v>283</v>
      </c>
      <c r="P393" s="154">
        <v>27184</v>
      </c>
      <c r="Q393" s="154" t="s">
        <v>1141</v>
      </c>
      <c r="R393" s="154">
        <v>4</v>
      </c>
      <c r="S393" s="154" t="s">
        <v>1061</v>
      </c>
      <c r="T393" s="154" t="s">
        <v>990</v>
      </c>
      <c r="U393" s="154" t="s">
        <v>916</v>
      </c>
      <c r="V393" s="154" t="s">
        <v>916</v>
      </c>
      <c r="W393" s="154" t="s">
        <v>117</v>
      </c>
      <c r="X393" s="154" t="s">
        <v>1193</v>
      </c>
    </row>
    <row r="394" spans="1:24">
      <c r="A394" s="154" t="s">
        <v>102</v>
      </c>
      <c r="B394" s="154" t="s">
        <v>1401</v>
      </c>
      <c r="C394" s="155">
        <v>45888</v>
      </c>
      <c r="D394" s="155">
        <v>45887</v>
      </c>
      <c r="E394" s="159">
        <v>444.24</v>
      </c>
      <c r="F394" s="159">
        <v>222.12</v>
      </c>
      <c r="G394" s="159">
        <v>222.12</v>
      </c>
      <c r="H394" s="184">
        <f t="shared" si="12"/>
        <v>45978</v>
      </c>
      <c r="I394" s="187" cm="1">
        <f t="array" ref="I394">G394*[15]!CalculateINPC(C394,H394,-1)</f>
        <v>222.87282243120001</v>
      </c>
      <c r="J394" s="187">
        <f t="shared" si="13"/>
        <v>237.17750866336658</v>
      </c>
      <c r="K394" s="187" cm="1">
        <f t="array" ref="K394">[15]!CalculateDICetip(C394,H394,1)*G394</f>
        <v>230.09491429560001</v>
      </c>
      <c r="L394" s="154">
        <v>267629</v>
      </c>
      <c r="M394" s="154" t="s">
        <v>382</v>
      </c>
      <c r="N394" s="154" t="s">
        <v>282</v>
      </c>
      <c r="O394" s="154" t="s">
        <v>283</v>
      </c>
      <c r="P394" s="154">
        <v>27189</v>
      </c>
      <c r="Q394" s="154" t="s">
        <v>1152</v>
      </c>
      <c r="R394" s="154">
        <v>4</v>
      </c>
      <c r="S394" s="154" t="s">
        <v>1061</v>
      </c>
      <c r="T394" s="154" t="s">
        <v>990</v>
      </c>
      <c r="U394" s="154" t="s">
        <v>916</v>
      </c>
      <c r="V394" s="154" t="s">
        <v>916</v>
      </c>
      <c r="W394" s="154" t="s">
        <v>117</v>
      </c>
      <c r="X394" s="154" t="s">
        <v>1193</v>
      </c>
    </row>
    <row r="395" spans="1:24">
      <c r="A395" s="154" t="s">
        <v>102</v>
      </c>
      <c r="B395" s="154" t="s">
        <v>1401</v>
      </c>
      <c r="C395" s="155">
        <v>45888</v>
      </c>
      <c r="D395" s="155">
        <v>45870</v>
      </c>
      <c r="E395" s="159">
        <v>9.2200000000000006</v>
      </c>
      <c r="F395" s="159">
        <v>6.97</v>
      </c>
      <c r="G395" s="159">
        <v>6.97</v>
      </c>
      <c r="H395" s="184">
        <f t="shared" si="12"/>
        <v>45978</v>
      </c>
      <c r="I395" s="187" cm="1">
        <f t="array" ref="I395">G395*[15]!CalculateINPC(C395,H395,-1)</f>
        <v>6.9936231422000006</v>
      </c>
      <c r="J395" s="187">
        <f t="shared" si="13"/>
        <v>7.4424961074359128</v>
      </c>
      <c r="K395" s="187" cm="1">
        <f t="array" ref="K395">[15]!CalculateDICetip(C395,H395,1)*G395</f>
        <v>7.2202483010999998</v>
      </c>
      <c r="L395" s="154">
        <v>267626</v>
      </c>
      <c r="M395" s="154" t="s">
        <v>103</v>
      </c>
      <c r="N395" s="154" t="s">
        <v>460</v>
      </c>
      <c r="O395" s="154" t="s">
        <v>461</v>
      </c>
      <c r="P395" s="154">
        <v>27238</v>
      </c>
      <c r="Q395" s="154" t="s">
        <v>1066</v>
      </c>
      <c r="R395" s="154">
        <v>4</v>
      </c>
      <c r="S395" s="154" t="s">
        <v>1061</v>
      </c>
      <c r="T395" s="154" t="s">
        <v>1194</v>
      </c>
      <c r="U395" s="154" t="s">
        <v>916</v>
      </c>
      <c r="V395" s="154" t="s">
        <v>916</v>
      </c>
      <c r="W395" s="154" t="s">
        <v>111</v>
      </c>
      <c r="X395" s="154" t="s">
        <v>1195</v>
      </c>
    </row>
    <row r="396" spans="1:24">
      <c r="A396" s="154" t="s">
        <v>102</v>
      </c>
      <c r="B396" s="154" t="s">
        <v>1401</v>
      </c>
      <c r="C396" s="155">
        <v>45888</v>
      </c>
      <c r="D396" s="155">
        <v>45870</v>
      </c>
      <c r="E396" s="159">
        <v>9.2200000000000006</v>
      </c>
      <c r="F396" s="159">
        <v>2.25</v>
      </c>
      <c r="G396" s="159">
        <v>2.25</v>
      </c>
      <c r="H396" s="184">
        <f t="shared" si="12"/>
        <v>45978</v>
      </c>
      <c r="I396" s="187" cm="1">
        <f t="array" ref="I396">G396*[15]!CalculateINPC(C396,H396,-1)</f>
        <v>2.2576258350000002</v>
      </c>
      <c r="J396" s="187">
        <f t="shared" si="13"/>
        <v>2.4025274378379922</v>
      </c>
      <c r="K396" s="187" cm="1">
        <f t="array" ref="K396">[15]!CalculateDICetip(C396,H396,1)*G396</f>
        <v>2.3307831674999999</v>
      </c>
      <c r="L396" s="154">
        <v>267626</v>
      </c>
      <c r="M396" s="154" t="s">
        <v>103</v>
      </c>
      <c r="N396" s="154" t="s">
        <v>587</v>
      </c>
      <c r="O396" s="154" t="s">
        <v>588</v>
      </c>
      <c r="P396" s="154">
        <v>27238</v>
      </c>
      <c r="Q396" s="154" t="s">
        <v>1066</v>
      </c>
      <c r="R396" s="154">
        <v>4</v>
      </c>
      <c r="S396" s="154" t="s">
        <v>1061</v>
      </c>
      <c r="T396" s="154" t="s">
        <v>1194</v>
      </c>
      <c r="U396" s="154" t="s">
        <v>916</v>
      </c>
      <c r="V396" s="154" t="s">
        <v>916</v>
      </c>
      <c r="W396" s="154" t="s">
        <v>111</v>
      </c>
      <c r="X396" s="154" t="s">
        <v>1195</v>
      </c>
    </row>
    <row r="397" spans="1:24">
      <c r="A397" s="154" t="s">
        <v>102</v>
      </c>
      <c r="B397" s="154" t="s">
        <v>1401</v>
      </c>
      <c r="C397" s="155">
        <v>45889</v>
      </c>
      <c r="D397" s="155">
        <v>45859</v>
      </c>
      <c r="E397" s="159">
        <v>2216.41</v>
      </c>
      <c r="F397" s="159">
        <v>22.164100000000001</v>
      </c>
      <c r="G397" s="159">
        <v>22.164100000000001</v>
      </c>
      <c r="H397" s="184">
        <f t="shared" si="12"/>
        <v>45978</v>
      </c>
      <c r="I397" s="187" cm="1">
        <f t="array" ref="I397">G397*[15]!CalculateINPC(C397,H397,-1)</f>
        <v>22.239219897566002</v>
      </c>
      <c r="J397" s="187">
        <f t="shared" si="13"/>
        <v>23.649362034986176</v>
      </c>
      <c r="K397" s="187" cm="1">
        <f t="array" ref="K397">[15]!CalculateDICetip(C397,H397,1)*G397</f>
        <v>22.947220599043998</v>
      </c>
      <c r="L397" s="154">
        <v>267636</v>
      </c>
      <c r="M397" s="154" t="s">
        <v>979</v>
      </c>
      <c r="N397" s="154" t="s">
        <v>980</v>
      </c>
      <c r="O397" s="154" t="s">
        <v>981</v>
      </c>
      <c r="P397" s="154">
        <v>29660</v>
      </c>
      <c r="Q397" s="154" t="s">
        <v>922</v>
      </c>
      <c r="R397" s="154">
        <v>4</v>
      </c>
      <c r="S397" s="154" t="s">
        <v>1061</v>
      </c>
      <c r="T397" s="154" t="s">
        <v>992</v>
      </c>
      <c r="U397" s="154" t="s">
        <v>916</v>
      </c>
      <c r="V397" s="154" t="s">
        <v>916</v>
      </c>
      <c r="W397" s="154" t="s">
        <v>130</v>
      </c>
      <c r="X397" s="154" t="s">
        <v>1196</v>
      </c>
    </row>
    <row r="398" spans="1:24">
      <c r="A398" s="154" t="s">
        <v>102</v>
      </c>
      <c r="B398" s="154" t="s">
        <v>1401</v>
      </c>
      <c r="C398" s="155">
        <v>45950</v>
      </c>
      <c r="D398" s="155">
        <v>45931</v>
      </c>
      <c r="E398" s="159">
        <v>145.24</v>
      </c>
      <c r="F398" s="159">
        <v>0.54999999999899996</v>
      </c>
      <c r="G398" s="159">
        <v>0.54999999999899996</v>
      </c>
      <c r="H398" s="184">
        <f t="shared" si="12"/>
        <v>45978</v>
      </c>
      <c r="I398" s="187" cm="1">
        <f t="array" ref="I398">G398*[15]!CalculateINPC(C398,H398,-1)</f>
        <v>0.55016463699899965</v>
      </c>
      <c r="J398" s="187">
        <f t="shared" si="13"/>
        <v>0.56133865566813723</v>
      </c>
      <c r="K398" s="187" cm="1">
        <f t="array" ref="K398">[15]!CalculateDICetip(C398,H398,1)*G398</f>
        <v>0.55609627699898878</v>
      </c>
      <c r="L398" s="154">
        <v>277966</v>
      </c>
      <c r="M398" s="154" t="s">
        <v>103</v>
      </c>
      <c r="N398" s="154" t="s">
        <v>460</v>
      </c>
      <c r="O398" s="154" t="s">
        <v>461</v>
      </c>
      <c r="P398" s="154">
        <v>29660</v>
      </c>
      <c r="Q398" s="154" t="s">
        <v>922</v>
      </c>
      <c r="R398" s="154">
        <v>4</v>
      </c>
      <c r="S398" s="154" t="s">
        <v>1061</v>
      </c>
      <c r="T398" s="154" t="s">
        <v>994</v>
      </c>
      <c r="U398" s="154" t="s">
        <v>916</v>
      </c>
      <c r="V398" s="154" t="s">
        <v>916</v>
      </c>
      <c r="W398" s="154" t="s">
        <v>111</v>
      </c>
      <c r="X398" s="154" t="s">
        <v>1197</v>
      </c>
    </row>
    <row r="399" spans="1:24">
      <c r="A399" s="154" t="s">
        <v>102</v>
      </c>
      <c r="B399" s="154" t="s">
        <v>1401</v>
      </c>
      <c r="C399" s="155">
        <v>45950</v>
      </c>
      <c r="D399" s="155">
        <v>45931</v>
      </c>
      <c r="E399" s="159">
        <v>145.24</v>
      </c>
      <c r="F399" s="159">
        <v>0.18</v>
      </c>
      <c r="G399" s="159">
        <v>0.18</v>
      </c>
      <c r="H399" s="184">
        <f t="shared" si="12"/>
        <v>45978</v>
      </c>
      <c r="I399" s="187" cm="1">
        <f t="array" ref="I399">G399*[15]!CalculateINPC(C399,H399,-1)</f>
        <v>0.18005388119999999</v>
      </c>
      <c r="J399" s="187">
        <f t="shared" si="13"/>
        <v>0.18371083276445169</v>
      </c>
      <c r="K399" s="187" cm="1">
        <f t="array" ref="K399">[15]!CalculateDICetip(C399,H399,1)*G399</f>
        <v>0.18199514519999999</v>
      </c>
      <c r="L399" s="154">
        <v>277966</v>
      </c>
      <c r="M399" s="154" t="s">
        <v>103</v>
      </c>
      <c r="N399" s="154" t="s">
        <v>587</v>
      </c>
      <c r="O399" s="154" t="s">
        <v>588</v>
      </c>
      <c r="P399" s="154">
        <v>29660</v>
      </c>
      <c r="Q399" s="154" t="s">
        <v>922</v>
      </c>
      <c r="R399" s="154">
        <v>4</v>
      </c>
      <c r="S399" s="154" t="s">
        <v>1061</v>
      </c>
      <c r="T399" s="154" t="s">
        <v>994</v>
      </c>
      <c r="U399" s="154" t="s">
        <v>916</v>
      </c>
      <c r="V399" s="154" t="s">
        <v>916</v>
      </c>
      <c r="W399" s="154" t="s">
        <v>111</v>
      </c>
      <c r="X399" s="154" t="s">
        <v>1197</v>
      </c>
    </row>
    <row r="400" spans="1:24">
      <c r="A400" s="154" t="s">
        <v>102</v>
      </c>
      <c r="B400" s="154" t="s">
        <v>1401</v>
      </c>
      <c r="C400" s="155">
        <v>45860</v>
      </c>
      <c r="D400" s="155">
        <v>45854</v>
      </c>
      <c r="E400" s="159">
        <v>3840</v>
      </c>
      <c r="F400" s="159">
        <v>3840</v>
      </c>
      <c r="G400" s="159">
        <v>3840</v>
      </c>
      <c r="H400" s="184">
        <f t="shared" si="12"/>
        <v>45978</v>
      </c>
      <c r="I400" s="187" cm="1">
        <f t="array" ref="I400">G400*[15]!CalculateINPC(C400,H400,-1)</f>
        <v>3861.1045632000005</v>
      </c>
      <c r="J400" s="187">
        <f t="shared" si="13"/>
        <v>4184.8444808975346</v>
      </c>
      <c r="K400" s="187" cm="1">
        <f t="array" ref="K400">[15]!CalculateDICetip(C400,H400,1)*G400</f>
        <v>4021.9612032</v>
      </c>
      <c r="L400" s="154">
        <v>261599</v>
      </c>
      <c r="M400" s="154" t="s">
        <v>200</v>
      </c>
      <c r="N400" s="154" t="s">
        <v>965</v>
      </c>
      <c r="O400" s="154" t="s">
        <v>966</v>
      </c>
      <c r="P400" s="154">
        <v>27220</v>
      </c>
      <c r="Q400" s="154" t="s">
        <v>1092</v>
      </c>
      <c r="R400" s="154">
        <v>4</v>
      </c>
      <c r="S400" s="154" t="s">
        <v>1061</v>
      </c>
      <c r="T400" s="154" t="s">
        <v>1198</v>
      </c>
      <c r="U400" s="154" t="s">
        <v>1071</v>
      </c>
      <c r="V400" s="154" t="s">
        <v>1072</v>
      </c>
      <c r="W400" s="154" t="s">
        <v>111</v>
      </c>
      <c r="X400" s="154" t="s">
        <v>1199</v>
      </c>
    </row>
    <row r="401" spans="1:24">
      <c r="A401" s="154" t="s">
        <v>102</v>
      </c>
      <c r="B401" s="154" t="s">
        <v>1401</v>
      </c>
      <c r="C401" s="155">
        <v>45860</v>
      </c>
      <c r="D401" s="155">
        <v>45854</v>
      </c>
      <c r="E401" s="159">
        <v>3900</v>
      </c>
      <c r="F401" s="159">
        <v>3900</v>
      </c>
      <c r="G401" s="159">
        <v>3900</v>
      </c>
      <c r="H401" s="184">
        <f t="shared" si="12"/>
        <v>45978</v>
      </c>
      <c r="I401" s="187" cm="1">
        <f t="array" ref="I401">G401*[15]!CalculateINPC(C401,H401,-1)</f>
        <v>3921.4343220000001</v>
      </c>
      <c r="J401" s="187">
        <f t="shared" si="13"/>
        <v>4250.2326759115585</v>
      </c>
      <c r="K401" s="187" cm="1">
        <f t="array" ref="K401">[15]!CalculateDICetip(C401,H401,1)*G401</f>
        <v>4084.8043470000002</v>
      </c>
      <c r="L401" s="154">
        <v>261601</v>
      </c>
      <c r="M401" s="154" t="s">
        <v>200</v>
      </c>
      <c r="N401" s="154" t="s">
        <v>965</v>
      </c>
      <c r="O401" s="154" t="s">
        <v>966</v>
      </c>
      <c r="P401" s="154">
        <v>27205</v>
      </c>
      <c r="Q401" s="154" t="s">
        <v>1089</v>
      </c>
      <c r="R401" s="154">
        <v>4</v>
      </c>
      <c r="S401" s="154" t="s">
        <v>1061</v>
      </c>
      <c r="T401" s="154" t="s">
        <v>1200</v>
      </c>
      <c r="U401" s="154" t="s">
        <v>1071</v>
      </c>
      <c r="V401" s="154" t="s">
        <v>1072</v>
      </c>
      <c r="W401" s="154" t="s">
        <v>111</v>
      </c>
      <c r="X401" s="154" t="s">
        <v>1201</v>
      </c>
    </row>
    <row r="402" spans="1:24">
      <c r="A402" s="154" t="s">
        <v>102</v>
      </c>
      <c r="B402" s="154" t="s">
        <v>1401</v>
      </c>
      <c r="C402" s="155">
        <v>45860</v>
      </c>
      <c r="D402" s="155">
        <v>45854</v>
      </c>
      <c r="E402" s="159">
        <v>3900</v>
      </c>
      <c r="F402" s="159">
        <v>3900</v>
      </c>
      <c r="G402" s="159">
        <v>3900</v>
      </c>
      <c r="H402" s="184">
        <f t="shared" si="12"/>
        <v>45978</v>
      </c>
      <c r="I402" s="187" cm="1">
        <f t="array" ref="I402">G402*[15]!CalculateINPC(C402,H402,-1)</f>
        <v>3921.4343220000001</v>
      </c>
      <c r="J402" s="187">
        <f t="shared" si="13"/>
        <v>4250.2326759115585</v>
      </c>
      <c r="K402" s="187" cm="1">
        <f t="array" ref="K402">[15]!CalculateDICetip(C402,H402,1)*G402</f>
        <v>4084.8043470000002</v>
      </c>
      <c r="L402" s="154">
        <v>261600</v>
      </c>
      <c r="M402" s="154" t="s">
        <v>200</v>
      </c>
      <c r="N402" s="154" t="s">
        <v>965</v>
      </c>
      <c r="O402" s="154" t="s">
        <v>966</v>
      </c>
      <c r="P402" s="154">
        <v>27201</v>
      </c>
      <c r="Q402" s="154" t="s">
        <v>1120</v>
      </c>
      <c r="R402" s="154">
        <v>4</v>
      </c>
      <c r="S402" s="154" t="s">
        <v>1061</v>
      </c>
      <c r="T402" s="154" t="s">
        <v>1202</v>
      </c>
      <c r="U402" s="154" t="s">
        <v>1071</v>
      </c>
      <c r="V402" s="154" t="s">
        <v>1072</v>
      </c>
      <c r="W402" s="154" t="s">
        <v>111</v>
      </c>
      <c r="X402" s="154" t="s">
        <v>1203</v>
      </c>
    </row>
    <row r="403" spans="1:24">
      <c r="A403" s="154" t="s">
        <v>102</v>
      </c>
      <c r="B403" s="154" t="s">
        <v>1401</v>
      </c>
      <c r="C403" s="155">
        <v>45860</v>
      </c>
      <c r="D403" s="155">
        <v>45854</v>
      </c>
      <c r="E403" s="159">
        <v>3900</v>
      </c>
      <c r="F403" s="159">
        <v>3900</v>
      </c>
      <c r="G403" s="159">
        <v>3900</v>
      </c>
      <c r="H403" s="184">
        <f t="shared" si="12"/>
        <v>45978</v>
      </c>
      <c r="I403" s="187" cm="1">
        <f t="array" ref="I403">G403*[15]!CalculateINPC(C403,H403,-1)</f>
        <v>3921.4343220000001</v>
      </c>
      <c r="J403" s="187">
        <f t="shared" si="13"/>
        <v>4250.2326759115585</v>
      </c>
      <c r="K403" s="187" cm="1">
        <f t="array" ref="K403">[15]!CalculateDICetip(C403,H403,1)*G403</f>
        <v>4084.8043470000002</v>
      </c>
      <c r="L403" s="154">
        <v>261602</v>
      </c>
      <c r="M403" s="154" t="s">
        <v>200</v>
      </c>
      <c r="N403" s="154" t="s">
        <v>965</v>
      </c>
      <c r="O403" s="154" t="s">
        <v>966</v>
      </c>
      <c r="P403" s="154">
        <v>27209</v>
      </c>
      <c r="Q403" s="154" t="s">
        <v>1110</v>
      </c>
      <c r="R403" s="154">
        <v>4</v>
      </c>
      <c r="S403" s="154" t="s">
        <v>1061</v>
      </c>
      <c r="T403" s="154" t="s">
        <v>1204</v>
      </c>
      <c r="U403" s="154" t="s">
        <v>1071</v>
      </c>
      <c r="V403" s="154" t="s">
        <v>1072</v>
      </c>
      <c r="W403" s="154" t="s">
        <v>111</v>
      </c>
      <c r="X403" s="154" t="s">
        <v>1205</v>
      </c>
    </row>
    <row r="404" spans="1:24">
      <c r="A404" s="154" t="s">
        <v>102</v>
      </c>
      <c r="B404" s="154" t="s">
        <v>1401</v>
      </c>
      <c r="C404" s="155">
        <v>45860</v>
      </c>
      <c r="D404" s="155">
        <v>45854</v>
      </c>
      <c r="E404" s="159">
        <v>2732.14</v>
      </c>
      <c r="F404" s="159">
        <v>2732.14</v>
      </c>
      <c r="G404" s="159">
        <v>2732.14</v>
      </c>
      <c r="H404" s="184">
        <f t="shared" si="12"/>
        <v>45978</v>
      </c>
      <c r="I404" s="187" cm="1">
        <f t="array" ref="I404">G404*[15]!CalculateINPC(C404,H404,-1)</f>
        <v>2747.1557867972001</v>
      </c>
      <c r="J404" s="187">
        <f t="shared" si="13"/>
        <v>2977.4950520935909</v>
      </c>
      <c r="K404" s="187" cm="1">
        <f t="array" ref="K404">[15]!CalculateDICetip(C404,H404,1)*G404</f>
        <v>2861.6044483621999</v>
      </c>
      <c r="L404" s="154">
        <v>261609</v>
      </c>
      <c r="M404" s="154" t="s">
        <v>200</v>
      </c>
      <c r="N404" s="154" t="s">
        <v>965</v>
      </c>
      <c r="O404" s="154" t="s">
        <v>966</v>
      </c>
      <c r="P404" s="154">
        <v>27228</v>
      </c>
      <c r="Q404" s="154" t="s">
        <v>1126</v>
      </c>
      <c r="R404" s="154">
        <v>4</v>
      </c>
      <c r="S404" s="154" t="s">
        <v>1061</v>
      </c>
      <c r="T404" s="154" t="s">
        <v>1206</v>
      </c>
      <c r="U404" s="154" t="s">
        <v>1071</v>
      </c>
      <c r="V404" s="154" t="s">
        <v>1072</v>
      </c>
      <c r="W404" s="154" t="s">
        <v>111</v>
      </c>
      <c r="X404" s="154" t="s">
        <v>1207</v>
      </c>
    </row>
    <row r="405" spans="1:24">
      <c r="A405" s="154" t="s">
        <v>102</v>
      </c>
      <c r="B405" s="154" t="s">
        <v>1401</v>
      </c>
      <c r="C405" s="155">
        <v>45860</v>
      </c>
      <c r="D405" s="155">
        <v>45854</v>
      </c>
      <c r="E405" s="159">
        <v>3900</v>
      </c>
      <c r="F405" s="159">
        <v>3900</v>
      </c>
      <c r="G405" s="159">
        <v>3900</v>
      </c>
      <c r="H405" s="184">
        <f t="shared" si="12"/>
        <v>45978</v>
      </c>
      <c r="I405" s="187" cm="1">
        <f t="array" ref="I405">G405*[15]!CalculateINPC(C405,H405,-1)</f>
        <v>3921.4343220000001</v>
      </c>
      <c r="J405" s="187">
        <f t="shared" si="13"/>
        <v>4250.2326759115585</v>
      </c>
      <c r="K405" s="187" cm="1">
        <f t="array" ref="K405">[15]!CalculateDICetip(C405,H405,1)*G405</f>
        <v>4084.8043470000002</v>
      </c>
      <c r="L405" s="154">
        <v>261607</v>
      </c>
      <c r="M405" s="154" t="s">
        <v>200</v>
      </c>
      <c r="N405" s="154" t="s">
        <v>965</v>
      </c>
      <c r="O405" s="154" t="s">
        <v>966</v>
      </c>
      <c r="P405" s="154">
        <v>27215</v>
      </c>
      <c r="Q405" s="154" t="s">
        <v>1095</v>
      </c>
      <c r="R405" s="154">
        <v>4</v>
      </c>
      <c r="S405" s="154" t="s">
        <v>1061</v>
      </c>
      <c r="T405" s="154" t="s">
        <v>1208</v>
      </c>
      <c r="U405" s="154" t="s">
        <v>1071</v>
      </c>
      <c r="V405" s="154" t="s">
        <v>1072</v>
      </c>
      <c r="W405" s="154" t="s">
        <v>111</v>
      </c>
      <c r="X405" s="154" t="s">
        <v>1209</v>
      </c>
    </row>
    <row r="406" spans="1:24">
      <c r="A406" s="154" t="s">
        <v>102</v>
      </c>
      <c r="B406" s="154" t="s">
        <v>1401</v>
      </c>
      <c r="C406" s="155">
        <v>45860</v>
      </c>
      <c r="D406" s="155">
        <v>45854</v>
      </c>
      <c r="E406" s="159">
        <v>2732.14</v>
      </c>
      <c r="F406" s="159">
        <v>2732.14</v>
      </c>
      <c r="G406" s="159">
        <v>2732.14</v>
      </c>
      <c r="H406" s="184">
        <f t="shared" si="12"/>
        <v>45978</v>
      </c>
      <c r="I406" s="187" cm="1">
        <f t="array" ref="I406">G406*[15]!CalculateINPC(C406,H406,-1)</f>
        <v>2747.1557867972001</v>
      </c>
      <c r="J406" s="187">
        <f t="shared" si="13"/>
        <v>2977.4950520935909</v>
      </c>
      <c r="K406" s="187" cm="1">
        <f t="array" ref="K406">[15]!CalculateDICetip(C406,H406,1)*G406</f>
        <v>2861.6044483621999</v>
      </c>
      <c r="L406" s="154">
        <v>261610</v>
      </c>
      <c r="M406" s="154" t="s">
        <v>200</v>
      </c>
      <c r="N406" s="154" t="s">
        <v>965</v>
      </c>
      <c r="O406" s="154" t="s">
        <v>966</v>
      </c>
      <c r="P406" s="154">
        <v>27230</v>
      </c>
      <c r="Q406" s="154" t="s">
        <v>1147</v>
      </c>
      <c r="R406" s="154">
        <v>4</v>
      </c>
      <c r="S406" s="154" t="s">
        <v>1061</v>
      </c>
      <c r="T406" s="154" t="s">
        <v>1210</v>
      </c>
      <c r="U406" s="154" t="s">
        <v>1071</v>
      </c>
      <c r="V406" s="154" t="s">
        <v>1072</v>
      </c>
      <c r="W406" s="154" t="s">
        <v>111</v>
      </c>
      <c r="X406" s="154" t="s">
        <v>1211</v>
      </c>
    </row>
    <row r="407" spans="1:24">
      <c r="A407" s="154" t="s">
        <v>102</v>
      </c>
      <c r="B407" s="154" t="s">
        <v>1401</v>
      </c>
      <c r="C407" s="155">
        <v>45860</v>
      </c>
      <c r="D407" s="155">
        <v>45854</v>
      </c>
      <c r="E407" s="159">
        <v>3900</v>
      </c>
      <c r="F407" s="159">
        <v>3900</v>
      </c>
      <c r="G407" s="159">
        <v>3900</v>
      </c>
      <c r="H407" s="184">
        <f t="shared" si="12"/>
        <v>45978</v>
      </c>
      <c r="I407" s="187" cm="1">
        <f t="array" ref="I407">G407*[15]!CalculateINPC(C407,H407,-1)</f>
        <v>3921.4343220000001</v>
      </c>
      <c r="J407" s="187">
        <f t="shared" si="13"/>
        <v>4250.2326759115585</v>
      </c>
      <c r="K407" s="187" cm="1">
        <f t="array" ref="K407">[15]!CalculateDICetip(C407,H407,1)*G407</f>
        <v>4084.8043470000002</v>
      </c>
      <c r="L407" s="154">
        <v>261603</v>
      </c>
      <c r="M407" s="154" t="s">
        <v>200</v>
      </c>
      <c r="N407" s="154" t="s">
        <v>965</v>
      </c>
      <c r="O407" s="154" t="s">
        <v>966</v>
      </c>
      <c r="P407" s="154">
        <v>27211</v>
      </c>
      <c r="Q407" s="154" t="s">
        <v>1107</v>
      </c>
      <c r="R407" s="154">
        <v>4</v>
      </c>
      <c r="S407" s="154" t="s">
        <v>1061</v>
      </c>
      <c r="T407" s="154" t="s">
        <v>1212</v>
      </c>
      <c r="U407" s="154" t="s">
        <v>1071</v>
      </c>
      <c r="V407" s="154" t="s">
        <v>1072</v>
      </c>
      <c r="W407" s="154" t="s">
        <v>111</v>
      </c>
      <c r="X407" s="154" t="s">
        <v>1213</v>
      </c>
    </row>
    <row r="408" spans="1:24">
      <c r="A408" s="154" t="s">
        <v>102</v>
      </c>
      <c r="B408" s="154" t="s">
        <v>1401</v>
      </c>
      <c r="C408" s="155">
        <v>45860</v>
      </c>
      <c r="D408" s="155">
        <v>45855</v>
      </c>
      <c r="E408" s="159">
        <v>52440</v>
      </c>
      <c r="F408" s="159">
        <v>52440</v>
      </c>
      <c r="G408" s="159">
        <v>52440</v>
      </c>
      <c r="H408" s="184">
        <f t="shared" si="12"/>
        <v>45978</v>
      </c>
      <c r="I408" s="187" cm="1">
        <f t="array" ref="I408">G408*[15]!CalculateINPC(C408,H408,-1)</f>
        <v>52728.209191200003</v>
      </c>
      <c r="J408" s="187">
        <f t="shared" si="13"/>
        <v>57149.282442256954</v>
      </c>
      <c r="K408" s="187" cm="1">
        <f t="array" ref="K408">[15]!CalculateDICetip(C408,H408,1)*G408</f>
        <v>54924.907681199998</v>
      </c>
      <c r="L408" s="154">
        <v>261695</v>
      </c>
      <c r="M408" s="154" t="s">
        <v>200</v>
      </c>
      <c r="N408" s="154" t="s">
        <v>965</v>
      </c>
      <c r="O408" s="154" t="s">
        <v>966</v>
      </c>
      <c r="P408" s="154">
        <v>27180</v>
      </c>
      <c r="Q408" s="154" t="s">
        <v>1064</v>
      </c>
      <c r="R408" s="154">
        <v>4</v>
      </c>
      <c r="S408" s="154" t="s">
        <v>1061</v>
      </c>
      <c r="T408" s="154" t="s">
        <v>1214</v>
      </c>
      <c r="U408" s="154" t="s">
        <v>1071</v>
      </c>
      <c r="V408" s="154" t="s">
        <v>1072</v>
      </c>
      <c r="W408" s="154" t="s">
        <v>111</v>
      </c>
      <c r="X408" s="154" t="s">
        <v>1215</v>
      </c>
    </row>
    <row r="409" spans="1:24">
      <c r="A409" s="154" t="s">
        <v>102</v>
      </c>
      <c r="B409" s="154" t="s">
        <v>1401</v>
      </c>
      <c r="C409" s="155">
        <v>45860</v>
      </c>
      <c r="D409" s="155">
        <v>45854</v>
      </c>
      <c r="E409" s="159">
        <v>5790</v>
      </c>
      <c r="F409" s="159">
        <v>5790</v>
      </c>
      <c r="G409" s="159">
        <v>5790</v>
      </c>
      <c r="H409" s="184">
        <f t="shared" si="12"/>
        <v>45978</v>
      </c>
      <c r="I409" s="187" cm="1">
        <f t="array" ref="I409">G409*[15]!CalculateINPC(C409,H409,-1)</f>
        <v>5821.8217242000001</v>
      </c>
      <c r="J409" s="187">
        <f t="shared" si="13"/>
        <v>6309.9608188533139</v>
      </c>
      <c r="K409" s="187" cm="1">
        <f t="array" ref="K409">[15]!CalculateDICetip(C409,H409,1)*G409</f>
        <v>6064.3633767000001</v>
      </c>
      <c r="L409" s="154">
        <v>261596</v>
      </c>
      <c r="M409" s="154" t="s">
        <v>200</v>
      </c>
      <c r="N409" s="154" t="s">
        <v>965</v>
      </c>
      <c r="O409" s="154" t="s">
        <v>966</v>
      </c>
      <c r="P409" s="154">
        <v>27195</v>
      </c>
      <c r="Q409" s="154" t="s">
        <v>1098</v>
      </c>
      <c r="R409" s="154">
        <v>4</v>
      </c>
      <c r="S409" s="154" t="s">
        <v>1061</v>
      </c>
      <c r="T409" s="154" t="s">
        <v>1216</v>
      </c>
      <c r="U409" s="154" t="s">
        <v>1071</v>
      </c>
      <c r="V409" s="154" t="s">
        <v>1072</v>
      </c>
      <c r="W409" s="154" t="s">
        <v>111</v>
      </c>
      <c r="X409" s="154" t="s">
        <v>1217</v>
      </c>
    </row>
    <row r="410" spans="1:24">
      <c r="A410" s="154" t="s">
        <v>102</v>
      </c>
      <c r="B410" s="154" t="s">
        <v>1401</v>
      </c>
      <c r="C410" s="155">
        <v>45860</v>
      </c>
      <c r="D410" s="155">
        <v>45855</v>
      </c>
      <c r="E410" s="159">
        <v>13260.07</v>
      </c>
      <c r="F410" s="159">
        <v>13260.07</v>
      </c>
      <c r="G410" s="159">
        <v>13260.07</v>
      </c>
      <c r="H410" s="184">
        <f t="shared" si="12"/>
        <v>45978</v>
      </c>
      <c r="I410" s="187" cm="1">
        <f t="array" ref="I410">G410*[15]!CalculateINPC(C410,H410,-1)</f>
        <v>13332.947079518601</v>
      </c>
      <c r="J410" s="187">
        <f t="shared" si="13"/>
        <v>14450.867384326815</v>
      </c>
      <c r="K410" s="187" cm="1">
        <f t="array" ref="K410">[15]!CalculateDICetip(C410,H410,1)*G410</f>
        <v>13888.4080968011</v>
      </c>
      <c r="L410" s="154">
        <v>261597</v>
      </c>
      <c r="M410" s="154" t="s">
        <v>200</v>
      </c>
      <c r="N410" s="154" t="s">
        <v>965</v>
      </c>
      <c r="O410" s="154" t="s">
        <v>966</v>
      </c>
      <c r="P410" s="154">
        <v>27189</v>
      </c>
      <c r="Q410" s="154" t="s">
        <v>1152</v>
      </c>
      <c r="R410" s="154">
        <v>4</v>
      </c>
      <c r="S410" s="154" t="s">
        <v>1061</v>
      </c>
      <c r="T410" s="154" t="s">
        <v>1218</v>
      </c>
      <c r="U410" s="154" t="s">
        <v>1071</v>
      </c>
      <c r="V410" s="154" t="s">
        <v>1072</v>
      </c>
      <c r="W410" s="154" t="s">
        <v>111</v>
      </c>
      <c r="X410" s="154" t="s">
        <v>1219</v>
      </c>
    </row>
    <row r="411" spans="1:24">
      <c r="A411" s="154" t="s">
        <v>102</v>
      </c>
      <c r="B411" s="154" t="s">
        <v>1401</v>
      </c>
      <c r="C411" s="155">
        <v>45860</v>
      </c>
      <c r="D411" s="155">
        <v>45854</v>
      </c>
      <c r="E411" s="159">
        <v>1430</v>
      </c>
      <c r="F411" s="159">
        <v>1430</v>
      </c>
      <c r="G411" s="159">
        <v>1430</v>
      </c>
      <c r="H411" s="184">
        <f t="shared" si="12"/>
        <v>45978</v>
      </c>
      <c r="I411" s="187" cm="1">
        <f t="array" ref="I411">G411*[15]!CalculateINPC(C411,H411,-1)</f>
        <v>1437.8592514000002</v>
      </c>
      <c r="J411" s="187">
        <f t="shared" si="13"/>
        <v>1558.4186478342381</v>
      </c>
      <c r="K411" s="187" cm="1">
        <f t="array" ref="K411">[15]!CalculateDICetip(C411,H411,1)*G411</f>
        <v>1497.7615939</v>
      </c>
      <c r="L411" s="154">
        <v>261710</v>
      </c>
      <c r="M411" s="154" t="s">
        <v>200</v>
      </c>
      <c r="N411" s="154" t="s">
        <v>965</v>
      </c>
      <c r="O411" s="154" t="s">
        <v>966</v>
      </c>
      <c r="P411" s="154">
        <v>27233</v>
      </c>
      <c r="Q411" s="154" t="s">
        <v>1104</v>
      </c>
      <c r="R411" s="154">
        <v>4</v>
      </c>
      <c r="S411" s="154" t="s">
        <v>1061</v>
      </c>
      <c r="T411" s="154" t="s">
        <v>1220</v>
      </c>
      <c r="U411" s="154" t="s">
        <v>1071</v>
      </c>
      <c r="V411" s="154" t="s">
        <v>1072</v>
      </c>
      <c r="W411" s="154" t="s">
        <v>111</v>
      </c>
      <c r="X411" s="154" t="s">
        <v>1221</v>
      </c>
    </row>
    <row r="412" spans="1:24">
      <c r="A412" s="154" t="s">
        <v>102</v>
      </c>
      <c r="B412" s="154" t="s">
        <v>1401</v>
      </c>
      <c r="C412" s="155">
        <v>45860</v>
      </c>
      <c r="D412" s="155">
        <v>45854</v>
      </c>
      <c r="E412" s="159">
        <v>2921.21</v>
      </c>
      <c r="F412" s="159">
        <v>2921.21</v>
      </c>
      <c r="G412" s="159">
        <v>2921.21</v>
      </c>
      <c r="H412" s="184">
        <f t="shared" si="12"/>
        <v>45978</v>
      </c>
      <c r="I412" s="187" cm="1">
        <f t="array" ref="I412">G412*[15]!CalculateINPC(C412,H412,-1)</f>
        <v>2937.2649117358001</v>
      </c>
      <c r="J412" s="187">
        <f t="shared" si="13"/>
        <v>3183.5441526152831</v>
      </c>
      <c r="K412" s="187" cm="1">
        <f t="array" ref="K412">[15]!CalculateDICetip(C412,H412,1)*G412</f>
        <v>3059.6336683333002</v>
      </c>
      <c r="L412" s="154">
        <v>261611</v>
      </c>
      <c r="M412" s="154" t="s">
        <v>200</v>
      </c>
      <c r="N412" s="154" t="s">
        <v>965</v>
      </c>
      <c r="O412" s="154" t="s">
        <v>966</v>
      </c>
      <c r="P412" s="154">
        <v>27222</v>
      </c>
      <c r="Q412" s="154" t="s">
        <v>1132</v>
      </c>
      <c r="R412" s="154">
        <v>4</v>
      </c>
      <c r="S412" s="154" t="s">
        <v>1061</v>
      </c>
      <c r="T412" s="154" t="s">
        <v>1222</v>
      </c>
      <c r="U412" s="154" t="s">
        <v>1071</v>
      </c>
      <c r="V412" s="154" t="s">
        <v>1072</v>
      </c>
      <c r="W412" s="154" t="s">
        <v>111</v>
      </c>
      <c r="X412" s="154" t="s">
        <v>1223</v>
      </c>
    </row>
    <row r="413" spans="1:24">
      <c r="A413" s="154" t="s">
        <v>102</v>
      </c>
      <c r="B413" s="154" t="s">
        <v>1401</v>
      </c>
      <c r="C413" s="155">
        <v>45860</v>
      </c>
      <c r="D413" s="155">
        <v>45854</v>
      </c>
      <c r="E413" s="159">
        <v>3303.86</v>
      </c>
      <c r="F413" s="159">
        <v>3303.86</v>
      </c>
      <c r="G413" s="159">
        <v>3303.86</v>
      </c>
      <c r="H413" s="184">
        <f t="shared" si="12"/>
        <v>45978</v>
      </c>
      <c r="I413" s="187" cm="1">
        <f t="array" ref="I413">G413*[15]!CalculateINPC(C413,H413,-1)</f>
        <v>3322.0179484828004</v>
      </c>
      <c r="J413" s="187">
        <f t="shared" si="13"/>
        <v>3600.5573663172208</v>
      </c>
      <c r="K413" s="187" cm="1">
        <f t="array" ref="K413">[15]!CalculateDICetip(C413,H413,1)*G413</f>
        <v>3460.4158179178003</v>
      </c>
      <c r="L413" s="154">
        <v>261612</v>
      </c>
      <c r="M413" s="154" t="s">
        <v>200</v>
      </c>
      <c r="N413" s="154" t="s">
        <v>965</v>
      </c>
      <c r="O413" s="154" t="s">
        <v>966</v>
      </c>
      <c r="P413" s="154">
        <v>27223</v>
      </c>
      <c r="Q413" s="154" t="s">
        <v>1067</v>
      </c>
      <c r="R413" s="154">
        <v>4</v>
      </c>
      <c r="S413" s="154" t="s">
        <v>1061</v>
      </c>
      <c r="T413" s="154" t="s">
        <v>1224</v>
      </c>
      <c r="U413" s="154" t="s">
        <v>1071</v>
      </c>
      <c r="V413" s="154" t="s">
        <v>1072</v>
      </c>
      <c r="W413" s="154" t="s">
        <v>111</v>
      </c>
      <c r="X413" s="154" t="s">
        <v>1225</v>
      </c>
    </row>
    <row r="414" spans="1:24">
      <c r="A414" s="154" t="s">
        <v>102</v>
      </c>
      <c r="B414" s="154" t="s">
        <v>1401</v>
      </c>
      <c r="C414" s="155">
        <v>45860</v>
      </c>
      <c r="D414" s="155">
        <v>45854</v>
      </c>
      <c r="E414" s="159">
        <v>5860</v>
      </c>
      <c r="F414" s="159">
        <v>5860</v>
      </c>
      <c r="G414" s="159">
        <v>5860</v>
      </c>
      <c r="H414" s="184">
        <f t="shared" si="12"/>
        <v>45978</v>
      </c>
      <c r="I414" s="187" cm="1">
        <f t="array" ref="I414">G414*[15]!CalculateINPC(C414,H414,-1)</f>
        <v>5892.2064428000003</v>
      </c>
      <c r="J414" s="187">
        <f t="shared" si="13"/>
        <v>6386.2470463696745</v>
      </c>
      <c r="K414" s="187" cm="1">
        <f t="array" ref="K414">[15]!CalculateDICetip(C414,H414,1)*G414</f>
        <v>6137.6803778000003</v>
      </c>
      <c r="L414" s="154">
        <v>261595</v>
      </c>
      <c r="M414" s="154" t="s">
        <v>200</v>
      </c>
      <c r="N414" s="154" t="s">
        <v>965</v>
      </c>
      <c r="O414" s="154" t="s">
        <v>966</v>
      </c>
      <c r="P414" s="154">
        <v>27193</v>
      </c>
      <c r="Q414" s="154" t="s">
        <v>1123</v>
      </c>
      <c r="R414" s="154">
        <v>4</v>
      </c>
      <c r="S414" s="154" t="s">
        <v>1061</v>
      </c>
      <c r="T414" s="154" t="s">
        <v>1226</v>
      </c>
      <c r="U414" s="154" t="s">
        <v>1071</v>
      </c>
      <c r="V414" s="154" t="s">
        <v>1072</v>
      </c>
      <c r="W414" s="154" t="s">
        <v>111</v>
      </c>
      <c r="X414" s="154" t="s">
        <v>1227</v>
      </c>
    </row>
    <row r="415" spans="1:24">
      <c r="A415" s="154" t="s">
        <v>102</v>
      </c>
      <c r="B415" s="154" t="s">
        <v>1401</v>
      </c>
      <c r="C415" s="155">
        <v>45860</v>
      </c>
      <c r="D415" s="155">
        <v>45854</v>
      </c>
      <c r="E415" s="159">
        <v>1430</v>
      </c>
      <c r="F415" s="159">
        <v>1430</v>
      </c>
      <c r="G415" s="159">
        <v>1430</v>
      </c>
      <c r="H415" s="184">
        <f t="shared" si="12"/>
        <v>45978</v>
      </c>
      <c r="I415" s="187" cm="1">
        <f t="array" ref="I415">G415*[15]!CalculateINPC(C415,H415,-1)</f>
        <v>1437.8592514000002</v>
      </c>
      <c r="J415" s="187">
        <f t="shared" si="13"/>
        <v>1558.4186478342381</v>
      </c>
      <c r="K415" s="187" cm="1">
        <f t="array" ref="K415">[15]!CalculateDICetip(C415,H415,1)*G415</f>
        <v>1497.7615939</v>
      </c>
      <c r="L415" s="154">
        <v>261716</v>
      </c>
      <c r="M415" s="154" t="s">
        <v>200</v>
      </c>
      <c r="N415" s="154" t="s">
        <v>965</v>
      </c>
      <c r="O415" s="154" t="s">
        <v>966</v>
      </c>
      <c r="P415" s="154">
        <v>27234</v>
      </c>
      <c r="Q415" s="154" t="s">
        <v>1083</v>
      </c>
      <c r="R415" s="154">
        <v>4</v>
      </c>
      <c r="S415" s="154" t="s">
        <v>1061</v>
      </c>
      <c r="T415" s="154" t="s">
        <v>1228</v>
      </c>
      <c r="U415" s="154" t="s">
        <v>1071</v>
      </c>
      <c r="V415" s="154" t="s">
        <v>1072</v>
      </c>
      <c r="W415" s="154" t="s">
        <v>111</v>
      </c>
      <c r="X415" s="154" t="s">
        <v>1229</v>
      </c>
    </row>
    <row r="416" spans="1:24">
      <c r="A416" s="154" t="s">
        <v>102</v>
      </c>
      <c r="B416" s="154" t="s">
        <v>1401</v>
      </c>
      <c r="C416" s="155">
        <v>45860</v>
      </c>
      <c r="D416" s="155">
        <v>45854</v>
      </c>
      <c r="E416" s="159">
        <v>3900</v>
      </c>
      <c r="F416" s="159">
        <v>3900</v>
      </c>
      <c r="G416" s="159">
        <v>3900</v>
      </c>
      <c r="H416" s="184">
        <f t="shared" si="12"/>
        <v>45978</v>
      </c>
      <c r="I416" s="187" cm="1">
        <f t="array" ref="I416">G416*[15]!CalculateINPC(C416,H416,-1)</f>
        <v>3921.4343220000001</v>
      </c>
      <c r="J416" s="187">
        <f t="shared" si="13"/>
        <v>4250.2326759115585</v>
      </c>
      <c r="K416" s="187" cm="1">
        <f t="array" ref="K416">[15]!CalculateDICetip(C416,H416,1)*G416</f>
        <v>4084.8043470000002</v>
      </c>
      <c r="L416" s="154">
        <v>261605</v>
      </c>
      <c r="M416" s="154" t="s">
        <v>200</v>
      </c>
      <c r="N416" s="154" t="s">
        <v>965</v>
      </c>
      <c r="O416" s="154" t="s">
        <v>966</v>
      </c>
      <c r="P416" s="154">
        <v>27213</v>
      </c>
      <c r="Q416" s="154" t="s">
        <v>1101</v>
      </c>
      <c r="R416" s="154">
        <v>4</v>
      </c>
      <c r="S416" s="154" t="s">
        <v>1061</v>
      </c>
      <c r="T416" s="154" t="s">
        <v>1230</v>
      </c>
      <c r="U416" s="154" t="s">
        <v>1071</v>
      </c>
      <c r="V416" s="154" t="s">
        <v>1072</v>
      </c>
      <c r="W416" s="154" t="s">
        <v>111</v>
      </c>
      <c r="X416" s="154" t="s">
        <v>1231</v>
      </c>
    </row>
    <row r="417" spans="1:24">
      <c r="A417" s="154" t="s">
        <v>102</v>
      </c>
      <c r="B417" s="154" t="s">
        <v>1401</v>
      </c>
      <c r="C417" s="155">
        <v>45922</v>
      </c>
      <c r="D417" s="155">
        <v>45875</v>
      </c>
      <c r="E417" s="159">
        <v>675.72</v>
      </c>
      <c r="F417" s="159">
        <v>45.72</v>
      </c>
      <c r="G417" s="159">
        <v>45.72</v>
      </c>
      <c r="H417" s="184">
        <f t="shared" si="12"/>
        <v>45978</v>
      </c>
      <c r="I417" s="187" cm="1">
        <f t="array" ref="I417">G417*[15]!CalculateINPC(C417,H417,-1)</f>
        <v>45.971520807600001</v>
      </c>
      <c r="J417" s="187">
        <f t="shared" si="13"/>
        <v>47.624534439178419</v>
      </c>
      <c r="K417" s="187" cm="1">
        <f t="array" ref="K417">[15]!CalculateDICetip(C417,H417,1)*G417</f>
        <v>46.7391509208</v>
      </c>
      <c r="L417" s="154">
        <v>273230</v>
      </c>
      <c r="M417" s="154" t="s">
        <v>1000</v>
      </c>
      <c r="N417" s="154" t="s">
        <v>189</v>
      </c>
      <c r="O417" s="154" t="s">
        <v>190</v>
      </c>
      <c r="P417" s="154">
        <v>27195</v>
      </c>
      <c r="Q417" s="154" t="s">
        <v>1098</v>
      </c>
      <c r="R417" s="154">
        <v>4</v>
      </c>
      <c r="S417" s="154" t="s">
        <v>1061</v>
      </c>
      <c r="T417" s="154" t="s">
        <v>1001</v>
      </c>
      <c r="U417" s="154" t="s">
        <v>916</v>
      </c>
      <c r="V417" s="154" t="s">
        <v>916</v>
      </c>
      <c r="W417" s="154" t="s">
        <v>130</v>
      </c>
      <c r="X417" s="154" t="s">
        <v>1232</v>
      </c>
    </row>
    <row r="418" spans="1:24">
      <c r="A418" s="154" t="s">
        <v>102</v>
      </c>
      <c r="B418" s="154" t="s">
        <v>1401</v>
      </c>
      <c r="C418" s="155">
        <v>45922</v>
      </c>
      <c r="D418" s="155">
        <v>45875</v>
      </c>
      <c r="E418" s="159">
        <v>675.72</v>
      </c>
      <c r="F418" s="159">
        <v>90</v>
      </c>
      <c r="G418" s="159">
        <v>90</v>
      </c>
      <c r="H418" s="184">
        <f t="shared" si="12"/>
        <v>45978</v>
      </c>
      <c r="I418" s="187" cm="1">
        <f t="array" ref="I418">G418*[15]!CalculateINPC(C418,H418,-1)</f>
        <v>90.495119700000004</v>
      </c>
      <c r="J418" s="187">
        <f t="shared" si="13"/>
        <v>93.749083541689799</v>
      </c>
      <c r="K418" s="187" cm="1">
        <f t="array" ref="K418">[15]!CalculateDICetip(C418,H418,1)*G418</f>
        <v>92.006202600000009</v>
      </c>
      <c r="L418" s="154">
        <v>273230</v>
      </c>
      <c r="M418" s="154" t="s">
        <v>1000</v>
      </c>
      <c r="N418" s="154" t="s">
        <v>189</v>
      </c>
      <c r="O418" s="154" t="s">
        <v>190</v>
      </c>
      <c r="P418" s="154">
        <v>27189</v>
      </c>
      <c r="Q418" s="154" t="s">
        <v>1152</v>
      </c>
      <c r="R418" s="154">
        <v>4</v>
      </c>
      <c r="S418" s="154" t="s">
        <v>1061</v>
      </c>
      <c r="T418" s="154" t="s">
        <v>1001</v>
      </c>
      <c r="U418" s="154" t="s">
        <v>916</v>
      </c>
      <c r="V418" s="154" t="s">
        <v>916</v>
      </c>
      <c r="W418" s="154" t="s">
        <v>130</v>
      </c>
      <c r="X418" s="154" t="s">
        <v>1232</v>
      </c>
    </row>
    <row r="419" spans="1:24">
      <c r="A419" s="154" t="s">
        <v>102</v>
      </c>
      <c r="B419" s="154" t="s">
        <v>1401</v>
      </c>
      <c r="C419" s="155">
        <v>45922</v>
      </c>
      <c r="D419" s="155">
        <v>45875</v>
      </c>
      <c r="E419" s="159">
        <v>675.72</v>
      </c>
      <c r="F419" s="159">
        <v>90</v>
      </c>
      <c r="G419" s="159">
        <v>90</v>
      </c>
      <c r="H419" s="184">
        <f t="shared" si="12"/>
        <v>45978</v>
      </c>
      <c r="I419" s="187" cm="1">
        <f t="array" ref="I419">G419*[15]!CalculateINPC(C419,H419,-1)</f>
        <v>90.495119700000004</v>
      </c>
      <c r="J419" s="187">
        <f t="shared" si="13"/>
        <v>93.749083541689799</v>
      </c>
      <c r="K419" s="187" cm="1">
        <f t="array" ref="K419">[15]!CalculateDICetip(C419,H419,1)*G419</f>
        <v>92.006202600000009</v>
      </c>
      <c r="L419" s="154">
        <v>273230</v>
      </c>
      <c r="M419" s="154" t="s">
        <v>1000</v>
      </c>
      <c r="N419" s="154" t="s">
        <v>189</v>
      </c>
      <c r="O419" s="154" t="s">
        <v>190</v>
      </c>
      <c r="P419" s="154">
        <v>27187</v>
      </c>
      <c r="Q419" s="154" t="s">
        <v>1146</v>
      </c>
      <c r="R419" s="154">
        <v>4</v>
      </c>
      <c r="S419" s="154" t="s">
        <v>1061</v>
      </c>
      <c r="T419" s="154" t="s">
        <v>1001</v>
      </c>
      <c r="U419" s="154" t="s">
        <v>916</v>
      </c>
      <c r="V419" s="154" t="s">
        <v>916</v>
      </c>
      <c r="W419" s="154" t="s">
        <v>130</v>
      </c>
      <c r="X419" s="154" t="s">
        <v>1232</v>
      </c>
    </row>
    <row r="420" spans="1:24">
      <c r="A420" s="154" t="s">
        <v>102</v>
      </c>
      <c r="B420" s="154" t="s">
        <v>1401</v>
      </c>
      <c r="C420" s="155">
        <v>45922</v>
      </c>
      <c r="D420" s="155">
        <v>45915</v>
      </c>
      <c r="E420" s="159">
        <v>900</v>
      </c>
      <c r="F420" s="159">
        <v>450</v>
      </c>
      <c r="G420" s="159">
        <v>450</v>
      </c>
      <c r="H420" s="184">
        <f t="shared" si="12"/>
        <v>45978</v>
      </c>
      <c r="I420" s="187" cm="1">
        <f t="array" ref="I420">G420*[15]!CalculateINPC(C420,H420,-1)</f>
        <v>452.47559849999999</v>
      </c>
      <c r="J420" s="187">
        <f t="shared" si="13"/>
        <v>468.74541770844905</v>
      </c>
      <c r="K420" s="187" cm="1">
        <f t="array" ref="K420">[15]!CalculateDICetip(C420,H420,1)*G420</f>
        <v>460.03101300000003</v>
      </c>
      <c r="L420" s="154">
        <v>273234</v>
      </c>
      <c r="M420" s="154" t="s">
        <v>225</v>
      </c>
      <c r="N420" s="154" t="s">
        <v>226</v>
      </c>
      <c r="O420" s="154" t="s">
        <v>227</v>
      </c>
      <c r="P420" s="154">
        <v>27238</v>
      </c>
      <c r="Q420" s="154" t="s">
        <v>1066</v>
      </c>
      <c r="R420" s="154">
        <v>4</v>
      </c>
      <c r="S420" s="154" t="s">
        <v>1061</v>
      </c>
      <c r="T420" s="154" t="s">
        <v>1233</v>
      </c>
      <c r="U420" s="154" t="s">
        <v>916</v>
      </c>
      <c r="V420" s="154" t="s">
        <v>916</v>
      </c>
      <c r="W420" s="154" t="s">
        <v>130</v>
      </c>
      <c r="X420" s="154" t="s">
        <v>1234</v>
      </c>
    </row>
    <row r="421" spans="1:24">
      <c r="A421" s="154" t="s">
        <v>102</v>
      </c>
      <c r="B421" s="154" t="s">
        <v>1401</v>
      </c>
      <c r="C421" s="155">
        <v>45922</v>
      </c>
      <c r="D421" s="155">
        <v>45875</v>
      </c>
      <c r="E421" s="159">
        <v>675.72</v>
      </c>
      <c r="F421" s="159">
        <v>90</v>
      </c>
      <c r="G421" s="159">
        <v>90</v>
      </c>
      <c r="H421" s="184">
        <f t="shared" si="12"/>
        <v>45978</v>
      </c>
      <c r="I421" s="187" cm="1">
        <f t="array" ref="I421">G421*[15]!CalculateINPC(C421,H421,-1)</f>
        <v>90.495119700000004</v>
      </c>
      <c r="J421" s="187">
        <f t="shared" si="13"/>
        <v>93.749083541689799</v>
      </c>
      <c r="K421" s="187" cm="1">
        <f t="array" ref="K421">[15]!CalculateDICetip(C421,H421,1)*G421</f>
        <v>92.006202600000009</v>
      </c>
      <c r="L421" s="154">
        <v>273230</v>
      </c>
      <c r="M421" s="154" t="s">
        <v>1000</v>
      </c>
      <c r="N421" s="154" t="s">
        <v>189</v>
      </c>
      <c r="O421" s="154" t="s">
        <v>190</v>
      </c>
      <c r="P421" s="154">
        <v>27193</v>
      </c>
      <c r="Q421" s="154" t="s">
        <v>1123</v>
      </c>
      <c r="R421" s="154">
        <v>4</v>
      </c>
      <c r="S421" s="154" t="s">
        <v>1061</v>
      </c>
      <c r="T421" s="154" t="s">
        <v>1001</v>
      </c>
      <c r="U421" s="154" t="s">
        <v>916</v>
      </c>
      <c r="V421" s="154" t="s">
        <v>916</v>
      </c>
      <c r="W421" s="154" t="s">
        <v>130</v>
      </c>
      <c r="X421" s="154" t="s">
        <v>1232</v>
      </c>
    </row>
    <row r="422" spans="1:24">
      <c r="A422" s="154" t="s">
        <v>102</v>
      </c>
      <c r="B422" s="154" t="s">
        <v>1401</v>
      </c>
      <c r="C422" s="155">
        <v>45922</v>
      </c>
      <c r="D422" s="155">
        <v>45875</v>
      </c>
      <c r="E422" s="159">
        <v>675.72</v>
      </c>
      <c r="F422" s="159">
        <v>90</v>
      </c>
      <c r="G422" s="159">
        <v>90</v>
      </c>
      <c r="H422" s="184">
        <f t="shared" si="12"/>
        <v>45978</v>
      </c>
      <c r="I422" s="187" cm="1">
        <f t="array" ref="I422">G422*[15]!CalculateINPC(C422,H422,-1)</f>
        <v>90.495119700000004</v>
      </c>
      <c r="J422" s="187">
        <f t="shared" si="13"/>
        <v>93.749083541689799</v>
      </c>
      <c r="K422" s="187" cm="1">
        <f t="array" ref="K422">[15]!CalculateDICetip(C422,H422,1)*G422</f>
        <v>92.006202600000009</v>
      </c>
      <c r="L422" s="154">
        <v>273230</v>
      </c>
      <c r="M422" s="154" t="s">
        <v>1000</v>
      </c>
      <c r="N422" s="154" t="s">
        <v>189</v>
      </c>
      <c r="O422" s="154" t="s">
        <v>190</v>
      </c>
      <c r="P422" s="154">
        <v>27223</v>
      </c>
      <c r="Q422" s="154" t="s">
        <v>1067</v>
      </c>
      <c r="R422" s="154">
        <v>4</v>
      </c>
      <c r="S422" s="154" t="s">
        <v>1061</v>
      </c>
      <c r="T422" s="154" t="s">
        <v>1001</v>
      </c>
      <c r="U422" s="154" t="s">
        <v>916</v>
      </c>
      <c r="V422" s="154" t="s">
        <v>916</v>
      </c>
      <c r="W422" s="154" t="s">
        <v>130</v>
      </c>
      <c r="X422" s="154" t="s">
        <v>1232</v>
      </c>
    </row>
    <row r="423" spans="1:24">
      <c r="A423" s="154" t="s">
        <v>102</v>
      </c>
      <c r="B423" s="154" t="s">
        <v>1401</v>
      </c>
      <c r="C423" s="155">
        <v>45922</v>
      </c>
      <c r="D423" s="155">
        <v>45875</v>
      </c>
      <c r="E423" s="159">
        <v>675.72</v>
      </c>
      <c r="F423" s="159">
        <v>90</v>
      </c>
      <c r="G423" s="159">
        <v>90</v>
      </c>
      <c r="H423" s="184">
        <f t="shared" si="12"/>
        <v>45978</v>
      </c>
      <c r="I423" s="187" cm="1">
        <f t="array" ref="I423">G423*[15]!CalculateINPC(C423,H423,-1)</f>
        <v>90.495119700000004</v>
      </c>
      <c r="J423" s="187">
        <f t="shared" si="13"/>
        <v>93.749083541689799</v>
      </c>
      <c r="K423" s="187" cm="1">
        <f t="array" ref="K423">[15]!CalculateDICetip(C423,H423,1)*G423</f>
        <v>92.006202600000009</v>
      </c>
      <c r="L423" s="154">
        <v>273230</v>
      </c>
      <c r="M423" s="154" t="s">
        <v>1000</v>
      </c>
      <c r="N423" s="154" t="s">
        <v>189</v>
      </c>
      <c r="O423" s="154" t="s">
        <v>190</v>
      </c>
      <c r="P423" s="154">
        <v>27191</v>
      </c>
      <c r="Q423" s="154" t="s">
        <v>1148</v>
      </c>
      <c r="R423" s="154">
        <v>4</v>
      </c>
      <c r="S423" s="154" t="s">
        <v>1061</v>
      </c>
      <c r="T423" s="154" t="s">
        <v>1001</v>
      </c>
      <c r="U423" s="154" t="s">
        <v>916</v>
      </c>
      <c r="V423" s="154" t="s">
        <v>916</v>
      </c>
      <c r="W423" s="154" t="s">
        <v>130</v>
      </c>
      <c r="X423" s="154" t="s">
        <v>1232</v>
      </c>
    </row>
    <row r="424" spans="1:24">
      <c r="A424" s="154" t="s">
        <v>102</v>
      </c>
      <c r="B424" s="154" t="s">
        <v>1401</v>
      </c>
      <c r="C424" s="155">
        <v>45922</v>
      </c>
      <c r="D424" s="155">
        <v>45915</v>
      </c>
      <c r="E424" s="159">
        <v>900</v>
      </c>
      <c r="F424" s="159">
        <v>450</v>
      </c>
      <c r="G424" s="159">
        <v>450</v>
      </c>
      <c r="H424" s="184">
        <f t="shared" si="12"/>
        <v>45978</v>
      </c>
      <c r="I424" s="187" cm="1">
        <f t="array" ref="I424">G424*[15]!CalculateINPC(C424,H424,-1)</f>
        <v>452.47559849999999</v>
      </c>
      <c r="J424" s="187">
        <f t="shared" si="13"/>
        <v>468.74541770844905</v>
      </c>
      <c r="K424" s="187" cm="1">
        <f t="array" ref="K424">[15]!CalculateDICetip(C424,H424,1)*G424</f>
        <v>460.03101300000003</v>
      </c>
      <c r="L424" s="154">
        <v>273234</v>
      </c>
      <c r="M424" s="154" t="s">
        <v>225</v>
      </c>
      <c r="N424" s="154" t="s">
        <v>226</v>
      </c>
      <c r="O424" s="154" t="s">
        <v>227</v>
      </c>
      <c r="P424" s="154">
        <v>27237</v>
      </c>
      <c r="Q424" s="154" t="s">
        <v>1060</v>
      </c>
      <c r="R424" s="154">
        <v>4</v>
      </c>
      <c r="S424" s="154" t="s">
        <v>1061</v>
      </c>
      <c r="T424" s="154" t="s">
        <v>1233</v>
      </c>
      <c r="U424" s="154" t="s">
        <v>916</v>
      </c>
      <c r="V424" s="154" t="s">
        <v>916</v>
      </c>
      <c r="W424" s="154" t="s">
        <v>130</v>
      </c>
      <c r="X424" s="154" t="s">
        <v>1234</v>
      </c>
    </row>
    <row r="425" spans="1:24">
      <c r="A425" s="154" t="s">
        <v>102</v>
      </c>
      <c r="B425" s="154" t="s">
        <v>1401</v>
      </c>
      <c r="C425" s="155">
        <v>45922</v>
      </c>
      <c r="D425" s="155">
        <v>45875</v>
      </c>
      <c r="E425" s="159">
        <v>675.72</v>
      </c>
      <c r="F425" s="159">
        <v>90</v>
      </c>
      <c r="G425" s="159">
        <v>90</v>
      </c>
      <c r="H425" s="184">
        <f t="shared" si="12"/>
        <v>45978</v>
      </c>
      <c r="I425" s="187" cm="1">
        <f t="array" ref="I425">G425*[15]!CalculateINPC(C425,H425,-1)</f>
        <v>90.495119700000004</v>
      </c>
      <c r="J425" s="187">
        <f t="shared" si="13"/>
        <v>93.749083541689799</v>
      </c>
      <c r="K425" s="187" cm="1">
        <f t="array" ref="K425">[15]!CalculateDICetip(C425,H425,1)*G425</f>
        <v>92.006202600000009</v>
      </c>
      <c r="L425" s="154">
        <v>273230</v>
      </c>
      <c r="M425" s="154" t="s">
        <v>1000</v>
      </c>
      <c r="N425" s="154" t="s">
        <v>189</v>
      </c>
      <c r="O425" s="154" t="s">
        <v>190</v>
      </c>
      <c r="P425" s="154">
        <v>27222</v>
      </c>
      <c r="Q425" s="154" t="s">
        <v>1132</v>
      </c>
      <c r="R425" s="154">
        <v>4</v>
      </c>
      <c r="S425" s="154" t="s">
        <v>1061</v>
      </c>
      <c r="T425" s="154" t="s">
        <v>1001</v>
      </c>
      <c r="U425" s="154" t="s">
        <v>916</v>
      </c>
      <c r="V425" s="154" t="s">
        <v>916</v>
      </c>
      <c r="W425" s="154" t="s">
        <v>130</v>
      </c>
      <c r="X425" s="154" t="s">
        <v>1232</v>
      </c>
    </row>
    <row r="426" spans="1:24">
      <c r="A426" s="154" t="s">
        <v>102</v>
      </c>
      <c r="B426" s="154" t="s">
        <v>1401</v>
      </c>
      <c r="C426" s="155">
        <v>45922</v>
      </c>
      <c r="D426" s="155">
        <v>45875</v>
      </c>
      <c r="E426" s="159">
        <v>675.72</v>
      </c>
      <c r="F426" s="159">
        <v>90</v>
      </c>
      <c r="G426" s="159">
        <v>90</v>
      </c>
      <c r="H426" s="184">
        <f t="shared" si="12"/>
        <v>45978</v>
      </c>
      <c r="I426" s="187" cm="1">
        <f t="array" ref="I426">G426*[15]!CalculateINPC(C426,H426,-1)</f>
        <v>90.495119700000004</v>
      </c>
      <c r="J426" s="187">
        <f t="shared" si="13"/>
        <v>93.749083541689799</v>
      </c>
      <c r="K426" s="187" cm="1">
        <f t="array" ref="K426">[15]!CalculateDICetip(C426,H426,1)*G426</f>
        <v>92.006202600000009</v>
      </c>
      <c r="L426" s="154">
        <v>273230</v>
      </c>
      <c r="M426" s="154" t="s">
        <v>1000</v>
      </c>
      <c r="N426" s="154" t="s">
        <v>189</v>
      </c>
      <c r="O426" s="154" t="s">
        <v>190</v>
      </c>
      <c r="P426" s="154">
        <v>27180</v>
      </c>
      <c r="Q426" s="154" t="s">
        <v>1064</v>
      </c>
      <c r="R426" s="154">
        <v>4</v>
      </c>
      <c r="S426" s="154" t="s">
        <v>1061</v>
      </c>
      <c r="T426" s="154" t="s">
        <v>1001</v>
      </c>
      <c r="U426" s="154" t="s">
        <v>916</v>
      </c>
      <c r="V426" s="154" t="s">
        <v>916</v>
      </c>
      <c r="W426" s="154" t="s">
        <v>130</v>
      </c>
      <c r="X426" s="154" t="s">
        <v>1232</v>
      </c>
    </row>
    <row r="427" spans="1:24">
      <c r="A427" s="154" t="s">
        <v>102</v>
      </c>
      <c r="B427" s="154" t="s">
        <v>1401</v>
      </c>
      <c r="C427" s="155">
        <v>45770</v>
      </c>
      <c r="D427" s="155">
        <v>45757</v>
      </c>
      <c r="E427" s="159">
        <v>11040</v>
      </c>
      <c r="F427" s="159">
        <v>2640.0000000000141</v>
      </c>
      <c r="G427" s="159">
        <v>2640.0000000000141</v>
      </c>
      <c r="H427" s="184">
        <f t="shared" si="12"/>
        <v>45978</v>
      </c>
      <c r="I427" s="187" cm="1">
        <f t="array" ref="I427">G427*[15]!CalculateINPC(C427,H427,-1)</f>
        <v>2682.7442664000146</v>
      </c>
      <c r="J427" s="187">
        <f t="shared" si="13"/>
        <v>3072.1177936903878</v>
      </c>
      <c r="K427" s="187" cm="1">
        <f t="array" ref="K427">[15]!CalculateDICetip(C427,H427,1)*G427</f>
        <v>2859.7344600000156</v>
      </c>
      <c r="L427" s="154">
        <v>251227</v>
      </c>
      <c r="M427" s="154" t="s">
        <v>225</v>
      </c>
      <c r="N427" s="154" t="s">
        <v>226</v>
      </c>
      <c r="O427" s="154" t="s">
        <v>227</v>
      </c>
      <c r="P427" s="154">
        <v>27198</v>
      </c>
      <c r="Q427" s="154" t="s">
        <v>1135</v>
      </c>
      <c r="R427" s="154">
        <v>4</v>
      </c>
      <c r="S427" s="154" t="s">
        <v>1061</v>
      </c>
      <c r="T427" s="154" t="s">
        <v>1235</v>
      </c>
      <c r="U427" s="154" t="s">
        <v>916</v>
      </c>
      <c r="V427" s="154" t="s">
        <v>916</v>
      </c>
      <c r="W427" s="154" t="s">
        <v>130</v>
      </c>
      <c r="X427" s="154" t="s">
        <v>1236</v>
      </c>
    </row>
    <row r="428" spans="1:24">
      <c r="A428" s="154" t="s">
        <v>102</v>
      </c>
      <c r="B428" s="154" t="s">
        <v>1401</v>
      </c>
      <c r="C428" s="155">
        <v>45861</v>
      </c>
      <c r="D428" s="155">
        <v>45854</v>
      </c>
      <c r="E428" s="159">
        <v>3900</v>
      </c>
      <c r="F428" s="159">
        <v>3900</v>
      </c>
      <c r="G428" s="159">
        <v>3900</v>
      </c>
      <c r="H428" s="184">
        <f t="shared" si="12"/>
        <v>45978</v>
      </c>
      <c r="I428" s="187" cm="1">
        <f t="array" ref="I428">G428*[15]!CalculateINPC(C428,H428,-1)</f>
        <v>3921.4343220000001</v>
      </c>
      <c r="J428" s="187">
        <f t="shared" si="13"/>
        <v>4247.136278887866</v>
      </c>
      <c r="K428" s="187" cm="1">
        <f t="array" ref="K428">[15]!CalculateDICetip(C428,H428,1)*G428</f>
        <v>4082.5535789999999</v>
      </c>
      <c r="L428" s="154">
        <v>261948</v>
      </c>
      <c r="M428" s="154" t="s">
        <v>200</v>
      </c>
      <c r="N428" s="154" t="s">
        <v>965</v>
      </c>
      <c r="O428" s="154" t="s">
        <v>966</v>
      </c>
      <c r="P428" s="154">
        <v>27203</v>
      </c>
      <c r="Q428" s="154" t="s">
        <v>1086</v>
      </c>
      <c r="R428" s="154">
        <v>4</v>
      </c>
      <c r="S428" s="154" t="s">
        <v>1061</v>
      </c>
      <c r="T428" s="154" t="s">
        <v>1237</v>
      </c>
      <c r="U428" s="154" t="s">
        <v>1071</v>
      </c>
      <c r="V428" s="154" t="s">
        <v>1072</v>
      </c>
      <c r="W428" s="154" t="s">
        <v>111</v>
      </c>
      <c r="X428" s="154" t="s">
        <v>1238</v>
      </c>
    </row>
    <row r="429" spans="1:24">
      <c r="A429" s="154" t="s">
        <v>102</v>
      </c>
      <c r="B429" s="154" t="s">
        <v>1401</v>
      </c>
      <c r="C429" s="155">
        <v>45861</v>
      </c>
      <c r="D429" s="155">
        <v>45854</v>
      </c>
      <c r="E429" s="159">
        <v>3986.23</v>
      </c>
      <c r="F429" s="159">
        <v>3986.23</v>
      </c>
      <c r="G429" s="159">
        <v>3986.23</v>
      </c>
      <c r="H429" s="184">
        <f t="shared" si="12"/>
        <v>45978</v>
      </c>
      <c r="I429" s="187" cm="1">
        <f t="array" ref="I429">G429*[15]!CalculateINPC(C429,H429,-1)</f>
        <v>4008.1382403554003</v>
      </c>
      <c r="J429" s="187">
        <f t="shared" si="13"/>
        <v>4341.0415510233788</v>
      </c>
      <c r="K429" s="187" cm="1">
        <f t="array" ref="K429">[15]!CalculateDICetip(C429,H429,1)*G429</f>
        <v>4172.8198854402999</v>
      </c>
      <c r="L429" s="154">
        <v>261952</v>
      </c>
      <c r="M429" s="154" t="s">
        <v>200</v>
      </c>
      <c r="N429" s="154" t="s">
        <v>965</v>
      </c>
      <c r="O429" s="154" t="s">
        <v>966</v>
      </c>
      <c r="P429" s="154">
        <v>27196</v>
      </c>
      <c r="Q429" s="154" t="s">
        <v>1162</v>
      </c>
      <c r="R429" s="154">
        <v>4</v>
      </c>
      <c r="S429" s="154" t="s">
        <v>1061</v>
      </c>
      <c r="T429" s="154" t="s">
        <v>1239</v>
      </c>
      <c r="U429" s="154" t="s">
        <v>1071</v>
      </c>
      <c r="V429" s="154" t="s">
        <v>1072</v>
      </c>
      <c r="W429" s="154" t="s">
        <v>111</v>
      </c>
      <c r="X429" s="154" t="s">
        <v>1240</v>
      </c>
    </row>
    <row r="430" spans="1:24">
      <c r="A430" s="154" t="s">
        <v>102</v>
      </c>
      <c r="B430" s="154" t="s">
        <v>1401</v>
      </c>
      <c r="C430" s="155">
        <v>45954</v>
      </c>
      <c r="D430" s="155">
        <v>45943</v>
      </c>
      <c r="E430" s="159">
        <v>18324.14</v>
      </c>
      <c r="F430" s="159">
        <v>10706.9</v>
      </c>
      <c r="G430" s="159">
        <v>10706.9</v>
      </c>
      <c r="H430" s="184">
        <f t="shared" si="12"/>
        <v>45978</v>
      </c>
      <c r="I430" s="187" cm="1">
        <f t="array" ref="I430">G430*[15]!CalculateINPC(C430,H430,-1)</f>
        <v>10710.105003445999</v>
      </c>
      <c r="J430" s="187">
        <f t="shared" si="13"/>
        <v>10895.821252646565</v>
      </c>
      <c r="K430" s="187" cm="1">
        <f t="array" ref="K430">[15]!CalculateDICetip(C430,H430,1)*G430</f>
        <v>10801.736687957</v>
      </c>
      <c r="L430" s="154">
        <v>276283</v>
      </c>
      <c r="M430" s="154" t="s">
        <v>200</v>
      </c>
      <c r="N430" s="154" t="s">
        <v>114</v>
      </c>
      <c r="O430" s="154" t="s">
        <v>115</v>
      </c>
      <c r="P430" s="154">
        <v>27187</v>
      </c>
      <c r="Q430" s="154" t="s">
        <v>1146</v>
      </c>
      <c r="R430" s="154">
        <v>4</v>
      </c>
      <c r="S430" s="154" t="s">
        <v>1061</v>
      </c>
      <c r="T430" s="154" t="s">
        <v>1241</v>
      </c>
      <c r="U430" s="154" t="s">
        <v>1071</v>
      </c>
      <c r="V430" s="154" t="s">
        <v>1072</v>
      </c>
      <c r="W430" s="154" t="s">
        <v>111</v>
      </c>
      <c r="X430" s="154" t="s">
        <v>1242</v>
      </c>
    </row>
    <row r="431" spans="1:24">
      <c r="A431" s="154" t="s">
        <v>102</v>
      </c>
      <c r="B431" s="154" t="s">
        <v>1401</v>
      </c>
      <c r="C431" s="155">
        <v>45954</v>
      </c>
      <c r="D431" s="155">
        <v>45943</v>
      </c>
      <c r="E431" s="159">
        <v>36194.400000000001</v>
      </c>
      <c r="F431" s="159">
        <v>18097.2</v>
      </c>
      <c r="G431" s="159">
        <v>18097.2</v>
      </c>
      <c r="H431" s="184">
        <f t="shared" si="12"/>
        <v>45978</v>
      </c>
      <c r="I431" s="187" cm="1">
        <f t="array" ref="I431">G431*[15]!CalculateINPC(C431,H431,-1)</f>
        <v>18102.617215848</v>
      </c>
      <c r="J431" s="187">
        <f t="shared" si="13"/>
        <v>18416.52171715393</v>
      </c>
      <c r="K431" s="187" cm="1">
        <f t="array" ref="K431">[15]!CalculateDICetip(C431,H431,1)*G431</f>
        <v>18257.496491916001</v>
      </c>
      <c r="L431" s="154">
        <v>276616</v>
      </c>
      <c r="M431" s="154" t="s">
        <v>200</v>
      </c>
      <c r="N431" s="154" t="s">
        <v>114</v>
      </c>
      <c r="O431" s="154" t="s">
        <v>115</v>
      </c>
      <c r="P431" s="154">
        <v>27184</v>
      </c>
      <c r="Q431" s="154" t="s">
        <v>1141</v>
      </c>
      <c r="R431" s="154">
        <v>4</v>
      </c>
      <c r="S431" s="154" t="s">
        <v>1061</v>
      </c>
      <c r="T431" s="154" t="s">
        <v>1243</v>
      </c>
      <c r="U431" s="154" t="s">
        <v>1071</v>
      </c>
      <c r="V431" s="154" t="s">
        <v>1072</v>
      </c>
      <c r="W431" s="154" t="s">
        <v>111</v>
      </c>
      <c r="X431" s="154" t="s">
        <v>1244</v>
      </c>
    </row>
    <row r="432" spans="1:24">
      <c r="A432" s="154" t="s">
        <v>102</v>
      </c>
      <c r="B432" s="154" t="s">
        <v>1401</v>
      </c>
      <c r="C432" s="155">
        <v>45954</v>
      </c>
      <c r="D432" s="155">
        <v>45931</v>
      </c>
      <c r="E432" s="159">
        <v>61.61</v>
      </c>
      <c r="F432" s="159">
        <v>4.1900000000000004</v>
      </c>
      <c r="G432" s="159">
        <v>4.1900000000000004</v>
      </c>
      <c r="H432" s="184">
        <f t="shared" si="12"/>
        <v>45978</v>
      </c>
      <c r="I432" s="187" cm="1">
        <f t="array" ref="I432">G432*[15]!CalculateINPC(C432,H432,-1)</f>
        <v>4.1912542346000006</v>
      </c>
      <c r="J432" s="187">
        <f t="shared" si="13"/>
        <v>4.2639317681671738</v>
      </c>
      <c r="K432" s="187" cm="1">
        <f t="array" ref="K432">[15]!CalculateDICetip(C432,H432,1)*G432</f>
        <v>4.2271130507000008</v>
      </c>
      <c r="L432" s="154">
        <v>277974</v>
      </c>
      <c r="M432" s="154" t="s">
        <v>103</v>
      </c>
      <c r="N432" s="154" t="s">
        <v>460</v>
      </c>
      <c r="O432" s="154" t="s">
        <v>461</v>
      </c>
      <c r="P432" s="154">
        <v>27187</v>
      </c>
      <c r="Q432" s="154" t="s">
        <v>1146</v>
      </c>
      <c r="R432" s="154">
        <v>4</v>
      </c>
      <c r="S432" s="154" t="s">
        <v>1061</v>
      </c>
      <c r="T432" s="154" t="s">
        <v>1017</v>
      </c>
      <c r="U432" s="154" t="s">
        <v>916</v>
      </c>
      <c r="V432" s="154" t="s">
        <v>916</v>
      </c>
      <c r="W432" s="154" t="s">
        <v>111</v>
      </c>
      <c r="X432" s="154" t="s">
        <v>1245</v>
      </c>
    </row>
    <row r="433" spans="1:24">
      <c r="A433" s="154" t="s">
        <v>102</v>
      </c>
      <c r="B433" s="154" t="s">
        <v>1401</v>
      </c>
      <c r="C433" s="155">
        <v>45954</v>
      </c>
      <c r="D433" s="155">
        <v>45931</v>
      </c>
      <c r="E433" s="159">
        <v>61.61</v>
      </c>
      <c r="F433" s="159">
        <v>1.35</v>
      </c>
      <c r="G433" s="159">
        <v>1.35</v>
      </c>
      <c r="H433" s="184">
        <f t="shared" si="12"/>
        <v>45978</v>
      </c>
      <c r="I433" s="187" cm="1">
        <f t="array" ref="I433">G433*[15]!CalculateINPC(C433,H433,-1)</f>
        <v>1.3504041090000001</v>
      </c>
      <c r="J433" s="187">
        <f t="shared" si="13"/>
        <v>1.3738204980968221</v>
      </c>
      <c r="K433" s="187" cm="1">
        <f t="array" ref="K433">[15]!CalculateDICetip(C433,H433,1)*G433</f>
        <v>1.3619576655000001</v>
      </c>
      <c r="L433" s="154">
        <v>277974</v>
      </c>
      <c r="M433" s="154" t="s">
        <v>103</v>
      </c>
      <c r="N433" s="154" t="s">
        <v>587</v>
      </c>
      <c r="O433" s="154" t="s">
        <v>588</v>
      </c>
      <c r="P433" s="154">
        <v>27187</v>
      </c>
      <c r="Q433" s="154" t="s">
        <v>1146</v>
      </c>
      <c r="R433" s="154">
        <v>4</v>
      </c>
      <c r="S433" s="154" t="s">
        <v>1061</v>
      </c>
      <c r="T433" s="154" t="s">
        <v>1017</v>
      </c>
      <c r="U433" s="154" t="s">
        <v>916</v>
      </c>
      <c r="V433" s="154" t="s">
        <v>916</v>
      </c>
      <c r="W433" s="154" t="s">
        <v>111</v>
      </c>
      <c r="X433" s="154" t="s">
        <v>1245</v>
      </c>
    </row>
    <row r="434" spans="1:24">
      <c r="A434" s="154" t="s">
        <v>102</v>
      </c>
      <c r="B434" s="154" t="s">
        <v>1401</v>
      </c>
      <c r="C434" s="155">
        <v>45954</v>
      </c>
      <c r="D434" s="155">
        <v>45943</v>
      </c>
      <c r="E434" s="159">
        <v>17669.28</v>
      </c>
      <c r="F434" s="159">
        <v>8834.64</v>
      </c>
      <c r="G434" s="159">
        <v>8834.64</v>
      </c>
      <c r="H434" s="184">
        <f t="shared" si="12"/>
        <v>45978</v>
      </c>
      <c r="I434" s="187" cm="1">
        <f t="array" ref="I434">G434*[15]!CalculateINPC(C434,H434,-1)</f>
        <v>8837.2845611375997</v>
      </c>
      <c r="J434" s="187">
        <f t="shared" si="13"/>
        <v>8990.5255743008202</v>
      </c>
      <c r="K434" s="187" cm="1">
        <f t="array" ref="K434">[15]!CalculateDICetip(C434,H434,1)*G434</f>
        <v>8912.8930888391988</v>
      </c>
      <c r="L434" s="154">
        <v>276642</v>
      </c>
      <c r="M434" s="154" t="s">
        <v>200</v>
      </c>
      <c r="N434" s="154" t="s">
        <v>114</v>
      </c>
      <c r="O434" s="154" t="s">
        <v>115</v>
      </c>
      <c r="P434" s="154">
        <v>27184</v>
      </c>
      <c r="Q434" s="154" t="s">
        <v>1141</v>
      </c>
      <c r="R434" s="154">
        <v>4</v>
      </c>
      <c r="S434" s="154" t="s">
        <v>1061</v>
      </c>
      <c r="T434" s="154" t="s">
        <v>1246</v>
      </c>
      <c r="U434" s="154" t="s">
        <v>1071</v>
      </c>
      <c r="V434" s="154" t="s">
        <v>1072</v>
      </c>
      <c r="W434" s="154" t="s">
        <v>111</v>
      </c>
      <c r="X434" s="154" t="s">
        <v>1247</v>
      </c>
    </row>
    <row r="435" spans="1:24">
      <c r="A435" s="154" t="s">
        <v>102</v>
      </c>
      <c r="B435" s="154" t="s">
        <v>1401</v>
      </c>
      <c r="C435" s="155">
        <v>45954</v>
      </c>
      <c r="D435" s="155">
        <v>45931</v>
      </c>
      <c r="E435" s="159">
        <v>61.61</v>
      </c>
      <c r="F435" s="159">
        <v>4.1900000000000004</v>
      </c>
      <c r="G435" s="159">
        <v>4.1900000000000004</v>
      </c>
      <c r="H435" s="184">
        <f t="shared" si="12"/>
        <v>45978</v>
      </c>
      <c r="I435" s="187" cm="1">
        <f t="array" ref="I435">G435*[15]!CalculateINPC(C435,H435,-1)</f>
        <v>4.1912542346000006</v>
      </c>
      <c r="J435" s="187">
        <f t="shared" si="13"/>
        <v>4.2639317681671738</v>
      </c>
      <c r="K435" s="187" cm="1">
        <f t="array" ref="K435">[15]!CalculateDICetip(C435,H435,1)*G435</f>
        <v>4.2271130507000008</v>
      </c>
      <c r="L435" s="154">
        <v>277974</v>
      </c>
      <c r="M435" s="154" t="s">
        <v>103</v>
      </c>
      <c r="N435" s="154" t="s">
        <v>460</v>
      </c>
      <c r="O435" s="154" t="s">
        <v>461</v>
      </c>
      <c r="P435" s="154">
        <v>27180</v>
      </c>
      <c r="Q435" s="154" t="s">
        <v>1064</v>
      </c>
      <c r="R435" s="154">
        <v>4</v>
      </c>
      <c r="S435" s="154" t="s">
        <v>1061</v>
      </c>
      <c r="T435" s="154" t="s">
        <v>1017</v>
      </c>
      <c r="U435" s="154" t="s">
        <v>916</v>
      </c>
      <c r="V435" s="154" t="s">
        <v>916</v>
      </c>
      <c r="W435" s="154" t="s">
        <v>111</v>
      </c>
      <c r="X435" s="154" t="s">
        <v>1245</v>
      </c>
    </row>
    <row r="436" spans="1:24">
      <c r="A436" s="154" t="s">
        <v>102</v>
      </c>
      <c r="B436" s="154" t="s">
        <v>1401</v>
      </c>
      <c r="C436" s="155">
        <v>45954</v>
      </c>
      <c r="D436" s="155">
        <v>45931</v>
      </c>
      <c r="E436" s="159">
        <v>61.61</v>
      </c>
      <c r="F436" s="159">
        <v>1.35</v>
      </c>
      <c r="G436" s="159">
        <v>1.35</v>
      </c>
      <c r="H436" s="184">
        <f t="shared" si="12"/>
        <v>45978</v>
      </c>
      <c r="I436" s="187" cm="1">
        <f t="array" ref="I436">G436*[15]!CalculateINPC(C436,H436,-1)</f>
        <v>1.3504041090000001</v>
      </c>
      <c r="J436" s="187">
        <f t="shared" si="13"/>
        <v>1.3738204980968221</v>
      </c>
      <c r="K436" s="187" cm="1">
        <f t="array" ref="K436">[15]!CalculateDICetip(C436,H436,1)*G436</f>
        <v>1.3619576655000001</v>
      </c>
      <c r="L436" s="154">
        <v>277974</v>
      </c>
      <c r="M436" s="154" t="s">
        <v>103</v>
      </c>
      <c r="N436" s="154" t="s">
        <v>587</v>
      </c>
      <c r="O436" s="154" t="s">
        <v>588</v>
      </c>
      <c r="P436" s="154">
        <v>27180</v>
      </c>
      <c r="Q436" s="154" t="s">
        <v>1064</v>
      </c>
      <c r="R436" s="154">
        <v>4</v>
      </c>
      <c r="S436" s="154" t="s">
        <v>1061</v>
      </c>
      <c r="T436" s="154" t="s">
        <v>1017</v>
      </c>
      <c r="U436" s="154" t="s">
        <v>916</v>
      </c>
      <c r="V436" s="154" t="s">
        <v>916</v>
      </c>
      <c r="W436" s="154" t="s">
        <v>111</v>
      </c>
      <c r="X436" s="154" t="s">
        <v>1245</v>
      </c>
    </row>
    <row r="437" spans="1:24">
      <c r="A437" s="154" t="s">
        <v>102</v>
      </c>
      <c r="B437" s="154" t="s">
        <v>1401</v>
      </c>
      <c r="C437" s="155">
        <v>45954</v>
      </c>
      <c r="D437" s="155">
        <v>45943</v>
      </c>
      <c r="E437" s="159">
        <v>18324.14</v>
      </c>
      <c r="F437" s="159">
        <v>7617.24</v>
      </c>
      <c r="G437" s="159">
        <v>7617.24</v>
      </c>
      <c r="H437" s="184">
        <f t="shared" si="12"/>
        <v>45978</v>
      </c>
      <c r="I437" s="187" cm="1">
        <f t="array" ref="I437">G437*[15]!CalculateINPC(C437,H437,-1)</f>
        <v>7619.5201446215997</v>
      </c>
      <c r="J437" s="187">
        <f t="shared" si="13"/>
        <v>7751.6447784615084</v>
      </c>
      <c r="K437" s="187" cm="1">
        <f t="array" ref="K437">[15]!CalculateDICetip(C437,H437,1)*G437</f>
        <v>7684.7099318171995</v>
      </c>
      <c r="L437" s="154">
        <v>276283</v>
      </c>
      <c r="M437" s="154" t="s">
        <v>200</v>
      </c>
      <c r="N437" s="154" t="s">
        <v>114</v>
      </c>
      <c r="O437" s="154" t="s">
        <v>115</v>
      </c>
      <c r="P437" s="154">
        <v>27187</v>
      </c>
      <c r="Q437" s="154" t="s">
        <v>1146</v>
      </c>
      <c r="R437" s="154">
        <v>4</v>
      </c>
      <c r="S437" s="154" t="s">
        <v>1061</v>
      </c>
      <c r="T437" s="154" t="s">
        <v>1241</v>
      </c>
      <c r="U437" s="154" t="s">
        <v>1071</v>
      </c>
      <c r="V437" s="154" t="s">
        <v>1072</v>
      </c>
      <c r="W437" s="154" t="s">
        <v>111</v>
      </c>
      <c r="X437" s="154" t="s">
        <v>1242</v>
      </c>
    </row>
    <row r="438" spans="1:24">
      <c r="A438" s="154" t="s">
        <v>102</v>
      </c>
      <c r="B438" s="154" t="s">
        <v>1401</v>
      </c>
      <c r="C438" s="155">
        <v>45954</v>
      </c>
      <c r="D438" s="155">
        <v>45943</v>
      </c>
      <c r="E438" s="159">
        <v>140691.06</v>
      </c>
      <c r="F438" s="159">
        <v>109643.01</v>
      </c>
      <c r="G438" s="159">
        <v>109643.01</v>
      </c>
      <c r="H438" s="184">
        <f t="shared" si="12"/>
        <v>45978</v>
      </c>
      <c r="I438" s="187" cm="1">
        <f t="array" ref="I438">G438*[15]!CalculateINPC(C438,H438,-1)</f>
        <v>109675.83053861339</v>
      </c>
      <c r="J438" s="187">
        <f t="shared" si="13"/>
        <v>111577.64045261839</v>
      </c>
      <c r="K438" s="187" cm="1">
        <f t="array" ref="K438">[15]!CalculateDICetip(C438,H438,1)*G438</f>
        <v>110614.1762503653</v>
      </c>
      <c r="L438" s="154">
        <v>276498</v>
      </c>
      <c r="M438" s="154" t="s">
        <v>200</v>
      </c>
      <c r="N438" s="154" t="s">
        <v>114</v>
      </c>
      <c r="O438" s="154" t="s">
        <v>115</v>
      </c>
      <c r="P438" s="154">
        <v>27180</v>
      </c>
      <c r="Q438" s="154" t="s">
        <v>1064</v>
      </c>
      <c r="R438" s="154">
        <v>4</v>
      </c>
      <c r="S438" s="154" t="s">
        <v>1061</v>
      </c>
      <c r="T438" s="154" t="s">
        <v>1248</v>
      </c>
      <c r="U438" s="154" t="s">
        <v>1071</v>
      </c>
      <c r="V438" s="154" t="s">
        <v>1072</v>
      </c>
      <c r="W438" s="154" t="s">
        <v>111</v>
      </c>
      <c r="X438" s="154" t="s">
        <v>1249</v>
      </c>
    </row>
    <row r="439" spans="1:24">
      <c r="A439" s="154" t="s">
        <v>102</v>
      </c>
      <c r="B439" s="154" t="s">
        <v>1401</v>
      </c>
      <c r="C439" s="155">
        <v>45954</v>
      </c>
      <c r="D439" s="155">
        <v>45943</v>
      </c>
      <c r="E439" s="159">
        <v>140691.06</v>
      </c>
      <c r="F439" s="159">
        <v>31048.05</v>
      </c>
      <c r="G439" s="159">
        <v>31048.05</v>
      </c>
      <c r="H439" s="184">
        <f t="shared" si="12"/>
        <v>45978</v>
      </c>
      <c r="I439" s="187" cm="1">
        <f t="array" ref="I439">G439*[15]!CalculateINPC(C439,H439,-1)</f>
        <v>31057.343923287001</v>
      </c>
      <c r="J439" s="187">
        <f t="shared" si="13"/>
        <v>31595.887048840763</v>
      </c>
      <c r="K439" s="187" cm="1">
        <f t="array" ref="K439">[15]!CalculateDICetip(C439,H439,1)*G439</f>
        <v>31323.059034316499</v>
      </c>
      <c r="L439" s="154">
        <v>276498</v>
      </c>
      <c r="M439" s="154" t="s">
        <v>200</v>
      </c>
      <c r="N439" s="154" t="s">
        <v>114</v>
      </c>
      <c r="O439" s="154" t="s">
        <v>115</v>
      </c>
      <c r="P439" s="154">
        <v>27180</v>
      </c>
      <c r="Q439" s="154" t="s">
        <v>1064</v>
      </c>
      <c r="R439" s="154">
        <v>4</v>
      </c>
      <c r="S439" s="154" t="s">
        <v>1061</v>
      </c>
      <c r="T439" s="154" t="s">
        <v>1248</v>
      </c>
      <c r="U439" s="154" t="s">
        <v>1071</v>
      </c>
      <c r="V439" s="154" t="s">
        <v>1072</v>
      </c>
      <c r="W439" s="154" t="s">
        <v>111</v>
      </c>
      <c r="X439" s="154" t="s">
        <v>1249</v>
      </c>
    </row>
    <row r="440" spans="1:24">
      <c r="A440" s="154" t="s">
        <v>102</v>
      </c>
      <c r="B440" s="154" t="s">
        <v>1401</v>
      </c>
      <c r="C440" s="155">
        <v>45954</v>
      </c>
      <c r="D440" s="155">
        <v>45931</v>
      </c>
      <c r="E440" s="159">
        <v>61.61</v>
      </c>
      <c r="F440" s="159">
        <v>4.1900000000000004</v>
      </c>
      <c r="G440" s="159">
        <v>4.1900000000000004</v>
      </c>
      <c r="H440" s="184">
        <f t="shared" si="12"/>
        <v>45978</v>
      </c>
      <c r="I440" s="187" cm="1">
        <f t="array" ref="I440">G440*[15]!CalculateINPC(C440,H440,-1)</f>
        <v>4.1912542346000006</v>
      </c>
      <c r="J440" s="187">
        <f t="shared" si="13"/>
        <v>4.2639317681671738</v>
      </c>
      <c r="K440" s="187" cm="1">
        <f t="array" ref="K440">[15]!CalculateDICetip(C440,H440,1)*G440</f>
        <v>4.2271130507000008</v>
      </c>
      <c r="L440" s="154">
        <v>277974</v>
      </c>
      <c r="M440" s="154" t="s">
        <v>103</v>
      </c>
      <c r="N440" s="154" t="s">
        <v>460</v>
      </c>
      <c r="O440" s="154" t="s">
        <v>461</v>
      </c>
      <c r="P440" s="154">
        <v>27191</v>
      </c>
      <c r="Q440" s="154" t="s">
        <v>1148</v>
      </c>
      <c r="R440" s="154">
        <v>4</v>
      </c>
      <c r="S440" s="154" t="s">
        <v>1061</v>
      </c>
      <c r="T440" s="154" t="s">
        <v>1017</v>
      </c>
      <c r="U440" s="154" t="s">
        <v>916</v>
      </c>
      <c r="V440" s="154" t="s">
        <v>916</v>
      </c>
      <c r="W440" s="154" t="s">
        <v>111</v>
      </c>
      <c r="X440" s="154" t="s">
        <v>1245</v>
      </c>
    </row>
    <row r="441" spans="1:24">
      <c r="A441" s="154" t="s">
        <v>102</v>
      </c>
      <c r="B441" s="154" t="s">
        <v>1401</v>
      </c>
      <c r="C441" s="155">
        <v>45954</v>
      </c>
      <c r="D441" s="155">
        <v>45931</v>
      </c>
      <c r="E441" s="159">
        <v>61.61</v>
      </c>
      <c r="F441" s="159">
        <v>1.35</v>
      </c>
      <c r="G441" s="159">
        <v>1.35</v>
      </c>
      <c r="H441" s="184">
        <f t="shared" si="12"/>
        <v>45978</v>
      </c>
      <c r="I441" s="187" cm="1">
        <f t="array" ref="I441">G441*[15]!CalculateINPC(C441,H441,-1)</f>
        <v>1.3504041090000001</v>
      </c>
      <c r="J441" s="187">
        <f t="shared" si="13"/>
        <v>1.3738204980968221</v>
      </c>
      <c r="K441" s="187" cm="1">
        <f t="array" ref="K441">[15]!CalculateDICetip(C441,H441,1)*G441</f>
        <v>1.3619576655000001</v>
      </c>
      <c r="L441" s="154">
        <v>277974</v>
      </c>
      <c r="M441" s="154" t="s">
        <v>103</v>
      </c>
      <c r="N441" s="154" t="s">
        <v>587</v>
      </c>
      <c r="O441" s="154" t="s">
        <v>588</v>
      </c>
      <c r="P441" s="154">
        <v>27191</v>
      </c>
      <c r="Q441" s="154" t="s">
        <v>1148</v>
      </c>
      <c r="R441" s="154">
        <v>4</v>
      </c>
      <c r="S441" s="154" t="s">
        <v>1061</v>
      </c>
      <c r="T441" s="154" t="s">
        <v>1017</v>
      </c>
      <c r="U441" s="154" t="s">
        <v>916</v>
      </c>
      <c r="V441" s="154" t="s">
        <v>916</v>
      </c>
      <c r="W441" s="154" t="s">
        <v>111</v>
      </c>
      <c r="X441" s="154" t="s">
        <v>1245</v>
      </c>
    </row>
    <row r="442" spans="1:24">
      <c r="A442" s="154" t="s">
        <v>102</v>
      </c>
      <c r="B442" s="154" t="s">
        <v>1401</v>
      </c>
      <c r="C442" s="155">
        <v>45954</v>
      </c>
      <c r="D442" s="155">
        <v>45943</v>
      </c>
      <c r="E442" s="159">
        <v>17669.28</v>
      </c>
      <c r="F442" s="159">
        <v>8834.64</v>
      </c>
      <c r="G442" s="159">
        <v>8834.64</v>
      </c>
      <c r="H442" s="184">
        <f t="shared" si="12"/>
        <v>45978</v>
      </c>
      <c r="I442" s="187" cm="1">
        <f t="array" ref="I442">G442*[15]!CalculateINPC(C442,H442,-1)</f>
        <v>8837.2845611375997</v>
      </c>
      <c r="J442" s="187">
        <f t="shared" si="13"/>
        <v>8990.5255743008202</v>
      </c>
      <c r="K442" s="187" cm="1">
        <f t="array" ref="K442">[15]!CalculateDICetip(C442,H442,1)*G442</f>
        <v>8912.8930888391988</v>
      </c>
      <c r="L442" s="154">
        <v>276642</v>
      </c>
      <c r="M442" s="154" t="s">
        <v>200</v>
      </c>
      <c r="N442" s="154" t="s">
        <v>114</v>
      </c>
      <c r="O442" s="154" t="s">
        <v>115</v>
      </c>
      <c r="P442" s="154">
        <v>27185</v>
      </c>
      <c r="Q442" s="154" t="s">
        <v>1149</v>
      </c>
      <c r="R442" s="154">
        <v>4</v>
      </c>
      <c r="S442" s="154" t="s">
        <v>1061</v>
      </c>
      <c r="T442" s="154" t="s">
        <v>1246</v>
      </c>
      <c r="U442" s="154" t="s">
        <v>1071</v>
      </c>
      <c r="V442" s="154" t="s">
        <v>1072</v>
      </c>
      <c r="W442" s="154" t="s">
        <v>111</v>
      </c>
      <c r="X442" s="154" t="s">
        <v>1247</v>
      </c>
    </row>
    <row r="443" spans="1:24">
      <c r="A443" s="154" t="s">
        <v>102</v>
      </c>
      <c r="B443" s="154" t="s">
        <v>1401</v>
      </c>
      <c r="C443" s="155">
        <v>45954</v>
      </c>
      <c r="D443" s="155">
        <v>45931</v>
      </c>
      <c r="E443" s="159">
        <v>61.61</v>
      </c>
      <c r="F443" s="159">
        <v>4.1900000000000004</v>
      </c>
      <c r="G443" s="159">
        <v>4.1900000000000004</v>
      </c>
      <c r="H443" s="184">
        <f t="shared" si="12"/>
        <v>45978</v>
      </c>
      <c r="I443" s="187" cm="1">
        <f t="array" ref="I443">G443*[15]!CalculateINPC(C443,H443,-1)</f>
        <v>4.1912542346000006</v>
      </c>
      <c r="J443" s="187">
        <f t="shared" si="13"/>
        <v>4.2639317681671738</v>
      </c>
      <c r="K443" s="187" cm="1">
        <f t="array" ref="K443">[15]!CalculateDICetip(C443,H443,1)*G443</f>
        <v>4.2271130507000008</v>
      </c>
      <c r="L443" s="154">
        <v>277974</v>
      </c>
      <c r="M443" s="154" t="s">
        <v>103</v>
      </c>
      <c r="N443" s="154" t="s">
        <v>460</v>
      </c>
      <c r="O443" s="154" t="s">
        <v>461</v>
      </c>
      <c r="P443" s="154">
        <v>27222</v>
      </c>
      <c r="Q443" s="154" t="s">
        <v>1132</v>
      </c>
      <c r="R443" s="154">
        <v>4</v>
      </c>
      <c r="S443" s="154" t="s">
        <v>1061</v>
      </c>
      <c r="T443" s="154" t="s">
        <v>1017</v>
      </c>
      <c r="U443" s="154" t="s">
        <v>916</v>
      </c>
      <c r="V443" s="154" t="s">
        <v>916</v>
      </c>
      <c r="W443" s="154" t="s">
        <v>111</v>
      </c>
      <c r="X443" s="154" t="s">
        <v>1245</v>
      </c>
    </row>
    <row r="444" spans="1:24">
      <c r="A444" s="154" t="s">
        <v>102</v>
      </c>
      <c r="B444" s="154" t="s">
        <v>1401</v>
      </c>
      <c r="C444" s="155">
        <v>45954</v>
      </c>
      <c r="D444" s="155">
        <v>45931</v>
      </c>
      <c r="E444" s="159">
        <v>61.61</v>
      </c>
      <c r="F444" s="159">
        <v>1.35</v>
      </c>
      <c r="G444" s="159">
        <v>1.35</v>
      </c>
      <c r="H444" s="184">
        <f t="shared" si="12"/>
        <v>45978</v>
      </c>
      <c r="I444" s="187" cm="1">
        <f t="array" ref="I444">G444*[15]!CalculateINPC(C444,H444,-1)</f>
        <v>1.3504041090000001</v>
      </c>
      <c r="J444" s="187">
        <f t="shared" si="13"/>
        <v>1.3738204980968221</v>
      </c>
      <c r="K444" s="187" cm="1">
        <f t="array" ref="K444">[15]!CalculateDICetip(C444,H444,1)*G444</f>
        <v>1.3619576655000001</v>
      </c>
      <c r="L444" s="154">
        <v>277974</v>
      </c>
      <c r="M444" s="154" t="s">
        <v>103</v>
      </c>
      <c r="N444" s="154" t="s">
        <v>587</v>
      </c>
      <c r="O444" s="154" t="s">
        <v>588</v>
      </c>
      <c r="P444" s="154">
        <v>27222</v>
      </c>
      <c r="Q444" s="154" t="s">
        <v>1132</v>
      </c>
      <c r="R444" s="154">
        <v>4</v>
      </c>
      <c r="S444" s="154" t="s">
        <v>1061</v>
      </c>
      <c r="T444" s="154" t="s">
        <v>1017</v>
      </c>
      <c r="U444" s="154" t="s">
        <v>916</v>
      </c>
      <c r="V444" s="154" t="s">
        <v>916</v>
      </c>
      <c r="W444" s="154" t="s">
        <v>111</v>
      </c>
      <c r="X444" s="154" t="s">
        <v>1245</v>
      </c>
    </row>
    <row r="445" spans="1:24">
      <c r="A445" s="154" t="s">
        <v>102</v>
      </c>
      <c r="B445" s="154" t="s">
        <v>1401</v>
      </c>
      <c r="C445" s="155">
        <v>45954</v>
      </c>
      <c r="D445" s="155">
        <v>45943</v>
      </c>
      <c r="E445" s="159">
        <v>36194.400000000001</v>
      </c>
      <c r="F445" s="159">
        <v>18097.2</v>
      </c>
      <c r="G445" s="159">
        <v>18097.2</v>
      </c>
      <c r="H445" s="184">
        <f t="shared" si="12"/>
        <v>45978</v>
      </c>
      <c r="I445" s="187" cm="1">
        <f t="array" ref="I445">G445*[15]!CalculateINPC(C445,H445,-1)</f>
        <v>18102.617215848</v>
      </c>
      <c r="J445" s="187">
        <f t="shared" si="13"/>
        <v>18416.52171715393</v>
      </c>
      <c r="K445" s="187" cm="1">
        <f t="array" ref="K445">[15]!CalculateDICetip(C445,H445,1)*G445</f>
        <v>18257.496491916001</v>
      </c>
      <c r="L445" s="154">
        <v>276616</v>
      </c>
      <c r="M445" s="154" t="s">
        <v>200</v>
      </c>
      <c r="N445" s="154" t="s">
        <v>114</v>
      </c>
      <c r="O445" s="154" t="s">
        <v>115</v>
      </c>
      <c r="P445" s="154">
        <v>27185</v>
      </c>
      <c r="Q445" s="154" t="s">
        <v>1149</v>
      </c>
      <c r="R445" s="154">
        <v>4</v>
      </c>
      <c r="S445" s="154" t="s">
        <v>1061</v>
      </c>
      <c r="T445" s="154" t="s">
        <v>1243</v>
      </c>
      <c r="U445" s="154" t="s">
        <v>1071</v>
      </c>
      <c r="V445" s="154" t="s">
        <v>1072</v>
      </c>
      <c r="W445" s="154" t="s">
        <v>111</v>
      </c>
      <c r="X445" s="154" t="s">
        <v>1244</v>
      </c>
    </row>
    <row r="446" spans="1:24">
      <c r="A446" s="154" t="s">
        <v>102</v>
      </c>
      <c r="B446" s="154" t="s">
        <v>1401</v>
      </c>
      <c r="C446" s="155">
        <v>45954</v>
      </c>
      <c r="D446" s="155">
        <v>45931</v>
      </c>
      <c r="E446" s="159">
        <v>61.61</v>
      </c>
      <c r="F446" s="159">
        <v>4.1900000000000004</v>
      </c>
      <c r="G446" s="159">
        <v>4.1900000000000004</v>
      </c>
      <c r="H446" s="184">
        <f t="shared" si="12"/>
        <v>45978</v>
      </c>
      <c r="I446" s="187" cm="1">
        <f t="array" ref="I446">G446*[15]!CalculateINPC(C446,H446,-1)</f>
        <v>4.1912542346000006</v>
      </c>
      <c r="J446" s="187">
        <f t="shared" si="13"/>
        <v>4.2639317681671738</v>
      </c>
      <c r="K446" s="187" cm="1">
        <f t="array" ref="K446">[15]!CalculateDICetip(C446,H446,1)*G446</f>
        <v>4.2271130507000008</v>
      </c>
      <c r="L446" s="154">
        <v>277974</v>
      </c>
      <c r="M446" s="154" t="s">
        <v>103</v>
      </c>
      <c r="N446" s="154" t="s">
        <v>460</v>
      </c>
      <c r="O446" s="154" t="s">
        <v>461</v>
      </c>
      <c r="P446" s="154">
        <v>27195</v>
      </c>
      <c r="Q446" s="154" t="s">
        <v>1098</v>
      </c>
      <c r="R446" s="154">
        <v>4</v>
      </c>
      <c r="S446" s="154" t="s">
        <v>1061</v>
      </c>
      <c r="T446" s="154" t="s">
        <v>1017</v>
      </c>
      <c r="U446" s="154" t="s">
        <v>916</v>
      </c>
      <c r="V446" s="154" t="s">
        <v>916</v>
      </c>
      <c r="W446" s="154" t="s">
        <v>111</v>
      </c>
      <c r="X446" s="154" t="s">
        <v>1245</v>
      </c>
    </row>
    <row r="447" spans="1:24">
      <c r="A447" s="154" t="s">
        <v>102</v>
      </c>
      <c r="B447" s="154" t="s">
        <v>1401</v>
      </c>
      <c r="C447" s="155">
        <v>45954</v>
      </c>
      <c r="D447" s="155">
        <v>45931</v>
      </c>
      <c r="E447" s="159">
        <v>61.61</v>
      </c>
      <c r="F447" s="159">
        <v>1.35</v>
      </c>
      <c r="G447" s="159">
        <v>1.35</v>
      </c>
      <c r="H447" s="184">
        <f t="shared" si="12"/>
        <v>45978</v>
      </c>
      <c r="I447" s="187" cm="1">
        <f t="array" ref="I447">G447*[15]!CalculateINPC(C447,H447,-1)</f>
        <v>1.3504041090000001</v>
      </c>
      <c r="J447" s="187">
        <f t="shared" si="13"/>
        <v>1.3738204980968221</v>
      </c>
      <c r="K447" s="187" cm="1">
        <f t="array" ref="K447">[15]!CalculateDICetip(C447,H447,1)*G447</f>
        <v>1.3619576655000001</v>
      </c>
      <c r="L447" s="154">
        <v>277974</v>
      </c>
      <c r="M447" s="154" t="s">
        <v>103</v>
      </c>
      <c r="N447" s="154" t="s">
        <v>587</v>
      </c>
      <c r="O447" s="154" t="s">
        <v>588</v>
      </c>
      <c r="P447" s="154">
        <v>27195</v>
      </c>
      <c r="Q447" s="154" t="s">
        <v>1098</v>
      </c>
      <c r="R447" s="154">
        <v>4</v>
      </c>
      <c r="S447" s="154" t="s">
        <v>1061</v>
      </c>
      <c r="T447" s="154" t="s">
        <v>1017</v>
      </c>
      <c r="U447" s="154" t="s">
        <v>916</v>
      </c>
      <c r="V447" s="154" t="s">
        <v>916</v>
      </c>
      <c r="W447" s="154" t="s">
        <v>111</v>
      </c>
      <c r="X447" s="154" t="s">
        <v>1245</v>
      </c>
    </row>
    <row r="448" spans="1:24">
      <c r="A448" s="154" t="s">
        <v>102</v>
      </c>
      <c r="B448" s="154" t="s">
        <v>1401</v>
      </c>
      <c r="C448" s="155">
        <v>45954</v>
      </c>
      <c r="D448" s="155">
        <v>45931</v>
      </c>
      <c r="E448" s="159">
        <v>61.61</v>
      </c>
      <c r="F448" s="159">
        <v>1.35</v>
      </c>
      <c r="G448" s="159">
        <v>1.35</v>
      </c>
      <c r="H448" s="184">
        <f t="shared" si="12"/>
        <v>45978</v>
      </c>
      <c r="I448" s="187" cm="1">
        <f t="array" ref="I448">G448*[15]!CalculateINPC(C448,H448,-1)</f>
        <v>1.3504041090000001</v>
      </c>
      <c r="J448" s="187">
        <f t="shared" si="13"/>
        <v>1.3738204980968221</v>
      </c>
      <c r="K448" s="187" cm="1">
        <f t="array" ref="K448">[15]!CalculateDICetip(C448,H448,1)*G448</f>
        <v>1.3619576655000001</v>
      </c>
      <c r="L448" s="154">
        <v>277974</v>
      </c>
      <c r="M448" s="154" t="s">
        <v>103</v>
      </c>
      <c r="N448" s="154" t="s">
        <v>587</v>
      </c>
      <c r="O448" s="154" t="s">
        <v>588</v>
      </c>
      <c r="P448" s="154">
        <v>27223</v>
      </c>
      <c r="Q448" s="154" t="s">
        <v>1067</v>
      </c>
      <c r="R448" s="154">
        <v>4</v>
      </c>
      <c r="S448" s="154" t="s">
        <v>1061</v>
      </c>
      <c r="T448" s="154" t="s">
        <v>1017</v>
      </c>
      <c r="U448" s="154" t="s">
        <v>916</v>
      </c>
      <c r="V448" s="154" t="s">
        <v>916</v>
      </c>
      <c r="W448" s="154" t="s">
        <v>111</v>
      </c>
      <c r="X448" s="154" t="s">
        <v>1245</v>
      </c>
    </row>
    <row r="449" spans="1:24">
      <c r="A449" s="154" t="s">
        <v>102</v>
      </c>
      <c r="B449" s="154" t="s">
        <v>1401</v>
      </c>
      <c r="C449" s="155">
        <v>45954</v>
      </c>
      <c r="D449" s="155">
        <v>45931</v>
      </c>
      <c r="E449" s="159">
        <v>61.61</v>
      </c>
      <c r="F449" s="159">
        <v>4.1900000000000004</v>
      </c>
      <c r="G449" s="159">
        <v>4.1900000000000004</v>
      </c>
      <c r="H449" s="184">
        <f t="shared" si="12"/>
        <v>45978</v>
      </c>
      <c r="I449" s="187" cm="1">
        <f t="array" ref="I449">G449*[15]!CalculateINPC(C449,H449,-1)</f>
        <v>4.1912542346000006</v>
      </c>
      <c r="J449" s="187">
        <f t="shared" si="13"/>
        <v>4.2639317681671738</v>
      </c>
      <c r="K449" s="187" cm="1">
        <f t="array" ref="K449">[15]!CalculateDICetip(C449,H449,1)*G449</f>
        <v>4.2271130507000008</v>
      </c>
      <c r="L449" s="154">
        <v>277974</v>
      </c>
      <c r="M449" s="154" t="s">
        <v>103</v>
      </c>
      <c r="N449" s="154" t="s">
        <v>460</v>
      </c>
      <c r="O449" s="154" t="s">
        <v>461</v>
      </c>
      <c r="P449" s="154">
        <v>27223</v>
      </c>
      <c r="Q449" s="154" t="s">
        <v>1067</v>
      </c>
      <c r="R449" s="154">
        <v>4</v>
      </c>
      <c r="S449" s="154" t="s">
        <v>1061</v>
      </c>
      <c r="T449" s="154" t="s">
        <v>1017</v>
      </c>
      <c r="U449" s="154" t="s">
        <v>916</v>
      </c>
      <c r="V449" s="154" t="s">
        <v>916</v>
      </c>
      <c r="W449" s="154" t="s">
        <v>111</v>
      </c>
      <c r="X449" s="154" t="s">
        <v>1245</v>
      </c>
    </row>
    <row r="450" spans="1:24">
      <c r="A450" s="154" t="s">
        <v>102</v>
      </c>
      <c r="B450" s="154" t="s">
        <v>1401</v>
      </c>
      <c r="C450" s="155">
        <v>45954</v>
      </c>
      <c r="D450" s="155">
        <v>45931</v>
      </c>
      <c r="E450" s="159">
        <v>61.61</v>
      </c>
      <c r="F450" s="159">
        <v>4.1900000000000004</v>
      </c>
      <c r="G450" s="159">
        <v>4.1900000000000004</v>
      </c>
      <c r="H450" s="184">
        <f t="shared" si="12"/>
        <v>45978</v>
      </c>
      <c r="I450" s="187" cm="1">
        <f t="array" ref="I450">G450*[15]!CalculateINPC(C450,H450,-1)</f>
        <v>4.1912542346000006</v>
      </c>
      <c r="J450" s="187">
        <f t="shared" si="13"/>
        <v>4.2639317681671738</v>
      </c>
      <c r="K450" s="187" cm="1">
        <f t="array" ref="K450">[15]!CalculateDICetip(C450,H450,1)*G450</f>
        <v>4.2271130507000008</v>
      </c>
      <c r="L450" s="154">
        <v>277974</v>
      </c>
      <c r="M450" s="154" t="s">
        <v>103</v>
      </c>
      <c r="N450" s="154" t="s">
        <v>460</v>
      </c>
      <c r="O450" s="154" t="s">
        <v>461</v>
      </c>
      <c r="P450" s="154">
        <v>27193</v>
      </c>
      <c r="Q450" s="154" t="s">
        <v>1123</v>
      </c>
      <c r="R450" s="154">
        <v>4</v>
      </c>
      <c r="S450" s="154" t="s">
        <v>1061</v>
      </c>
      <c r="T450" s="154" t="s">
        <v>1017</v>
      </c>
      <c r="U450" s="154" t="s">
        <v>916</v>
      </c>
      <c r="V450" s="154" t="s">
        <v>916</v>
      </c>
      <c r="W450" s="154" t="s">
        <v>111</v>
      </c>
      <c r="X450" s="154" t="s">
        <v>1245</v>
      </c>
    </row>
    <row r="451" spans="1:24">
      <c r="A451" s="154" t="s">
        <v>102</v>
      </c>
      <c r="B451" s="154" t="s">
        <v>1401</v>
      </c>
      <c r="C451" s="155">
        <v>45954</v>
      </c>
      <c r="D451" s="155">
        <v>45931</v>
      </c>
      <c r="E451" s="159">
        <v>61.61</v>
      </c>
      <c r="F451" s="159">
        <v>1.35</v>
      </c>
      <c r="G451" s="159">
        <v>1.35</v>
      </c>
      <c r="H451" s="184">
        <f t="shared" si="12"/>
        <v>45978</v>
      </c>
      <c r="I451" s="187" cm="1">
        <f t="array" ref="I451">G451*[15]!CalculateINPC(C451,H451,-1)</f>
        <v>1.3504041090000001</v>
      </c>
      <c r="J451" s="187">
        <f t="shared" si="13"/>
        <v>1.3738204980968221</v>
      </c>
      <c r="K451" s="187" cm="1">
        <f t="array" ref="K451">[15]!CalculateDICetip(C451,H451,1)*G451</f>
        <v>1.3619576655000001</v>
      </c>
      <c r="L451" s="154">
        <v>277974</v>
      </c>
      <c r="M451" s="154" t="s">
        <v>103</v>
      </c>
      <c r="N451" s="154" t="s">
        <v>587</v>
      </c>
      <c r="O451" s="154" t="s">
        <v>588</v>
      </c>
      <c r="P451" s="154">
        <v>27193</v>
      </c>
      <c r="Q451" s="154" t="s">
        <v>1123</v>
      </c>
      <c r="R451" s="154">
        <v>4</v>
      </c>
      <c r="S451" s="154" t="s">
        <v>1061</v>
      </c>
      <c r="T451" s="154" t="s">
        <v>1017</v>
      </c>
      <c r="U451" s="154" t="s">
        <v>916</v>
      </c>
      <c r="V451" s="154" t="s">
        <v>916</v>
      </c>
      <c r="W451" s="154" t="s">
        <v>111</v>
      </c>
      <c r="X451" s="154" t="s">
        <v>1245</v>
      </c>
    </row>
    <row r="452" spans="1:24">
      <c r="A452" s="154" t="s">
        <v>102</v>
      </c>
      <c r="B452" s="154" t="s">
        <v>1401</v>
      </c>
      <c r="C452" s="155">
        <v>45954</v>
      </c>
      <c r="D452" s="155">
        <v>45931</v>
      </c>
      <c r="E452" s="159">
        <v>61.61</v>
      </c>
      <c r="F452" s="159">
        <v>4.1900000000000004</v>
      </c>
      <c r="G452" s="159">
        <v>4.1900000000000004</v>
      </c>
      <c r="H452" s="184">
        <f t="shared" ref="H452:H515" si="14">$A$2</f>
        <v>45978</v>
      </c>
      <c r="I452" s="187" cm="1">
        <f t="array" ref="I452">G452*[15]!CalculateINPC(C452,H452,-1)</f>
        <v>4.1912542346000006</v>
      </c>
      <c r="J452" s="187">
        <f t="shared" ref="J452:J515" si="15">G452*1.3^((H452-C452)/360)</f>
        <v>4.2639317681671738</v>
      </c>
      <c r="K452" s="187" cm="1">
        <f t="array" ref="K452">[15]!CalculateDICetip(C452,H452,1)*G452</f>
        <v>4.2271130507000008</v>
      </c>
      <c r="L452" s="154">
        <v>277974</v>
      </c>
      <c r="M452" s="154" t="s">
        <v>103</v>
      </c>
      <c r="N452" s="154" t="s">
        <v>460</v>
      </c>
      <c r="O452" s="154" t="s">
        <v>461</v>
      </c>
      <c r="P452" s="154">
        <v>27189</v>
      </c>
      <c r="Q452" s="154" t="s">
        <v>1152</v>
      </c>
      <c r="R452" s="154">
        <v>4</v>
      </c>
      <c r="S452" s="154" t="s">
        <v>1061</v>
      </c>
      <c r="T452" s="154" t="s">
        <v>1017</v>
      </c>
      <c r="U452" s="154" t="s">
        <v>916</v>
      </c>
      <c r="V452" s="154" t="s">
        <v>916</v>
      </c>
      <c r="W452" s="154" t="s">
        <v>111</v>
      </c>
      <c r="X452" s="154" t="s">
        <v>1245</v>
      </c>
    </row>
    <row r="453" spans="1:24">
      <c r="A453" s="154" t="s">
        <v>102</v>
      </c>
      <c r="B453" s="154" t="s">
        <v>1401</v>
      </c>
      <c r="C453" s="155">
        <v>45954</v>
      </c>
      <c r="D453" s="155">
        <v>45931</v>
      </c>
      <c r="E453" s="159">
        <v>61.61</v>
      </c>
      <c r="F453" s="159">
        <v>1.35</v>
      </c>
      <c r="G453" s="159">
        <v>1.35</v>
      </c>
      <c r="H453" s="184">
        <f t="shared" si="14"/>
        <v>45978</v>
      </c>
      <c r="I453" s="187" cm="1">
        <f t="array" ref="I453">G453*[15]!CalculateINPC(C453,H453,-1)</f>
        <v>1.3504041090000001</v>
      </c>
      <c r="J453" s="187">
        <f t="shared" si="15"/>
        <v>1.3738204980968221</v>
      </c>
      <c r="K453" s="187" cm="1">
        <f t="array" ref="K453">[15]!CalculateDICetip(C453,H453,1)*G453</f>
        <v>1.3619576655000001</v>
      </c>
      <c r="L453" s="154">
        <v>277974</v>
      </c>
      <c r="M453" s="154" t="s">
        <v>103</v>
      </c>
      <c r="N453" s="154" t="s">
        <v>587</v>
      </c>
      <c r="O453" s="154" t="s">
        <v>588</v>
      </c>
      <c r="P453" s="154">
        <v>27189</v>
      </c>
      <c r="Q453" s="154" t="s">
        <v>1152</v>
      </c>
      <c r="R453" s="154">
        <v>4</v>
      </c>
      <c r="S453" s="154" t="s">
        <v>1061</v>
      </c>
      <c r="T453" s="154" t="s">
        <v>1017</v>
      </c>
      <c r="U453" s="154" t="s">
        <v>916</v>
      </c>
      <c r="V453" s="154" t="s">
        <v>916</v>
      </c>
      <c r="W453" s="154" t="s">
        <v>111</v>
      </c>
      <c r="X453" s="154" t="s">
        <v>1245</v>
      </c>
    </row>
    <row r="454" spans="1:24">
      <c r="A454" s="154" t="s">
        <v>102</v>
      </c>
      <c r="B454" s="154" t="s">
        <v>1401</v>
      </c>
      <c r="C454" s="155">
        <v>45896</v>
      </c>
      <c r="D454" s="155">
        <v>45888</v>
      </c>
      <c r="E454" s="159">
        <v>4978.92</v>
      </c>
      <c r="F454" s="159">
        <v>4978.92</v>
      </c>
      <c r="G454" s="159">
        <v>4978.92</v>
      </c>
      <c r="H454" s="184">
        <f t="shared" si="14"/>
        <v>45978</v>
      </c>
      <c r="I454" s="187" cm="1">
        <f t="array" ref="I454">G454*[15]!CalculateINPC(C454,H454,-1)</f>
        <v>4995.7948543992006</v>
      </c>
      <c r="J454" s="187">
        <f t="shared" si="15"/>
        <v>5285.5344983049981</v>
      </c>
      <c r="K454" s="187" cm="1">
        <f t="array" ref="K454">[15]!CalculateDICetip(C454,H454,1)*G454</f>
        <v>5140.6532955012008</v>
      </c>
      <c r="L454" s="154">
        <v>267296</v>
      </c>
      <c r="M454" s="154" t="s">
        <v>200</v>
      </c>
      <c r="N454" s="154" t="s">
        <v>965</v>
      </c>
      <c r="O454" s="154" t="s">
        <v>966</v>
      </c>
      <c r="P454" s="154">
        <v>27198</v>
      </c>
      <c r="Q454" s="154" t="s">
        <v>1135</v>
      </c>
      <c r="R454" s="154">
        <v>4</v>
      </c>
      <c r="S454" s="154" t="s">
        <v>1061</v>
      </c>
      <c r="T454" s="154" t="s">
        <v>1250</v>
      </c>
      <c r="U454" s="154" t="s">
        <v>1071</v>
      </c>
      <c r="V454" s="154" t="s">
        <v>1072</v>
      </c>
      <c r="W454" s="154" t="s">
        <v>111</v>
      </c>
      <c r="X454" s="154" t="s">
        <v>1251</v>
      </c>
    </row>
    <row r="455" spans="1:24">
      <c r="A455" s="154" t="s">
        <v>102</v>
      </c>
      <c r="B455" s="154" t="s">
        <v>1401</v>
      </c>
      <c r="C455" s="155">
        <v>45896</v>
      </c>
      <c r="D455" s="155">
        <v>45888</v>
      </c>
      <c r="E455" s="159">
        <v>4655.34</v>
      </c>
      <c r="F455" s="159">
        <v>4655.34</v>
      </c>
      <c r="G455" s="159">
        <v>4655.34</v>
      </c>
      <c r="H455" s="184">
        <f t="shared" si="14"/>
        <v>45978</v>
      </c>
      <c r="I455" s="187" cm="1">
        <f t="array" ref="I455">G455*[15]!CalculateINPC(C455,H455,-1)</f>
        <v>4671.1181576484005</v>
      </c>
      <c r="J455" s="187">
        <f t="shared" si="15"/>
        <v>4942.027622725248</v>
      </c>
      <c r="K455" s="187" cm="1">
        <f t="array" ref="K455">[15]!CalculateDICetip(C455,H455,1)*G455</f>
        <v>4806.5622489774005</v>
      </c>
      <c r="L455" s="154">
        <v>267390</v>
      </c>
      <c r="M455" s="154" t="s">
        <v>200</v>
      </c>
      <c r="N455" s="154" t="s">
        <v>965</v>
      </c>
      <c r="O455" s="154" t="s">
        <v>966</v>
      </c>
      <c r="P455" s="154">
        <v>27191</v>
      </c>
      <c r="Q455" s="154" t="s">
        <v>1148</v>
      </c>
      <c r="R455" s="154">
        <v>4</v>
      </c>
      <c r="S455" s="154" t="s">
        <v>1061</v>
      </c>
      <c r="T455" s="154" t="s">
        <v>1252</v>
      </c>
      <c r="U455" s="154" t="s">
        <v>1071</v>
      </c>
      <c r="V455" s="154" t="s">
        <v>1072</v>
      </c>
      <c r="W455" s="154" t="s">
        <v>111</v>
      </c>
      <c r="X455" s="154" t="s">
        <v>1253</v>
      </c>
    </row>
    <row r="456" spans="1:24">
      <c r="A456" s="154" t="s">
        <v>102</v>
      </c>
      <c r="B456" s="154" t="s">
        <v>1401</v>
      </c>
      <c r="C456" s="155">
        <v>45896</v>
      </c>
      <c r="D456" s="155">
        <v>45888</v>
      </c>
      <c r="E456" s="159">
        <v>1565.7</v>
      </c>
      <c r="F456" s="159">
        <v>1565.7</v>
      </c>
      <c r="G456" s="159">
        <v>1565.7</v>
      </c>
      <c r="H456" s="184">
        <f t="shared" si="14"/>
        <v>45978</v>
      </c>
      <c r="I456" s="187" cm="1">
        <f t="array" ref="I456">G456*[15]!CalculateINPC(C456,H456,-1)</f>
        <v>1571.0065643820001</v>
      </c>
      <c r="J456" s="187">
        <f t="shared" si="15"/>
        <v>1662.1197697484868</v>
      </c>
      <c r="K456" s="187" cm="1">
        <f t="array" ref="K456">[15]!CalculateDICetip(C456,H456,1)*G456</f>
        <v>1616.5595881770003</v>
      </c>
      <c r="L456" s="154">
        <v>267307</v>
      </c>
      <c r="M456" s="154" t="s">
        <v>200</v>
      </c>
      <c r="N456" s="154" t="s">
        <v>965</v>
      </c>
      <c r="O456" s="154" t="s">
        <v>966</v>
      </c>
      <c r="P456" s="154">
        <v>27191</v>
      </c>
      <c r="Q456" s="154" t="s">
        <v>1148</v>
      </c>
      <c r="R456" s="154">
        <v>4</v>
      </c>
      <c r="S456" s="154" t="s">
        <v>1061</v>
      </c>
      <c r="T456" s="154" t="s">
        <v>1254</v>
      </c>
      <c r="U456" s="154" t="s">
        <v>1071</v>
      </c>
      <c r="V456" s="154" t="s">
        <v>1072</v>
      </c>
      <c r="W456" s="154" t="s">
        <v>111</v>
      </c>
      <c r="X456" s="154" t="s">
        <v>1255</v>
      </c>
    </row>
    <row r="457" spans="1:24">
      <c r="A457" s="154" t="s">
        <v>102</v>
      </c>
      <c r="B457" s="154" t="s">
        <v>1401</v>
      </c>
      <c r="C457" s="155">
        <v>45775</v>
      </c>
      <c r="D457" s="155">
        <v>45755</v>
      </c>
      <c r="E457" s="159">
        <v>116</v>
      </c>
      <c r="F457" s="159">
        <v>116</v>
      </c>
      <c r="G457" s="159">
        <v>116</v>
      </c>
      <c r="H457" s="184">
        <f t="shared" si="14"/>
        <v>45978</v>
      </c>
      <c r="I457" s="187" cm="1">
        <f t="array" ref="I457">G457*[15]!CalculateINPC(C457,H457,-1)</f>
        <v>117.87815716</v>
      </c>
      <c r="J457" s="187">
        <f t="shared" si="15"/>
        <v>134.49600347784909</v>
      </c>
      <c r="K457" s="187" cm="1">
        <f t="array" ref="K457">[15]!CalculateDICetip(C457,H457,1)*G457</f>
        <v>125.4571842</v>
      </c>
      <c r="L457" s="154">
        <v>251239</v>
      </c>
      <c r="M457" s="154" t="s">
        <v>808</v>
      </c>
      <c r="N457" s="154" t="s">
        <v>243</v>
      </c>
      <c r="O457" s="154" t="s">
        <v>244</v>
      </c>
      <c r="P457" s="154">
        <v>27198</v>
      </c>
      <c r="Q457" s="154" t="s">
        <v>1135</v>
      </c>
      <c r="R457" s="154">
        <v>4</v>
      </c>
      <c r="S457" s="154" t="s">
        <v>1061</v>
      </c>
      <c r="T457" s="154" t="s">
        <v>1256</v>
      </c>
      <c r="U457" s="154" t="s">
        <v>916</v>
      </c>
      <c r="V457" s="154" t="s">
        <v>916</v>
      </c>
      <c r="W457" s="154" t="s">
        <v>130</v>
      </c>
      <c r="X457" s="154" t="s">
        <v>1257</v>
      </c>
    </row>
    <row r="458" spans="1:24">
      <c r="A458" s="154" t="s">
        <v>102</v>
      </c>
      <c r="B458" s="154" t="s">
        <v>1401</v>
      </c>
      <c r="C458" s="155">
        <v>45775</v>
      </c>
      <c r="D458" s="155">
        <v>45755</v>
      </c>
      <c r="E458" s="159">
        <v>66.66</v>
      </c>
      <c r="F458" s="159">
        <v>66.66</v>
      </c>
      <c r="G458" s="159">
        <v>66.66</v>
      </c>
      <c r="H458" s="184">
        <f t="shared" si="14"/>
        <v>45978</v>
      </c>
      <c r="I458" s="187" cm="1">
        <f t="array" ref="I458">G458*[15]!CalculateINPC(C458,H458,-1)</f>
        <v>67.739292726599999</v>
      </c>
      <c r="J458" s="187">
        <f t="shared" si="15"/>
        <v>77.288824067529475</v>
      </c>
      <c r="K458" s="187" cm="1">
        <f t="array" ref="K458">[15]!CalculateDICetip(C458,H458,1)*G458</f>
        <v>72.094619816999995</v>
      </c>
      <c r="L458" s="154">
        <v>251228</v>
      </c>
      <c r="M458" s="154" t="s">
        <v>808</v>
      </c>
      <c r="N458" s="154" t="s">
        <v>243</v>
      </c>
      <c r="O458" s="154" t="s">
        <v>244</v>
      </c>
      <c r="P458" s="154">
        <v>27198</v>
      </c>
      <c r="Q458" s="154" t="s">
        <v>1135</v>
      </c>
      <c r="R458" s="154">
        <v>4</v>
      </c>
      <c r="S458" s="154" t="s">
        <v>1061</v>
      </c>
      <c r="T458" s="154" t="s">
        <v>1258</v>
      </c>
      <c r="U458" s="154" t="s">
        <v>916</v>
      </c>
      <c r="V458" s="154" t="s">
        <v>916</v>
      </c>
      <c r="W458" s="154" t="s">
        <v>130</v>
      </c>
      <c r="X458" s="154" t="s">
        <v>1259</v>
      </c>
    </row>
    <row r="459" spans="1:24">
      <c r="A459" s="154" t="s">
        <v>102</v>
      </c>
      <c r="B459" s="154" t="s">
        <v>1401</v>
      </c>
      <c r="C459" s="155">
        <v>45897</v>
      </c>
      <c r="D459" s="155">
        <v>45870</v>
      </c>
      <c r="E459" s="159">
        <v>34156.49</v>
      </c>
      <c r="F459" s="159">
        <v>2846.3800000000392</v>
      </c>
      <c r="G459" s="159">
        <v>2846.3800000000392</v>
      </c>
      <c r="H459" s="184">
        <f t="shared" si="14"/>
        <v>45978</v>
      </c>
      <c r="I459" s="187" cm="1">
        <f t="array" ref="I459">G459*[15]!CalculateINPC(C459,H459,-1)</f>
        <v>2856.0271218788394</v>
      </c>
      <c r="J459" s="187">
        <f t="shared" si="15"/>
        <v>3019.4659288329854</v>
      </c>
      <c r="K459" s="187" cm="1">
        <f t="array" ref="K459">[15]!CalculateDICetip(C459,H459,1)*G459</f>
        <v>2937.2213637860405</v>
      </c>
      <c r="L459" s="154">
        <v>268099</v>
      </c>
      <c r="M459" s="154" t="s">
        <v>258</v>
      </c>
      <c r="N459" s="154" t="s">
        <v>149</v>
      </c>
      <c r="O459" s="154" t="s">
        <v>150</v>
      </c>
      <c r="P459" s="154">
        <v>27213</v>
      </c>
      <c r="Q459" s="154" t="s">
        <v>1101</v>
      </c>
      <c r="R459" s="154">
        <v>4</v>
      </c>
      <c r="S459" s="154" t="s">
        <v>1061</v>
      </c>
      <c r="T459" s="154" t="s">
        <v>1260</v>
      </c>
      <c r="U459" s="154" t="s">
        <v>916</v>
      </c>
      <c r="V459" s="154" t="s">
        <v>916</v>
      </c>
      <c r="W459" s="154" t="s">
        <v>117</v>
      </c>
      <c r="X459" s="154" t="s">
        <v>1261</v>
      </c>
    </row>
    <row r="460" spans="1:24">
      <c r="A460" s="154" t="s">
        <v>102</v>
      </c>
      <c r="B460" s="154" t="s">
        <v>1401</v>
      </c>
      <c r="C460" s="155">
        <v>45897</v>
      </c>
      <c r="D460" s="155">
        <v>45870</v>
      </c>
      <c r="E460" s="159">
        <v>34156.49</v>
      </c>
      <c r="F460" s="159">
        <v>2846.3800000000392</v>
      </c>
      <c r="G460" s="159">
        <v>2846.3800000000392</v>
      </c>
      <c r="H460" s="184">
        <f t="shared" si="14"/>
        <v>45978</v>
      </c>
      <c r="I460" s="187" cm="1">
        <f t="array" ref="I460">G460*[15]!CalculateINPC(C460,H460,-1)</f>
        <v>2856.0271218788394</v>
      </c>
      <c r="J460" s="187">
        <f t="shared" si="15"/>
        <v>3019.4659288329854</v>
      </c>
      <c r="K460" s="187" cm="1">
        <f t="array" ref="K460">[15]!CalculateDICetip(C460,H460,1)*G460</f>
        <v>2937.2213637860405</v>
      </c>
      <c r="L460" s="154">
        <v>268099</v>
      </c>
      <c r="M460" s="154" t="s">
        <v>258</v>
      </c>
      <c r="N460" s="154" t="s">
        <v>149</v>
      </c>
      <c r="O460" s="154" t="s">
        <v>150</v>
      </c>
      <c r="P460" s="154">
        <v>27211</v>
      </c>
      <c r="Q460" s="154" t="s">
        <v>1107</v>
      </c>
      <c r="R460" s="154">
        <v>4</v>
      </c>
      <c r="S460" s="154" t="s">
        <v>1061</v>
      </c>
      <c r="T460" s="154" t="s">
        <v>1260</v>
      </c>
      <c r="U460" s="154" t="s">
        <v>916</v>
      </c>
      <c r="V460" s="154" t="s">
        <v>916</v>
      </c>
      <c r="W460" s="154" t="s">
        <v>117</v>
      </c>
      <c r="X460" s="154" t="s">
        <v>1261</v>
      </c>
    </row>
    <row r="461" spans="1:24">
      <c r="A461" s="154" t="s">
        <v>102</v>
      </c>
      <c r="B461" s="154" t="s">
        <v>1401</v>
      </c>
      <c r="C461" s="155">
        <v>45897</v>
      </c>
      <c r="D461" s="155">
        <v>45887</v>
      </c>
      <c r="E461" s="159">
        <v>1082.1300000000001</v>
      </c>
      <c r="F461" s="159">
        <v>541.06999999999596</v>
      </c>
      <c r="G461" s="159">
        <v>541.06999999999596</v>
      </c>
      <c r="H461" s="184">
        <f t="shared" si="14"/>
        <v>45978</v>
      </c>
      <c r="I461" s="187" cm="1">
        <f t="array" ref="I461">G461*[15]!CalculateINPC(C461,H461,-1)</f>
        <v>542.90382690819592</v>
      </c>
      <c r="J461" s="187">
        <f t="shared" si="15"/>
        <v>573.97200307535491</v>
      </c>
      <c r="K461" s="187" cm="1">
        <f t="array" ref="K461">[15]!CalculateDICetip(C461,H461,1)*G461</f>
        <v>558.33808672899579</v>
      </c>
      <c r="L461" s="154">
        <v>268096</v>
      </c>
      <c r="M461" s="154" t="s">
        <v>1003</v>
      </c>
      <c r="N461" s="154" t="s">
        <v>189</v>
      </c>
      <c r="O461" s="154" t="s">
        <v>190</v>
      </c>
      <c r="P461" s="154">
        <v>27191</v>
      </c>
      <c r="Q461" s="154" t="s">
        <v>1148</v>
      </c>
      <c r="R461" s="154">
        <v>4</v>
      </c>
      <c r="S461" s="154" t="s">
        <v>1061</v>
      </c>
      <c r="T461" s="154" t="s">
        <v>1039</v>
      </c>
      <c r="U461" s="154" t="s">
        <v>916</v>
      </c>
      <c r="V461" s="154" t="s">
        <v>916</v>
      </c>
      <c r="W461" s="154" t="s">
        <v>130</v>
      </c>
      <c r="X461" s="154" t="s">
        <v>1262</v>
      </c>
    </row>
    <row r="462" spans="1:24">
      <c r="A462" s="154" t="s">
        <v>102</v>
      </c>
      <c r="B462" s="154" t="s">
        <v>1401</v>
      </c>
      <c r="C462" s="155">
        <v>45897</v>
      </c>
      <c r="D462" s="155">
        <v>45870</v>
      </c>
      <c r="E462" s="159">
        <v>34156.49</v>
      </c>
      <c r="F462" s="159">
        <v>2846.3700000000208</v>
      </c>
      <c r="G462" s="159">
        <v>2846.3700000000208</v>
      </c>
      <c r="H462" s="184">
        <f t="shared" si="14"/>
        <v>45978</v>
      </c>
      <c r="I462" s="187" cm="1">
        <f t="array" ref="I462">G462*[15]!CalculateINPC(C462,H462,-1)</f>
        <v>2856.0170879862212</v>
      </c>
      <c r="J462" s="187">
        <f t="shared" si="15"/>
        <v>3019.4553207415343</v>
      </c>
      <c r="K462" s="187" cm="1">
        <f t="array" ref="K462">[15]!CalculateDICetip(C462,H462,1)*G462</f>
        <v>2937.2110446390216</v>
      </c>
      <c r="L462" s="154">
        <v>268099</v>
      </c>
      <c r="M462" s="154" t="s">
        <v>258</v>
      </c>
      <c r="N462" s="154" t="s">
        <v>149</v>
      </c>
      <c r="O462" s="154" t="s">
        <v>150</v>
      </c>
      <c r="P462" s="154">
        <v>27205</v>
      </c>
      <c r="Q462" s="154" t="s">
        <v>1089</v>
      </c>
      <c r="R462" s="154">
        <v>4</v>
      </c>
      <c r="S462" s="154" t="s">
        <v>1061</v>
      </c>
      <c r="T462" s="154" t="s">
        <v>1260</v>
      </c>
      <c r="U462" s="154" t="s">
        <v>916</v>
      </c>
      <c r="V462" s="154" t="s">
        <v>916</v>
      </c>
      <c r="W462" s="154" t="s">
        <v>117</v>
      </c>
      <c r="X462" s="154" t="s">
        <v>1261</v>
      </c>
    </row>
    <row r="463" spans="1:24">
      <c r="A463" s="154" t="s">
        <v>102</v>
      </c>
      <c r="B463" s="154" t="s">
        <v>1401</v>
      </c>
      <c r="C463" s="155">
        <v>45897</v>
      </c>
      <c r="D463" s="155">
        <v>45887</v>
      </c>
      <c r="E463" s="159">
        <v>1082.1300000000001</v>
      </c>
      <c r="F463" s="159">
        <v>541.06000000000404</v>
      </c>
      <c r="G463" s="159">
        <v>541.06000000000404</v>
      </c>
      <c r="H463" s="184">
        <f t="shared" si="14"/>
        <v>45978</v>
      </c>
      <c r="I463" s="187" cm="1">
        <f t="array" ref="I463">G463*[15]!CalculateINPC(C463,H463,-1)</f>
        <v>542.89379301560405</v>
      </c>
      <c r="J463" s="187">
        <f t="shared" si="15"/>
        <v>573.96139498393211</v>
      </c>
      <c r="K463" s="187" cm="1">
        <f t="array" ref="K463">[15]!CalculateDICetip(C463,H463,1)*G463</f>
        <v>558.32776758200418</v>
      </c>
      <c r="L463" s="154">
        <v>268096</v>
      </c>
      <c r="M463" s="154" t="s">
        <v>1003</v>
      </c>
      <c r="N463" s="154" t="s">
        <v>189</v>
      </c>
      <c r="O463" s="154" t="s">
        <v>190</v>
      </c>
      <c r="P463" s="154">
        <v>27198</v>
      </c>
      <c r="Q463" s="154" t="s">
        <v>1135</v>
      </c>
      <c r="R463" s="154">
        <v>4</v>
      </c>
      <c r="S463" s="154" t="s">
        <v>1061</v>
      </c>
      <c r="T463" s="154" t="s">
        <v>1039</v>
      </c>
      <c r="U463" s="154" t="s">
        <v>916</v>
      </c>
      <c r="V463" s="154" t="s">
        <v>916</v>
      </c>
      <c r="W463" s="154" t="s">
        <v>130</v>
      </c>
      <c r="X463" s="154" t="s">
        <v>1262</v>
      </c>
    </row>
    <row r="464" spans="1:24">
      <c r="A464" s="154" t="s">
        <v>102</v>
      </c>
      <c r="B464" s="154" t="s">
        <v>1401</v>
      </c>
      <c r="C464" s="155">
        <v>45897</v>
      </c>
      <c r="D464" s="155">
        <v>45870</v>
      </c>
      <c r="E464" s="159">
        <v>34156.49</v>
      </c>
      <c r="F464" s="159">
        <v>2846.3700000000208</v>
      </c>
      <c r="G464" s="159">
        <v>2846.3700000000208</v>
      </c>
      <c r="H464" s="184">
        <f t="shared" si="14"/>
        <v>45978</v>
      </c>
      <c r="I464" s="187" cm="1">
        <f t="array" ref="I464">G464*[15]!CalculateINPC(C464,H464,-1)</f>
        <v>2856.0170879862212</v>
      </c>
      <c r="J464" s="187">
        <f t="shared" si="15"/>
        <v>3019.4553207415343</v>
      </c>
      <c r="K464" s="187" cm="1">
        <f t="array" ref="K464">[15]!CalculateDICetip(C464,H464,1)*G464</f>
        <v>2937.2110446390216</v>
      </c>
      <c r="L464" s="154">
        <v>268099</v>
      </c>
      <c r="M464" s="154" t="s">
        <v>258</v>
      </c>
      <c r="N464" s="154" t="s">
        <v>149</v>
      </c>
      <c r="O464" s="154" t="s">
        <v>150</v>
      </c>
      <c r="P464" s="154">
        <v>27203</v>
      </c>
      <c r="Q464" s="154" t="s">
        <v>1086</v>
      </c>
      <c r="R464" s="154">
        <v>4</v>
      </c>
      <c r="S464" s="154" t="s">
        <v>1061</v>
      </c>
      <c r="T464" s="154" t="s">
        <v>1260</v>
      </c>
      <c r="U464" s="154" t="s">
        <v>916</v>
      </c>
      <c r="V464" s="154" t="s">
        <v>916</v>
      </c>
      <c r="W464" s="154" t="s">
        <v>117</v>
      </c>
      <c r="X464" s="154" t="s">
        <v>1261</v>
      </c>
    </row>
    <row r="465" spans="1:24">
      <c r="A465" s="154" t="s">
        <v>102</v>
      </c>
      <c r="B465" s="154" t="s">
        <v>1401</v>
      </c>
      <c r="C465" s="155">
        <v>45897</v>
      </c>
      <c r="D465" s="155">
        <v>45870</v>
      </c>
      <c r="E465" s="159">
        <v>34156.49</v>
      </c>
      <c r="F465" s="159">
        <v>2846.3799999996968</v>
      </c>
      <c r="G465" s="159">
        <v>2846.3799999996968</v>
      </c>
      <c r="H465" s="184">
        <f t="shared" si="14"/>
        <v>45978</v>
      </c>
      <c r="I465" s="187" cm="1">
        <f t="array" ref="I465">G465*[15]!CalculateINPC(C465,H465,-1)</f>
        <v>2856.027121878496</v>
      </c>
      <c r="J465" s="187">
        <f t="shared" si="15"/>
        <v>3019.465928832622</v>
      </c>
      <c r="K465" s="187" cm="1">
        <f t="array" ref="K465">[15]!CalculateDICetip(C465,H465,1)*G465</f>
        <v>2937.2213637856871</v>
      </c>
      <c r="L465" s="154">
        <v>268099</v>
      </c>
      <c r="M465" s="154" t="s">
        <v>258</v>
      </c>
      <c r="N465" s="154" t="s">
        <v>149</v>
      </c>
      <c r="O465" s="154" t="s">
        <v>150</v>
      </c>
      <c r="P465" s="154">
        <v>27220</v>
      </c>
      <c r="Q465" s="154" t="s">
        <v>1092</v>
      </c>
      <c r="R465" s="154">
        <v>4</v>
      </c>
      <c r="S465" s="154" t="s">
        <v>1061</v>
      </c>
      <c r="T465" s="154" t="s">
        <v>1260</v>
      </c>
      <c r="U465" s="154" t="s">
        <v>916</v>
      </c>
      <c r="V465" s="154" t="s">
        <v>916</v>
      </c>
      <c r="W465" s="154" t="s">
        <v>117</v>
      </c>
      <c r="X465" s="154" t="s">
        <v>1261</v>
      </c>
    </row>
    <row r="466" spans="1:24">
      <c r="A466" s="154" t="s">
        <v>102</v>
      </c>
      <c r="B466" s="154" t="s">
        <v>1401</v>
      </c>
      <c r="C466" s="155">
        <v>45897</v>
      </c>
      <c r="D466" s="155">
        <v>45870</v>
      </c>
      <c r="E466" s="159">
        <v>34156.49</v>
      </c>
      <c r="F466" s="159">
        <v>2846.3700000000208</v>
      </c>
      <c r="G466" s="159">
        <v>2846.3700000000208</v>
      </c>
      <c r="H466" s="184">
        <f t="shared" si="14"/>
        <v>45978</v>
      </c>
      <c r="I466" s="187" cm="1">
        <f t="array" ref="I466">G466*[15]!CalculateINPC(C466,H466,-1)</f>
        <v>2856.0170879862212</v>
      </c>
      <c r="J466" s="187">
        <f t="shared" si="15"/>
        <v>3019.4553207415343</v>
      </c>
      <c r="K466" s="187" cm="1">
        <f t="array" ref="K466">[15]!CalculateDICetip(C466,H466,1)*G466</f>
        <v>2937.2110446390216</v>
      </c>
      <c r="L466" s="154">
        <v>268099</v>
      </c>
      <c r="M466" s="154" t="s">
        <v>258</v>
      </c>
      <c r="N466" s="154" t="s">
        <v>149</v>
      </c>
      <c r="O466" s="154" t="s">
        <v>150</v>
      </c>
      <c r="P466" s="154">
        <v>27193</v>
      </c>
      <c r="Q466" s="154" t="s">
        <v>1123</v>
      </c>
      <c r="R466" s="154">
        <v>4</v>
      </c>
      <c r="S466" s="154" t="s">
        <v>1061</v>
      </c>
      <c r="T466" s="154" t="s">
        <v>1260</v>
      </c>
      <c r="U466" s="154" t="s">
        <v>916</v>
      </c>
      <c r="V466" s="154" t="s">
        <v>916</v>
      </c>
      <c r="W466" s="154" t="s">
        <v>117</v>
      </c>
      <c r="X466" s="154" t="s">
        <v>1261</v>
      </c>
    </row>
    <row r="467" spans="1:24">
      <c r="A467" s="154" t="s">
        <v>102</v>
      </c>
      <c r="B467" s="154" t="s">
        <v>1401</v>
      </c>
      <c r="C467" s="155">
        <v>45897</v>
      </c>
      <c r="D467" s="155">
        <v>45870</v>
      </c>
      <c r="E467" s="159">
        <v>34156.49</v>
      </c>
      <c r="F467" s="159">
        <v>2846.3800000000392</v>
      </c>
      <c r="G467" s="159">
        <v>2846.3800000000392</v>
      </c>
      <c r="H467" s="184">
        <f t="shared" si="14"/>
        <v>45978</v>
      </c>
      <c r="I467" s="187" cm="1">
        <f t="array" ref="I467">G467*[15]!CalculateINPC(C467,H467,-1)</f>
        <v>2856.0271218788394</v>
      </c>
      <c r="J467" s="187">
        <f t="shared" si="15"/>
        <v>3019.4659288329854</v>
      </c>
      <c r="K467" s="187" cm="1">
        <f t="array" ref="K467">[15]!CalculateDICetip(C467,H467,1)*G467</f>
        <v>2937.2213637860405</v>
      </c>
      <c r="L467" s="154">
        <v>268099</v>
      </c>
      <c r="M467" s="154" t="s">
        <v>258</v>
      </c>
      <c r="N467" s="154" t="s">
        <v>149</v>
      </c>
      <c r="O467" s="154" t="s">
        <v>150</v>
      </c>
      <c r="P467" s="154">
        <v>27215</v>
      </c>
      <c r="Q467" s="154" t="s">
        <v>1095</v>
      </c>
      <c r="R467" s="154">
        <v>4</v>
      </c>
      <c r="S467" s="154" t="s">
        <v>1061</v>
      </c>
      <c r="T467" s="154" t="s">
        <v>1260</v>
      </c>
      <c r="U467" s="154" t="s">
        <v>916</v>
      </c>
      <c r="V467" s="154" t="s">
        <v>916</v>
      </c>
      <c r="W467" s="154" t="s">
        <v>117</v>
      </c>
      <c r="X467" s="154" t="s">
        <v>1261</v>
      </c>
    </row>
    <row r="468" spans="1:24">
      <c r="A468" s="154" t="s">
        <v>102</v>
      </c>
      <c r="B468" s="154" t="s">
        <v>1401</v>
      </c>
      <c r="C468" s="155">
        <v>45897</v>
      </c>
      <c r="D468" s="155">
        <v>45870</v>
      </c>
      <c r="E468" s="159">
        <v>34156.49</v>
      </c>
      <c r="F468" s="159">
        <v>2846.3700000000208</v>
      </c>
      <c r="G468" s="159">
        <v>2846.3700000000208</v>
      </c>
      <c r="H468" s="184">
        <f t="shared" si="14"/>
        <v>45978</v>
      </c>
      <c r="I468" s="187" cm="1">
        <f t="array" ref="I468">G468*[15]!CalculateINPC(C468,H468,-1)</f>
        <v>2856.0170879862212</v>
      </c>
      <c r="J468" s="187">
        <f t="shared" si="15"/>
        <v>3019.4553207415343</v>
      </c>
      <c r="K468" s="187" cm="1">
        <f t="array" ref="K468">[15]!CalculateDICetip(C468,H468,1)*G468</f>
        <v>2937.2110446390216</v>
      </c>
      <c r="L468" s="154">
        <v>268099</v>
      </c>
      <c r="M468" s="154" t="s">
        <v>258</v>
      </c>
      <c r="N468" s="154" t="s">
        <v>149</v>
      </c>
      <c r="O468" s="154" t="s">
        <v>150</v>
      </c>
      <c r="P468" s="154">
        <v>27201</v>
      </c>
      <c r="Q468" s="154" t="s">
        <v>1120</v>
      </c>
      <c r="R468" s="154">
        <v>4</v>
      </c>
      <c r="S468" s="154" t="s">
        <v>1061</v>
      </c>
      <c r="T468" s="154" t="s">
        <v>1260</v>
      </c>
      <c r="U468" s="154" t="s">
        <v>916</v>
      </c>
      <c r="V468" s="154" t="s">
        <v>916</v>
      </c>
      <c r="W468" s="154" t="s">
        <v>117</v>
      </c>
      <c r="X468" s="154" t="s">
        <v>1261</v>
      </c>
    </row>
    <row r="469" spans="1:24">
      <c r="A469" s="154" t="s">
        <v>102</v>
      </c>
      <c r="B469" s="154" t="s">
        <v>1401</v>
      </c>
      <c r="C469" s="155">
        <v>45897</v>
      </c>
      <c r="D469" s="155">
        <v>45870</v>
      </c>
      <c r="E469" s="159">
        <v>34156.49</v>
      </c>
      <c r="F469" s="159">
        <v>2846.3700000000208</v>
      </c>
      <c r="G469" s="159">
        <v>2846.3700000000208</v>
      </c>
      <c r="H469" s="184">
        <f t="shared" si="14"/>
        <v>45978</v>
      </c>
      <c r="I469" s="187" cm="1">
        <f t="array" ref="I469">G469*[15]!CalculateINPC(C469,H469,-1)</f>
        <v>2856.0170879862212</v>
      </c>
      <c r="J469" s="187">
        <f t="shared" si="15"/>
        <v>3019.4553207415343</v>
      </c>
      <c r="K469" s="187" cm="1">
        <f t="array" ref="K469">[15]!CalculateDICetip(C469,H469,1)*G469</f>
        <v>2937.2110446390216</v>
      </c>
      <c r="L469" s="154">
        <v>268099</v>
      </c>
      <c r="M469" s="154" t="s">
        <v>258</v>
      </c>
      <c r="N469" s="154" t="s">
        <v>149</v>
      </c>
      <c r="O469" s="154" t="s">
        <v>150</v>
      </c>
      <c r="P469" s="154">
        <v>27180</v>
      </c>
      <c r="Q469" s="154" t="s">
        <v>1064</v>
      </c>
      <c r="R469" s="154">
        <v>4</v>
      </c>
      <c r="S469" s="154" t="s">
        <v>1061</v>
      </c>
      <c r="T469" s="154" t="s">
        <v>1260</v>
      </c>
      <c r="U469" s="154" t="s">
        <v>916</v>
      </c>
      <c r="V469" s="154" t="s">
        <v>916</v>
      </c>
      <c r="W469" s="154" t="s">
        <v>117</v>
      </c>
      <c r="X469" s="154" t="s">
        <v>1261</v>
      </c>
    </row>
    <row r="470" spans="1:24">
      <c r="A470" s="154" t="s">
        <v>102</v>
      </c>
      <c r="B470" s="154" t="s">
        <v>1401</v>
      </c>
      <c r="C470" s="155">
        <v>45897</v>
      </c>
      <c r="D470" s="155">
        <v>45870</v>
      </c>
      <c r="E470" s="159">
        <v>34156.49</v>
      </c>
      <c r="F470" s="159">
        <v>2846.3700000000208</v>
      </c>
      <c r="G470" s="159">
        <v>2846.3700000000208</v>
      </c>
      <c r="H470" s="184">
        <f t="shared" si="14"/>
        <v>45978</v>
      </c>
      <c r="I470" s="187" cm="1">
        <f t="array" ref="I470">G470*[15]!CalculateINPC(C470,H470,-1)</f>
        <v>2856.0170879862212</v>
      </c>
      <c r="J470" s="187">
        <f t="shared" si="15"/>
        <v>3019.4553207415343</v>
      </c>
      <c r="K470" s="187" cm="1">
        <f t="array" ref="K470">[15]!CalculateDICetip(C470,H470,1)*G470</f>
        <v>2937.2110446390216</v>
      </c>
      <c r="L470" s="154">
        <v>268099</v>
      </c>
      <c r="M470" s="154" t="s">
        <v>258</v>
      </c>
      <c r="N470" s="154" t="s">
        <v>149</v>
      </c>
      <c r="O470" s="154" t="s">
        <v>150</v>
      </c>
      <c r="P470" s="154">
        <v>27195</v>
      </c>
      <c r="Q470" s="154" t="s">
        <v>1098</v>
      </c>
      <c r="R470" s="154">
        <v>4</v>
      </c>
      <c r="S470" s="154" t="s">
        <v>1061</v>
      </c>
      <c r="T470" s="154" t="s">
        <v>1260</v>
      </c>
      <c r="U470" s="154" t="s">
        <v>916</v>
      </c>
      <c r="V470" s="154" t="s">
        <v>916</v>
      </c>
      <c r="W470" s="154" t="s">
        <v>117</v>
      </c>
      <c r="X470" s="154" t="s">
        <v>1261</v>
      </c>
    </row>
    <row r="471" spans="1:24">
      <c r="A471" s="154" t="s">
        <v>102</v>
      </c>
      <c r="B471" s="154" t="s">
        <v>1401</v>
      </c>
      <c r="C471" s="155">
        <v>45897</v>
      </c>
      <c r="D471" s="155">
        <v>45870</v>
      </c>
      <c r="E471" s="159">
        <v>34156.49</v>
      </c>
      <c r="F471" s="159">
        <v>2846.3800000000392</v>
      </c>
      <c r="G471" s="159">
        <v>2846.3800000000392</v>
      </c>
      <c r="H471" s="184">
        <f t="shared" si="14"/>
        <v>45978</v>
      </c>
      <c r="I471" s="187" cm="1">
        <f t="array" ref="I471">G471*[15]!CalculateINPC(C471,H471,-1)</f>
        <v>2856.0271218788394</v>
      </c>
      <c r="J471" s="187">
        <f t="shared" si="15"/>
        <v>3019.4659288329854</v>
      </c>
      <c r="K471" s="187" cm="1">
        <f t="array" ref="K471">[15]!CalculateDICetip(C471,H471,1)*G471</f>
        <v>2937.2213637860405</v>
      </c>
      <c r="L471" s="154">
        <v>268099</v>
      </c>
      <c r="M471" s="154" t="s">
        <v>258</v>
      </c>
      <c r="N471" s="154" t="s">
        <v>149</v>
      </c>
      <c r="O471" s="154" t="s">
        <v>150</v>
      </c>
      <c r="P471" s="154">
        <v>27218</v>
      </c>
      <c r="Q471" s="154" t="s">
        <v>1113</v>
      </c>
      <c r="R471" s="154">
        <v>4</v>
      </c>
      <c r="S471" s="154" t="s">
        <v>1061</v>
      </c>
      <c r="T471" s="154" t="s">
        <v>1260</v>
      </c>
      <c r="U471" s="154" t="s">
        <v>916</v>
      </c>
      <c r="V471" s="154" t="s">
        <v>916</v>
      </c>
      <c r="W471" s="154" t="s">
        <v>117</v>
      </c>
      <c r="X471" s="154" t="s">
        <v>1261</v>
      </c>
    </row>
    <row r="472" spans="1:24">
      <c r="A472" s="154" t="s">
        <v>102</v>
      </c>
      <c r="B472" s="154" t="s">
        <v>1401</v>
      </c>
      <c r="C472" s="155">
        <v>45897</v>
      </c>
      <c r="D472" s="155">
        <v>45870</v>
      </c>
      <c r="E472" s="159">
        <v>34156.49</v>
      </c>
      <c r="F472" s="159">
        <v>2846.3700000000208</v>
      </c>
      <c r="G472" s="159">
        <v>2846.3700000000208</v>
      </c>
      <c r="H472" s="184">
        <f t="shared" si="14"/>
        <v>45978</v>
      </c>
      <c r="I472" s="187" cm="1">
        <f t="array" ref="I472">G472*[15]!CalculateINPC(C472,H472,-1)</f>
        <v>2856.0170879862212</v>
      </c>
      <c r="J472" s="187">
        <f t="shared" si="15"/>
        <v>3019.4553207415343</v>
      </c>
      <c r="K472" s="187" cm="1">
        <f t="array" ref="K472">[15]!CalculateDICetip(C472,H472,1)*G472</f>
        <v>2937.2110446390216</v>
      </c>
      <c r="L472" s="154">
        <v>268099</v>
      </c>
      <c r="M472" s="154" t="s">
        <v>258</v>
      </c>
      <c r="N472" s="154" t="s">
        <v>149</v>
      </c>
      <c r="O472" s="154" t="s">
        <v>150</v>
      </c>
      <c r="P472" s="154">
        <v>27209</v>
      </c>
      <c r="Q472" s="154" t="s">
        <v>1110</v>
      </c>
      <c r="R472" s="154">
        <v>4</v>
      </c>
      <c r="S472" s="154" t="s">
        <v>1061</v>
      </c>
      <c r="T472" s="154" t="s">
        <v>1260</v>
      </c>
      <c r="U472" s="154" t="s">
        <v>916</v>
      </c>
      <c r="V472" s="154" t="s">
        <v>916</v>
      </c>
      <c r="W472" s="154" t="s">
        <v>117</v>
      </c>
      <c r="X472" s="154" t="s">
        <v>1261</v>
      </c>
    </row>
    <row r="473" spans="1:24">
      <c r="A473" s="154" t="s">
        <v>102</v>
      </c>
      <c r="B473" s="154" t="s">
        <v>1401</v>
      </c>
      <c r="C473" s="155">
        <v>45958</v>
      </c>
      <c r="D473" s="155">
        <v>45946</v>
      </c>
      <c r="E473" s="159">
        <v>1998.12</v>
      </c>
      <c r="F473" s="159">
        <v>1998.12</v>
      </c>
      <c r="G473" s="159">
        <v>1998.12</v>
      </c>
      <c r="H473" s="184">
        <f t="shared" si="14"/>
        <v>45978</v>
      </c>
      <c r="I473" s="187" cm="1">
        <f t="array" ref="I473">G473*[15]!CalculateINPC(C473,H473,-1)</f>
        <v>1998.7181172407998</v>
      </c>
      <c r="J473" s="187">
        <f t="shared" si="15"/>
        <v>2027.457471496301</v>
      </c>
      <c r="K473" s="187" cm="1">
        <f t="array" ref="K473">[15]!CalculateDICetip(C473,H473,1)*G473</f>
        <v>2013.5975574072002</v>
      </c>
      <c r="L473" s="154">
        <v>277224</v>
      </c>
      <c r="M473" s="154" t="s">
        <v>200</v>
      </c>
      <c r="N473" s="154" t="s">
        <v>114</v>
      </c>
      <c r="O473" s="154" t="s">
        <v>115</v>
      </c>
      <c r="P473" s="154">
        <v>27222</v>
      </c>
      <c r="Q473" s="154" t="s">
        <v>1132</v>
      </c>
      <c r="R473" s="154">
        <v>4</v>
      </c>
      <c r="S473" s="154" t="s">
        <v>1061</v>
      </c>
      <c r="T473" s="154" t="s">
        <v>1263</v>
      </c>
      <c r="U473" s="154" t="s">
        <v>1071</v>
      </c>
      <c r="V473" s="154" t="s">
        <v>1072</v>
      </c>
      <c r="W473" s="154" t="s">
        <v>111</v>
      </c>
      <c r="X473" s="154" t="s">
        <v>1264</v>
      </c>
    </row>
    <row r="474" spans="1:24">
      <c r="A474" s="154" t="s">
        <v>102</v>
      </c>
      <c r="B474" s="154" t="s">
        <v>1401</v>
      </c>
      <c r="C474" s="155">
        <v>45958</v>
      </c>
      <c r="D474" s="155">
        <v>45958</v>
      </c>
      <c r="E474" s="159">
        <v>1876.32</v>
      </c>
      <c r="F474" s="159">
        <v>1876.32</v>
      </c>
      <c r="G474" s="159">
        <v>1876.32</v>
      </c>
      <c r="H474" s="184">
        <f t="shared" si="14"/>
        <v>45978</v>
      </c>
      <c r="I474" s="187" cm="1">
        <f t="array" ref="I474">G474*[15]!CalculateINPC(C474,H474,-1)</f>
        <v>1876.8816576288</v>
      </c>
      <c r="J474" s="187">
        <f t="shared" si="15"/>
        <v>1903.8691384491119</v>
      </c>
      <c r="K474" s="187" cm="1">
        <f t="array" ref="K474">[15]!CalculateDICetip(C474,H474,1)*G474</f>
        <v>1890.8540872992</v>
      </c>
      <c r="L474" s="154">
        <v>277260</v>
      </c>
      <c r="M474" s="154" t="s">
        <v>200</v>
      </c>
      <c r="N474" s="154" t="s">
        <v>114</v>
      </c>
      <c r="O474" s="154" t="s">
        <v>115</v>
      </c>
      <c r="P474" s="154">
        <v>27196</v>
      </c>
      <c r="Q474" s="154" t="s">
        <v>1162</v>
      </c>
      <c r="R474" s="154">
        <v>4</v>
      </c>
      <c r="S474" s="154" t="s">
        <v>1061</v>
      </c>
      <c r="T474" s="154" t="s">
        <v>1265</v>
      </c>
      <c r="U474" s="154" t="s">
        <v>1071</v>
      </c>
      <c r="V474" s="154" t="s">
        <v>1072</v>
      </c>
      <c r="W474" s="154" t="s">
        <v>111</v>
      </c>
      <c r="X474" s="154" t="s">
        <v>1266</v>
      </c>
    </row>
    <row r="475" spans="1:24">
      <c r="A475" s="154" t="s">
        <v>102</v>
      </c>
      <c r="B475" s="154" t="s">
        <v>1401</v>
      </c>
      <c r="C475" s="155">
        <v>45958</v>
      </c>
      <c r="D475" s="155">
        <v>45946</v>
      </c>
      <c r="E475" s="159">
        <v>2467.31</v>
      </c>
      <c r="F475" s="159">
        <v>1841.39</v>
      </c>
      <c r="G475" s="159">
        <v>1841.39</v>
      </c>
      <c r="H475" s="184">
        <f t="shared" si="14"/>
        <v>45978</v>
      </c>
      <c r="I475" s="187" cm="1">
        <f t="array" ref="I475">G475*[15]!CalculateINPC(C475,H475,-1)</f>
        <v>1841.9412016826</v>
      </c>
      <c r="J475" s="187">
        <f t="shared" si="15"/>
        <v>1868.4262774200618</v>
      </c>
      <c r="K475" s="187" cm="1">
        <f t="array" ref="K475">[15]!CalculateDICetip(C475,H475,1)*G475</f>
        <v>1855.6535174234002</v>
      </c>
      <c r="L475" s="154">
        <v>277223</v>
      </c>
      <c r="M475" s="154" t="s">
        <v>200</v>
      </c>
      <c r="N475" s="154" t="s">
        <v>114</v>
      </c>
      <c r="O475" s="154" t="s">
        <v>115</v>
      </c>
      <c r="P475" s="154">
        <v>27209</v>
      </c>
      <c r="Q475" s="154" t="s">
        <v>1110</v>
      </c>
      <c r="R475" s="154">
        <v>4</v>
      </c>
      <c r="S475" s="154" t="s">
        <v>1061</v>
      </c>
      <c r="T475" s="154" t="s">
        <v>1267</v>
      </c>
      <c r="U475" s="154" t="s">
        <v>1071</v>
      </c>
      <c r="V475" s="154" t="s">
        <v>1072</v>
      </c>
      <c r="W475" s="154" t="s">
        <v>111</v>
      </c>
      <c r="X475" s="154" t="s">
        <v>1268</v>
      </c>
    </row>
    <row r="476" spans="1:24">
      <c r="A476" s="154" t="s">
        <v>102</v>
      </c>
      <c r="B476" s="154" t="s">
        <v>1401</v>
      </c>
      <c r="C476" s="155">
        <v>45958</v>
      </c>
      <c r="D476" s="155">
        <v>45946</v>
      </c>
      <c r="E476" s="159">
        <v>17416.18</v>
      </c>
      <c r="F476" s="159">
        <v>10149.459999999999</v>
      </c>
      <c r="G476" s="159">
        <v>10149.459999999999</v>
      </c>
      <c r="H476" s="184">
        <f t="shared" si="14"/>
        <v>45978</v>
      </c>
      <c r="I476" s="187" cm="1">
        <f t="array" ref="I476">G476*[15]!CalculateINPC(C476,H476,-1)</f>
        <v>10152.498139356399</v>
      </c>
      <c r="J476" s="187">
        <f t="shared" si="15"/>
        <v>10298.479825362263</v>
      </c>
      <c r="K476" s="187" cm="1">
        <f t="array" ref="K476">[15]!CalculateDICetip(C476,H476,1)*G476</f>
        <v>10228.078326127601</v>
      </c>
      <c r="L476" s="154">
        <v>277228</v>
      </c>
      <c r="M476" s="154" t="s">
        <v>200</v>
      </c>
      <c r="N476" s="154" t="s">
        <v>114</v>
      </c>
      <c r="O476" s="154" t="s">
        <v>115</v>
      </c>
      <c r="P476" s="154">
        <v>27189</v>
      </c>
      <c r="Q476" s="154" t="s">
        <v>1152</v>
      </c>
      <c r="R476" s="154">
        <v>4</v>
      </c>
      <c r="S476" s="154" t="s">
        <v>1061</v>
      </c>
      <c r="T476" s="154" t="s">
        <v>1269</v>
      </c>
      <c r="U476" s="154" t="s">
        <v>1071</v>
      </c>
      <c r="V476" s="154" t="s">
        <v>1072</v>
      </c>
      <c r="W476" s="154" t="s">
        <v>111</v>
      </c>
      <c r="X476" s="154" t="s">
        <v>1270</v>
      </c>
    </row>
    <row r="477" spans="1:24">
      <c r="A477" s="154" t="s">
        <v>102</v>
      </c>
      <c r="B477" s="154" t="s">
        <v>1401</v>
      </c>
      <c r="C477" s="155">
        <v>45958</v>
      </c>
      <c r="D477" s="155">
        <v>45946</v>
      </c>
      <c r="E477" s="159">
        <v>2467.31</v>
      </c>
      <c r="F477" s="159">
        <v>1841.39</v>
      </c>
      <c r="G477" s="159">
        <v>1841.39</v>
      </c>
      <c r="H477" s="184">
        <f t="shared" si="14"/>
        <v>45978</v>
      </c>
      <c r="I477" s="187" cm="1">
        <f t="array" ref="I477">G477*[15]!CalculateINPC(C477,H477,-1)</f>
        <v>1841.9412016826</v>
      </c>
      <c r="J477" s="187">
        <f t="shared" si="15"/>
        <v>1868.4262774200618</v>
      </c>
      <c r="K477" s="187" cm="1">
        <f t="array" ref="K477">[15]!CalculateDICetip(C477,H477,1)*G477</f>
        <v>1855.6535174234002</v>
      </c>
      <c r="L477" s="154">
        <v>277241</v>
      </c>
      <c r="M477" s="154" t="s">
        <v>200</v>
      </c>
      <c r="N477" s="154" t="s">
        <v>114</v>
      </c>
      <c r="O477" s="154" t="s">
        <v>115</v>
      </c>
      <c r="P477" s="154">
        <v>27213</v>
      </c>
      <c r="Q477" s="154" t="s">
        <v>1101</v>
      </c>
      <c r="R477" s="154">
        <v>4</v>
      </c>
      <c r="S477" s="154" t="s">
        <v>1061</v>
      </c>
      <c r="T477" s="154" t="s">
        <v>1271</v>
      </c>
      <c r="U477" s="154" t="s">
        <v>1071</v>
      </c>
      <c r="V477" s="154" t="s">
        <v>1072</v>
      </c>
      <c r="W477" s="154" t="s">
        <v>111</v>
      </c>
      <c r="X477" s="154" t="s">
        <v>1272</v>
      </c>
    </row>
    <row r="478" spans="1:24">
      <c r="A478" s="154" t="s">
        <v>102</v>
      </c>
      <c r="B478" s="154" t="s">
        <v>1401</v>
      </c>
      <c r="C478" s="155">
        <v>45958</v>
      </c>
      <c r="D478" s="155">
        <v>45958</v>
      </c>
      <c r="E478" s="159">
        <v>2467.31</v>
      </c>
      <c r="F478" s="159">
        <v>1841.39</v>
      </c>
      <c r="G478" s="159">
        <v>1841.39</v>
      </c>
      <c r="H478" s="184">
        <f t="shared" si="14"/>
        <v>45978</v>
      </c>
      <c r="I478" s="187" cm="1">
        <f t="array" ref="I478">G478*[15]!CalculateINPC(C478,H478,-1)</f>
        <v>1841.9412016826</v>
      </c>
      <c r="J478" s="187">
        <f t="shared" si="15"/>
        <v>1868.4262774200618</v>
      </c>
      <c r="K478" s="187" cm="1">
        <f t="array" ref="K478">[15]!CalculateDICetip(C478,H478,1)*G478</f>
        <v>1855.6535174234002</v>
      </c>
      <c r="L478" s="154">
        <v>277245</v>
      </c>
      <c r="M478" s="154" t="s">
        <v>200</v>
      </c>
      <c r="N478" s="154" t="s">
        <v>114</v>
      </c>
      <c r="O478" s="154" t="s">
        <v>115</v>
      </c>
      <c r="P478" s="154">
        <v>27203</v>
      </c>
      <c r="Q478" s="154" t="s">
        <v>1086</v>
      </c>
      <c r="R478" s="154">
        <v>4</v>
      </c>
      <c r="S478" s="154" t="s">
        <v>1061</v>
      </c>
      <c r="T478" s="154" t="s">
        <v>1273</v>
      </c>
      <c r="U478" s="154" t="s">
        <v>1071</v>
      </c>
      <c r="V478" s="154" t="s">
        <v>1072</v>
      </c>
      <c r="W478" s="154" t="s">
        <v>111</v>
      </c>
      <c r="X478" s="154" t="s">
        <v>1274</v>
      </c>
    </row>
    <row r="479" spans="1:24">
      <c r="A479" s="154" t="s">
        <v>102</v>
      </c>
      <c r="B479" s="154" t="s">
        <v>1401</v>
      </c>
      <c r="C479" s="155">
        <v>45958</v>
      </c>
      <c r="D479" s="155">
        <v>45946</v>
      </c>
      <c r="E479" s="159">
        <v>17416.18</v>
      </c>
      <c r="F479" s="159">
        <v>7266.72</v>
      </c>
      <c r="G479" s="159">
        <v>7266.72</v>
      </c>
      <c r="H479" s="184">
        <f t="shared" si="14"/>
        <v>45978</v>
      </c>
      <c r="I479" s="187" cm="1">
        <f t="array" ref="I479">G479*[15]!CalculateINPC(C479,H479,-1)</f>
        <v>7268.8952199648002</v>
      </c>
      <c r="J479" s="187">
        <f t="shared" si="15"/>
        <v>7373.4138876902298</v>
      </c>
      <c r="K479" s="187" cm="1">
        <f t="array" ref="K479">[15]!CalculateDICetip(C479,H479,1)*G479</f>
        <v>7323.008449123201</v>
      </c>
      <c r="L479" s="154">
        <v>277228</v>
      </c>
      <c r="M479" s="154" t="s">
        <v>200</v>
      </c>
      <c r="N479" s="154" t="s">
        <v>114</v>
      </c>
      <c r="O479" s="154" t="s">
        <v>115</v>
      </c>
      <c r="P479" s="154">
        <v>27189</v>
      </c>
      <c r="Q479" s="154" t="s">
        <v>1152</v>
      </c>
      <c r="R479" s="154">
        <v>4</v>
      </c>
      <c r="S479" s="154" t="s">
        <v>1061</v>
      </c>
      <c r="T479" s="154" t="s">
        <v>1269</v>
      </c>
      <c r="U479" s="154" t="s">
        <v>1071</v>
      </c>
      <c r="V479" s="154" t="s">
        <v>1072</v>
      </c>
      <c r="W479" s="154" t="s">
        <v>111</v>
      </c>
      <c r="X479" s="154" t="s">
        <v>1270</v>
      </c>
    </row>
    <row r="480" spans="1:24">
      <c r="A480" s="154" t="s">
        <v>102</v>
      </c>
      <c r="B480" s="154" t="s">
        <v>1401</v>
      </c>
      <c r="C480" s="155">
        <v>45958</v>
      </c>
      <c r="D480" s="155">
        <v>45946</v>
      </c>
      <c r="E480" s="159">
        <v>2467.31</v>
      </c>
      <c r="F480" s="159">
        <v>1841.39</v>
      </c>
      <c r="G480" s="159">
        <v>1841.39</v>
      </c>
      <c r="H480" s="184">
        <f t="shared" si="14"/>
        <v>45978</v>
      </c>
      <c r="I480" s="187" cm="1">
        <f t="array" ref="I480">G480*[15]!CalculateINPC(C480,H480,-1)</f>
        <v>1841.9412016826</v>
      </c>
      <c r="J480" s="187">
        <f t="shared" si="15"/>
        <v>1868.4262774200618</v>
      </c>
      <c r="K480" s="187" cm="1">
        <f t="array" ref="K480">[15]!CalculateDICetip(C480,H480,1)*G480</f>
        <v>1855.6535174234002</v>
      </c>
      <c r="L480" s="154">
        <v>277230</v>
      </c>
      <c r="M480" s="154" t="s">
        <v>200</v>
      </c>
      <c r="N480" s="154" t="s">
        <v>114</v>
      </c>
      <c r="O480" s="154" t="s">
        <v>115</v>
      </c>
      <c r="P480" s="154">
        <v>27211</v>
      </c>
      <c r="Q480" s="154" t="s">
        <v>1107</v>
      </c>
      <c r="R480" s="154">
        <v>4</v>
      </c>
      <c r="S480" s="154" t="s">
        <v>1061</v>
      </c>
      <c r="T480" s="154" t="s">
        <v>1275</v>
      </c>
      <c r="U480" s="154" t="s">
        <v>1071</v>
      </c>
      <c r="V480" s="154" t="s">
        <v>1072</v>
      </c>
      <c r="W480" s="154" t="s">
        <v>111</v>
      </c>
      <c r="X480" s="154" t="s">
        <v>1276</v>
      </c>
    </row>
    <row r="481" spans="1:24">
      <c r="A481" s="154" t="s">
        <v>102</v>
      </c>
      <c r="B481" s="154" t="s">
        <v>1401</v>
      </c>
      <c r="C481" s="155">
        <v>45958</v>
      </c>
      <c r="D481" s="155">
        <v>45947</v>
      </c>
      <c r="E481" s="159">
        <v>3646.7</v>
      </c>
      <c r="F481" s="159">
        <v>1506.51</v>
      </c>
      <c r="G481" s="159">
        <v>1506.51</v>
      </c>
      <c r="H481" s="184">
        <f t="shared" si="14"/>
        <v>45978</v>
      </c>
      <c r="I481" s="187" cm="1">
        <f t="array" ref="I481">G481*[15]!CalculateINPC(C481,H481,-1)</f>
        <v>1506.9609587033999</v>
      </c>
      <c r="J481" s="187">
        <f t="shared" si="15"/>
        <v>1528.629389317905</v>
      </c>
      <c r="K481" s="187" cm="1">
        <f t="array" ref="K481">[15]!CalculateDICetip(C481,H481,1)*G481</f>
        <v>1518.1795168506001</v>
      </c>
      <c r="L481" s="154">
        <v>277261</v>
      </c>
      <c r="M481" s="154" t="s">
        <v>200</v>
      </c>
      <c r="N481" s="154" t="s">
        <v>114</v>
      </c>
      <c r="O481" s="154" t="s">
        <v>115</v>
      </c>
      <c r="P481" s="154">
        <v>27228</v>
      </c>
      <c r="Q481" s="154" t="s">
        <v>1126</v>
      </c>
      <c r="R481" s="154">
        <v>4</v>
      </c>
      <c r="S481" s="154" t="s">
        <v>1061</v>
      </c>
      <c r="T481" s="154" t="s">
        <v>1277</v>
      </c>
      <c r="U481" s="154" t="s">
        <v>1071</v>
      </c>
      <c r="V481" s="154" t="s">
        <v>1072</v>
      </c>
      <c r="W481" s="154" t="s">
        <v>111</v>
      </c>
      <c r="X481" s="154" t="s">
        <v>1278</v>
      </c>
    </row>
    <row r="482" spans="1:24">
      <c r="A482" s="154" t="s">
        <v>102</v>
      </c>
      <c r="B482" s="154" t="s">
        <v>1401</v>
      </c>
      <c r="C482" s="155">
        <v>45958</v>
      </c>
      <c r="D482" s="155">
        <v>45946</v>
      </c>
      <c r="E482" s="159">
        <v>2758.38</v>
      </c>
      <c r="F482" s="159">
        <v>2058.54</v>
      </c>
      <c r="G482" s="159">
        <v>2058.54</v>
      </c>
      <c r="H482" s="184">
        <f t="shared" si="14"/>
        <v>45978</v>
      </c>
      <c r="I482" s="187" cm="1">
        <f t="array" ref="I482">G482*[15]!CalculateINPC(C482,H482,-1)</f>
        <v>2059.1562033636001</v>
      </c>
      <c r="J482" s="187">
        <f t="shared" si="15"/>
        <v>2088.7645904019755</v>
      </c>
      <c r="K482" s="187" cm="1">
        <f t="array" ref="K482">[15]!CalculateDICetip(C482,H482,1)*G482</f>
        <v>2074.4855743524004</v>
      </c>
      <c r="L482" s="154">
        <v>277249</v>
      </c>
      <c r="M482" s="154" t="s">
        <v>200</v>
      </c>
      <c r="N482" s="154" t="s">
        <v>114</v>
      </c>
      <c r="O482" s="154" t="s">
        <v>115</v>
      </c>
      <c r="P482" s="154">
        <v>27220</v>
      </c>
      <c r="Q482" s="154" t="s">
        <v>1092</v>
      </c>
      <c r="R482" s="154">
        <v>4</v>
      </c>
      <c r="S482" s="154" t="s">
        <v>1061</v>
      </c>
      <c r="T482" s="154" t="s">
        <v>1279</v>
      </c>
      <c r="U482" s="154" t="s">
        <v>1071</v>
      </c>
      <c r="V482" s="154" t="s">
        <v>1072</v>
      </c>
      <c r="W482" s="154" t="s">
        <v>111</v>
      </c>
      <c r="X482" s="154" t="s">
        <v>1280</v>
      </c>
    </row>
    <row r="483" spans="1:24">
      <c r="A483" s="154" t="s">
        <v>102</v>
      </c>
      <c r="B483" s="154" t="s">
        <v>1401</v>
      </c>
      <c r="C483" s="155">
        <v>45958</v>
      </c>
      <c r="D483" s="155">
        <v>45946</v>
      </c>
      <c r="E483" s="159">
        <v>2467.31</v>
      </c>
      <c r="F483" s="159">
        <v>1841.39</v>
      </c>
      <c r="G483" s="159">
        <v>1841.39</v>
      </c>
      <c r="H483" s="184">
        <f t="shared" si="14"/>
        <v>45978</v>
      </c>
      <c r="I483" s="187" cm="1">
        <f t="array" ref="I483">G483*[15]!CalculateINPC(C483,H483,-1)</f>
        <v>1841.9412016826</v>
      </c>
      <c r="J483" s="187">
        <f t="shared" si="15"/>
        <v>1868.4262774200618</v>
      </c>
      <c r="K483" s="187" cm="1">
        <f t="array" ref="K483">[15]!CalculateDICetip(C483,H483,1)*G483</f>
        <v>1855.6535174234002</v>
      </c>
      <c r="L483" s="154">
        <v>277252</v>
      </c>
      <c r="M483" s="154" t="s">
        <v>200</v>
      </c>
      <c r="N483" s="154" t="s">
        <v>114</v>
      </c>
      <c r="O483" s="154" t="s">
        <v>115</v>
      </c>
      <c r="P483" s="154">
        <v>27215</v>
      </c>
      <c r="Q483" s="154" t="s">
        <v>1095</v>
      </c>
      <c r="R483" s="154">
        <v>4</v>
      </c>
      <c r="S483" s="154" t="s">
        <v>1061</v>
      </c>
      <c r="T483" s="154" t="s">
        <v>1281</v>
      </c>
      <c r="U483" s="154" t="s">
        <v>1071</v>
      </c>
      <c r="V483" s="154" t="s">
        <v>1072</v>
      </c>
      <c r="W483" s="154" t="s">
        <v>111</v>
      </c>
      <c r="X483" s="154" t="s">
        <v>1282</v>
      </c>
    </row>
    <row r="484" spans="1:24">
      <c r="A484" s="154" t="s">
        <v>102</v>
      </c>
      <c r="B484" s="154" t="s">
        <v>1401</v>
      </c>
      <c r="C484" s="155">
        <v>45958</v>
      </c>
      <c r="D484" s="155">
        <v>45947</v>
      </c>
      <c r="E484" s="159">
        <v>3646.7</v>
      </c>
      <c r="F484" s="159">
        <v>2140.19</v>
      </c>
      <c r="G484" s="159">
        <v>2140.19</v>
      </c>
      <c r="H484" s="184">
        <f t="shared" si="14"/>
        <v>45978</v>
      </c>
      <c r="I484" s="187" cm="1">
        <f t="array" ref="I484">G484*[15]!CalculateINPC(C484,H484,-1)</f>
        <v>2140.8306444745999</v>
      </c>
      <c r="J484" s="187">
        <f t="shared" si="15"/>
        <v>2171.6134195752352</v>
      </c>
      <c r="K484" s="187" cm="1">
        <f t="array" ref="K484">[15]!CalculateDICetip(C484,H484,1)*G484</f>
        <v>2156.7680401514003</v>
      </c>
      <c r="L484" s="154">
        <v>277261</v>
      </c>
      <c r="M484" s="154" t="s">
        <v>200</v>
      </c>
      <c r="N484" s="154" t="s">
        <v>114</v>
      </c>
      <c r="O484" s="154" t="s">
        <v>115</v>
      </c>
      <c r="P484" s="154">
        <v>27228</v>
      </c>
      <c r="Q484" s="154" t="s">
        <v>1126</v>
      </c>
      <c r="R484" s="154">
        <v>4</v>
      </c>
      <c r="S484" s="154" t="s">
        <v>1061</v>
      </c>
      <c r="T484" s="154" t="s">
        <v>1277</v>
      </c>
      <c r="U484" s="154" t="s">
        <v>1071</v>
      </c>
      <c r="V484" s="154" t="s">
        <v>1072</v>
      </c>
      <c r="W484" s="154" t="s">
        <v>111</v>
      </c>
      <c r="X484" s="154" t="s">
        <v>1278</v>
      </c>
    </row>
    <row r="485" spans="1:24">
      <c r="A485" s="154" t="s">
        <v>102</v>
      </c>
      <c r="B485" s="154" t="s">
        <v>1401</v>
      </c>
      <c r="C485" s="155">
        <v>45958</v>
      </c>
      <c r="D485" s="155">
        <v>45946</v>
      </c>
      <c r="E485" s="159">
        <v>2467.31</v>
      </c>
      <c r="F485" s="159">
        <v>625.91999999999996</v>
      </c>
      <c r="G485" s="159">
        <v>625.91999999999996</v>
      </c>
      <c r="H485" s="184">
        <f t="shared" si="14"/>
        <v>45978</v>
      </c>
      <c r="I485" s="187" cm="1">
        <f t="array" ref="I485">G485*[15]!CalculateINPC(C485,H485,-1)</f>
        <v>626.10736289279998</v>
      </c>
      <c r="J485" s="187">
        <f t="shared" si="15"/>
        <v>635.11009376762388</v>
      </c>
      <c r="K485" s="187" cm="1">
        <f t="array" ref="K485">[15]!CalculateDICetip(C485,H485,1)*G485</f>
        <v>630.76841387520005</v>
      </c>
      <c r="L485" s="154">
        <v>277241</v>
      </c>
      <c r="M485" s="154" t="s">
        <v>200</v>
      </c>
      <c r="N485" s="154" t="s">
        <v>114</v>
      </c>
      <c r="O485" s="154" t="s">
        <v>115</v>
      </c>
      <c r="P485" s="154">
        <v>27213</v>
      </c>
      <c r="Q485" s="154" t="s">
        <v>1101</v>
      </c>
      <c r="R485" s="154">
        <v>4</v>
      </c>
      <c r="S485" s="154" t="s">
        <v>1061</v>
      </c>
      <c r="T485" s="154" t="s">
        <v>1271</v>
      </c>
      <c r="U485" s="154" t="s">
        <v>1071</v>
      </c>
      <c r="V485" s="154" t="s">
        <v>1072</v>
      </c>
      <c r="W485" s="154" t="s">
        <v>111</v>
      </c>
      <c r="X485" s="154" t="s">
        <v>1272</v>
      </c>
    </row>
    <row r="486" spans="1:24">
      <c r="A486" s="154" t="s">
        <v>102</v>
      </c>
      <c r="B486" s="154" t="s">
        <v>1401</v>
      </c>
      <c r="C486" s="155">
        <v>45958</v>
      </c>
      <c r="D486" s="155">
        <v>45946</v>
      </c>
      <c r="E486" s="159">
        <v>2467.31</v>
      </c>
      <c r="F486" s="159">
        <v>625.91999999999996</v>
      </c>
      <c r="G486" s="159">
        <v>625.91999999999996</v>
      </c>
      <c r="H486" s="184">
        <f t="shared" si="14"/>
        <v>45978</v>
      </c>
      <c r="I486" s="187" cm="1">
        <f t="array" ref="I486">G486*[15]!CalculateINPC(C486,H486,-1)</f>
        <v>626.10736289279998</v>
      </c>
      <c r="J486" s="187">
        <f t="shared" si="15"/>
        <v>635.11009376762388</v>
      </c>
      <c r="K486" s="187" cm="1">
        <f t="array" ref="K486">[15]!CalculateDICetip(C486,H486,1)*G486</f>
        <v>630.76841387520005</v>
      </c>
      <c r="L486" s="154">
        <v>277252</v>
      </c>
      <c r="M486" s="154" t="s">
        <v>200</v>
      </c>
      <c r="N486" s="154" t="s">
        <v>114</v>
      </c>
      <c r="O486" s="154" t="s">
        <v>115</v>
      </c>
      <c r="P486" s="154">
        <v>27215</v>
      </c>
      <c r="Q486" s="154" t="s">
        <v>1095</v>
      </c>
      <c r="R486" s="154">
        <v>4</v>
      </c>
      <c r="S486" s="154" t="s">
        <v>1061</v>
      </c>
      <c r="T486" s="154" t="s">
        <v>1281</v>
      </c>
      <c r="U486" s="154" t="s">
        <v>1071</v>
      </c>
      <c r="V486" s="154" t="s">
        <v>1072</v>
      </c>
      <c r="W486" s="154" t="s">
        <v>111</v>
      </c>
      <c r="X486" s="154" t="s">
        <v>1282</v>
      </c>
    </row>
    <row r="487" spans="1:24">
      <c r="A487" s="154" t="s">
        <v>102</v>
      </c>
      <c r="B487" s="154" t="s">
        <v>1401</v>
      </c>
      <c r="C487" s="155">
        <v>45958</v>
      </c>
      <c r="D487" s="155">
        <v>45946</v>
      </c>
      <c r="E487" s="159">
        <v>2467.31</v>
      </c>
      <c r="F487" s="159">
        <v>625.91999999999996</v>
      </c>
      <c r="G487" s="159">
        <v>625.91999999999996</v>
      </c>
      <c r="H487" s="184">
        <f t="shared" si="14"/>
        <v>45978</v>
      </c>
      <c r="I487" s="187" cm="1">
        <f t="array" ref="I487">G487*[15]!CalculateINPC(C487,H487,-1)</f>
        <v>626.10736289279998</v>
      </c>
      <c r="J487" s="187">
        <f t="shared" si="15"/>
        <v>635.11009376762388</v>
      </c>
      <c r="K487" s="187" cm="1">
        <f t="array" ref="K487">[15]!CalculateDICetip(C487,H487,1)*G487</f>
        <v>630.76841387520005</v>
      </c>
      <c r="L487" s="154">
        <v>277230</v>
      </c>
      <c r="M487" s="154" t="s">
        <v>200</v>
      </c>
      <c r="N487" s="154" t="s">
        <v>114</v>
      </c>
      <c r="O487" s="154" t="s">
        <v>115</v>
      </c>
      <c r="P487" s="154">
        <v>27211</v>
      </c>
      <c r="Q487" s="154" t="s">
        <v>1107</v>
      </c>
      <c r="R487" s="154">
        <v>4</v>
      </c>
      <c r="S487" s="154" t="s">
        <v>1061</v>
      </c>
      <c r="T487" s="154" t="s">
        <v>1275</v>
      </c>
      <c r="U487" s="154" t="s">
        <v>1071</v>
      </c>
      <c r="V487" s="154" t="s">
        <v>1072</v>
      </c>
      <c r="W487" s="154" t="s">
        <v>111</v>
      </c>
      <c r="X487" s="154" t="s">
        <v>1276</v>
      </c>
    </row>
    <row r="488" spans="1:24">
      <c r="A488" s="154" t="s">
        <v>102</v>
      </c>
      <c r="B488" s="154" t="s">
        <v>1401</v>
      </c>
      <c r="C488" s="155">
        <v>45958</v>
      </c>
      <c r="D488" s="155">
        <v>45946</v>
      </c>
      <c r="E488" s="159">
        <v>2758.38</v>
      </c>
      <c r="F488" s="159">
        <v>699.84</v>
      </c>
      <c r="G488" s="159">
        <v>699.84</v>
      </c>
      <c r="H488" s="184">
        <f t="shared" si="14"/>
        <v>45978</v>
      </c>
      <c r="I488" s="187" cm="1">
        <f t="array" ref="I488">G488*[15]!CalculateINPC(C488,H488,-1)</f>
        <v>700.04949010560006</v>
      </c>
      <c r="J488" s="187">
        <f t="shared" si="15"/>
        <v>710.11542692729734</v>
      </c>
      <c r="K488" s="187" cm="1">
        <f t="array" ref="K488">[15]!CalculateDICetip(C488,H488,1)*G488</f>
        <v>705.26100263040007</v>
      </c>
      <c r="L488" s="154">
        <v>277249</v>
      </c>
      <c r="M488" s="154" t="s">
        <v>200</v>
      </c>
      <c r="N488" s="154" t="s">
        <v>114</v>
      </c>
      <c r="O488" s="154" t="s">
        <v>115</v>
      </c>
      <c r="P488" s="154">
        <v>27220</v>
      </c>
      <c r="Q488" s="154" t="s">
        <v>1092</v>
      </c>
      <c r="R488" s="154">
        <v>4</v>
      </c>
      <c r="S488" s="154" t="s">
        <v>1061</v>
      </c>
      <c r="T488" s="154" t="s">
        <v>1279</v>
      </c>
      <c r="U488" s="154" t="s">
        <v>1071</v>
      </c>
      <c r="V488" s="154" t="s">
        <v>1072</v>
      </c>
      <c r="W488" s="154" t="s">
        <v>111</v>
      </c>
      <c r="X488" s="154" t="s">
        <v>1280</v>
      </c>
    </row>
    <row r="489" spans="1:24">
      <c r="A489" s="154" t="s">
        <v>102</v>
      </c>
      <c r="B489" s="154" t="s">
        <v>1401</v>
      </c>
      <c r="C489" s="155">
        <v>45958</v>
      </c>
      <c r="D489" s="155">
        <v>45958</v>
      </c>
      <c r="E489" s="159">
        <v>2467.31</v>
      </c>
      <c r="F489" s="159">
        <v>625.91999999999996</v>
      </c>
      <c r="G489" s="159">
        <v>625.91999999999996</v>
      </c>
      <c r="H489" s="184">
        <f t="shared" si="14"/>
        <v>45978</v>
      </c>
      <c r="I489" s="187" cm="1">
        <f t="array" ref="I489">G489*[15]!CalculateINPC(C489,H489,-1)</f>
        <v>626.10736289279998</v>
      </c>
      <c r="J489" s="187">
        <f t="shared" si="15"/>
        <v>635.11009376762388</v>
      </c>
      <c r="K489" s="187" cm="1">
        <f t="array" ref="K489">[15]!CalculateDICetip(C489,H489,1)*G489</f>
        <v>630.76841387520005</v>
      </c>
      <c r="L489" s="154">
        <v>277245</v>
      </c>
      <c r="M489" s="154" t="s">
        <v>200</v>
      </c>
      <c r="N489" s="154" t="s">
        <v>114</v>
      </c>
      <c r="O489" s="154" t="s">
        <v>115</v>
      </c>
      <c r="P489" s="154">
        <v>27203</v>
      </c>
      <c r="Q489" s="154" t="s">
        <v>1086</v>
      </c>
      <c r="R489" s="154">
        <v>4</v>
      </c>
      <c r="S489" s="154" t="s">
        <v>1061</v>
      </c>
      <c r="T489" s="154" t="s">
        <v>1273</v>
      </c>
      <c r="U489" s="154" t="s">
        <v>1071</v>
      </c>
      <c r="V489" s="154" t="s">
        <v>1072</v>
      </c>
      <c r="W489" s="154" t="s">
        <v>111</v>
      </c>
      <c r="X489" s="154" t="s">
        <v>1274</v>
      </c>
    </row>
    <row r="490" spans="1:24">
      <c r="A490" s="154" t="s">
        <v>102</v>
      </c>
      <c r="B490" s="154" t="s">
        <v>1401</v>
      </c>
      <c r="C490" s="155">
        <v>45958</v>
      </c>
      <c r="D490" s="155">
        <v>45958</v>
      </c>
      <c r="E490" s="159">
        <v>3419.66</v>
      </c>
      <c r="F490" s="159">
        <v>2729.28</v>
      </c>
      <c r="G490" s="159">
        <v>2729.28</v>
      </c>
      <c r="H490" s="184">
        <f t="shared" si="14"/>
        <v>45978</v>
      </c>
      <c r="I490" s="187" cm="1">
        <f t="array" ref="I490">G490*[15]!CalculateINPC(C490,H490,-1)</f>
        <v>2730.0969826752003</v>
      </c>
      <c r="J490" s="187">
        <f t="shared" si="15"/>
        <v>2769.3527554928755</v>
      </c>
      <c r="K490" s="187" cm="1">
        <f t="array" ref="K490">[15]!CalculateDICetip(C490,H490,1)*G490</f>
        <v>2750.4211666368005</v>
      </c>
      <c r="L490" s="154">
        <v>277255</v>
      </c>
      <c r="M490" s="154" t="s">
        <v>200</v>
      </c>
      <c r="N490" s="154" t="s">
        <v>114</v>
      </c>
      <c r="O490" s="154" t="s">
        <v>115</v>
      </c>
      <c r="P490" s="154">
        <v>27233</v>
      </c>
      <c r="Q490" s="154" t="s">
        <v>1104</v>
      </c>
      <c r="R490" s="154">
        <v>4</v>
      </c>
      <c r="S490" s="154" t="s">
        <v>1061</v>
      </c>
      <c r="T490" s="154" t="s">
        <v>1283</v>
      </c>
      <c r="U490" s="154" t="s">
        <v>1071</v>
      </c>
      <c r="V490" s="154" t="s">
        <v>1072</v>
      </c>
      <c r="W490" s="154" t="s">
        <v>111</v>
      </c>
      <c r="X490" s="154" t="s">
        <v>1284</v>
      </c>
    </row>
    <row r="491" spans="1:24">
      <c r="A491" s="154" t="s">
        <v>102</v>
      </c>
      <c r="B491" s="154" t="s">
        <v>1401</v>
      </c>
      <c r="C491" s="155">
        <v>45958</v>
      </c>
      <c r="D491" s="155">
        <v>45946</v>
      </c>
      <c r="E491" s="159">
        <v>2467.31</v>
      </c>
      <c r="F491" s="159">
        <v>625.91999999999996</v>
      </c>
      <c r="G491" s="159">
        <v>625.91999999999996</v>
      </c>
      <c r="H491" s="184">
        <f t="shared" si="14"/>
        <v>45978</v>
      </c>
      <c r="I491" s="187" cm="1">
        <f t="array" ref="I491">G491*[15]!CalculateINPC(C491,H491,-1)</f>
        <v>626.10736289279998</v>
      </c>
      <c r="J491" s="187">
        <f t="shared" si="15"/>
        <v>635.11009376762388</v>
      </c>
      <c r="K491" s="187" cm="1">
        <f t="array" ref="K491">[15]!CalculateDICetip(C491,H491,1)*G491</f>
        <v>630.76841387520005</v>
      </c>
      <c r="L491" s="154">
        <v>277205</v>
      </c>
      <c r="M491" s="154" t="s">
        <v>200</v>
      </c>
      <c r="N491" s="154" t="s">
        <v>114</v>
      </c>
      <c r="O491" s="154" t="s">
        <v>115</v>
      </c>
      <c r="P491" s="154">
        <v>27205</v>
      </c>
      <c r="Q491" s="154" t="s">
        <v>1089</v>
      </c>
      <c r="R491" s="154">
        <v>4</v>
      </c>
      <c r="S491" s="154" t="s">
        <v>1061</v>
      </c>
      <c r="T491" s="154" t="s">
        <v>1285</v>
      </c>
      <c r="U491" s="154" t="s">
        <v>1071</v>
      </c>
      <c r="V491" s="154" t="s">
        <v>1072</v>
      </c>
      <c r="W491" s="154" t="s">
        <v>111</v>
      </c>
      <c r="X491" s="154" t="s">
        <v>1286</v>
      </c>
    </row>
    <row r="492" spans="1:24">
      <c r="A492" s="154" t="s">
        <v>102</v>
      </c>
      <c r="B492" s="154" t="s">
        <v>1401</v>
      </c>
      <c r="C492" s="155">
        <v>45958</v>
      </c>
      <c r="D492" s="155">
        <v>45946</v>
      </c>
      <c r="E492" s="159">
        <v>2569.56</v>
      </c>
      <c r="F492" s="159">
        <v>2569.56</v>
      </c>
      <c r="G492" s="159">
        <v>2569.56</v>
      </c>
      <c r="H492" s="184">
        <f t="shared" si="14"/>
        <v>45978</v>
      </c>
      <c r="I492" s="187" cm="1">
        <f t="array" ref="I492">G492*[15]!CalculateINPC(C492,H492,-1)</f>
        <v>2570.3291720903999</v>
      </c>
      <c r="J492" s="187">
        <f t="shared" si="15"/>
        <v>2607.2876606300097</v>
      </c>
      <c r="K492" s="187" cm="1">
        <f t="array" ref="K492">[15]!CalculateDICetip(C492,H492,1)*G492</f>
        <v>2589.4639659336003</v>
      </c>
      <c r="L492" s="154">
        <v>277233</v>
      </c>
      <c r="M492" s="154" t="s">
        <v>200</v>
      </c>
      <c r="N492" s="154" t="s">
        <v>114</v>
      </c>
      <c r="O492" s="154" t="s">
        <v>115</v>
      </c>
      <c r="P492" s="154">
        <v>27223</v>
      </c>
      <c r="Q492" s="154" t="s">
        <v>1067</v>
      </c>
      <c r="R492" s="154">
        <v>4</v>
      </c>
      <c r="S492" s="154" t="s">
        <v>1061</v>
      </c>
      <c r="T492" s="154" t="s">
        <v>1287</v>
      </c>
      <c r="U492" s="154" t="s">
        <v>1071</v>
      </c>
      <c r="V492" s="154" t="s">
        <v>1072</v>
      </c>
      <c r="W492" s="154" t="s">
        <v>111</v>
      </c>
      <c r="X492" s="154" t="s">
        <v>1288</v>
      </c>
    </row>
    <row r="493" spans="1:24">
      <c r="A493" s="154" t="s">
        <v>102</v>
      </c>
      <c r="B493" s="154" t="s">
        <v>1401</v>
      </c>
      <c r="C493" s="155">
        <v>45958</v>
      </c>
      <c r="D493" s="155">
        <v>45946</v>
      </c>
      <c r="E493" s="159">
        <v>10453.44</v>
      </c>
      <c r="F493" s="159">
        <v>10453.44</v>
      </c>
      <c r="G493" s="159">
        <v>10453.44</v>
      </c>
      <c r="H493" s="184">
        <f t="shared" si="14"/>
        <v>45978</v>
      </c>
      <c r="I493" s="187" cm="1">
        <f t="array" ref="I493">G493*[15]!CalculateINPC(C493,H493,-1)</f>
        <v>10456.569132729601</v>
      </c>
      <c r="J493" s="187">
        <f t="shared" si="15"/>
        <v>10606.923023060825</v>
      </c>
      <c r="K493" s="187" cm="1">
        <f t="array" ref="K493">[15]!CalculateDICetip(C493,H493,1)*G493</f>
        <v>10534.412973446402</v>
      </c>
      <c r="L493" s="154">
        <v>277240</v>
      </c>
      <c r="M493" s="154" t="s">
        <v>200</v>
      </c>
      <c r="N493" s="154" t="s">
        <v>114</v>
      </c>
      <c r="O493" s="154" t="s">
        <v>115</v>
      </c>
      <c r="P493" s="154">
        <v>27195</v>
      </c>
      <c r="Q493" s="154" t="s">
        <v>1098</v>
      </c>
      <c r="R493" s="154">
        <v>4</v>
      </c>
      <c r="S493" s="154" t="s">
        <v>1061</v>
      </c>
      <c r="T493" s="154" t="s">
        <v>1289</v>
      </c>
      <c r="U493" s="154" t="s">
        <v>1071</v>
      </c>
      <c r="V493" s="154" t="s">
        <v>1072</v>
      </c>
      <c r="W493" s="154" t="s">
        <v>111</v>
      </c>
      <c r="X493" s="154" t="s">
        <v>1290</v>
      </c>
    </row>
    <row r="494" spans="1:24">
      <c r="A494" s="154" t="s">
        <v>102</v>
      </c>
      <c r="B494" s="154" t="s">
        <v>1401</v>
      </c>
      <c r="C494" s="155">
        <v>45958</v>
      </c>
      <c r="D494" s="155">
        <v>45946</v>
      </c>
      <c r="E494" s="159">
        <v>2467.31</v>
      </c>
      <c r="F494" s="159">
        <v>625.91999999999996</v>
      </c>
      <c r="G494" s="159">
        <v>625.91999999999996</v>
      </c>
      <c r="H494" s="184">
        <f t="shared" si="14"/>
        <v>45978</v>
      </c>
      <c r="I494" s="187" cm="1">
        <f t="array" ref="I494">G494*[15]!CalculateINPC(C494,H494,-1)</f>
        <v>626.10736289279998</v>
      </c>
      <c r="J494" s="187">
        <f t="shared" si="15"/>
        <v>635.11009376762388</v>
      </c>
      <c r="K494" s="187" cm="1">
        <f t="array" ref="K494">[15]!CalculateDICetip(C494,H494,1)*G494</f>
        <v>630.76841387520005</v>
      </c>
      <c r="L494" s="154">
        <v>277223</v>
      </c>
      <c r="M494" s="154" t="s">
        <v>200</v>
      </c>
      <c r="N494" s="154" t="s">
        <v>114</v>
      </c>
      <c r="O494" s="154" t="s">
        <v>115</v>
      </c>
      <c r="P494" s="154">
        <v>27209</v>
      </c>
      <c r="Q494" s="154" t="s">
        <v>1110</v>
      </c>
      <c r="R494" s="154">
        <v>4</v>
      </c>
      <c r="S494" s="154" t="s">
        <v>1061</v>
      </c>
      <c r="T494" s="154" t="s">
        <v>1267</v>
      </c>
      <c r="U494" s="154" t="s">
        <v>1071</v>
      </c>
      <c r="V494" s="154" t="s">
        <v>1072</v>
      </c>
      <c r="W494" s="154" t="s">
        <v>111</v>
      </c>
      <c r="X494" s="154" t="s">
        <v>1268</v>
      </c>
    </row>
    <row r="495" spans="1:24">
      <c r="A495" s="154" t="s">
        <v>102</v>
      </c>
      <c r="B495" s="154" t="s">
        <v>1401</v>
      </c>
      <c r="C495" s="155">
        <v>45958</v>
      </c>
      <c r="D495" s="155">
        <v>45946</v>
      </c>
      <c r="E495" s="159">
        <v>2467.31</v>
      </c>
      <c r="F495" s="159">
        <v>1841.39</v>
      </c>
      <c r="G495" s="159">
        <v>1841.39</v>
      </c>
      <c r="H495" s="184">
        <f t="shared" si="14"/>
        <v>45978</v>
      </c>
      <c r="I495" s="187" cm="1">
        <f t="array" ref="I495">G495*[15]!CalculateINPC(C495,H495,-1)</f>
        <v>1841.9412016826</v>
      </c>
      <c r="J495" s="187">
        <f t="shared" si="15"/>
        <v>1868.4262774200618</v>
      </c>
      <c r="K495" s="187" cm="1">
        <f t="array" ref="K495">[15]!CalculateDICetip(C495,H495,1)*G495</f>
        <v>1855.6535174234002</v>
      </c>
      <c r="L495" s="154">
        <v>277205</v>
      </c>
      <c r="M495" s="154" t="s">
        <v>200</v>
      </c>
      <c r="N495" s="154" t="s">
        <v>114</v>
      </c>
      <c r="O495" s="154" t="s">
        <v>115</v>
      </c>
      <c r="P495" s="154">
        <v>27205</v>
      </c>
      <c r="Q495" s="154" t="s">
        <v>1089</v>
      </c>
      <c r="R495" s="154">
        <v>4</v>
      </c>
      <c r="S495" s="154" t="s">
        <v>1061</v>
      </c>
      <c r="T495" s="154" t="s">
        <v>1285</v>
      </c>
      <c r="U495" s="154" t="s">
        <v>1071</v>
      </c>
      <c r="V495" s="154" t="s">
        <v>1072</v>
      </c>
      <c r="W495" s="154" t="s">
        <v>111</v>
      </c>
      <c r="X495" s="154" t="s">
        <v>1286</v>
      </c>
    </row>
    <row r="496" spans="1:24">
      <c r="A496" s="154" t="s">
        <v>102</v>
      </c>
      <c r="B496" s="154" t="s">
        <v>1401</v>
      </c>
      <c r="C496" s="155">
        <v>45958</v>
      </c>
      <c r="D496" s="155">
        <v>45947</v>
      </c>
      <c r="E496" s="159">
        <v>2884.2</v>
      </c>
      <c r="F496" s="159">
        <v>2884.2</v>
      </c>
      <c r="G496" s="159">
        <v>2884.2</v>
      </c>
      <c r="H496" s="184">
        <f t="shared" si="14"/>
        <v>45978</v>
      </c>
      <c r="I496" s="187" cm="1">
        <f t="array" ref="I496">G496*[15]!CalculateINPC(C496,H496,-1)</f>
        <v>2885.0633564279997</v>
      </c>
      <c r="J496" s="187">
        <f t="shared" si="15"/>
        <v>2926.5473741765413</v>
      </c>
      <c r="K496" s="187" cm="1">
        <f t="array" ref="K496">[15]!CalculateDICetip(C496,H496,1)*G496</f>
        <v>2906.541186252</v>
      </c>
      <c r="L496" s="154">
        <v>277264</v>
      </c>
      <c r="M496" s="154" t="s">
        <v>200</v>
      </c>
      <c r="N496" s="154" t="s">
        <v>114</v>
      </c>
      <c r="O496" s="154" t="s">
        <v>115</v>
      </c>
      <c r="P496" s="154">
        <v>27234</v>
      </c>
      <c r="Q496" s="154" t="s">
        <v>1083</v>
      </c>
      <c r="R496" s="154">
        <v>4</v>
      </c>
      <c r="S496" s="154" t="s">
        <v>1061</v>
      </c>
      <c r="T496" s="154" t="s">
        <v>1291</v>
      </c>
      <c r="U496" s="154" t="s">
        <v>1071</v>
      </c>
      <c r="V496" s="154" t="s">
        <v>1072</v>
      </c>
      <c r="W496" s="154" t="s">
        <v>111</v>
      </c>
      <c r="X496" s="154" t="s">
        <v>1292</v>
      </c>
    </row>
    <row r="497" spans="1:24">
      <c r="A497" s="154" t="s">
        <v>102</v>
      </c>
      <c r="B497" s="154" t="s">
        <v>1401</v>
      </c>
      <c r="C497" s="155">
        <v>45958</v>
      </c>
      <c r="D497" s="155">
        <v>45946</v>
      </c>
      <c r="E497" s="159">
        <v>2766.35</v>
      </c>
      <c r="F497" s="159">
        <v>2064.4699999999998</v>
      </c>
      <c r="G497" s="159">
        <v>2064.4699999999998</v>
      </c>
      <c r="H497" s="184">
        <f t="shared" si="14"/>
        <v>45978</v>
      </c>
      <c r="I497" s="187" cm="1">
        <f t="array" ref="I497">G497*[15]!CalculateINPC(C497,H497,-1)</f>
        <v>2065.0879784497997</v>
      </c>
      <c r="J497" s="187">
        <f t="shared" si="15"/>
        <v>2094.7816578483616</v>
      </c>
      <c r="K497" s="187" cm="1">
        <f t="array" ref="K497">[15]!CalculateDICetip(C497,H497,1)*G497</f>
        <v>2080.4615084882003</v>
      </c>
      <c r="L497" s="154">
        <v>277256</v>
      </c>
      <c r="M497" s="154" t="s">
        <v>200</v>
      </c>
      <c r="N497" s="154" t="s">
        <v>114</v>
      </c>
      <c r="O497" s="154" t="s">
        <v>115</v>
      </c>
      <c r="P497" s="154">
        <v>27218</v>
      </c>
      <c r="Q497" s="154" t="s">
        <v>1113</v>
      </c>
      <c r="R497" s="154">
        <v>4</v>
      </c>
      <c r="S497" s="154" t="s">
        <v>1061</v>
      </c>
      <c r="T497" s="154" t="s">
        <v>1293</v>
      </c>
      <c r="U497" s="154" t="s">
        <v>1071</v>
      </c>
      <c r="V497" s="154" t="s">
        <v>1072</v>
      </c>
      <c r="W497" s="154" t="s">
        <v>111</v>
      </c>
      <c r="X497" s="154" t="s">
        <v>1294</v>
      </c>
    </row>
    <row r="498" spans="1:24">
      <c r="A498" s="154" t="s">
        <v>102</v>
      </c>
      <c r="B498" s="154" t="s">
        <v>1401</v>
      </c>
      <c r="C498" s="155">
        <v>45958</v>
      </c>
      <c r="D498" s="155">
        <v>45947</v>
      </c>
      <c r="E498" s="159">
        <v>7133.25</v>
      </c>
      <c r="F498" s="159">
        <v>6088.53</v>
      </c>
      <c r="G498" s="159">
        <v>6088.53</v>
      </c>
      <c r="H498" s="184">
        <f t="shared" si="14"/>
        <v>45978</v>
      </c>
      <c r="I498" s="187" cm="1">
        <f t="array" ref="I498">G498*[15]!CalculateINPC(C498,H498,-1)</f>
        <v>6090.3525405701994</v>
      </c>
      <c r="J498" s="187">
        <f t="shared" si="15"/>
        <v>6177.9250690295739</v>
      </c>
      <c r="K498" s="187" cm="1">
        <f t="array" ref="K498">[15]!CalculateDICetip(C498,H498,1)*G498</f>
        <v>6135.6921186918007</v>
      </c>
      <c r="L498" s="154">
        <v>277247</v>
      </c>
      <c r="M498" s="154" t="s">
        <v>200</v>
      </c>
      <c r="N498" s="154" t="s">
        <v>114</v>
      </c>
      <c r="O498" s="154" t="s">
        <v>115</v>
      </c>
      <c r="P498" s="154">
        <v>27226</v>
      </c>
      <c r="Q498" s="154" t="s">
        <v>1145</v>
      </c>
      <c r="R498" s="154">
        <v>4</v>
      </c>
      <c r="S498" s="154" t="s">
        <v>1061</v>
      </c>
      <c r="T498" s="154" t="s">
        <v>1295</v>
      </c>
      <c r="U498" s="154" t="s">
        <v>1071</v>
      </c>
      <c r="V498" s="154" t="s">
        <v>1072</v>
      </c>
      <c r="W498" s="154" t="s">
        <v>111</v>
      </c>
      <c r="X498" s="154" t="s">
        <v>1296</v>
      </c>
    </row>
    <row r="499" spans="1:24">
      <c r="A499" s="154" t="s">
        <v>102</v>
      </c>
      <c r="B499" s="154" t="s">
        <v>1401</v>
      </c>
      <c r="C499" s="155">
        <v>45958</v>
      </c>
      <c r="D499" s="155">
        <v>45946</v>
      </c>
      <c r="E499" s="159">
        <v>2467.31</v>
      </c>
      <c r="F499" s="159">
        <v>1841.39</v>
      </c>
      <c r="G499" s="159">
        <v>1841.39</v>
      </c>
      <c r="H499" s="184">
        <f t="shared" si="14"/>
        <v>45978</v>
      </c>
      <c r="I499" s="187" cm="1">
        <f t="array" ref="I499">G499*[15]!CalculateINPC(C499,H499,-1)</f>
        <v>1841.9412016826</v>
      </c>
      <c r="J499" s="187">
        <f t="shared" si="15"/>
        <v>1868.4262774200618</v>
      </c>
      <c r="K499" s="187" cm="1">
        <f t="array" ref="K499">[15]!CalculateDICetip(C499,H499,1)*G499</f>
        <v>1855.6535174234002</v>
      </c>
      <c r="L499" s="154">
        <v>277263</v>
      </c>
      <c r="M499" s="154" t="s">
        <v>200</v>
      </c>
      <c r="N499" s="154" t="s">
        <v>114</v>
      </c>
      <c r="O499" s="154" t="s">
        <v>115</v>
      </c>
      <c r="P499" s="154">
        <v>27201</v>
      </c>
      <c r="Q499" s="154" t="s">
        <v>1120</v>
      </c>
      <c r="R499" s="154">
        <v>4</v>
      </c>
      <c r="S499" s="154" t="s">
        <v>1061</v>
      </c>
      <c r="T499" s="154" t="s">
        <v>1297</v>
      </c>
      <c r="U499" s="154" t="s">
        <v>1071</v>
      </c>
      <c r="V499" s="154" t="s">
        <v>1072</v>
      </c>
      <c r="W499" s="154" t="s">
        <v>111</v>
      </c>
      <c r="X499" s="154" t="s">
        <v>1298</v>
      </c>
    </row>
    <row r="500" spans="1:24">
      <c r="A500" s="154" t="s">
        <v>102</v>
      </c>
      <c r="B500" s="154" t="s">
        <v>1401</v>
      </c>
      <c r="C500" s="155">
        <v>45958</v>
      </c>
      <c r="D500" s="155">
        <v>45947</v>
      </c>
      <c r="E500" s="159">
        <v>7133.25</v>
      </c>
      <c r="F500" s="159">
        <v>1044.72</v>
      </c>
      <c r="G500" s="159">
        <v>1044.72</v>
      </c>
      <c r="H500" s="184">
        <f t="shared" si="14"/>
        <v>45978</v>
      </c>
      <c r="I500" s="187" cm="1">
        <f t="array" ref="I500">G500*[15]!CalculateINPC(C500,H500,-1)</f>
        <v>1045.0327264847999</v>
      </c>
      <c r="J500" s="187">
        <f t="shared" si="15"/>
        <v>1060.0591404027864</v>
      </c>
      <c r="K500" s="187" cm="1">
        <f t="array" ref="K500">[15]!CalculateDICetip(C500,H500,1)*G500</f>
        <v>1052.8124638032002</v>
      </c>
      <c r="L500" s="154">
        <v>277247</v>
      </c>
      <c r="M500" s="154" t="s">
        <v>200</v>
      </c>
      <c r="N500" s="154" t="s">
        <v>114</v>
      </c>
      <c r="O500" s="154" t="s">
        <v>115</v>
      </c>
      <c r="P500" s="154">
        <v>27226</v>
      </c>
      <c r="Q500" s="154" t="s">
        <v>1145</v>
      </c>
      <c r="R500" s="154">
        <v>4</v>
      </c>
      <c r="S500" s="154" t="s">
        <v>1061</v>
      </c>
      <c r="T500" s="154" t="s">
        <v>1295</v>
      </c>
      <c r="U500" s="154" t="s">
        <v>1071</v>
      </c>
      <c r="V500" s="154" t="s">
        <v>1072</v>
      </c>
      <c r="W500" s="154" t="s">
        <v>111</v>
      </c>
      <c r="X500" s="154" t="s">
        <v>1296</v>
      </c>
    </row>
    <row r="501" spans="1:24">
      <c r="A501" s="154" t="s">
        <v>102</v>
      </c>
      <c r="B501" s="154" t="s">
        <v>1401</v>
      </c>
      <c r="C501" s="155">
        <v>45958</v>
      </c>
      <c r="D501" s="155">
        <v>45946</v>
      </c>
      <c r="E501" s="159">
        <v>10740.19</v>
      </c>
      <c r="F501" s="159">
        <v>10740.19</v>
      </c>
      <c r="G501" s="159">
        <v>10740.19</v>
      </c>
      <c r="H501" s="184">
        <f t="shared" si="14"/>
        <v>45978</v>
      </c>
      <c r="I501" s="187" cm="1">
        <f t="array" ref="I501">G501*[15]!CalculateINPC(C501,H501,-1)</f>
        <v>10743.404968474601</v>
      </c>
      <c r="J501" s="187">
        <f t="shared" si="15"/>
        <v>10897.883240641131</v>
      </c>
      <c r="K501" s="187" cm="1">
        <f t="array" ref="K501">[15]!CalculateDICetip(C501,H501,1)*G501</f>
        <v>10823.384156151402</v>
      </c>
      <c r="L501" s="154">
        <v>277220</v>
      </c>
      <c r="M501" s="154" t="s">
        <v>200</v>
      </c>
      <c r="N501" s="154" t="s">
        <v>114</v>
      </c>
      <c r="O501" s="154" t="s">
        <v>115</v>
      </c>
      <c r="P501" s="154">
        <v>27193</v>
      </c>
      <c r="Q501" s="154" t="s">
        <v>1123</v>
      </c>
      <c r="R501" s="154">
        <v>4</v>
      </c>
      <c r="S501" s="154" t="s">
        <v>1061</v>
      </c>
      <c r="T501" s="154" t="s">
        <v>1299</v>
      </c>
      <c r="U501" s="154" t="s">
        <v>1071</v>
      </c>
      <c r="V501" s="154" t="s">
        <v>1072</v>
      </c>
      <c r="W501" s="154" t="s">
        <v>111</v>
      </c>
      <c r="X501" s="154" t="s">
        <v>1300</v>
      </c>
    </row>
    <row r="502" spans="1:24">
      <c r="A502" s="154" t="s">
        <v>102</v>
      </c>
      <c r="B502" s="154" t="s">
        <v>1401</v>
      </c>
      <c r="C502" s="155">
        <v>45958</v>
      </c>
      <c r="D502" s="155">
        <v>45958</v>
      </c>
      <c r="E502" s="159">
        <v>3419.66</v>
      </c>
      <c r="F502" s="159">
        <v>690.38</v>
      </c>
      <c r="G502" s="159">
        <v>690.38</v>
      </c>
      <c r="H502" s="184">
        <f t="shared" si="14"/>
        <v>45978</v>
      </c>
      <c r="I502" s="187" cm="1">
        <f t="array" ref="I502">G502*[15]!CalculateINPC(C502,H502,-1)</f>
        <v>690.58665834919998</v>
      </c>
      <c r="J502" s="187">
        <f t="shared" si="15"/>
        <v>700.51653012412487</v>
      </c>
      <c r="K502" s="187" cm="1">
        <f t="array" ref="K502">[15]!CalculateDICetip(C502,H502,1)*G502</f>
        <v>695.72772490280011</v>
      </c>
      <c r="L502" s="154">
        <v>277255</v>
      </c>
      <c r="M502" s="154" t="s">
        <v>200</v>
      </c>
      <c r="N502" s="154" t="s">
        <v>114</v>
      </c>
      <c r="O502" s="154" t="s">
        <v>115</v>
      </c>
      <c r="P502" s="154">
        <v>27233</v>
      </c>
      <c r="Q502" s="154" t="s">
        <v>1104</v>
      </c>
      <c r="R502" s="154">
        <v>4</v>
      </c>
      <c r="S502" s="154" t="s">
        <v>1061</v>
      </c>
      <c r="T502" s="154" t="s">
        <v>1283</v>
      </c>
      <c r="U502" s="154" t="s">
        <v>1071</v>
      </c>
      <c r="V502" s="154" t="s">
        <v>1072</v>
      </c>
      <c r="W502" s="154" t="s">
        <v>111</v>
      </c>
      <c r="X502" s="154" t="s">
        <v>1284</v>
      </c>
    </row>
    <row r="503" spans="1:24">
      <c r="A503" s="154" t="s">
        <v>102</v>
      </c>
      <c r="B503" s="154" t="s">
        <v>1401</v>
      </c>
      <c r="C503" s="155">
        <v>45958</v>
      </c>
      <c r="D503" s="155">
        <v>45946</v>
      </c>
      <c r="E503" s="159">
        <v>2766.35</v>
      </c>
      <c r="F503" s="159">
        <v>701.88</v>
      </c>
      <c r="G503" s="159">
        <v>701.88</v>
      </c>
      <c r="H503" s="184">
        <f t="shared" si="14"/>
        <v>45978</v>
      </c>
      <c r="I503" s="187" cm="1">
        <f t="array" ref="I503">G503*[15]!CalculateINPC(C503,H503,-1)</f>
        <v>702.09010075920003</v>
      </c>
      <c r="J503" s="187">
        <f t="shared" si="15"/>
        <v>712.18537930345713</v>
      </c>
      <c r="K503" s="187" cm="1">
        <f t="array" ref="K503">[15]!CalculateDICetip(C503,H503,1)*G503</f>
        <v>707.31680459280005</v>
      </c>
      <c r="L503" s="154">
        <v>277256</v>
      </c>
      <c r="M503" s="154" t="s">
        <v>200</v>
      </c>
      <c r="N503" s="154" t="s">
        <v>114</v>
      </c>
      <c r="O503" s="154" t="s">
        <v>115</v>
      </c>
      <c r="P503" s="154">
        <v>27218</v>
      </c>
      <c r="Q503" s="154" t="s">
        <v>1113</v>
      </c>
      <c r="R503" s="154">
        <v>4</v>
      </c>
      <c r="S503" s="154" t="s">
        <v>1061</v>
      </c>
      <c r="T503" s="154" t="s">
        <v>1293</v>
      </c>
      <c r="U503" s="154" t="s">
        <v>1071</v>
      </c>
      <c r="V503" s="154" t="s">
        <v>1072</v>
      </c>
      <c r="W503" s="154" t="s">
        <v>111</v>
      </c>
      <c r="X503" s="154" t="s">
        <v>1294</v>
      </c>
    </row>
    <row r="504" spans="1:24">
      <c r="A504" s="154" t="s">
        <v>102</v>
      </c>
      <c r="B504" s="154" t="s">
        <v>1401</v>
      </c>
      <c r="C504" s="155">
        <v>45958</v>
      </c>
      <c r="D504" s="155">
        <v>45946</v>
      </c>
      <c r="E504" s="159">
        <v>2467.31</v>
      </c>
      <c r="F504" s="159">
        <v>625.91999999999996</v>
      </c>
      <c r="G504" s="159">
        <v>625.91999999999996</v>
      </c>
      <c r="H504" s="184">
        <f t="shared" si="14"/>
        <v>45978</v>
      </c>
      <c r="I504" s="187" cm="1">
        <f t="array" ref="I504">G504*[15]!CalculateINPC(C504,H504,-1)</f>
        <v>626.10736289279998</v>
      </c>
      <c r="J504" s="187">
        <f t="shared" si="15"/>
        <v>635.11009376762388</v>
      </c>
      <c r="K504" s="187" cm="1">
        <f t="array" ref="K504">[15]!CalculateDICetip(C504,H504,1)*G504</f>
        <v>630.76841387520005</v>
      </c>
      <c r="L504" s="154">
        <v>277263</v>
      </c>
      <c r="M504" s="154" t="s">
        <v>200</v>
      </c>
      <c r="N504" s="154" t="s">
        <v>114</v>
      </c>
      <c r="O504" s="154" t="s">
        <v>115</v>
      </c>
      <c r="P504" s="154">
        <v>27201</v>
      </c>
      <c r="Q504" s="154" t="s">
        <v>1120</v>
      </c>
      <c r="R504" s="154">
        <v>4</v>
      </c>
      <c r="S504" s="154" t="s">
        <v>1061</v>
      </c>
      <c r="T504" s="154" t="s">
        <v>1297</v>
      </c>
      <c r="U504" s="154" t="s">
        <v>1071</v>
      </c>
      <c r="V504" s="154" t="s">
        <v>1072</v>
      </c>
      <c r="W504" s="154" t="s">
        <v>111</v>
      </c>
      <c r="X504" s="154" t="s">
        <v>1298</v>
      </c>
    </row>
    <row r="505" spans="1:24">
      <c r="A505" s="154" t="s">
        <v>102</v>
      </c>
      <c r="B505" s="154" t="s">
        <v>1401</v>
      </c>
      <c r="C505" s="155">
        <v>45929</v>
      </c>
      <c r="D505" s="155">
        <v>45925</v>
      </c>
      <c r="E505" s="159">
        <v>714.36</v>
      </c>
      <c r="F505" s="159">
        <v>550.71</v>
      </c>
      <c r="G505" s="159">
        <v>550.71</v>
      </c>
      <c r="H505" s="184">
        <f t="shared" si="14"/>
        <v>45978</v>
      </c>
      <c r="I505" s="187" cm="1">
        <f t="array" ref="I505">G505*[15]!CalculateINPC(C505,H505,-1)</f>
        <v>553.7396374443</v>
      </c>
      <c r="J505" s="187">
        <f t="shared" si="15"/>
        <v>570.73159986068958</v>
      </c>
      <c r="K505" s="187" cm="1">
        <f t="array" ref="K505">[15]!CalculateDICetip(C505,H505,1)*G505</f>
        <v>561.43661923800005</v>
      </c>
      <c r="L505" s="154">
        <v>272406</v>
      </c>
      <c r="M505" s="154" t="s">
        <v>200</v>
      </c>
      <c r="N505" s="154" t="s">
        <v>119</v>
      </c>
      <c r="O505" s="154" t="s">
        <v>120</v>
      </c>
      <c r="P505" s="154">
        <v>27228</v>
      </c>
      <c r="Q505" s="154" t="s">
        <v>1126</v>
      </c>
      <c r="R505" s="154">
        <v>4</v>
      </c>
      <c r="S505" s="154" t="s">
        <v>1061</v>
      </c>
      <c r="T505" s="154" t="s">
        <v>1127</v>
      </c>
      <c r="U505" s="154" t="s">
        <v>1071</v>
      </c>
      <c r="V505" s="154" t="s">
        <v>1072</v>
      </c>
      <c r="W505" s="154" t="s">
        <v>111</v>
      </c>
      <c r="X505" s="154" t="s">
        <v>1128</v>
      </c>
    </row>
    <row r="506" spans="1:24">
      <c r="A506" s="154" t="s">
        <v>102</v>
      </c>
      <c r="B506" s="154" t="s">
        <v>1401</v>
      </c>
      <c r="C506" s="155">
        <v>45929</v>
      </c>
      <c r="D506" s="155">
        <v>45925</v>
      </c>
      <c r="E506" s="159">
        <v>117.68</v>
      </c>
      <c r="F506" s="159">
        <v>63.13</v>
      </c>
      <c r="G506" s="159">
        <v>63.13</v>
      </c>
      <c r="H506" s="184">
        <f t="shared" si="14"/>
        <v>45978</v>
      </c>
      <c r="I506" s="187" cm="1">
        <f t="array" ref="I506">G506*[15]!CalculateINPC(C506,H506,-1)</f>
        <v>63.477298962900001</v>
      </c>
      <c r="J506" s="187">
        <f t="shared" si="15"/>
        <v>65.425152801302559</v>
      </c>
      <c r="K506" s="187" cm="1">
        <f t="array" ref="K506">[15]!CalculateDICetip(C506,H506,1)*G506</f>
        <v>64.359633513999995</v>
      </c>
      <c r="L506" s="154">
        <v>272407</v>
      </c>
      <c r="M506" s="154" t="s">
        <v>200</v>
      </c>
      <c r="N506" s="154" t="s">
        <v>119</v>
      </c>
      <c r="O506" s="154" t="s">
        <v>120</v>
      </c>
      <c r="P506" s="154">
        <v>27230</v>
      </c>
      <c r="Q506" s="154" t="s">
        <v>1147</v>
      </c>
      <c r="R506" s="154">
        <v>4</v>
      </c>
      <c r="S506" s="154" t="s">
        <v>1061</v>
      </c>
      <c r="T506" s="154" t="s">
        <v>1301</v>
      </c>
      <c r="U506" s="154" t="s">
        <v>1071</v>
      </c>
      <c r="V506" s="154" t="s">
        <v>1072</v>
      </c>
      <c r="W506" s="154" t="s">
        <v>111</v>
      </c>
      <c r="X506" s="154" t="s">
        <v>1302</v>
      </c>
    </row>
    <row r="507" spans="1:24">
      <c r="A507" s="154" t="s">
        <v>102</v>
      </c>
      <c r="B507" s="154" t="s">
        <v>1401</v>
      </c>
      <c r="C507" s="155">
        <v>45929</v>
      </c>
      <c r="D507" s="155">
        <v>45925</v>
      </c>
      <c r="E507" s="159">
        <v>714.5</v>
      </c>
      <c r="F507" s="159">
        <v>550.82000000000005</v>
      </c>
      <c r="G507" s="159">
        <v>550.82000000000005</v>
      </c>
      <c r="H507" s="184">
        <f t="shared" si="14"/>
        <v>45978</v>
      </c>
      <c r="I507" s="187" cm="1">
        <f t="array" ref="I507">G507*[15]!CalculateINPC(C507,H507,-1)</f>
        <v>553.85024259060003</v>
      </c>
      <c r="J507" s="187">
        <f t="shared" si="15"/>
        <v>570.84559901811303</v>
      </c>
      <c r="K507" s="187" cm="1">
        <f t="array" ref="K507">[15]!CalculateDICetip(C507,H507,1)*G507</f>
        <v>561.54876179600001</v>
      </c>
      <c r="L507" s="154">
        <v>272392</v>
      </c>
      <c r="M507" s="154" t="s">
        <v>200</v>
      </c>
      <c r="N507" s="154" t="s">
        <v>119</v>
      </c>
      <c r="O507" s="154" t="s">
        <v>120</v>
      </c>
      <c r="P507" s="154">
        <v>27201</v>
      </c>
      <c r="Q507" s="154" t="s">
        <v>1120</v>
      </c>
      <c r="R507" s="154">
        <v>4</v>
      </c>
      <c r="S507" s="154" t="s">
        <v>1061</v>
      </c>
      <c r="T507" s="154" t="s">
        <v>1121</v>
      </c>
      <c r="U507" s="154" t="s">
        <v>1071</v>
      </c>
      <c r="V507" s="154" t="s">
        <v>1072</v>
      </c>
      <c r="W507" s="154" t="s">
        <v>111</v>
      </c>
      <c r="X507" s="154" t="s">
        <v>1122</v>
      </c>
    </row>
    <row r="508" spans="1:24">
      <c r="A508" s="154" t="s">
        <v>102</v>
      </c>
      <c r="B508" s="154" t="s">
        <v>1401</v>
      </c>
      <c r="C508" s="155">
        <v>45929</v>
      </c>
      <c r="D508" s="155">
        <v>45925</v>
      </c>
      <c r="E508" s="159">
        <v>32988.879999999997</v>
      </c>
      <c r="F508" s="159">
        <v>25432.15</v>
      </c>
      <c r="G508" s="159">
        <v>25432.15</v>
      </c>
      <c r="H508" s="184">
        <f t="shared" si="14"/>
        <v>45978</v>
      </c>
      <c r="I508" s="187" cm="1">
        <f t="array" ref="I508">G508*[15]!CalculateINPC(C508,H508,-1)</f>
        <v>25572.0606497595</v>
      </c>
      <c r="J508" s="187">
        <f t="shared" si="15"/>
        <v>26356.760649701358</v>
      </c>
      <c r="K508" s="187" cm="1">
        <f t="array" ref="K508">[15]!CalculateDICetip(C508,H508,1)*G508</f>
        <v>25927.512331270002</v>
      </c>
      <c r="L508" s="154">
        <v>272388</v>
      </c>
      <c r="M508" s="154" t="s">
        <v>200</v>
      </c>
      <c r="N508" s="154" t="s">
        <v>119</v>
      </c>
      <c r="O508" s="154" t="s">
        <v>120</v>
      </c>
      <c r="P508" s="154">
        <v>27180</v>
      </c>
      <c r="Q508" s="154" t="s">
        <v>1064</v>
      </c>
      <c r="R508" s="154">
        <v>4</v>
      </c>
      <c r="S508" s="154" t="s">
        <v>1061</v>
      </c>
      <c r="T508" s="154" t="s">
        <v>1118</v>
      </c>
      <c r="U508" s="154" t="s">
        <v>1071</v>
      </c>
      <c r="V508" s="154" t="s">
        <v>1072</v>
      </c>
      <c r="W508" s="154" t="s">
        <v>111</v>
      </c>
      <c r="X508" s="154" t="s">
        <v>1119</v>
      </c>
    </row>
    <row r="509" spans="1:24">
      <c r="A509" s="154" t="s">
        <v>102</v>
      </c>
      <c r="B509" s="154" t="s">
        <v>1401</v>
      </c>
      <c r="C509" s="155">
        <v>45929</v>
      </c>
      <c r="D509" s="155">
        <v>45925</v>
      </c>
      <c r="E509" s="159">
        <v>714.5</v>
      </c>
      <c r="F509" s="159">
        <v>550.82000000000005</v>
      </c>
      <c r="G509" s="159">
        <v>550.82000000000005</v>
      </c>
      <c r="H509" s="184">
        <f t="shared" si="14"/>
        <v>45978</v>
      </c>
      <c r="I509" s="187" cm="1">
        <f t="array" ref="I509">G509*[15]!CalculateINPC(C509,H509,-1)</f>
        <v>553.85024259060003</v>
      </c>
      <c r="J509" s="187">
        <f t="shared" si="15"/>
        <v>570.84559901811303</v>
      </c>
      <c r="K509" s="187" cm="1">
        <f t="array" ref="K509">[15]!CalculateDICetip(C509,H509,1)*G509</f>
        <v>561.54876179600001</v>
      </c>
      <c r="L509" s="154">
        <v>272395</v>
      </c>
      <c r="M509" s="154" t="s">
        <v>200</v>
      </c>
      <c r="N509" s="154" t="s">
        <v>119</v>
      </c>
      <c r="O509" s="154" t="s">
        <v>120</v>
      </c>
      <c r="P509" s="154">
        <v>27205</v>
      </c>
      <c r="Q509" s="154" t="s">
        <v>1089</v>
      </c>
      <c r="R509" s="154">
        <v>4</v>
      </c>
      <c r="S509" s="154" t="s">
        <v>1061</v>
      </c>
      <c r="T509" s="154" t="s">
        <v>1090</v>
      </c>
      <c r="U509" s="154" t="s">
        <v>1071</v>
      </c>
      <c r="V509" s="154" t="s">
        <v>1072</v>
      </c>
      <c r="W509" s="154" t="s">
        <v>111</v>
      </c>
      <c r="X509" s="154" t="s">
        <v>1091</v>
      </c>
    </row>
    <row r="510" spans="1:24">
      <c r="A510" s="154" t="s">
        <v>102</v>
      </c>
      <c r="B510" s="154" t="s">
        <v>1401</v>
      </c>
      <c r="C510" s="155">
        <v>45929</v>
      </c>
      <c r="D510" s="155">
        <v>45925</v>
      </c>
      <c r="E510" s="159">
        <v>714.5</v>
      </c>
      <c r="F510" s="159">
        <v>550.82000000000005</v>
      </c>
      <c r="G510" s="159">
        <v>550.82000000000005</v>
      </c>
      <c r="H510" s="184">
        <f t="shared" si="14"/>
        <v>45978</v>
      </c>
      <c r="I510" s="187" cm="1">
        <f t="array" ref="I510">G510*[15]!CalculateINPC(C510,H510,-1)</f>
        <v>553.85024259060003</v>
      </c>
      <c r="J510" s="187">
        <f t="shared" si="15"/>
        <v>570.84559901811303</v>
      </c>
      <c r="K510" s="187" cm="1">
        <f t="array" ref="K510">[15]!CalculateDICetip(C510,H510,1)*G510</f>
        <v>561.54876179600001</v>
      </c>
      <c r="L510" s="154">
        <v>272399</v>
      </c>
      <c r="M510" s="154" t="s">
        <v>200</v>
      </c>
      <c r="N510" s="154" t="s">
        <v>119</v>
      </c>
      <c r="O510" s="154" t="s">
        <v>120</v>
      </c>
      <c r="P510" s="154">
        <v>27209</v>
      </c>
      <c r="Q510" s="154" t="s">
        <v>1110</v>
      </c>
      <c r="R510" s="154">
        <v>4</v>
      </c>
      <c r="S510" s="154" t="s">
        <v>1061</v>
      </c>
      <c r="T510" s="154" t="s">
        <v>1111</v>
      </c>
      <c r="U510" s="154" t="s">
        <v>1071</v>
      </c>
      <c r="V510" s="154" t="s">
        <v>1072</v>
      </c>
      <c r="W510" s="154" t="s">
        <v>111</v>
      </c>
      <c r="X510" s="154" t="s">
        <v>1112</v>
      </c>
    </row>
    <row r="511" spans="1:24">
      <c r="A511" s="154" t="s">
        <v>102</v>
      </c>
      <c r="B511" s="154" t="s">
        <v>1401</v>
      </c>
      <c r="C511" s="155">
        <v>45929</v>
      </c>
      <c r="D511" s="155">
        <v>45925</v>
      </c>
      <c r="E511" s="159">
        <v>801.17</v>
      </c>
      <c r="F511" s="159">
        <v>617.63</v>
      </c>
      <c r="G511" s="159">
        <v>617.63</v>
      </c>
      <c r="H511" s="184">
        <f t="shared" si="14"/>
        <v>45978</v>
      </c>
      <c r="I511" s="187" cm="1">
        <f t="array" ref="I511">G511*[15]!CalculateINPC(C511,H511,-1)</f>
        <v>621.02778644789998</v>
      </c>
      <c r="J511" s="187">
        <f t="shared" si="15"/>
        <v>640.08454181321872</v>
      </c>
      <c r="K511" s="187" cm="1">
        <f t="array" ref="K511">[15]!CalculateDICetip(C511,H511,1)*G511</f>
        <v>629.660073614</v>
      </c>
      <c r="L511" s="154">
        <v>272403</v>
      </c>
      <c r="M511" s="154" t="s">
        <v>200</v>
      </c>
      <c r="N511" s="154" t="s">
        <v>119</v>
      </c>
      <c r="O511" s="154" t="s">
        <v>120</v>
      </c>
      <c r="P511" s="154">
        <v>27218</v>
      </c>
      <c r="Q511" s="154" t="s">
        <v>1113</v>
      </c>
      <c r="R511" s="154">
        <v>4</v>
      </c>
      <c r="S511" s="154" t="s">
        <v>1061</v>
      </c>
      <c r="T511" s="154" t="s">
        <v>1114</v>
      </c>
      <c r="U511" s="154" t="s">
        <v>1071</v>
      </c>
      <c r="V511" s="154" t="s">
        <v>1072</v>
      </c>
      <c r="W511" s="154" t="s">
        <v>111</v>
      </c>
      <c r="X511" s="154" t="s">
        <v>1115</v>
      </c>
    </row>
    <row r="512" spans="1:24">
      <c r="A512" s="154" t="s">
        <v>102</v>
      </c>
      <c r="B512" s="154" t="s">
        <v>1401</v>
      </c>
      <c r="C512" s="155">
        <v>45929</v>
      </c>
      <c r="D512" s="155">
        <v>45925</v>
      </c>
      <c r="E512" s="159">
        <v>4222.66</v>
      </c>
      <c r="F512" s="159">
        <v>3255.37</v>
      </c>
      <c r="G512" s="159">
        <v>3255.37</v>
      </c>
      <c r="H512" s="184">
        <f t="shared" si="14"/>
        <v>45978</v>
      </c>
      <c r="I512" s="187" cm="1">
        <f t="array" ref="I512">G512*[15]!CalculateINPC(C512,H512,-1)</f>
        <v>3273.2788646421</v>
      </c>
      <c r="J512" s="187">
        <f t="shared" si="15"/>
        <v>3373.7221554692901</v>
      </c>
      <c r="K512" s="187" cm="1">
        <f t="array" ref="K512">[15]!CalculateDICetip(C512,H512,1)*G512</f>
        <v>3318.777445786</v>
      </c>
      <c r="L512" s="154">
        <v>272389</v>
      </c>
      <c r="M512" s="154" t="s">
        <v>200</v>
      </c>
      <c r="N512" s="154" t="s">
        <v>119</v>
      </c>
      <c r="O512" s="154" t="s">
        <v>120</v>
      </c>
      <c r="P512" s="154">
        <v>27193</v>
      </c>
      <c r="Q512" s="154" t="s">
        <v>1123</v>
      </c>
      <c r="R512" s="154">
        <v>4</v>
      </c>
      <c r="S512" s="154" t="s">
        <v>1061</v>
      </c>
      <c r="T512" s="154" t="s">
        <v>1124</v>
      </c>
      <c r="U512" s="154" t="s">
        <v>1071</v>
      </c>
      <c r="V512" s="154" t="s">
        <v>1072</v>
      </c>
      <c r="W512" s="154" t="s">
        <v>111</v>
      </c>
      <c r="X512" s="154" t="s">
        <v>1125</v>
      </c>
    </row>
    <row r="513" spans="1:24">
      <c r="A513" s="154" t="s">
        <v>102</v>
      </c>
      <c r="B513" s="154" t="s">
        <v>1401</v>
      </c>
      <c r="C513" s="155">
        <v>45929</v>
      </c>
      <c r="D513" s="155">
        <v>45925</v>
      </c>
      <c r="E513" s="159">
        <v>714.5</v>
      </c>
      <c r="F513" s="159">
        <v>550.82000000000005</v>
      </c>
      <c r="G513" s="159">
        <v>550.82000000000005</v>
      </c>
      <c r="H513" s="184">
        <f t="shared" si="14"/>
        <v>45978</v>
      </c>
      <c r="I513" s="187" cm="1">
        <f t="array" ref="I513">G513*[15]!CalculateINPC(C513,H513,-1)</f>
        <v>553.85024259060003</v>
      </c>
      <c r="J513" s="187">
        <f t="shared" si="15"/>
        <v>570.84559901811303</v>
      </c>
      <c r="K513" s="187" cm="1">
        <f t="array" ref="K513">[15]!CalculateDICetip(C513,H513,1)*G513</f>
        <v>561.54876179600001</v>
      </c>
      <c r="L513" s="154">
        <v>272400</v>
      </c>
      <c r="M513" s="154" t="s">
        <v>200</v>
      </c>
      <c r="N513" s="154" t="s">
        <v>119</v>
      </c>
      <c r="O513" s="154" t="s">
        <v>120</v>
      </c>
      <c r="P513" s="154">
        <v>27211</v>
      </c>
      <c r="Q513" s="154" t="s">
        <v>1107</v>
      </c>
      <c r="R513" s="154">
        <v>4</v>
      </c>
      <c r="S513" s="154" t="s">
        <v>1061</v>
      </c>
      <c r="T513" s="154" t="s">
        <v>1108</v>
      </c>
      <c r="U513" s="154" t="s">
        <v>1071</v>
      </c>
      <c r="V513" s="154" t="s">
        <v>1072</v>
      </c>
      <c r="W513" s="154" t="s">
        <v>111</v>
      </c>
      <c r="X513" s="154" t="s">
        <v>1109</v>
      </c>
    </row>
    <row r="514" spans="1:24">
      <c r="A514" s="154" t="s">
        <v>102</v>
      </c>
      <c r="B514" s="154" t="s">
        <v>1401</v>
      </c>
      <c r="C514" s="155">
        <v>45929</v>
      </c>
      <c r="D514" s="155">
        <v>45925</v>
      </c>
      <c r="E514" s="159">
        <v>714.5</v>
      </c>
      <c r="F514" s="159">
        <v>550.82000000000005</v>
      </c>
      <c r="G514" s="159">
        <v>550.82000000000005</v>
      </c>
      <c r="H514" s="184">
        <f t="shared" si="14"/>
        <v>45978</v>
      </c>
      <c r="I514" s="187" cm="1">
        <f t="array" ref="I514">G514*[15]!CalculateINPC(C514,H514,-1)</f>
        <v>553.85024259060003</v>
      </c>
      <c r="J514" s="187">
        <f t="shared" si="15"/>
        <v>570.84559901811303</v>
      </c>
      <c r="K514" s="187" cm="1">
        <f t="array" ref="K514">[15]!CalculateDICetip(C514,H514,1)*G514</f>
        <v>561.54876179600001</v>
      </c>
      <c r="L514" s="154">
        <v>272402</v>
      </c>
      <c r="M514" s="154" t="s">
        <v>200</v>
      </c>
      <c r="N514" s="154" t="s">
        <v>119</v>
      </c>
      <c r="O514" s="154" t="s">
        <v>120</v>
      </c>
      <c r="P514" s="154">
        <v>27215</v>
      </c>
      <c r="Q514" s="154" t="s">
        <v>1095</v>
      </c>
      <c r="R514" s="154">
        <v>4</v>
      </c>
      <c r="S514" s="154" t="s">
        <v>1061</v>
      </c>
      <c r="T514" s="154" t="s">
        <v>1096</v>
      </c>
      <c r="U514" s="154" t="s">
        <v>1071</v>
      </c>
      <c r="V514" s="154" t="s">
        <v>1072</v>
      </c>
      <c r="W514" s="154" t="s">
        <v>111</v>
      </c>
      <c r="X514" s="154" t="s">
        <v>1097</v>
      </c>
    </row>
    <row r="515" spans="1:24">
      <c r="A515" s="154" t="s">
        <v>102</v>
      </c>
      <c r="B515" s="154" t="s">
        <v>1401</v>
      </c>
      <c r="C515" s="155">
        <v>45929</v>
      </c>
      <c r="D515" s="155">
        <v>45925</v>
      </c>
      <c r="E515" s="159">
        <v>798.89</v>
      </c>
      <c r="F515" s="159">
        <v>615.89</v>
      </c>
      <c r="G515" s="159">
        <v>615.89</v>
      </c>
      <c r="H515" s="184">
        <f t="shared" si="14"/>
        <v>45978</v>
      </c>
      <c r="I515" s="187" cm="1">
        <f t="array" ref="I515">G515*[15]!CalculateINPC(C515,H515,-1)</f>
        <v>619.27821413369998</v>
      </c>
      <c r="J515" s="187">
        <f t="shared" si="15"/>
        <v>638.28128241397474</v>
      </c>
      <c r="K515" s="187" cm="1">
        <f t="array" ref="K515">[15]!CalculateDICetip(C515,H515,1)*G515</f>
        <v>627.88618224200002</v>
      </c>
      <c r="L515" s="154">
        <v>272405</v>
      </c>
      <c r="M515" s="154" t="s">
        <v>200</v>
      </c>
      <c r="N515" s="154" t="s">
        <v>119</v>
      </c>
      <c r="O515" s="154" t="s">
        <v>120</v>
      </c>
      <c r="P515" s="154">
        <v>27220</v>
      </c>
      <c r="Q515" s="154" t="s">
        <v>1092</v>
      </c>
      <c r="R515" s="154">
        <v>4</v>
      </c>
      <c r="S515" s="154" t="s">
        <v>1061</v>
      </c>
      <c r="T515" s="154" t="s">
        <v>1093</v>
      </c>
      <c r="U515" s="154" t="s">
        <v>1071</v>
      </c>
      <c r="V515" s="154" t="s">
        <v>1072</v>
      </c>
      <c r="W515" s="154" t="s">
        <v>111</v>
      </c>
      <c r="X515" s="154" t="s">
        <v>1094</v>
      </c>
    </row>
    <row r="516" spans="1:24">
      <c r="A516" s="154" t="s">
        <v>102</v>
      </c>
      <c r="B516" s="154" t="s">
        <v>1401</v>
      </c>
      <c r="C516" s="155">
        <v>45929</v>
      </c>
      <c r="D516" s="155">
        <v>45925</v>
      </c>
      <c r="E516" s="159">
        <v>4169.22</v>
      </c>
      <c r="F516" s="159">
        <v>3214.17</v>
      </c>
      <c r="G516" s="159">
        <v>3214.17</v>
      </c>
      <c r="H516" s="184">
        <f t="shared" ref="H516:H545" si="16">$A$2</f>
        <v>45978</v>
      </c>
      <c r="I516" s="187" cm="1">
        <f t="array" ref="I516">G516*[15]!CalculateINPC(C516,H516,-1)</f>
        <v>3231.8522098460999</v>
      </c>
      <c r="J516" s="187">
        <f t="shared" ref="J516:J545" si="17">G516*1.3^((H516-C516)/360)</f>
        <v>3331.0242892343199</v>
      </c>
      <c r="K516" s="187" cm="1">
        <f t="array" ref="K516">[15]!CalculateDICetip(C516,H516,1)*G516</f>
        <v>3276.7749604260002</v>
      </c>
      <c r="L516" s="154">
        <v>272391</v>
      </c>
      <c r="M516" s="154" t="s">
        <v>200</v>
      </c>
      <c r="N516" s="154" t="s">
        <v>119</v>
      </c>
      <c r="O516" s="154" t="s">
        <v>120</v>
      </c>
      <c r="P516" s="154">
        <v>27195</v>
      </c>
      <c r="Q516" s="154" t="s">
        <v>1098</v>
      </c>
      <c r="R516" s="154">
        <v>4</v>
      </c>
      <c r="S516" s="154" t="s">
        <v>1061</v>
      </c>
      <c r="T516" s="154" t="s">
        <v>1099</v>
      </c>
      <c r="U516" s="154" t="s">
        <v>1071</v>
      </c>
      <c r="V516" s="154" t="s">
        <v>1072</v>
      </c>
      <c r="W516" s="154" t="s">
        <v>111</v>
      </c>
      <c r="X516" s="154" t="s">
        <v>1100</v>
      </c>
    </row>
    <row r="517" spans="1:24">
      <c r="A517" s="154" t="s">
        <v>102</v>
      </c>
      <c r="B517" s="154" t="s">
        <v>1401</v>
      </c>
      <c r="C517" s="155">
        <v>45929</v>
      </c>
      <c r="D517" s="155">
        <v>45925</v>
      </c>
      <c r="E517" s="159">
        <v>714.5</v>
      </c>
      <c r="F517" s="159">
        <v>550.82000000000005</v>
      </c>
      <c r="G517" s="159">
        <v>550.82000000000005</v>
      </c>
      <c r="H517" s="184">
        <f t="shared" si="16"/>
        <v>45978</v>
      </c>
      <c r="I517" s="187" cm="1">
        <f t="array" ref="I517">G517*[15]!CalculateINPC(C517,H517,-1)</f>
        <v>553.85024259060003</v>
      </c>
      <c r="J517" s="187">
        <f t="shared" si="17"/>
        <v>570.84559901811303</v>
      </c>
      <c r="K517" s="187" cm="1">
        <f t="array" ref="K517">[15]!CalculateDICetip(C517,H517,1)*G517</f>
        <v>561.54876179600001</v>
      </c>
      <c r="L517" s="154">
        <v>272394</v>
      </c>
      <c r="M517" s="154" t="s">
        <v>200</v>
      </c>
      <c r="N517" s="154" t="s">
        <v>119</v>
      </c>
      <c r="O517" s="154" t="s">
        <v>120</v>
      </c>
      <c r="P517" s="154">
        <v>27203</v>
      </c>
      <c r="Q517" s="154" t="s">
        <v>1086</v>
      </c>
      <c r="R517" s="154">
        <v>4</v>
      </c>
      <c r="S517" s="154" t="s">
        <v>1061</v>
      </c>
      <c r="T517" s="154" t="s">
        <v>1087</v>
      </c>
      <c r="U517" s="154" t="s">
        <v>1071</v>
      </c>
      <c r="V517" s="154" t="s">
        <v>1072</v>
      </c>
      <c r="W517" s="154" t="s">
        <v>111</v>
      </c>
      <c r="X517" s="154" t="s">
        <v>1088</v>
      </c>
    </row>
    <row r="518" spans="1:24">
      <c r="A518" s="154" t="s">
        <v>102</v>
      </c>
      <c r="B518" s="154" t="s">
        <v>1401</v>
      </c>
      <c r="C518" s="155">
        <v>45929</v>
      </c>
      <c r="D518" s="155">
        <v>45925</v>
      </c>
      <c r="E518" s="159">
        <v>329.83</v>
      </c>
      <c r="F518" s="159">
        <v>254.26</v>
      </c>
      <c r="G518" s="159">
        <v>254.26</v>
      </c>
      <c r="H518" s="184">
        <f t="shared" si="16"/>
        <v>45978</v>
      </c>
      <c r="I518" s="187" cm="1">
        <f t="array" ref="I518">G518*[15]!CalculateINPC(C518,H518,-1)</f>
        <v>255.65876816579998</v>
      </c>
      <c r="J518" s="187">
        <f t="shared" si="17"/>
        <v>263.50387060445411</v>
      </c>
      <c r="K518" s="187" cm="1">
        <f t="array" ref="K518">[15]!CalculateDICetip(C518,H518,1)*G518</f>
        <v>259.21242542799996</v>
      </c>
      <c r="L518" s="154">
        <v>272411</v>
      </c>
      <c r="M518" s="154" t="s">
        <v>200</v>
      </c>
      <c r="N518" s="154" t="s">
        <v>119</v>
      </c>
      <c r="O518" s="154" t="s">
        <v>120</v>
      </c>
      <c r="P518" s="154">
        <v>27233</v>
      </c>
      <c r="Q518" s="154" t="s">
        <v>1104</v>
      </c>
      <c r="R518" s="154">
        <v>4</v>
      </c>
      <c r="S518" s="154" t="s">
        <v>1061</v>
      </c>
      <c r="T518" s="154" t="s">
        <v>1105</v>
      </c>
      <c r="U518" s="154" t="s">
        <v>1071</v>
      </c>
      <c r="V518" s="154" t="s">
        <v>1072</v>
      </c>
      <c r="W518" s="154" t="s">
        <v>111</v>
      </c>
      <c r="X518" s="154" t="s">
        <v>1106</v>
      </c>
    </row>
    <row r="519" spans="1:24">
      <c r="A519" s="154" t="s">
        <v>102</v>
      </c>
      <c r="B519" s="154" t="s">
        <v>1401</v>
      </c>
      <c r="C519" s="155">
        <v>45929</v>
      </c>
      <c r="D519" s="155">
        <v>45925</v>
      </c>
      <c r="E519" s="159">
        <v>714.5</v>
      </c>
      <c r="F519" s="159">
        <v>550.82000000000005</v>
      </c>
      <c r="G519" s="159">
        <v>550.82000000000005</v>
      </c>
      <c r="H519" s="184">
        <f t="shared" si="16"/>
        <v>45978</v>
      </c>
      <c r="I519" s="187" cm="1">
        <f t="array" ref="I519">G519*[15]!CalculateINPC(C519,H519,-1)</f>
        <v>553.85024259060003</v>
      </c>
      <c r="J519" s="187">
        <f t="shared" si="17"/>
        <v>570.84559901811303</v>
      </c>
      <c r="K519" s="187" cm="1">
        <f t="array" ref="K519">[15]!CalculateDICetip(C519,H519,1)*G519</f>
        <v>561.54876179600001</v>
      </c>
      <c r="L519" s="154">
        <v>272401</v>
      </c>
      <c r="M519" s="154" t="s">
        <v>200</v>
      </c>
      <c r="N519" s="154" t="s">
        <v>119</v>
      </c>
      <c r="O519" s="154" t="s">
        <v>120</v>
      </c>
      <c r="P519" s="154">
        <v>27213</v>
      </c>
      <c r="Q519" s="154" t="s">
        <v>1101</v>
      </c>
      <c r="R519" s="154">
        <v>4</v>
      </c>
      <c r="S519" s="154" t="s">
        <v>1061</v>
      </c>
      <c r="T519" s="154" t="s">
        <v>1102</v>
      </c>
      <c r="U519" s="154" t="s">
        <v>1071</v>
      </c>
      <c r="V519" s="154" t="s">
        <v>1072</v>
      </c>
      <c r="W519" s="154" t="s">
        <v>111</v>
      </c>
      <c r="X519" s="154" t="s">
        <v>1103</v>
      </c>
    </row>
    <row r="520" spans="1:24">
      <c r="A520" s="154" t="s">
        <v>102</v>
      </c>
      <c r="B520" s="154" t="s">
        <v>1401</v>
      </c>
      <c r="C520" s="155">
        <v>45929</v>
      </c>
      <c r="D520" s="155">
        <v>45925</v>
      </c>
      <c r="E520" s="159">
        <v>329.83</v>
      </c>
      <c r="F520" s="159">
        <v>254.26</v>
      </c>
      <c r="G520" s="159">
        <v>254.26</v>
      </c>
      <c r="H520" s="184">
        <f t="shared" si="16"/>
        <v>45978</v>
      </c>
      <c r="I520" s="187" cm="1">
        <f t="array" ref="I520">G520*[15]!CalculateINPC(C520,H520,-1)</f>
        <v>255.65876816579998</v>
      </c>
      <c r="J520" s="187">
        <f t="shared" si="17"/>
        <v>263.50387060445411</v>
      </c>
      <c r="K520" s="187" cm="1">
        <f t="array" ref="K520">[15]!CalculateDICetip(C520,H520,1)*G520</f>
        <v>259.21242542799996</v>
      </c>
      <c r="L520" s="154">
        <v>272414</v>
      </c>
      <c r="M520" s="154" t="s">
        <v>200</v>
      </c>
      <c r="N520" s="154" t="s">
        <v>119</v>
      </c>
      <c r="O520" s="154" t="s">
        <v>120</v>
      </c>
      <c r="P520" s="154">
        <v>27234</v>
      </c>
      <c r="Q520" s="154" t="s">
        <v>1083</v>
      </c>
      <c r="R520" s="154">
        <v>4</v>
      </c>
      <c r="S520" s="154" t="s">
        <v>1061</v>
      </c>
      <c r="T520" s="154" t="s">
        <v>1084</v>
      </c>
      <c r="U520" s="154" t="s">
        <v>1071</v>
      </c>
      <c r="V520" s="154" t="s">
        <v>1072</v>
      </c>
      <c r="W520" s="154" t="s">
        <v>111</v>
      </c>
      <c r="X520" s="154" t="s">
        <v>1085</v>
      </c>
    </row>
    <row r="521" spans="1:24">
      <c r="A521" s="154" t="s">
        <v>102</v>
      </c>
      <c r="B521" s="154" t="s">
        <v>1401</v>
      </c>
      <c r="C521" s="155">
        <v>45868</v>
      </c>
      <c r="D521" s="155">
        <v>45863</v>
      </c>
      <c r="E521" s="159">
        <v>181.82</v>
      </c>
      <c r="F521" s="159">
        <v>9.1221095043609992</v>
      </c>
      <c r="G521" s="159">
        <v>9.1221095043609992</v>
      </c>
      <c r="H521" s="184">
        <f t="shared" si="16"/>
        <v>45978</v>
      </c>
      <c r="I521" s="187" cm="1">
        <f t="array" ref="I521">G521*[15]!CalculateINPC(C521,H521,-1)</f>
        <v>9.1722444357547772</v>
      </c>
      <c r="J521" s="187">
        <f t="shared" si="17"/>
        <v>9.8835122673037965</v>
      </c>
      <c r="K521" s="187" cm="1">
        <f t="array" ref="K521">[15]!CalculateDICetip(C521,H521,1)*G521</f>
        <v>9.522823706246669</v>
      </c>
      <c r="L521" s="154">
        <v>263282</v>
      </c>
      <c r="M521" s="154" t="s">
        <v>1055</v>
      </c>
      <c r="N521" s="154" t="s">
        <v>189</v>
      </c>
      <c r="O521" s="154" t="s">
        <v>190</v>
      </c>
      <c r="P521" s="154">
        <v>27211</v>
      </c>
      <c r="Q521" s="154" t="s">
        <v>1107</v>
      </c>
      <c r="R521" s="154">
        <v>4</v>
      </c>
      <c r="S521" s="154" t="s">
        <v>1061</v>
      </c>
      <c r="T521" s="154" t="s">
        <v>1056</v>
      </c>
      <c r="U521" s="154" t="s">
        <v>916</v>
      </c>
      <c r="V521" s="154" t="s">
        <v>916</v>
      </c>
      <c r="W521" s="154" t="s">
        <v>130</v>
      </c>
      <c r="X521" s="154" t="s">
        <v>1303</v>
      </c>
    </row>
    <row r="522" spans="1:24">
      <c r="A522" s="154" t="s">
        <v>102</v>
      </c>
      <c r="B522" s="154" t="s">
        <v>1401</v>
      </c>
      <c r="C522" s="155">
        <v>45868</v>
      </c>
      <c r="D522" s="155">
        <v>45863</v>
      </c>
      <c r="E522" s="159">
        <v>181.82</v>
      </c>
      <c r="F522" s="159">
        <v>9.1221095043609992</v>
      </c>
      <c r="G522" s="159">
        <v>9.1221095043609992</v>
      </c>
      <c r="H522" s="184">
        <f t="shared" si="16"/>
        <v>45978</v>
      </c>
      <c r="I522" s="187" cm="1">
        <f t="array" ref="I522">G522*[15]!CalculateINPC(C522,H522,-1)</f>
        <v>9.1722444357547772</v>
      </c>
      <c r="J522" s="187">
        <f t="shared" si="17"/>
        <v>9.8835122673037965</v>
      </c>
      <c r="K522" s="187" cm="1">
        <f t="array" ref="K522">[15]!CalculateDICetip(C522,H522,1)*G522</f>
        <v>9.522823706246669</v>
      </c>
      <c r="L522" s="154">
        <v>263282</v>
      </c>
      <c r="M522" s="154" t="s">
        <v>1055</v>
      </c>
      <c r="N522" s="154" t="s">
        <v>189</v>
      </c>
      <c r="O522" s="154" t="s">
        <v>190</v>
      </c>
      <c r="P522" s="154">
        <v>27228</v>
      </c>
      <c r="Q522" s="154" t="s">
        <v>1126</v>
      </c>
      <c r="R522" s="154">
        <v>4</v>
      </c>
      <c r="S522" s="154" t="s">
        <v>1061</v>
      </c>
      <c r="T522" s="154" t="s">
        <v>1056</v>
      </c>
      <c r="U522" s="154" t="s">
        <v>916</v>
      </c>
      <c r="V522" s="154" t="s">
        <v>916</v>
      </c>
      <c r="W522" s="154" t="s">
        <v>130</v>
      </c>
      <c r="X522" s="154" t="s">
        <v>1303</v>
      </c>
    </row>
    <row r="523" spans="1:24">
      <c r="A523" s="154" t="s">
        <v>102</v>
      </c>
      <c r="B523" s="154" t="s">
        <v>1401</v>
      </c>
      <c r="C523" s="155">
        <v>45868</v>
      </c>
      <c r="D523" s="155">
        <v>45863</v>
      </c>
      <c r="E523" s="159">
        <v>181.82</v>
      </c>
      <c r="F523" s="159">
        <v>9.1221095043609992</v>
      </c>
      <c r="G523" s="159">
        <v>9.1221095043609992</v>
      </c>
      <c r="H523" s="184">
        <f t="shared" si="16"/>
        <v>45978</v>
      </c>
      <c r="I523" s="187" cm="1">
        <f t="array" ref="I523">G523*[15]!CalculateINPC(C523,H523,-1)</f>
        <v>9.1722444357547772</v>
      </c>
      <c r="J523" s="187">
        <f t="shared" si="17"/>
        <v>9.8835122673037965</v>
      </c>
      <c r="K523" s="187" cm="1">
        <f t="array" ref="K523">[15]!CalculateDICetip(C523,H523,1)*G523</f>
        <v>9.522823706246669</v>
      </c>
      <c r="L523" s="154">
        <v>263282</v>
      </c>
      <c r="M523" s="154" t="s">
        <v>1055</v>
      </c>
      <c r="N523" s="154" t="s">
        <v>189</v>
      </c>
      <c r="O523" s="154" t="s">
        <v>190</v>
      </c>
      <c r="P523" s="154">
        <v>27220</v>
      </c>
      <c r="Q523" s="154" t="s">
        <v>1092</v>
      </c>
      <c r="R523" s="154">
        <v>4</v>
      </c>
      <c r="S523" s="154" t="s">
        <v>1061</v>
      </c>
      <c r="T523" s="154" t="s">
        <v>1056</v>
      </c>
      <c r="U523" s="154" t="s">
        <v>916</v>
      </c>
      <c r="V523" s="154" t="s">
        <v>916</v>
      </c>
      <c r="W523" s="154" t="s">
        <v>130</v>
      </c>
      <c r="X523" s="154" t="s">
        <v>1303</v>
      </c>
    </row>
    <row r="524" spans="1:24">
      <c r="A524" s="154" t="s">
        <v>102</v>
      </c>
      <c r="B524" s="154" t="s">
        <v>1401</v>
      </c>
      <c r="C524" s="155">
        <v>45868</v>
      </c>
      <c r="D524" s="155">
        <v>45863</v>
      </c>
      <c r="E524" s="159">
        <v>181.82</v>
      </c>
      <c r="F524" s="159">
        <v>9.1221095043609992</v>
      </c>
      <c r="G524" s="159">
        <v>9.1221095043609992</v>
      </c>
      <c r="H524" s="184">
        <f t="shared" si="16"/>
        <v>45978</v>
      </c>
      <c r="I524" s="187" cm="1">
        <f t="array" ref="I524">G524*[15]!CalculateINPC(C524,H524,-1)</f>
        <v>9.1722444357547772</v>
      </c>
      <c r="J524" s="187">
        <f t="shared" si="17"/>
        <v>9.8835122673037965</v>
      </c>
      <c r="K524" s="187" cm="1">
        <f t="array" ref="K524">[15]!CalculateDICetip(C524,H524,1)*G524</f>
        <v>9.522823706246669</v>
      </c>
      <c r="L524" s="154">
        <v>263282</v>
      </c>
      <c r="M524" s="154" t="s">
        <v>1055</v>
      </c>
      <c r="N524" s="154" t="s">
        <v>189</v>
      </c>
      <c r="O524" s="154" t="s">
        <v>190</v>
      </c>
      <c r="P524" s="154">
        <v>27189</v>
      </c>
      <c r="Q524" s="154" t="s">
        <v>1152</v>
      </c>
      <c r="R524" s="154">
        <v>4</v>
      </c>
      <c r="S524" s="154" t="s">
        <v>1061</v>
      </c>
      <c r="T524" s="154" t="s">
        <v>1056</v>
      </c>
      <c r="U524" s="154" t="s">
        <v>916</v>
      </c>
      <c r="V524" s="154" t="s">
        <v>916</v>
      </c>
      <c r="W524" s="154" t="s">
        <v>130</v>
      </c>
      <c r="X524" s="154" t="s">
        <v>1303</v>
      </c>
    </row>
    <row r="525" spans="1:24">
      <c r="A525" s="154" t="s">
        <v>102</v>
      </c>
      <c r="B525" s="154" t="s">
        <v>1401</v>
      </c>
      <c r="C525" s="155">
        <v>45868</v>
      </c>
      <c r="D525" s="155">
        <v>45863</v>
      </c>
      <c r="E525" s="159">
        <v>181.82</v>
      </c>
      <c r="F525" s="159">
        <v>9.1221095043609992</v>
      </c>
      <c r="G525" s="159">
        <v>9.1221095043609992</v>
      </c>
      <c r="H525" s="184">
        <f t="shared" si="16"/>
        <v>45978</v>
      </c>
      <c r="I525" s="187" cm="1">
        <f t="array" ref="I525">G525*[15]!CalculateINPC(C525,H525,-1)</f>
        <v>9.1722444357547772</v>
      </c>
      <c r="J525" s="187">
        <f t="shared" si="17"/>
        <v>9.8835122673037965</v>
      </c>
      <c r="K525" s="187" cm="1">
        <f t="array" ref="K525">[15]!CalculateDICetip(C525,H525,1)*G525</f>
        <v>9.522823706246669</v>
      </c>
      <c r="L525" s="154">
        <v>263282</v>
      </c>
      <c r="M525" s="154" t="s">
        <v>1055</v>
      </c>
      <c r="N525" s="154" t="s">
        <v>189</v>
      </c>
      <c r="O525" s="154" t="s">
        <v>190</v>
      </c>
      <c r="P525" s="154">
        <v>27205</v>
      </c>
      <c r="Q525" s="154" t="s">
        <v>1089</v>
      </c>
      <c r="R525" s="154">
        <v>4</v>
      </c>
      <c r="S525" s="154" t="s">
        <v>1061</v>
      </c>
      <c r="T525" s="154" t="s">
        <v>1056</v>
      </c>
      <c r="U525" s="154" t="s">
        <v>916</v>
      </c>
      <c r="V525" s="154" t="s">
        <v>916</v>
      </c>
      <c r="W525" s="154" t="s">
        <v>130</v>
      </c>
      <c r="X525" s="154" t="s">
        <v>1303</v>
      </c>
    </row>
    <row r="526" spans="1:24">
      <c r="A526" s="154" t="s">
        <v>102</v>
      </c>
      <c r="B526" s="154" t="s">
        <v>1401</v>
      </c>
      <c r="C526" s="155">
        <v>45868</v>
      </c>
      <c r="D526" s="155">
        <v>45863</v>
      </c>
      <c r="E526" s="159">
        <v>181.82</v>
      </c>
      <c r="F526" s="159">
        <v>9.1221095043609992</v>
      </c>
      <c r="G526" s="159">
        <v>9.1221095043609992</v>
      </c>
      <c r="H526" s="184">
        <f t="shared" si="16"/>
        <v>45978</v>
      </c>
      <c r="I526" s="187" cm="1">
        <f t="array" ref="I526">G526*[15]!CalculateINPC(C526,H526,-1)</f>
        <v>9.1722444357547772</v>
      </c>
      <c r="J526" s="187">
        <f t="shared" si="17"/>
        <v>9.8835122673037965</v>
      </c>
      <c r="K526" s="187" cm="1">
        <f t="array" ref="K526">[15]!CalculateDICetip(C526,H526,1)*G526</f>
        <v>9.522823706246669</v>
      </c>
      <c r="L526" s="154">
        <v>263282</v>
      </c>
      <c r="M526" s="154" t="s">
        <v>1055</v>
      </c>
      <c r="N526" s="154" t="s">
        <v>189</v>
      </c>
      <c r="O526" s="154" t="s">
        <v>190</v>
      </c>
      <c r="P526" s="154">
        <v>27195</v>
      </c>
      <c r="Q526" s="154" t="s">
        <v>1098</v>
      </c>
      <c r="R526" s="154">
        <v>4</v>
      </c>
      <c r="S526" s="154" t="s">
        <v>1061</v>
      </c>
      <c r="T526" s="154" t="s">
        <v>1056</v>
      </c>
      <c r="U526" s="154" t="s">
        <v>916</v>
      </c>
      <c r="V526" s="154" t="s">
        <v>916</v>
      </c>
      <c r="W526" s="154" t="s">
        <v>130</v>
      </c>
      <c r="X526" s="154" t="s">
        <v>1303</v>
      </c>
    </row>
    <row r="527" spans="1:24">
      <c r="A527" s="154" t="s">
        <v>102</v>
      </c>
      <c r="B527" s="154" t="s">
        <v>1401</v>
      </c>
      <c r="C527" s="155">
        <v>45868</v>
      </c>
      <c r="D527" s="155">
        <v>45863</v>
      </c>
      <c r="E527" s="159">
        <v>181.82</v>
      </c>
      <c r="F527" s="159">
        <v>9.1221095043609992</v>
      </c>
      <c r="G527" s="159">
        <v>9.1221095043609992</v>
      </c>
      <c r="H527" s="184">
        <f t="shared" si="16"/>
        <v>45978</v>
      </c>
      <c r="I527" s="187" cm="1">
        <f t="array" ref="I527">G527*[15]!CalculateINPC(C527,H527,-1)</f>
        <v>9.1722444357547772</v>
      </c>
      <c r="J527" s="187">
        <f t="shared" si="17"/>
        <v>9.8835122673037965</v>
      </c>
      <c r="K527" s="187" cm="1">
        <f t="array" ref="K527">[15]!CalculateDICetip(C527,H527,1)*G527</f>
        <v>9.522823706246669</v>
      </c>
      <c r="L527" s="154">
        <v>263282</v>
      </c>
      <c r="M527" s="154" t="s">
        <v>1055</v>
      </c>
      <c r="N527" s="154" t="s">
        <v>189</v>
      </c>
      <c r="O527" s="154" t="s">
        <v>190</v>
      </c>
      <c r="P527" s="154">
        <v>27234</v>
      </c>
      <c r="Q527" s="154" t="s">
        <v>1083</v>
      </c>
      <c r="R527" s="154">
        <v>4</v>
      </c>
      <c r="S527" s="154" t="s">
        <v>1061</v>
      </c>
      <c r="T527" s="154" t="s">
        <v>1056</v>
      </c>
      <c r="U527" s="154" t="s">
        <v>916</v>
      </c>
      <c r="V527" s="154" t="s">
        <v>916</v>
      </c>
      <c r="W527" s="154" t="s">
        <v>130</v>
      </c>
      <c r="X527" s="154" t="s">
        <v>1303</v>
      </c>
    </row>
    <row r="528" spans="1:24">
      <c r="A528" s="154" t="s">
        <v>102</v>
      </c>
      <c r="B528" s="154" t="s">
        <v>1401</v>
      </c>
      <c r="C528" s="155">
        <v>45868</v>
      </c>
      <c r="D528" s="155">
        <v>45863</v>
      </c>
      <c r="E528" s="159">
        <v>181.82</v>
      </c>
      <c r="F528" s="159">
        <v>9.1221095043609992</v>
      </c>
      <c r="G528" s="159">
        <v>9.1221095043609992</v>
      </c>
      <c r="H528" s="184">
        <f t="shared" si="16"/>
        <v>45978</v>
      </c>
      <c r="I528" s="187" cm="1">
        <f t="array" ref="I528">G528*[15]!CalculateINPC(C528,H528,-1)</f>
        <v>9.1722444357547772</v>
      </c>
      <c r="J528" s="187">
        <f t="shared" si="17"/>
        <v>9.8835122673037965</v>
      </c>
      <c r="K528" s="187" cm="1">
        <f t="array" ref="K528">[15]!CalculateDICetip(C528,H528,1)*G528</f>
        <v>9.522823706246669</v>
      </c>
      <c r="L528" s="154">
        <v>263282</v>
      </c>
      <c r="M528" s="154" t="s">
        <v>1055</v>
      </c>
      <c r="N528" s="154" t="s">
        <v>189</v>
      </c>
      <c r="O528" s="154" t="s">
        <v>190</v>
      </c>
      <c r="P528" s="154">
        <v>27222</v>
      </c>
      <c r="Q528" s="154" t="s">
        <v>1132</v>
      </c>
      <c r="R528" s="154">
        <v>4</v>
      </c>
      <c r="S528" s="154" t="s">
        <v>1061</v>
      </c>
      <c r="T528" s="154" t="s">
        <v>1056</v>
      </c>
      <c r="U528" s="154" t="s">
        <v>916</v>
      </c>
      <c r="V528" s="154" t="s">
        <v>916</v>
      </c>
      <c r="W528" s="154" t="s">
        <v>130</v>
      </c>
      <c r="X528" s="154" t="s">
        <v>1303</v>
      </c>
    </row>
    <row r="529" spans="1:24">
      <c r="A529" s="154" t="s">
        <v>102</v>
      </c>
      <c r="B529" s="154" t="s">
        <v>1401</v>
      </c>
      <c r="C529" s="155">
        <v>45868</v>
      </c>
      <c r="D529" s="155">
        <v>45863</v>
      </c>
      <c r="E529" s="159">
        <v>181.82</v>
      </c>
      <c r="F529" s="159">
        <v>9.1221095043609992</v>
      </c>
      <c r="G529" s="159">
        <v>9.1221095043609992</v>
      </c>
      <c r="H529" s="184">
        <f t="shared" si="16"/>
        <v>45978</v>
      </c>
      <c r="I529" s="187" cm="1">
        <f t="array" ref="I529">G529*[15]!CalculateINPC(C529,H529,-1)</f>
        <v>9.1722444357547772</v>
      </c>
      <c r="J529" s="187">
        <f t="shared" si="17"/>
        <v>9.8835122673037965</v>
      </c>
      <c r="K529" s="187" cm="1">
        <f t="array" ref="K529">[15]!CalculateDICetip(C529,H529,1)*G529</f>
        <v>9.522823706246669</v>
      </c>
      <c r="L529" s="154">
        <v>263282</v>
      </c>
      <c r="M529" s="154" t="s">
        <v>1055</v>
      </c>
      <c r="N529" s="154" t="s">
        <v>189</v>
      </c>
      <c r="O529" s="154" t="s">
        <v>190</v>
      </c>
      <c r="P529" s="154">
        <v>27180</v>
      </c>
      <c r="Q529" s="154" t="s">
        <v>1064</v>
      </c>
      <c r="R529" s="154">
        <v>4</v>
      </c>
      <c r="S529" s="154" t="s">
        <v>1061</v>
      </c>
      <c r="T529" s="154" t="s">
        <v>1056</v>
      </c>
      <c r="U529" s="154" t="s">
        <v>916</v>
      </c>
      <c r="V529" s="154" t="s">
        <v>916</v>
      </c>
      <c r="W529" s="154" t="s">
        <v>130</v>
      </c>
      <c r="X529" s="154" t="s">
        <v>1303</v>
      </c>
    </row>
    <row r="530" spans="1:24">
      <c r="A530" s="154" t="s">
        <v>102</v>
      </c>
      <c r="B530" s="154" t="s">
        <v>1401</v>
      </c>
      <c r="C530" s="155">
        <v>45868</v>
      </c>
      <c r="D530" s="155">
        <v>45863</v>
      </c>
      <c r="E530" s="159">
        <v>181.82</v>
      </c>
      <c r="F530" s="159">
        <v>9.1221095043609992</v>
      </c>
      <c r="G530" s="159">
        <v>9.1221095043609992</v>
      </c>
      <c r="H530" s="184">
        <f t="shared" si="16"/>
        <v>45978</v>
      </c>
      <c r="I530" s="187" cm="1">
        <f t="array" ref="I530">G530*[15]!CalculateINPC(C530,H530,-1)</f>
        <v>9.1722444357547772</v>
      </c>
      <c r="J530" s="187">
        <f t="shared" si="17"/>
        <v>9.8835122673037965</v>
      </c>
      <c r="K530" s="187" cm="1">
        <f t="array" ref="K530">[15]!CalculateDICetip(C530,H530,1)*G530</f>
        <v>9.522823706246669</v>
      </c>
      <c r="L530" s="154">
        <v>263282</v>
      </c>
      <c r="M530" s="154" t="s">
        <v>1055</v>
      </c>
      <c r="N530" s="154" t="s">
        <v>189</v>
      </c>
      <c r="O530" s="154" t="s">
        <v>190</v>
      </c>
      <c r="P530" s="154">
        <v>27218</v>
      </c>
      <c r="Q530" s="154" t="s">
        <v>1113</v>
      </c>
      <c r="R530" s="154">
        <v>4</v>
      </c>
      <c r="S530" s="154" t="s">
        <v>1061</v>
      </c>
      <c r="T530" s="154" t="s">
        <v>1056</v>
      </c>
      <c r="U530" s="154" t="s">
        <v>916</v>
      </c>
      <c r="V530" s="154" t="s">
        <v>916</v>
      </c>
      <c r="W530" s="154" t="s">
        <v>130</v>
      </c>
      <c r="X530" s="154" t="s">
        <v>1303</v>
      </c>
    </row>
    <row r="531" spans="1:24">
      <c r="A531" s="154" t="s">
        <v>102</v>
      </c>
      <c r="B531" s="154" t="s">
        <v>1401</v>
      </c>
      <c r="C531" s="155">
        <v>45868</v>
      </c>
      <c r="D531" s="155">
        <v>45863</v>
      </c>
      <c r="E531" s="159">
        <v>181.82</v>
      </c>
      <c r="F531" s="159">
        <v>9.1221095043609992</v>
      </c>
      <c r="G531" s="159">
        <v>9.1221095043609992</v>
      </c>
      <c r="H531" s="184">
        <f t="shared" si="16"/>
        <v>45978</v>
      </c>
      <c r="I531" s="187" cm="1">
        <f t="array" ref="I531">G531*[15]!CalculateINPC(C531,H531,-1)</f>
        <v>9.1722444357547772</v>
      </c>
      <c r="J531" s="187">
        <f t="shared" si="17"/>
        <v>9.8835122673037965</v>
      </c>
      <c r="K531" s="187" cm="1">
        <f t="array" ref="K531">[15]!CalculateDICetip(C531,H531,1)*G531</f>
        <v>9.522823706246669</v>
      </c>
      <c r="L531" s="154">
        <v>263282</v>
      </c>
      <c r="M531" s="154" t="s">
        <v>1055</v>
      </c>
      <c r="N531" s="154" t="s">
        <v>189</v>
      </c>
      <c r="O531" s="154" t="s">
        <v>190</v>
      </c>
      <c r="P531" s="154">
        <v>27203</v>
      </c>
      <c r="Q531" s="154" t="s">
        <v>1086</v>
      </c>
      <c r="R531" s="154">
        <v>4</v>
      </c>
      <c r="S531" s="154" t="s">
        <v>1061</v>
      </c>
      <c r="T531" s="154" t="s">
        <v>1056</v>
      </c>
      <c r="U531" s="154" t="s">
        <v>916</v>
      </c>
      <c r="V531" s="154" t="s">
        <v>916</v>
      </c>
      <c r="W531" s="154" t="s">
        <v>130</v>
      </c>
      <c r="X531" s="154" t="s">
        <v>1303</v>
      </c>
    </row>
    <row r="532" spans="1:24">
      <c r="A532" s="154" t="s">
        <v>102</v>
      </c>
      <c r="B532" s="154" t="s">
        <v>1401</v>
      </c>
      <c r="C532" s="155">
        <v>45868</v>
      </c>
      <c r="D532" s="155">
        <v>45863</v>
      </c>
      <c r="E532" s="159">
        <v>181.82</v>
      </c>
      <c r="F532" s="159">
        <v>9.1221095043609992</v>
      </c>
      <c r="G532" s="159">
        <v>9.1221095043609992</v>
      </c>
      <c r="H532" s="184">
        <f t="shared" si="16"/>
        <v>45978</v>
      </c>
      <c r="I532" s="187" cm="1">
        <f t="array" ref="I532">G532*[15]!CalculateINPC(C532,H532,-1)</f>
        <v>9.1722444357547772</v>
      </c>
      <c r="J532" s="187">
        <f t="shared" si="17"/>
        <v>9.8835122673037965</v>
      </c>
      <c r="K532" s="187" cm="1">
        <f t="array" ref="K532">[15]!CalculateDICetip(C532,H532,1)*G532</f>
        <v>9.522823706246669</v>
      </c>
      <c r="L532" s="154">
        <v>263282</v>
      </c>
      <c r="M532" s="154" t="s">
        <v>1055</v>
      </c>
      <c r="N532" s="154" t="s">
        <v>189</v>
      </c>
      <c r="O532" s="154" t="s">
        <v>190</v>
      </c>
      <c r="P532" s="154">
        <v>27215</v>
      </c>
      <c r="Q532" s="154" t="s">
        <v>1095</v>
      </c>
      <c r="R532" s="154">
        <v>4</v>
      </c>
      <c r="S532" s="154" t="s">
        <v>1061</v>
      </c>
      <c r="T532" s="154" t="s">
        <v>1056</v>
      </c>
      <c r="U532" s="154" t="s">
        <v>916</v>
      </c>
      <c r="V532" s="154" t="s">
        <v>916</v>
      </c>
      <c r="W532" s="154" t="s">
        <v>130</v>
      </c>
      <c r="X532" s="154" t="s">
        <v>1303</v>
      </c>
    </row>
    <row r="533" spans="1:24">
      <c r="A533" s="154" t="s">
        <v>102</v>
      </c>
      <c r="B533" s="154" t="s">
        <v>1401</v>
      </c>
      <c r="C533" s="155">
        <v>45868</v>
      </c>
      <c r="D533" s="155">
        <v>45863</v>
      </c>
      <c r="E533" s="159">
        <v>181.82</v>
      </c>
      <c r="F533" s="159">
        <v>9.1221095043609992</v>
      </c>
      <c r="G533" s="159">
        <v>9.1221095043609992</v>
      </c>
      <c r="H533" s="184">
        <f t="shared" si="16"/>
        <v>45978</v>
      </c>
      <c r="I533" s="187" cm="1">
        <f t="array" ref="I533">G533*[15]!CalculateINPC(C533,H533,-1)</f>
        <v>9.1722444357547772</v>
      </c>
      <c r="J533" s="187">
        <f t="shared" si="17"/>
        <v>9.8835122673037965</v>
      </c>
      <c r="K533" s="187" cm="1">
        <f t="array" ref="K533">[15]!CalculateDICetip(C533,H533,1)*G533</f>
        <v>9.522823706246669</v>
      </c>
      <c r="L533" s="154">
        <v>263282</v>
      </c>
      <c r="M533" s="154" t="s">
        <v>1055</v>
      </c>
      <c r="N533" s="154" t="s">
        <v>189</v>
      </c>
      <c r="O533" s="154" t="s">
        <v>190</v>
      </c>
      <c r="P533" s="154">
        <v>27233</v>
      </c>
      <c r="Q533" s="154" t="s">
        <v>1104</v>
      </c>
      <c r="R533" s="154">
        <v>4</v>
      </c>
      <c r="S533" s="154" t="s">
        <v>1061</v>
      </c>
      <c r="T533" s="154" t="s">
        <v>1056</v>
      </c>
      <c r="U533" s="154" t="s">
        <v>916</v>
      </c>
      <c r="V533" s="154" t="s">
        <v>916</v>
      </c>
      <c r="W533" s="154" t="s">
        <v>130</v>
      </c>
      <c r="X533" s="154" t="s">
        <v>1303</v>
      </c>
    </row>
    <row r="534" spans="1:24">
      <c r="A534" s="154" t="s">
        <v>102</v>
      </c>
      <c r="B534" s="154" t="s">
        <v>1401</v>
      </c>
      <c r="C534" s="155">
        <v>45868</v>
      </c>
      <c r="D534" s="155">
        <v>45863</v>
      </c>
      <c r="E534" s="159">
        <v>181.82</v>
      </c>
      <c r="F534" s="159">
        <v>9.1221095043609992</v>
      </c>
      <c r="G534" s="159">
        <v>9.1221095043609992</v>
      </c>
      <c r="H534" s="184">
        <f t="shared" si="16"/>
        <v>45978</v>
      </c>
      <c r="I534" s="187" cm="1">
        <f t="array" ref="I534">G534*[15]!CalculateINPC(C534,H534,-1)</f>
        <v>9.1722444357547772</v>
      </c>
      <c r="J534" s="187">
        <f t="shared" si="17"/>
        <v>9.8835122673037965</v>
      </c>
      <c r="K534" s="187" cm="1">
        <f t="array" ref="K534">[15]!CalculateDICetip(C534,H534,1)*G534</f>
        <v>9.522823706246669</v>
      </c>
      <c r="L534" s="154">
        <v>263282</v>
      </c>
      <c r="M534" s="154" t="s">
        <v>1055</v>
      </c>
      <c r="N534" s="154" t="s">
        <v>189</v>
      </c>
      <c r="O534" s="154" t="s">
        <v>190</v>
      </c>
      <c r="P534" s="154">
        <v>27209</v>
      </c>
      <c r="Q534" s="154" t="s">
        <v>1110</v>
      </c>
      <c r="R534" s="154">
        <v>4</v>
      </c>
      <c r="S534" s="154" t="s">
        <v>1061</v>
      </c>
      <c r="T534" s="154" t="s">
        <v>1056</v>
      </c>
      <c r="U534" s="154" t="s">
        <v>916</v>
      </c>
      <c r="V534" s="154" t="s">
        <v>916</v>
      </c>
      <c r="W534" s="154" t="s">
        <v>130</v>
      </c>
      <c r="X534" s="154" t="s">
        <v>1303</v>
      </c>
    </row>
    <row r="535" spans="1:24">
      <c r="A535" s="154" t="s">
        <v>102</v>
      </c>
      <c r="B535" s="154" t="s">
        <v>1401</v>
      </c>
      <c r="C535" s="155">
        <v>45868</v>
      </c>
      <c r="D535" s="155">
        <v>45863</v>
      </c>
      <c r="E535" s="159">
        <v>181.82</v>
      </c>
      <c r="F535" s="159">
        <v>9.1221095043609992</v>
      </c>
      <c r="G535" s="159">
        <v>9.1221095043609992</v>
      </c>
      <c r="H535" s="184">
        <f t="shared" si="16"/>
        <v>45978</v>
      </c>
      <c r="I535" s="187" cm="1">
        <f t="array" ref="I535">G535*[15]!CalculateINPC(C535,H535,-1)</f>
        <v>9.1722444357547772</v>
      </c>
      <c r="J535" s="187">
        <f t="shared" si="17"/>
        <v>9.8835122673037965</v>
      </c>
      <c r="K535" s="187" cm="1">
        <f t="array" ref="K535">[15]!CalculateDICetip(C535,H535,1)*G535</f>
        <v>9.522823706246669</v>
      </c>
      <c r="L535" s="154">
        <v>263282</v>
      </c>
      <c r="M535" s="154" t="s">
        <v>1055</v>
      </c>
      <c r="N535" s="154" t="s">
        <v>189</v>
      </c>
      <c r="O535" s="154" t="s">
        <v>190</v>
      </c>
      <c r="P535" s="154">
        <v>27201</v>
      </c>
      <c r="Q535" s="154" t="s">
        <v>1120</v>
      </c>
      <c r="R535" s="154">
        <v>4</v>
      </c>
      <c r="S535" s="154" t="s">
        <v>1061</v>
      </c>
      <c r="T535" s="154" t="s">
        <v>1056</v>
      </c>
      <c r="U535" s="154" t="s">
        <v>916</v>
      </c>
      <c r="V535" s="154" t="s">
        <v>916</v>
      </c>
      <c r="W535" s="154" t="s">
        <v>130</v>
      </c>
      <c r="X535" s="154" t="s">
        <v>1303</v>
      </c>
    </row>
    <row r="536" spans="1:24">
      <c r="A536" s="154" t="s">
        <v>102</v>
      </c>
      <c r="B536" s="154" t="s">
        <v>1401</v>
      </c>
      <c r="C536" s="155">
        <v>45868</v>
      </c>
      <c r="D536" s="155">
        <v>45863</v>
      </c>
      <c r="E536" s="159">
        <v>181.82</v>
      </c>
      <c r="F536" s="159">
        <v>9.1221095043609992</v>
      </c>
      <c r="G536" s="159">
        <v>9.1221095043609992</v>
      </c>
      <c r="H536" s="184">
        <f t="shared" si="16"/>
        <v>45978</v>
      </c>
      <c r="I536" s="187" cm="1">
        <f t="array" ref="I536">G536*[15]!CalculateINPC(C536,H536,-1)</f>
        <v>9.1722444357547772</v>
      </c>
      <c r="J536" s="187">
        <f t="shared" si="17"/>
        <v>9.8835122673037965</v>
      </c>
      <c r="K536" s="187" cm="1">
        <f t="array" ref="K536">[15]!CalculateDICetip(C536,H536,1)*G536</f>
        <v>9.522823706246669</v>
      </c>
      <c r="L536" s="154">
        <v>263282</v>
      </c>
      <c r="M536" s="154" t="s">
        <v>1055</v>
      </c>
      <c r="N536" s="154" t="s">
        <v>189</v>
      </c>
      <c r="O536" s="154" t="s">
        <v>190</v>
      </c>
      <c r="P536" s="154">
        <v>27230</v>
      </c>
      <c r="Q536" s="154" t="s">
        <v>1147</v>
      </c>
      <c r="R536" s="154">
        <v>4</v>
      </c>
      <c r="S536" s="154" t="s">
        <v>1061</v>
      </c>
      <c r="T536" s="154" t="s">
        <v>1056</v>
      </c>
      <c r="U536" s="154" t="s">
        <v>916</v>
      </c>
      <c r="V536" s="154" t="s">
        <v>916</v>
      </c>
      <c r="W536" s="154" t="s">
        <v>130</v>
      </c>
      <c r="X536" s="154" t="s">
        <v>1303</v>
      </c>
    </row>
    <row r="537" spans="1:24">
      <c r="A537" s="154" t="s">
        <v>102</v>
      </c>
      <c r="B537" s="154" t="s">
        <v>1401</v>
      </c>
      <c r="C537" s="155">
        <v>45868</v>
      </c>
      <c r="D537" s="155">
        <v>45863</v>
      </c>
      <c r="E537" s="159">
        <v>181.82</v>
      </c>
      <c r="F537" s="159">
        <v>9.1221095043609992</v>
      </c>
      <c r="G537" s="159">
        <v>9.1221095043609992</v>
      </c>
      <c r="H537" s="184">
        <f t="shared" si="16"/>
        <v>45978</v>
      </c>
      <c r="I537" s="187" cm="1">
        <f t="array" ref="I537">G537*[15]!CalculateINPC(C537,H537,-1)</f>
        <v>9.1722444357547772</v>
      </c>
      <c r="J537" s="187">
        <f t="shared" si="17"/>
        <v>9.8835122673037965</v>
      </c>
      <c r="K537" s="187" cm="1">
        <f t="array" ref="K537">[15]!CalculateDICetip(C537,H537,1)*G537</f>
        <v>9.522823706246669</v>
      </c>
      <c r="L537" s="154">
        <v>263282</v>
      </c>
      <c r="M537" s="154" t="s">
        <v>1055</v>
      </c>
      <c r="N537" s="154" t="s">
        <v>189</v>
      </c>
      <c r="O537" s="154" t="s">
        <v>190</v>
      </c>
      <c r="P537" s="154">
        <v>27213</v>
      </c>
      <c r="Q537" s="154" t="s">
        <v>1101</v>
      </c>
      <c r="R537" s="154">
        <v>4</v>
      </c>
      <c r="S537" s="154" t="s">
        <v>1061</v>
      </c>
      <c r="T537" s="154" t="s">
        <v>1056</v>
      </c>
      <c r="U537" s="154" t="s">
        <v>916</v>
      </c>
      <c r="V537" s="154" t="s">
        <v>916</v>
      </c>
      <c r="W537" s="154" t="s">
        <v>130</v>
      </c>
      <c r="X537" s="154" t="s">
        <v>1303</v>
      </c>
    </row>
    <row r="538" spans="1:24">
      <c r="A538" s="154" t="s">
        <v>102</v>
      </c>
      <c r="B538" s="154" t="s">
        <v>1401</v>
      </c>
      <c r="C538" s="155">
        <v>45868</v>
      </c>
      <c r="D538" s="155">
        <v>45863</v>
      </c>
      <c r="E538" s="159">
        <v>181.82</v>
      </c>
      <c r="F538" s="159">
        <v>9.1221095043609992</v>
      </c>
      <c r="G538" s="159">
        <v>9.1221095043609992</v>
      </c>
      <c r="H538" s="184">
        <f t="shared" si="16"/>
        <v>45978</v>
      </c>
      <c r="I538" s="187" cm="1">
        <f t="array" ref="I538">G538*[15]!CalculateINPC(C538,H538,-1)</f>
        <v>9.1722444357547772</v>
      </c>
      <c r="J538" s="187">
        <f t="shared" si="17"/>
        <v>9.8835122673037965</v>
      </c>
      <c r="K538" s="187" cm="1">
        <f t="array" ref="K538">[15]!CalculateDICetip(C538,H538,1)*G538</f>
        <v>9.522823706246669</v>
      </c>
      <c r="L538" s="154">
        <v>263282</v>
      </c>
      <c r="M538" s="154" t="s">
        <v>1055</v>
      </c>
      <c r="N538" s="154" t="s">
        <v>189</v>
      </c>
      <c r="O538" s="154" t="s">
        <v>190</v>
      </c>
      <c r="P538" s="154">
        <v>27196</v>
      </c>
      <c r="Q538" s="154" t="s">
        <v>1162</v>
      </c>
      <c r="R538" s="154">
        <v>4</v>
      </c>
      <c r="S538" s="154" t="s">
        <v>1061</v>
      </c>
      <c r="T538" s="154" t="s">
        <v>1056</v>
      </c>
      <c r="U538" s="154" t="s">
        <v>916</v>
      </c>
      <c r="V538" s="154" t="s">
        <v>916</v>
      </c>
      <c r="W538" s="154" t="s">
        <v>130</v>
      </c>
      <c r="X538" s="154" t="s">
        <v>1303</v>
      </c>
    </row>
    <row r="539" spans="1:24">
      <c r="A539" s="154" t="s">
        <v>102</v>
      </c>
      <c r="B539" s="154" t="s">
        <v>1401</v>
      </c>
      <c r="C539" s="155">
        <v>45868</v>
      </c>
      <c r="D539" s="155">
        <v>45854</v>
      </c>
      <c r="E539" s="159">
        <v>3860</v>
      </c>
      <c r="F539" s="159">
        <v>3860</v>
      </c>
      <c r="G539" s="159">
        <v>3860</v>
      </c>
      <c r="H539" s="184">
        <f t="shared" si="16"/>
        <v>45978</v>
      </c>
      <c r="I539" s="187" cm="1">
        <f t="array" ref="I539">G539*[15]!CalculateINPC(C539,H539,-1)</f>
        <v>3881.2144828</v>
      </c>
      <c r="J539" s="187">
        <f t="shared" si="17"/>
        <v>4182.1858566326291</v>
      </c>
      <c r="K539" s="187" cm="1">
        <f t="array" ref="K539">[15]!CalculateDICetip(C539,H539,1)*G539</f>
        <v>4029.5613080000003</v>
      </c>
      <c r="L539" s="154">
        <v>262762</v>
      </c>
      <c r="M539" s="154" t="s">
        <v>200</v>
      </c>
      <c r="N539" s="154" t="s">
        <v>965</v>
      </c>
      <c r="O539" s="154" t="s">
        <v>966</v>
      </c>
      <c r="P539" s="154">
        <v>27218</v>
      </c>
      <c r="Q539" s="154" t="s">
        <v>1113</v>
      </c>
      <c r="R539" s="154">
        <v>4</v>
      </c>
      <c r="S539" s="154" t="s">
        <v>1061</v>
      </c>
      <c r="T539" s="154" t="s">
        <v>1304</v>
      </c>
      <c r="U539" s="154" t="s">
        <v>1071</v>
      </c>
      <c r="V539" s="154" t="s">
        <v>1072</v>
      </c>
      <c r="W539" s="154" t="s">
        <v>111</v>
      </c>
      <c r="X539" s="154" t="s">
        <v>1305</v>
      </c>
    </row>
    <row r="540" spans="1:24">
      <c r="A540" s="154" t="s">
        <v>102</v>
      </c>
      <c r="B540" s="154" t="s">
        <v>1401</v>
      </c>
      <c r="C540" s="155">
        <v>45868</v>
      </c>
      <c r="D540" s="155">
        <v>45863</v>
      </c>
      <c r="E540" s="159">
        <v>181.82</v>
      </c>
      <c r="F540" s="159">
        <v>8.4999194171409993</v>
      </c>
      <c r="G540" s="159">
        <v>8.4999194171409993</v>
      </c>
      <c r="H540" s="184">
        <f t="shared" si="16"/>
        <v>45978</v>
      </c>
      <c r="I540" s="187" cm="1">
        <f t="array" ref="I540">G540*[15]!CalculateINPC(C540,H540,-1)</f>
        <v>8.5466348042592184</v>
      </c>
      <c r="J540" s="187">
        <f t="shared" si="17"/>
        <v>9.209389318363769</v>
      </c>
      <c r="K540" s="187" cm="1">
        <f t="array" ref="K540">[15]!CalculateDICetip(C540,H540,1)*G540</f>
        <v>8.8733021773132865</v>
      </c>
      <c r="L540" s="154">
        <v>263282</v>
      </c>
      <c r="M540" s="154" t="s">
        <v>1055</v>
      </c>
      <c r="N540" s="154" t="s">
        <v>189</v>
      </c>
      <c r="O540" s="154" t="s">
        <v>190</v>
      </c>
      <c r="P540" s="154">
        <v>27223</v>
      </c>
      <c r="Q540" s="154" t="s">
        <v>1067</v>
      </c>
      <c r="R540" s="154">
        <v>4</v>
      </c>
      <c r="S540" s="154" t="s">
        <v>1061</v>
      </c>
      <c r="T540" s="154" t="s">
        <v>1056</v>
      </c>
      <c r="U540" s="154" t="s">
        <v>916</v>
      </c>
      <c r="V540" s="154" t="s">
        <v>916</v>
      </c>
      <c r="W540" s="154" t="s">
        <v>130</v>
      </c>
      <c r="X540" s="154" t="s">
        <v>1303</v>
      </c>
    </row>
    <row r="541" spans="1:24">
      <c r="A541" s="154" t="s">
        <v>102</v>
      </c>
      <c r="B541" s="154" t="s">
        <v>1401</v>
      </c>
      <c r="C541" s="155">
        <v>45868</v>
      </c>
      <c r="D541" s="155">
        <v>45863</v>
      </c>
      <c r="E541" s="159">
        <v>181.82</v>
      </c>
      <c r="F541" s="159">
        <v>9.1221095043609992</v>
      </c>
      <c r="G541" s="159">
        <v>9.1221095043609992</v>
      </c>
      <c r="H541" s="184">
        <f t="shared" si="16"/>
        <v>45978</v>
      </c>
      <c r="I541" s="187" cm="1">
        <f t="array" ref="I541">G541*[15]!CalculateINPC(C541,H541,-1)</f>
        <v>9.1722444357547772</v>
      </c>
      <c r="J541" s="187">
        <f t="shared" si="17"/>
        <v>9.8835122673037965</v>
      </c>
      <c r="K541" s="187" cm="1">
        <f t="array" ref="K541">[15]!CalculateDICetip(C541,H541,1)*G541</f>
        <v>9.522823706246669</v>
      </c>
      <c r="L541" s="154">
        <v>263282</v>
      </c>
      <c r="M541" s="154" t="s">
        <v>1055</v>
      </c>
      <c r="N541" s="154" t="s">
        <v>189</v>
      </c>
      <c r="O541" s="154" t="s">
        <v>190</v>
      </c>
      <c r="P541" s="154">
        <v>27193</v>
      </c>
      <c r="Q541" s="154" t="s">
        <v>1123</v>
      </c>
      <c r="R541" s="154">
        <v>4</v>
      </c>
      <c r="S541" s="154" t="s">
        <v>1061</v>
      </c>
      <c r="T541" s="154" t="s">
        <v>1056</v>
      </c>
      <c r="U541" s="154" t="s">
        <v>916</v>
      </c>
      <c r="V541" s="154" t="s">
        <v>916</v>
      </c>
      <c r="W541" s="154" t="s">
        <v>130</v>
      </c>
      <c r="X541" s="154" t="s">
        <v>1303</v>
      </c>
    </row>
    <row r="542" spans="1:24">
      <c r="A542" s="154" t="s">
        <v>102</v>
      </c>
      <c r="B542" s="154" t="s">
        <v>1401</v>
      </c>
      <c r="C542" s="155">
        <v>45960</v>
      </c>
      <c r="D542" s="155">
        <v>45937</v>
      </c>
      <c r="E542" s="159">
        <v>1082.1300000000001</v>
      </c>
      <c r="F542" s="159">
        <v>541.06999999999596</v>
      </c>
      <c r="G542" s="159">
        <v>541.06999999999596</v>
      </c>
      <c r="H542" s="184">
        <f t="shared" si="16"/>
        <v>45978</v>
      </c>
      <c r="I542" s="187" cm="1">
        <f t="array" ref="I542">G542*[15]!CalculateINPC(C542,H542,-1)</f>
        <v>541.23196389379598</v>
      </c>
      <c r="J542" s="187">
        <f t="shared" si="17"/>
        <v>548.21463157074186</v>
      </c>
      <c r="K542" s="187" cm="1">
        <f t="array" ref="K542">[15]!CalculateDICetip(C542,H542,1)*G542</f>
        <v>544.66044312739598</v>
      </c>
      <c r="L542" s="154">
        <v>278195</v>
      </c>
      <c r="M542" s="154" t="s">
        <v>1003</v>
      </c>
      <c r="N542" s="154" t="s">
        <v>189</v>
      </c>
      <c r="O542" s="154" t="s">
        <v>190</v>
      </c>
      <c r="P542" s="154">
        <v>27191</v>
      </c>
      <c r="Q542" s="154" t="s">
        <v>1148</v>
      </c>
      <c r="R542" s="154">
        <v>4</v>
      </c>
      <c r="S542" s="154" t="s">
        <v>1061</v>
      </c>
      <c r="T542" s="154" t="s">
        <v>1058</v>
      </c>
      <c r="U542" s="154" t="s">
        <v>916</v>
      </c>
      <c r="V542" s="154" t="s">
        <v>916</v>
      </c>
      <c r="W542" s="154" t="s">
        <v>130</v>
      </c>
      <c r="X542" s="154" t="s">
        <v>1306</v>
      </c>
    </row>
    <row r="543" spans="1:24">
      <c r="A543" s="154" t="s">
        <v>102</v>
      </c>
      <c r="B543" s="154" t="s">
        <v>1401</v>
      </c>
      <c r="C543" s="155">
        <v>45960</v>
      </c>
      <c r="D543" s="155">
        <v>45937</v>
      </c>
      <c r="E543" s="159">
        <v>1082.1300000000001</v>
      </c>
      <c r="F543" s="159">
        <v>541.06000000000404</v>
      </c>
      <c r="G543" s="159">
        <v>541.06000000000404</v>
      </c>
      <c r="H543" s="184">
        <f t="shared" si="16"/>
        <v>45978</v>
      </c>
      <c r="I543" s="187" cm="1">
        <f t="array" ref="I543">G543*[15]!CalculateINPC(C543,H543,-1)</f>
        <v>541.22196090040404</v>
      </c>
      <c r="J543" s="187">
        <f t="shared" si="17"/>
        <v>548.20449952440538</v>
      </c>
      <c r="K543" s="187" cm="1">
        <f t="array" ref="K543">[15]!CalculateDICetip(C543,H543,1)*G543</f>
        <v>544.65037676920406</v>
      </c>
      <c r="L543" s="154">
        <v>278195</v>
      </c>
      <c r="M543" s="154" t="s">
        <v>1003</v>
      </c>
      <c r="N543" s="154" t="s">
        <v>189</v>
      </c>
      <c r="O543" s="154" t="s">
        <v>190</v>
      </c>
      <c r="P543" s="154">
        <v>27198</v>
      </c>
      <c r="Q543" s="154" t="s">
        <v>1135</v>
      </c>
      <c r="R543" s="154">
        <v>4</v>
      </c>
      <c r="S543" s="154" t="s">
        <v>1061</v>
      </c>
      <c r="T543" s="154" t="s">
        <v>1058</v>
      </c>
      <c r="U543" s="154" t="s">
        <v>916</v>
      </c>
      <c r="V543" s="154" t="s">
        <v>916</v>
      </c>
      <c r="W543" s="154" t="s">
        <v>130</v>
      </c>
      <c r="X543" s="154" t="s">
        <v>1306</v>
      </c>
    </row>
    <row r="544" spans="1:24">
      <c r="A544" s="154" t="s">
        <v>102</v>
      </c>
      <c r="B544" s="154" t="s">
        <v>1401</v>
      </c>
      <c r="C544" s="155">
        <v>45961</v>
      </c>
      <c r="D544" s="155">
        <v>45960</v>
      </c>
      <c r="E544" s="159">
        <v>4507.6400000000003</v>
      </c>
      <c r="F544" s="159">
        <v>1227.58</v>
      </c>
      <c r="G544" s="159">
        <v>1227.58</v>
      </c>
      <c r="H544" s="184">
        <f t="shared" si="16"/>
        <v>45978</v>
      </c>
      <c r="I544" s="187" cm="1">
        <f t="array" ref="I544">G544*[15]!CalculateINPC(C544,H544,-1)</f>
        <v>1227.9474637971998</v>
      </c>
      <c r="J544" s="187">
        <f t="shared" si="17"/>
        <v>1242.8836143476403</v>
      </c>
      <c r="K544" s="187" cm="1">
        <f t="array" ref="K544">[15]!CalculateDICetip(C544,H544,1)*G544</f>
        <v>1235.045098117</v>
      </c>
      <c r="L544" s="154">
        <v>277830</v>
      </c>
      <c r="M544" s="154" t="s">
        <v>200</v>
      </c>
      <c r="N544" s="154" t="s">
        <v>114</v>
      </c>
      <c r="O544" s="154" t="s">
        <v>115</v>
      </c>
      <c r="P544" s="154">
        <v>27198</v>
      </c>
      <c r="Q544" s="154" t="s">
        <v>1135</v>
      </c>
      <c r="R544" s="154">
        <v>4</v>
      </c>
      <c r="S544" s="154" t="s">
        <v>1061</v>
      </c>
      <c r="T544" s="154" t="s">
        <v>1307</v>
      </c>
      <c r="U544" s="154" t="s">
        <v>1071</v>
      </c>
      <c r="V544" s="154" t="s">
        <v>1072</v>
      </c>
      <c r="W544" s="154" t="s">
        <v>111</v>
      </c>
      <c r="X544" s="154" t="s">
        <v>1308</v>
      </c>
    </row>
    <row r="545" spans="1:24">
      <c r="A545" s="154" t="s">
        <v>102</v>
      </c>
      <c r="B545" s="154" t="s">
        <v>1401</v>
      </c>
      <c r="C545" s="155">
        <v>45961</v>
      </c>
      <c r="D545" s="155">
        <v>45960</v>
      </c>
      <c r="E545" s="159">
        <v>4507.6400000000003</v>
      </c>
      <c r="F545" s="159">
        <v>3280.06</v>
      </c>
      <c r="G545" s="159">
        <v>3280.06</v>
      </c>
      <c r="H545" s="184">
        <f t="shared" si="16"/>
        <v>45978</v>
      </c>
      <c r="I545" s="187" cm="1">
        <f t="array" ref="I545">G545*[15]!CalculateINPC(C545,H545,-1)</f>
        <v>3281.0418531604</v>
      </c>
      <c r="J545" s="187">
        <f t="shared" si="17"/>
        <v>3320.9508366681771</v>
      </c>
      <c r="K545" s="187" cm="1">
        <f t="array" ref="K545">[15]!CalculateDICetip(C545,H545,1)*G545</f>
        <v>3300.0065368689998</v>
      </c>
      <c r="L545" s="154">
        <v>277830</v>
      </c>
      <c r="M545" s="154" t="s">
        <v>200</v>
      </c>
      <c r="N545" s="154" t="s">
        <v>114</v>
      </c>
      <c r="O545" s="154" t="s">
        <v>115</v>
      </c>
      <c r="P545" s="154">
        <v>27198</v>
      </c>
      <c r="Q545" s="154" t="s">
        <v>1135</v>
      </c>
      <c r="R545" s="154">
        <v>4</v>
      </c>
      <c r="S545" s="154" t="s">
        <v>1061</v>
      </c>
      <c r="T545" s="154" t="s">
        <v>1307</v>
      </c>
      <c r="U545" s="154" t="s">
        <v>1071</v>
      </c>
      <c r="V545" s="154" t="s">
        <v>1072</v>
      </c>
      <c r="W545" s="154" t="s">
        <v>111</v>
      </c>
      <c r="X545" s="154" t="s">
        <v>1308</v>
      </c>
    </row>
  </sheetData>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BA007-2D8D-4CA7-852A-A22D0AFD51E9}">
  <dimension ref="A1:AR3"/>
  <sheetViews>
    <sheetView workbookViewId="0"/>
  </sheetViews>
  <sheetFormatPr defaultRowHeight="15"/>
  <cols>
    <col min="6" max="6" width="39.5703125" customWidth="1"/>
    <col min="8" max="8" width="19.7109375" customWidth="1"/>
    <col min="9" max="9" width="20.85546875" customWidth="1"/>
    <col min="19" max="19" width="18.85546875" customWidth="1"/>
    <col min="20" max="20" width="27.7109375" customWidth="1"/>
    <col min="22" max="22" width="30.42578125" customWidth="1"/>
    <col min="35" max="37" width="15.7109375" customWidth="1"/>
    <col min="43" max="43" width="27.28515625" customWidth="1"/>
    <col min="44" max="44" width="14.28515625" customWidth="1"/>
  </cols>
  <sheetData>
    <row r="1" spans="1:44">
      <c r="A1" s="3" t="s">
        <v>1309</v>
      </c>
      <c r="B1" s="3" t="s">
        <v>1310</v>
      </c>
      <c r="C1" s="3" t="s">
        <v>1311</v>
      </c>
      <c r="D1" s="3" t="s">
        <v>1312</v>
      </c>
      <c r="E1" s="3" t="s">
        <v>1313</v>
      </c>
      <c r="F1" s="3" t="s">
        <v>1314</v>
      </c>
      <c r="G1" s="3" t="s">
        <v>1315</v>
      </c>
      <c r="H1" s="3" t="s">
        <v>1316</v>
      </c>
      <c r="I1" s="3" t="s">
        <v>1317</v>
      </c>
      <c r="J1" s="3" t="s">
        <v>1318</v>
      </c>
      <c r="K1" s="3" t="s">
        <v>1319</v>
      </c>
      <c r="L1" s="3" t="s">
        <v>1320</v>
      </c>
      <c r="M1" s="3" t="s">
        <v>1321</v>
      </c>
      <c r="N1" s="3" t="s">
        <v>1322</v>
      </c>
      <c r="O1" s="3" t="s">
        <v>1323</v>
      </c>
      <c r="P1" s="3" t="s">
        <v>1324</v>
      </c>
      <c r="Q1" s="3" t="s">
        <v>1325</v>
      </c>
      <c r="R1" s="3" t="s">
        <v>1326</v>
      </c>
      <c r="S1" s="3" t="s">
        <v>1327</v>
      </c>
      <c r="T1" s="3" t="s">
        <v>1328</v>
      </c>
      <c r="U1" s="3" t="s">
        <v>1329</v>
      </c>
      <c r="V1" s="3" t="s">
        <v>1330</v>
      </c>
      <c r="W1" s="3" t="s">
        <v>1331</v>
      </c>
      <c r="X1" s="3" t="s">
        <v>1332</v>
      </c>
      <c r="Y1" s="3" t="s">
        <v>1333</v>
      </c>
      <c r="Z1" s="3" t="s">
        <v>1334</v>
      </c>
      <c r="AA1" s="3" t="s">
        <v>1335</v>
      </c>
      <c r="AB1" s="3" t="s">
        <v>1336</v>
      </c>
      <c r="AC1" s="3" t="s">
        <v>1337</v>
      </c>
      <c r="AD1" s="3" t="s">
        <v>1338</v>
      </c>
      <c r="AE1" s="3" t="s">
        <v>1339</v>
      </c>
      <c r="AF1" s="3" t="s">
        <v>1340</v>
      </c>
      <c r="AG1" s="3" t="s">
        <v>1341</v>
      </c>
      <c r="AH1" s="3" t="s">
        <v>1342</v>
      </c>
      <c r="AI1" s="3" t="s">
        <v>1343</v>
      </c>
      <c r="AJ1" s="3" t="s">
        <v>1344</v>
      </c>
      <c r="AK1" s="3" t="s">
        <v>1345</v>
      </c>
      <c r="AL1" s="3" t="s">
        <v>1346</v>
      </c>
      <c r="AM1" s="3" t="s">
        <v>1347</v>
      </c>
      <c r="AN1" s="3" t="s">
        <v>1348</v>
      </c>
      <c r="AO1" s="3" t="s">
        <v>1349</v>
      </c>
      <c r="AP1" s="3" t="s">
        <v>1350</v>
      </c>
      <c r="AQ1" s="3" t="s">
        <v>1351</v>
      </c>
      <c r="AR1" s="3" t="s">
        <v>1352</v>
      </c>
    </row>
    <row r="2" spans="1:44">
      <c r="A2">
        <v>55</v>
      </c>
      <c r="B2" t="s">
        <v>26</v>
      </c>
      <c r="C2">
        <v>27149</v>
      </c>
      <c r="D2" t="s">
        <v>949</v>
      </c>
      <c r="E2">
        <v>8137</v>
      </c>
      <c r="F2" t="s">
        <v>1353</v>
      </c>
      <c r="G2" t="s">
        <v>1354</v>
      </c>
      <c r="H2" t="s">
        <v>1355</v>
      </c>
      <c r="I2" t="s">
        <v>1356</v>
      </c>
      <c r="J2">
        <v>18070</v>
      </c>
      <c r="K2">
        <v>1</v>
      </c>
      <c r="L2" t="s">
        <v>1357</v>
      </c>
      <c r="M2" t="s">
        <v>1358</v>
      </c>
      <c r="N2" t="s">
        <v>1359</v>
      </c>
      <c r="O2">
        <v>1</v>
      </c>
      <c r="P2" t="s">
        <v>1360</v>
      </c>
      <c r="Q2">
        <v>0</v>
      </c>
      <c r="S2">
        <v>12002</v>
      </c>
      <c r="T2" t="s">
        <v>1361</v>
      </c>
      <c r="U2" t="s">
        <v>1362</v>
      </c>
      <c r="V2" t="s">
        <v>1363</v>
      </c>
      <c r="AE2">
        <v>101</v>
      </c>
      <c r="AF2" t="s">
        <v>1364</v>
      </c>
      <c r="AG2">
        <v>0</v>
      </c>
      <c r="AH2" t="s">
        <v>1365</v>
      </c>
      <c r="AI2" s="157">
        <v>45945</v>
      </c>
      <c r="AJ2" s="157">
        <v>45945</v>
      </c>
      <c r="AK2" s="157">
        <v>45938</v>
      </c>
      <c r="AL2" t="s">
        <v>1366</v>
      </c>
      <c r="AM2" t="s">
        <v>1367</v>
      </c>
      <c r="AN2">
        <v>2</v>
      </c>
      <c r="AO2" t="s">
        <v>1368</v>
      </c>
      <c r="AR2" s="180">
        <v>241607.9</v>
      </c>
    </row>
    <row r="3" spans="1:44">
      <c r="A3">
        <v>55</v>
      </c>
      <c r="B3" t="s">
        <v>26</v>
      </c>
      <c r="C3">
        <v>27158</v>
      </c>
      <c r="D3" t="s">
        <v>960</v>
      </c>
      <c r="E3">
        <v>8137</v>
      </c>
      <c r="F3" t="s">
        <v>1353</v>
      </c>
      <c r="G3" t="s">
        <v>1354</v>
      </c>
      <c r="H3" t="s">
        <v>1369</v>
      </c>
      <c r="I3" t="s">
        <v>1356</v>
      </c>
      <c r="J3">
        <v>18102</v>
      </c>
      <c r="K3">
        <v>1</v>
      </c>
      <c r="L3" t="s">
        <v>1357</v>
      </c>
      <c r="M3" t="s">
        <v>1358</v>
      </c>
      <c r="N3" t="s">
        <v>1370</v>
      </c>
      <c r="O3">
        <v>1</v>
      </c>
      <c r="P3" t="s">
        <v>1360</v>
      </c>
      <c r="Q3">
        <v>0</v>
      </c>
      <c r="S3">
        <v>12002</v>
      </c>
      <c r="T3" t="s">
        <v>1361</v>
      </c>
      <c r="U3" t="s">
        <v>1362</v>
      </c>
      <c r="V3" t="s">
        <v>1363</v>
      </c>
      <c r="AE3">
        <v>101</v>
      </c>
      <c r="AF3" t="s">
        <v>1364</v>
      </c>
      <c r="AG3">
        <v>0</v>
      </c>
      <c r="AH3" t="s">
        <v>1365</v>
      </c>
      <c r="AI3" s="157">
        <v>45968</v>
      </c>
      <c r="AJ3" s="157">
        <v>45967</v>
      </c>
      <c r="AK3" s="157">
        <v>45960</v>
      </c>
      <c r="AL3" t="s">
        <v>1366</v>
      </c>
      <c r="AM3" t="s">
        <v>1367</v>
      </c>
      <c r="AN3">
        <v>2</v>
      </c>
      <c r="AO3" t="s">
        <v>1368</v>
      </c>
      <c r="AR3" s="180">
        <v>68392.09</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62EFF0E09F50D04BA9C17A2F79C5A90E" ma:contentTypeVersion="18" ma:contentTypeDescription="Crie um novo documento." ma:contentTypeScope="" ma:versionID="562afeb2884e1e568842f71055702bd9">
  <xsd:schema xmlns:xsd="http://www.w3.org/2001/XMLSchema" xmlns:xs="http://www.w3.org/2001/XMLSchema" xmlns:p="http://schemas.microsoft.com/office/2006/metadata/properties" xmlns:ns2="200b2cdf-1bb8-4faf-8feb-d68fcb63a9c2" xmlns:ns3="b917f53a-8a84-4349-9709-08f0d84e43f4" targetNamespace="http://schemas.microsoft.com/office/2006/metadata/properties" ma:root="true" ma:fieldsID="3e662c7f53f1064e1eed617a7e77060d" ns2:_="" ns3:_="">
    <xsd:import namespace="200b2cdf-1bb8-4faf-8feb-d68fcb63a9c2"/>
    <xsd:import namespace="b917f53a-8a84-4349-9709-08f0d84e43f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2:MediaServiceLocatio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0b2cdf-1bb8-4faf-8feb-d68fcb63a9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c4e5a49b-f864-452b-a84b-ad103185a82c"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description="" ma:indexed="true" ma:internalName="MediaServiceLocation" ma:readOnly="true">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917f53a-8a84-4349-9709-08f0d84e43f4" elementFormDefault="qualified">
    <xsd:import namespace="http://schemas.microsoft.com/office/2006/documentManagement/types"/>
    <xsd:import namespace="http://schemas.microsoft.com/office/infopath/2007/PartnerControls"/>
    <xsd:element name="SharedWithUsers" ma:index="12"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74a381b6-8da5-405f-92bf-74765322f4c7}" ma:internalName="TaxCatchAll" ma:showField="CatchAllData" ma:web="b917f53a-8a84-4349-9709-08f0d84e43f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917f53a-8a84-4349-9709-08f0d84e43f4" xsi:nil="true"/>
    <lcf76f155ced4ddcb4097134ff3c332f xmlns="200b2cdf-1bb8-4faf-8feb-d68fcb63a9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2B67912-0313-495D-939B-9EEB58AB05FF}">
  <ds:schemaRefs>
    <ds:schemaRef ds:uri="http://schemas.microsoft.com/sharepoint/v3/contenttype/forms"/>
  </ds:schemaRefs>
</ds:datastoreItem>
</file>

<file path=customXml/itemProps2.xml><?xml version="1.0" encoding="utf-8"?>
<ds:datastoreItem xmlns:ds="http://schemas.openxmlformats.org/officeDocument/2006/customXml" ds:itemID="{7FC7B834-B9F0-484B-ACDF-8C392AF137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0b2cdf-1bb8-4faf-8feb-d68fcb63a9c2"/>
    <ds:schemaRef ds:uri="b917f53a-8a84-4349-9709-08f0d84e43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21D1491-0D82-45B6-8A89-D1FF5FC78CCB}">
  <ds:schemaRefs>
    <ds:schemaRef ds:uri="http://purl.org/dc/dcmitype/"/>
    <ds:schemaRef ds:uri="http://purl.org/dc/terms/"/>
    <ds:schemaRef ds:uri="http://schemas.microsoft.com/office/2006/documentManagement/types"/>
    <ds:schemaRef ds:uri="http://purl.org/dc/elements/1.1/"/>
    <ds:schemaRef ds:uri="http://schemas.microsoft.com/office/infopath/2007/PartnerControls"/>
    <ds:schemaRef ds:uri="b917f53a-8a84-4349-9709-08f0d84e43f4"/>
    <ds:schemaRef ds:uri="http://schemas.openxmlformats.org/package/2006/metadata/core-properties"/>
    <ds:schemaRef ds:uri="200b2cdf-1bb8-4faf-8feb-d68fcb63a9c2"/>
    <ds:schemaRef ds:uri="http://schemas.microsoft.com/office/2006/metadata/properties"/>
    <ds:schemaRef ds:uri="http://www.w3.org/XML/1998/namespace"/>
  </ds:schemaRefs>
</ds:datastoreItem>
</file>

<file path=docMetadata/LabelInfo.xml><?xml version="1.0" encoding="utf-8"?>
<clbl:labelList xmlns:clbl="http://schemas.microsoft.com/office/2020/mipLabelMetadata">
  <clbl:label id="{c681ae13-6fe1-4c77-a6fc-3aa1f86682f9}" enabled="0" method="" siteId="{c681ae13-6fe1-4c77-a6fc-3aa1f86682f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13</vt:i4>
      </vt:variant>
    </vt:vector>
  </HeadingPairs>
  <TitlesOfParts>
    <vt:vector size="13" baseType="lpstr">
      <vt:lpstr>Resumo Imóveis 2 - VENDAS</vt:lpstr>
      <vt:lpstr>Pgto Alugueis Processo</vt:lpstr>
      <vt:lpstr>Pgto Alugueis SPE RESIDENCIAL</vt:lpstr>
      <vt:lpstr>Resumo Imóveis</vt:lpstr>
      <vt:lpstr>Listagem Imobiliária-23-01-26</vt:lpstr>
      <vt:lpstr>Contrato</vt:lpstr>
      <vt:lpstr>Desembolsos</vt:lpstr>
      <vt:lpstr>Despesas(OLD)</vt:lpstr>
      <vt:lpstr>Despesas(BI)</vt:lpstr>
      <vt:lpstr>Planilha1</vt:lpstr>
      <vt:lpstr>Despesas - NPL</vt:lpstr>
      <vt:lpstr>Despesas - SPE</vt:lpstr>
      <vt:lpstr>Receitas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Rafael Mendes</dc:creator>
  <cp:keywords/>
  <dc:description/>
  <cp:lastModifiedBy>Renan Solimeo</cp:lastModifiedBy>
  <cp:revision/>
  <dcterms:created xsi:type="dcterms:W3CDTF">2025-06-26T18:29:08Z</dcterms:created>
  <dcterms:modified xsi:type="dcterms:W3CDTF">2026-06-09T20:41:07Z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0x01010062EFF0E09F50D04BA9C17A2F79C5A90E</vt:lpwstr>
  </property>
  <property fmtid="{D5CDD505-2E9C-101B-9397-08002B2CF9AE}" pid="3" name="MediaServiceImageTags">
    <vt:lpwstr/>
  </property>
</Properties>
</file>