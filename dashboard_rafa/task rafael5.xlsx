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externalReferences>
    <externalReference r:id="rId2"/>
    <externalReference r:id="rId3"/>
  </externalReferences>
  <definedNames>
    <definedName name="_xlnm._FilterDatabase" localSheetId="0" hidden="1">'Planilha1'!$A$1:$AJ$39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R$&quot;\ #,##0.00"/>
    <numFmt numFmtId="165" formatCode="_-&quot;R$&quot;\ * #,##0.00_-;\-&quot;R$&quot;\ * #,##0.00_-;_-&quot;R$&quot;\ * &quot;-&quot;??_-;_-@_-"/>
  </numFmts>
  <fonts count="1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i val="1"/>
      <color rgb="FF002060"/>
      <sz val="12"/>
      <scheme val="minor"/>
    </font>
    <font>
      <name val="Aptos Narrow"/>
      <family val="2"/>
      <b val="1"/>
      <i val="1"/>
      <color rgb="FF002060"/>
      <sz val="11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C00000"/>
      <sz val="10"/>
      <scheme val="minor"/>
    </font>
    <font>
      <name val="Aptos Narrow"/>
      <family val="2"/>
      <color theme="0"/>
      <sz val="10"/>
      <scheme val="minor"/>
    </font>
    <font>
      <name val="Arial"/>
      <sz val="10"/>
    </font>
    <font>
      <name val="Aptos Narrow"/>
      <family val="2"/>
      <color theme="1"/>
      <sz val="11"/>
      <scheme val="minor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9" tint="-0.499984740745262"/>
        <bgColor rgb="FF00206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theme="9" tint="0.5999938962981048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3">
    <xf numFmtId="0" fontId="10" fillId="0" borderId="0"/>
    <xf numFmtId="0" fontId="3" fillId="0" borderId="0"/>
    <xf numFmtId="44" fontId="10" fillId="0" borderId="0"/>
  </cellStyleXfs>
  <cellXfs count="5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4" fontId="2" fillId="3" borderId="0" applyAlignment="1" pivotButton="0" quotePrefix="0" xfId="0">
      <alignment horizontal="center" vertical="center"/>
    </xf>
    <xf numFmtId="0" fontId="4" fillId="4" borderId="0" pivotButton="0" quotePrefix="0" xfId="1"/>
    <xf numFmtId="0" fontId="5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15" fontId="5" fillId="4" borderId="0" applyAlignment="1" pivotButton="0" quotePrefix="0" xfId="0">
      <alignment horizontal="center"/>
    </xf>
    <xf numFmtId="0" fontId="6" fillId="6" borderId="0" applyAlignment="1" pivotButton="0" quotePrefix="0" xfId="0">
      <alignment vertical="center"/>
    </xf>
    <xf numFmtId="0" fontId="6" fillId="6" borderId="0" applyAlignment="1" pivotButton="0" quotePrefix="0" xfId="0">
      <alignment horizontal="center" vertical="center"/>
    </xf>
    <xf numFmtId="4" fontId="6" fillId="6" borderId="0" applyAlignment="1" pivotButton="0" quotePrefix="0" xfId="0">
      <alignment horizontal="center" vertical="center"/>
    </xf>
    <xf numFmtId="15" fontId="6" fillId="6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4" fontId="6" fillId="6" borderId="0" applyAlignment="1" pivotButton="0" quotePrefix="0" xfId="0">
      <alignment horizontal="center"/>
    </xf>
    <xf numFmtId="4" fontId="7" fillId="6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4" fontId="8" fillId="6" borderId="0" applyAlignment="1" pivotButton="0" quotePrefix="0" xfId="0">
      <alignment horizontal="center"/>
    </xf>
    <xf numFmtId="15" fontId="8" fillId="6" borderId="0" applyAlignment="1" pivotButton="0" quotePrefix="0" xfId="0">
      <alignment horizontal="center"/>
    </xf>
    <xf numFmtId="0" fontId="6" fillId="6" borderId="3" applyAlignment="1" pivotButton="0" quotePrefix="0" xfId="0">
      <alignment vertical="center"/>
    </xf>
    <xf numFmtId="0" fontId="6" fillId="6" borderId="3" applyAlignment="1" pivotButton="0" quotePrefix="0" xfId="0">
      <alignment horizontal="center" vertical="center"/>
    </xf>
    <xf numFmtId="4" fontId="6" fillId="6" borderId="3" applyAlignment="1" pivotButton="0" quotePrefix="0" xfId="0">
      <alignment horizontal="center" vertical="center"/>
    </xf>
    <xf numFmtId="15" fontId="6" fillId="6" borderId="3" applyAlignment="1" pivotButton="0" quotePrefix="0" xfId="0">
      <alignment horizontal="center"/>
    </xf>
    <xf numFmtId="0" fontId="6" fillId="6" borderId="3" applyAlignment="1" pivotButton="0" quotePrefix="0" xfId="0">
      <alignment horizontal="center"/>
    </xf>
    <xf numFmtId="4" fontId="6" fillId="6" borderId="3" applyAlignment="1" pivotButton="0" quotePrefix="0" xfId="0">
      <alignment horizontal="center"/>
    </xf>
    <xf numFmtId="0" fontId="8" fillId="6" borderId="3" applyAlignment="1" pivotButton="0" quotePrefix="0" xfId="0">
      <alignment horizontal="center"/>
    </xf>
    <xf numFmtId="4" fontId="8" fillId="6" borderId="3" applyAlignment="1" pivotButton="0" quotePrefix="0" xfId="0">
      <alignment horizontal="center"/>
    </xf>
    <xf numFmtId="15" fontId="8" fillId="6" borderId="3" applyAlignment="1" pivotButton="0" quotePrefix="0" xfId="0">
      <alignment horizontal="center"/>
    </xf>
    <xf numFmtId="4" fontId="6" fillId="6" borderId="0" applyAlignment="1" pivotButton="0" quotePrefix="1" xfId="0">
      <alignment horizontal="center"/>
    </xf>
    <xf numFmtId="0" fontId="9" fillId="7" borderId="4" applyAlignment="1" pivotButton="0" quotePrefix="0" xfId="0">
      <alignment vertical="center" wrapText="1"/>
    </xf>
    <xf numFmtId="0" fontId="9" fillId="8" borderId="4" applyAlignment="1" pivotButton="0" quotePrefix="0" xfId="0">
      <alignment vertical="center" wrapText="1"/>
    </xf>
    <xf numFmtId="3" fontId="9" fillId="8" borderId="4" applyAlignment="1" pivotButton="0" quotePrefix="0" xfId="0">
      <alignment vertical="center" wrapText="1"/>
    </xf>
    <xf numFmtId="0" fontId="9" fillId="9" borderId="4" applyAlignment="1" pivotButton="0" quotePrefix="0" xfId="0">
      <alignment vertical="center" wrapText="1"/>
    </xf>
    <xf numFmtId="0" fontId="9" fillId="10" borderId="4" applyAlignment="1" pivotButton="0" quotePrefix="0" xfId="0">
      <alignment vertical="center" wrapText="1"/>
    </xf>
    <xf numFmtId="164" fontId="9" fillId="7" borderId="4" applyAlignment="1" pivotButton="0" quotePrefix="0" xfId="0">
      <alignment vertical="center" wrapText="1"/>
    </xf>
    <xf numFmtId="164" fontId="9" fillId="8" borderId="4" applyAlignment="1" pivotButton="0" quotePrefix="0" xfId="0">
      <alignment vertical="center" wrapText="1"/>
    </xf>
    <xf numFmtId="164" fontId="9" fillId="9" borderId="4" applyAlignment="1" pivotButton="0" quotePrefix="0" xfId="0">
      <alignment vertical="center" wrapText="1"/>
    </xf>
    <xf numFmtId="165" fontId="0" fillId="0" borderId="0" pivotButton="0" quotePrefix="0" xfId="2"/>
    <xf numFmtId="165" fontId="9" fillId="9" borderId="4" applyAlignment="1" pivotButton="0" quotePrefix="0" xfId="2">
      <alignment vertical="center" wrapText="1"/>
    </xf>
    <xf numFmtId="165" fontId="9" fillId="8" borderId="4" applyAlignment="1" pivotButton="0" quotePrefix="0" xfId="2">
      <alignment vertical="center" wrapText="1"/>
    </xf>
    <xf numFmtId="165" fontId="9" fillId="7" borderId="4" applyAlignment="1" pivotButton="0" quotePrefix="0" xfId="2">
      <alignment vertical="center" wrapText="1"/>
    </xf>
    <xf numFmtId="165" fontId="9" fillId="9" borderId="0" applyAlignment="1" pivotButton="0" quotePrefix="0" xfId="2">
      <alignment vertical="center" wrapText="1"/>
    </xf>
    <xf numFmtId="0" fontId="6" fillId="0" borderId="0" applyAlignment="1" pivotButton="0" quotePrefix="0" xfId="0">
      <alignment vertical="center"/>
    </xf>
    <xf numFmtId="0" fontId="6" fillId="11" borderId="0" applyAlignment="1" pivotButton="0" quotePrefix="0" xfId="0">
      <alignment vertical="center"/>
    </xf>
    <xf numFmtId="14" fontId="0" fillId="0" borderId="0" pivotButton="0" quotePrefix="0" xfId="0"/>
    <xf numFmtId="17" fontId="0" fillId="0" borderId="0" pivotButton="0" quotePrefix="0" xfId="0"/>
    <xf numFmtId="0" fontId="11" fillId="0" borderId="5" applyAlignment="1" pivotButton="0" quotePrefix="0" xfId="0">
      <alignment horizontal="left" vertical="top" wrapText="1"/>
    </xf>
    <xf numFmtId="165" fontId="0" fillId="0" borderId="0" pivotButton="0" quotePrefix="0" xfId="2"/>
    <xf numFmtId="165" fontId="9" fillId="9" borderId="4" applyAlignment="1" pivotButton="0" quotePrefix="0" xfId="2">
      <alignment vertical="center" wrapText="1"/>
    </xf>
    <xf numFmtId="165" fontId="9" fillId="9" borderId="0" applyAlignment="1" pivotButton="0" quotePrefix="0" xfId="2">
      <alignment vertical="center" wrapText="1"/>
    </xf>
    <xf numFmtId="165" fontId="9" fillId="8" borderId="4" applyAlignment="1" pivotButton="0" quotePrefix="0" xfId="2">
      <alignment vertical="center" wrapText="1"/>
    </xf>
    <xf numFmtId="165" fontId="9" fillId="7" borderId="4" applyAlignment="1" pivotButton="0" quotePrefix="0" xfId="2">
      <alignment vertical="center" wrapText="1"/>
    </xf>
  </cellXfs>
  <cellStyles count="3">
    <cellStyle name="Normal" xfId="0" builtinId="0"/>
    <cellStyle name="Normal 4" xfId="1"/>
    <cellStyle name="Moed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tc={99B2DF90-3AD6-4BDF-91DD-6C979F1D92B8}</author>
    <author>tc={4002F15D-54F6-4B84-A022-DBBAA6FEF9F6}</author>
  </authors>
  <commentList>
    <comment ref="B2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Matrícula encerrada
Na averbação 01 é informado que o imóvel desta tarefa foi unificado com as matrículas 20490, 20491, 20492, 20493, 20494 e 20495 e foi aberta a matrícula 25766.</t>
      </text>
    </comment>
    <comment ref="B29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sistema: 3945
Valor antigo: 3860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enforcegestaoativos.sharepoint.com/OLRJ/01%20-%20Casos%20Sob%20Gest&#227;o/JV/COTIA%20-%20JV_2023/1%20-%20Controle%20da%20Opera&#231;&#227;o/_20250828_COTIA%20-%20v07%20-%20Precifica&#231;&#227;o%20(RPM)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Pricing\Add-in\Pricing.xla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estação de Contas - AJ"/>
      <sheetName val="Exposição"/>
      <sheetName val="Desembolsos"/>
      <sheetName val="MTM-Preço-Exposição (OK)"/>
      <sheetName val="DT_BASE"/>
      <sheetName val="RESUMO-F"/>
      <sheetName val="RESUMO-RJ"/>
      <sheetName val="Dívida"/>
      <sheetName val="Exposição &amp; Despesas"/>
      <sheetName val="Arvore(A)"/>
      <sheetName val="Cenários (A)"/>
      <sheetName val="ERV Imóveis (2)"/>
      <sheetName val="Imóveis BTG"/>
      <sheetName val="Imóveis FEMA-BADEP"/>
      <sheetName val="Listagem Imobiliária"/>
      <sheetName val="Av. Judicial"/>
      <sheetName val="Arvore(B)"/>
      <sheetName val="Árvore(B2)"/>
      <sheetName val="Arvore(C)"/>
      <sheetName val="Arvore(EXECUÇÃO SCHAHIN)"/>
      <sheetName val="Cenários (B)"/>
      <sheetName val="Cenários(D)"/>
      <sheetName val="ERV Falência (outro modelo)"/>
      <sheetName val="QGC-F"/>
      <sheetName val="QGC-ABERTO-DIN"/>
      <sheetName val="QGC-F(old)"/>
      <sheetName val="QGC-ABERTO"/>
      <sheetName val="QGC-F (2)"/>
      <sheetName val="QGC-F (3)"/>
      <sheetName val="ERV Falência"/>
      <sheetName val="valores mf"/>
      <sheetName val="tributario"/>
      <sheetName val="PENDENCIAS"/>
      <sheetName val="PRESTAÇÃO CONTAS"/>
      <sheetName val="Seguro"/>
      <sheetName val="Arvore(A) (2)"/>
      <sheetName val="ERV Imóveis (3)"/>
      <sheetName val="QGC-RJ"/>
      <sheetName val="QGC exemplo"/>
      <sheetName val="QGC Aberto"/>
      <sheetName val="QGC_Insucesso Impugnação"/>
      <sheetName val="QGC_Sucesso Impugnação"/>
      <sheetName val="Ônus"/>
      <sheetName val="Fluxo Global"/>
      <sheetName val="Passivas"/>
      <sheetName val="MTM"/>
      <sheetName val="Custos"/>
      <sheetName val="TIR"/>
    </sheetNames>
    <sheetDataSet>
      <sheetData sheetId="0"/>
      <sheetData sheetId="1"/>
      <sheetData sheetId="2"/>
      <sheetData sheetId="3"/>
      <sheetData sheetId="4">
        <row r="3">
          <cell r="C3">
            <v>45798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21">
          <cell r="A121" t="str">
            <v>Matrícula(s)</v>
          </cell>
          <cell r="B121" t="str">
            <v>Valor Avaliação</v>
          </cell>
          <cell r="C121" t="str">
            <v>Valor Venda Forçada</v>
          </cell>
          <cell r="D121" t="str">
            <v>Valor Venda Forçada VP</v>
          </cell>
        </row>
        <row r="122">
          <cell r="A122">
            <v>51</v>
          </cell>
          <cell r="B122">
            <v>10730000</v>
          </cell>
          <cell r="C122">
            <v>0</v>
          </cell>
          <cell r="D122"/>
        </row>
        <row r="123">
          <cell r="A123">
            <v>360</v>
          </cell>
          <cell r="B123">
            <v>0</v>
          </cell>
          <cell r="C123">
            <v>0</v>
          </cell>
          <cell r="D123"/>
        </row>
        <row r="124">
          <cell r="A124">
            <v>579</v>
          </cell>
          <cell r="B124">
            <v>2726000</v>
          </cell>
          <cell r="C124">
            <v>0</v>
          </cell>
          <cell r="D124">
            <v>1584000</v>
          </cell>
        </row>
        <row r="125">
          <cell r="A125">
            <v>1453</v>
          </cell>
          <cell r="B125">
            <v>16766000</v>
          </cell>
          <cell r="C125">
            <v>0</v>
          </cell>
          <cell r="D125">
            <v>0</v>
          </cell>
        </row>
        <row r="126">
          <cell r="A126">
            <v>1615</v>
          </cell>
          <cell r="B126">
            <v>9139000</v>
          </cell>
          <cell r="C126">
            <v>0</v>
          </cell>
          <cell r="D126">
            <v>5188000</v>
          </cell>
        </row>
        <row r="127">
          <cell r="A127">
            <v>1756</v>
          </cell>
          <cell r="B127">
            <v>14706000</v>
          </cell>
          <cell r="C127">
            <v>0</v>
          </cell>
          <cell r="D127">
            <v>8346000</v>
          </cell>
        </row>
        <row r="128">
          <cell r="A128">
            <v>1757</v>
          </cell>
          <cell r="B128">
            <v>0</v>
          </cell>
          <cell r="C128">
            <v>0</v>
          </cell>
          <cell r="D128">
            <v>0</v>
          </cell>
        </row>
        <row r="129">
          <cell r="A129">
            <v>1758</v>
          </cell>
          <cell r="B129">
            <v>0</v>
          </cell>
          <cell r="C129">
            <v>0</v>
          </cell>
          <cell r="D129">
            <v>0</v>
          </cell>
        </row>
        <row r="130">
          <cell r="A130">
            <v>1759</v>
          </cell>
          <cell r="B130">
            <v>0</v>
          </cell>
          <cell r="C130">
            <v>0</v>
          </cell>
          <cell r="D130">
            <v>0</v>
          </cell>
        </row>
        <row r="131">
          <cell r="A131">
            <v>2053</v>
          </cell>
          <cell r="B131">
            <v>3910000</v>
          </cell>
          <cell r="C131">
            <v>0</v>
          </cell>
          <cell r="D131"/>
        </row>
        <row r="132">
          <cell r="A132">
            <v>2164</v>
          </cell>
          <cell r="B132">
            <v>9802000</v>
          </cell>
          <cell r="C132">
            <v>0</v>
          </cell>
          <cell r="D132">
            <v>5697000</v>
          </cell>
        </row>
        <row r="133">
          <cell r="A133">
            <v>2464</v>
          </cell>
          <cell r="B133">
            <v>8079000</v>
          </cell>
          <cell r="C133">
            <v>0</v>
          </cell>
          <cell r="D133">
            <v>4696000</v>
          </cell>
        </row>
        <row r="134">
          <cell r="A134">
            <v>2569</v>
          </cell>
          <cell r="B134">
            <v>27003000</v>
          </cell>
          <cell r="C134">
            <v>0</v>
          </cell>
          <cell r="D134"/>
        </row>
        <row r="135">
          <cell r="A135">
            <v>2629</v>
          </cell>
          <cell r="B135">
            <v>680000</v>
          </cell>
          <cell r="C135">
            <v>0</v>
          </cell>
          <cell r="D135"/>
        </row>
        <row r="136">
          <cell r="A136">
            <v>2745</v>
          </cell>
          <cell r="B136">
            <v>1940000</v>
          </cell>
          <cell r="C136">
            <v>0</v>
          </cell>
          <cell r="D136">
            <v>1128000</v>
          </cell>
        </row>
        <row r="137">
          <cell r="A137">
            <v>2746</v>
          </cell>
          <cell r="B137">
            <v>0</v>
          </cell>
          <cell r="C137">
            <v>0</v>
          </cell>
          <cell r="D137">
            <v>0</v>
          </cell>
        </row>
        <row r="138">
          <cell r="A138">
            <v>2915</v>
          </cell>
          <cell r="B138">
            <v>0</v>
          </cell>
          <cell r="C138">
            <v>0</v>
          </cell>
          <cell r="D138">
            <v>0</v>
          </cell>
        </row>
        <row r="139">
          <cell r="A139">
            <v>2916</v>
          </cell>
          <cell r="B139">
            <v>0</v>
          </cell>
          <cell r="C139">
            <v>0</v>
          </cell>
          <cell r="D139">
            <v>0</v>
          </cell>
        </row>
        <row r="140">
          <cell r="A140">
            <v>2917</v>
          </cell>
          <cell r="B140">
            <v>21265000</v>
          </cell>
          <cell r="C140">
            <v>0</v>
          </cell>
          <cell r="D140">
            <v>15381000</v>
          </cell>
        </row>
        <row r="141">
          <cell r="A141">
            <v>3222</v>
          </cell>
          <cell r="B141">
            <v>811000</v>
          </cell>
          <cell r="C141">
            <v>0</v>
          </cell>
          <cell r="D141"/>
        </row>
        <row r="142">
          <cell r="A142">
            <v>4379</v>
          </cell>
          <cell r="B142">
            <v>1945000</v>
          </cell>
          <cell r="C142">
            <v>0</v>
          </cell>
          <cell r="D142"/>
        </row>
        <row r="143">
          <cell r="A143">
            <v>4479</v>
          </cell>
          <cell r="B143">
            <v>2959000</v>
          </cell>
          <cell r="C143">
            <v>0</v>
          </cell>
          <cell r="D143">
            <v>1680000</v>
          </cell>
        </row>
        <row r="144">
          <cell r="A144">
            <v>4858</v>
          </cell>
          <cell r="B144">
            <v>0</v>
          </cell>
          <cell r="C144">
            <v>0</v>
          </cell>
          <cell r="D144"/>
        </row>
        <row r="145">
          <cell r="A145">
            <v>5377</v>
          </cell>
          <cell r="B145">
            <v>4758000</v>
          </cell>
          <cell r="C145">
            <v>0</v>
          </cell>
          <cell r="D145">
            <v>2701000</v>
          </cell>
        </row>
        <row r="146">
          <cell r="A146">
            <v>6193</v>
          </cell>
          <cell r="B146">
            <v>3142000</v>
          </cell>
          <cell r="C146">
            <v>0</v>
          </cell>
          <cell r="D146">
            <v>1784000</v>
          </cell>
        </row>
        <row r="147">
          <cell r="A147">
            <v>6896</v>
          </cell>
          <cell r="B147">
            <v>19467000</v>
          </cell>
          <cell r="C147">
            <v>0</v>
          </cell>
          <cell r="D147"/>
        </row>
        <row r="148">
          <cell r="A148">
            <v>7047</v>
          </cell>
          <cell r="B148">
            <v>290000</v>
          </cell>
          <cell r="C148">
            <v>0</v>
          </cell>
          <cell r="D148"/>
        </row>
        <row r="149">
          <cell r="A149">
            <v>7632</v>
          </cell>
          <cell r="B149">
            <v>1112000</v>
          </cell>
          <cell r="C149">
            <v>0</v>
          </cell>
          <cell r="D149"/>
        </row>
        <row r="150">
          <cell r="A150">
            <v>8112</v>
          </cell>
          <cell r="B150">
            <v>16375000</v>
          </cell>
          <cell r="C150">
            <v>0</v>
          </cell>
          <cell r="D150"/>
        </row>
        <row r="151">
          <cell r="A151">
            <v>8336</v>
          </cell>
          <cell r="B151">
            <v>2173000</v>
          </cell>
          <cell r="C151">
            <v>0</v>
          </cell>
          <cell r="D151">
            <v>0</v>
          </cell>
        </row>
        <row r="152">
          <cell r="A152">
            <v>8701</v>
          </cell>
          <cell r="B152">
            <v>8994000</v>
          </cell>
          <cell r="C152">
            <v>0</v>
          </cell>
          <cell r="D152">
            <v>0</v>
          </cell>
        </row>
        <row r="153">
          <cell r="A153">
            <v>9218</v>
          </cell>
          <cell r="B153">
            <v>0</v>
          </cell>
          <cell r="C153">
            <v>0</v>
          </cell>
          <cell r="D153"/>
        </row>
        <row r="154">
          <cell r="A154">
            <v>9846</v>
          </cell>
          <cell r="B154">
            <v>4266000</v>
          </cell>
          <cell r="C154">
            <v>0</v>
          </cell>
          <cell r="D154">
            <v>2421000</v>
          </cell>
        </row>
        <row r="155">
          <cell r="A155">
            <v>10565</v>
          </cell>
          <cell r="B155">
            <v>2687000</v>
          </cell>
          <cell r="C155">
            <v>0</v>
          </cell>
          <cell r="D155">
            <v>1525000</v>
          </cell>
        </row>
        <row r="156">
          <cell r="A156">
            <v>11142</v>
          </cell>
          <cell r="B156">
            <v>1303000</v>
          </cell>
          <cell r="C156">
            <v>0</v>
          </cell>
          <cell r="D156"/>
        </row>
        <row r="157">
          <cell r="A157">
            <v>11444</v>
          </cell>
          <cell r="B157">
            <v>1063000</v>
          </cell>
          <cell r="C157">
            <v>0</v>
          </cell>
          <cell r="D157"/>
        </row>
        <row r="158">
          <cell r="A158">
            <v>13580</v>
          </cell>
          <cell r="B158">
            <v>7398000</v>
          </cell>
          <cell r="C158">
            <v>0</v>
          </cell>
          <cell r="D158"/>
        </row>
        <row r="159">
          <cell r="A159">
            <v>13891</v>
          </cell>
          <cell r="B159">
            <v>26757000</v>
          </cell>
          <cell r="C159">
            <v>0</v>
          </cell>
          <cell r="D159"/>
        </row>
        <row r="160">
          <cell r="A160">
            <v>15276</v>
          </cell>
          <cell r="B160">
            <v>0</v>
          </cell>
          <cell r="C160">
            <v>0</v>
          </cell>
          <cell r="D160"/>
        </row>
        <row r="161">
          <cell r="A161">
            <v>15927</v>
          </cell>
          <cell r="B161">
            <v>390000</v>
          </cell>
          <cell r="C161">
            <v>0</v>
          </cell>
          <cell r="D161"/>
        </row>
        <row r="162">
          <cell r="A162">
            <v>21151</v>
          </cell>
          <cell r="B162">
            <v>0</v>
          </cell>
          <cell r="C162">
            <v>0</v>
          </cell>
          <cell r="D162"/>
        </row>
        <row r="163">
          <cell r="A163">
            <v>22253</v>
          </cell>
          <cell r="B163">
            <v>0</v>
          </cell>
          <cell r="C163">
            <v>0</v>
          </cell>
          <cell r="D163"/>
        </row>
        <row r="164">
          <cell r="A164">
            <v>23697</v>
          </cell>
          <cell r="B164">
            <v>14301000</v>
          </cell>
          <cell r="C164">
            <v>0</v>
          </cell>
          <cell r="D164">
            <v>9790000</v>
          </cell>
        </row>
        <row r="165">
          <cell r="A165">
            <v>25510</v>
          </cell>
          <cell r="B165">
            <v>10019000</v>
          </cell>
          <cell r="C165">
            <v>0</v>
          </cell>
          <cell r="D165">
            <v>5686000</v>
          </cell>
        </row>
        <row r="166">
          <cell r="A166">
            <v>26999</v>
          </cell>
          <cell r="B166">
            <v>23199000</v>
          </cell>
          <cell r="C166">
            <v>0</v>
          </cell>
          <cell r="D166"/>
        </row>
        <row r="167">
          <cell r="A167">
            <v>35948</v>
          </cell>
          <cell r="B167">
            <v>3886000</v>
          </cell>
          <cell r="C167">
            <v>0</v>
          </cell>
          <cell r="D167"/>
        </row>
        <row r="168">
          <cell r="A168">
            <v>39606</v>
          </cell>
          <cell r="B168">
            <v>8640000</v>
          </cell>
          <cell r="C168">
            <v>0.01</v>
          </cell>
          <cell r="D168"/>
        </row>
        <row r="169">
          <cell r="A169">
            <v>39607</v>
          </cell>
          <cell r="B169">
            <v>0</v>
          </cell>
          <cell r="C169">
            <v>0</v>
          </cell>
          <cell r="D169"/>
        </row>
        <row r="170">
          <cell r="A170">
            <v>42485</v>
          </cell>
          <cell r="B170">
            <v>12508000</v>
          </cell>
          <cell r="C170">
            <v>0</v>
          </cell>
          <cell r="D170"/>
        </row>
        <row r="171">
          <cell r="A171">
            <v>42487</v>
          </cell>
          <cell r="B171">
            <v>0</v>
          </cell>
          <cell r="C171">
            <v>0</v>
          </cell>
          <cell r="D171"/>
        </row>
        <row r="172">
          <cell r="A172">
            <v>58840</v>
          </cell>
          <cell r="B172">
            <v>0</v>
          </cell>
          <cell r="C172">
            <v>0</v>
          </cell>
          <cell r="D172"/>
        </row>
        <row r="173">
          <cell r="A173">
            <v>60122</v>
          </cell>
          <cell r="B173">
            <v>3583000</v>
          </cell>
          <cell r="C173">
            <v>0</v>
          </cell>
          <cell r="D173"/>
        </row>
        <row r="174">
          <cell r="A174">
            <v>60602</v>
          </cell>
          <cell r="B174">
            <v>0</v>
          </cell>
          <cell r="C174">
            <v>0</v>
          </cell>
          <cell r="D174"/>
        </row>
        <row r="175">
          <cell r="A175">
            <v>145993</v>
          </cell>
          <cell r="B175">
            <v>10154000</v>
          </cell>
          <cell r="C175">
            <v>0</v>
          </cell>
          <cell r="D175">
            <v>5901000</v>
          </cell>
        </row>
        <row r="176">
          <cell r="A176">
            <v>146005</v>
          </cell>
          <cell r="B176">
            <v>9630000</v>
          </cell>
          <cell r="C176">
            <v>0</v>
          </cell>
          <cell r="D176">
            <v>5597000</v>
          </cell>
        </row>
        <row r="177">
          <cell r="A177">
            <v>147628</v>
          </cell>
          <cell r="B177">
            <v>216000</v>
          </cell>
          <cell r="C177">
            <v>0</v>
          </cell>
          <cell r="D177"/>
        </row>
      </sheetData>
      <sheetData sheetId="15">
        <row r="3"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</row>
        <row r="4"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</row>
        <row r="5">
          <cell r="C5" t="str">
            <v>DADOS DO</v>
          </cell>
          <cell r="D5" t="str">
            <v>NÚMERO</v>
          </cell>
          <cell r="E5"/>
          <cell r="F5" t="str">
            <v>AVALIAÇÃO (2)</v>
          </cell>
          <cell r="G5"/>
          <cell r="H5"/>
          <cell r="I5"/>
          <cell r="J5" t="str">
            <v>Período</v>
          </cell>
          <cell r="K5"/>
          <cell r="L5" t="str">
            <v>Índice Monetário</v>
          </cell>
          <cell r="M5"/>
          <cell r="N5" t="str">
            <v>AVALIAÇÃO ATUALIZADO (1)</v>
          </cell>
          <cell r="O5"/>
          <cell r="P5" t="str">
            <v>ARRECADAÇÃO (3)</v>
          </cell>
        </row>
        <row r="6">
          <cell r="C6" t="str">
            <v>IMOVEL</v>
          </cell>
          <cell r="D6" t="str">
            <v>MATRICULA</v>
          </cell>
          <cell r="E6" t="str">
            <v>MATRICULA</v>
          </cell>
          <cell r="F6" t="str">
            <v>VOLUME (AM002)</v>
          </cell>
          <cell r="G6" t="str">
            <v>FLS</v>
          </cell>
          <cell r="H6" t="str">
            <v>VALOR</v>
          </cell>
          <cell r="I6"/>
          <cell r="J6" t="str">
            <v>de</v>
          </cell>
          <cell r="K6" t="str">
            <v>a</v>
          </cell>
          <cell r="L6"/>
          <cell r="M6"/>
          <cell r="N6"/>
          <cell r="O6"/>
          <cell r="P6" t="str">
            <v>VOLUME (principal)</v>
          </cell>
        </row>
        <row r="7">
          <cell r="C7" t="str">
            <v>Maquina benefic café</v>
          </cell>
          <cell r="D7">
            <v>3222</v>
          </cell>
          <cell r="E7">
            <v>3222</v>
          </cell>
          <cell r="F7">
            <v>118</v>
          </cell>
          <cell r="G7" t="str">
            <v>24051/24103</v>
          </cell>
          <cell r="H7" t="str">
            <v>R$</v>
          </cell>
          <cell r="I7">
            <v>522000</v>
          </cell>
          <cell r="J7">
            <v>40695</v>
          </cell>
          <cell r="K7">
            <v>45016</v>
          </cell>
          <cell r="L7" t="str">
            <v>TJ-SP</v>
          </cell>
          <cell r="M7">
            <v>4</v>
          </cell>
          <cell r="N7" t="str">
            <v>R$</v>
          </cell>
          <cell r="O7">
            <v>1038495.62</v>
          </cell>
          <cell r="P7">
            <v>47</v>
          </cell>
        </row>
        <row r="8">
          <cell r="C8" t="str">
            <v>Complexo industrial</v>
          </cell>
          <cell r="D8" t="str">
            <v>2915/2916/2917</v>
          </cell>
          <cell r="E8" t="str">
            <v>2915/2916/2917</v>
          </cell>
          <cell r="F8" t="str">
            <v>115/116</v>
          </cell>
          <cell r="G8" t="str">
            <v>23424/23528</v>
          </cell>
          <cell r="H8" t="str">
            <v>R$</v>
          </cell>
          <cell r="I8">
            <v>13750000</v>
          </cell>
          <cell r="J8">
            <v>40695</v>
          </cell>
          <cell r="K8">
            <v>45016</v>
          </cell>
          <cell r="L8" t="str">
            <v>TJ-SP</v>
          </cell>
          <cell r="M8">
            <v>4</v>
          </cell>
          <cell r="N8" t="str">
            <v>R$</v>
          </cell>
          <cell r="O8">
            <v>27355009.23</v>
          </cell>
          <cell r="P8">
            <v>47</v>
          </cell>
        </row>
        <row r="9">
          <cell r="C9" t="str">
            <v>Imovel comercial</v>
          </cell>
          <cell r="D9" t="str">
            <v>4858/2464</v>
          </cell>
          <cell r="E9" t="str">
            <v>4858/2464</v>
          </cell>
          <cell r="F9">
            <v>117</v>
          </cell>
          <cell r="G9" t="str">
            <v>23713/23778</v>
          </cell>
          <cell r="H9" t="str">
            <v>R$</v>
          </cell>
          <cell r="I9">
            <v>3400000</v>
          </cell>
          <cell r="J9">
            <v>40695</v>
          </cell>
          <cell r="K9">
            <v>45016</v>
          </cell>
          <cell r="L9" t="str">
            <v>TJ-SP</v>
          </cell>
          <cell r="M9">
            <v>4</v>
          </cell>
          <cell r="N9" t="str">
            <v>R$</v>
          </cell>
          <cell r="O9">
            <v>6764147.7400000002</v>
          </cell>
          <cell r="P9">
            <v>22</v>
          </cell>
        </row>
        <row r="10">
          <cell r="C10" t="str">
            <v>Imovel comercial</v>
          </cell>
          <cell r="D10">
            <v>2629</v>
          </cell>
          <cell r="E10">
            <v>2629</v>
          </cell>
          <cell r="F10">
            <v>118</v>
          </cell>
          <cell r="G10" t="str">
            <v>23999/24049</v>
          </cell>
          <cell r="H10" t="str">
            <v>R$</v>
          </cell>
          <cell r="I10">
            <v>531000</v>
          </cell>
          <cell r="J10">
            <v>40695</v>
          </cell>
          <cell r="K10">
            <v>45016</v>
          </cell>
          <cell r="L10" t="str">
            <v>TJ-SP</v>
          </cell>
          <cell r="M10">
            <v>4</v>
          </cell>
          <cell r="N10" t="str">
            <v>R$</v>
          </cell>
          <cell r="O10">
            <v>1056400.72</v>
          </cell>
          <cell r="P10">
            <v>20</v>
          </cell>
        </row>
        <row r="11">
          <cell r="C11" t="str">
            <v>Unidade de silos e armazens</v>
          </cell>
          <cell r="D11" t="str">
            <v>1756/1757/1758/1759</v>
          </cell>
          <cell r="E11" t="str">
            <v>1756/1757/1758/1759</v>
          </cell>
          <cell r="F11" t="str">
            <v>144/145</v>
          </cell>
          <cell r="G11" t="str">
            <v>29291/29414</v>
          </cell>
          <cell r="H11" t="str">
            <v>R$</v>
          </cell>
          <cell r="I11">
            <v>7935000</v>
          </cell>
          <cell r="J11">
            <v>41091</v>
          </cell>
          <cell r="K11">
            <v>45016</v>
          </cell>
          <cell r="L11" t="str">
            <v>TJ-SP</v>
          </cell>
          <cell r="M11">
            <v>4</v>
          </cell>
          <cell r="N11" t="str">
            <v>R$</v>
          </cell>
          <cell r="O11">
            <v>15015168.02</v>
          </cell>
          <cell r="P11">
            <v>22</v>
          </cell>
        </row>
        <row r="12">
          <cell r="C12" t="str">
            <v>Unidade de silos e armazens</v>
          </cell>
          <cell r="D12">
            <v>25510</v>
          </cell>
          <cell r="E12">
            <v>25510</v>
          </cell>
          <cell r="F12" t="str">
            <v>148/149</v>
          </cell>
          <cell r="G12" t="str">
            <v>30174/30241</v>
          </cell>
          <cell r="H12" t="str">
            <v>R$</v>
          </cell>
          <cell r="I12">
            <v>6590000</v>
          </cell>
          <cell r="J12">
            <v>41153</v>
          </cell>
          <cell r="K12">
            <v>45016</v>
          </cell>
          <cell r="L12" t="str">
            <v>TJ-SP</v>
          </cell>
          <cell r="M12">
            <v>4</v>
          </cell>
          <cell r="N12" t="str">
            <v>R$</v>
          </cell>
          <cell r="O12">
            <v>12361047.869999999</v>
          </cell>
          <cell r="P12">
            <v>52</v>
          </cell>
        </row>
        <row r="13">
          <cell r="C13" t="str">
            <v>Imovel rural</v>
          </cell>
          <cell r="D13" t="str">
            <v>146005 (25705 e 31529)</v>
          </cell>
          <cell r="E13" t="str">
            <v>146005 (25705 e 31529)</v>
          </cell>
          <cell r="F13" t="str">
            <v>150/151</v>
          </cell>
          <cell r="G13" t="str">
            <v>30587/30630</v>
          </cell>
          <cell r="H13" t="str">
            <v>R$</v>
          </cell>
          <cell r="I13">
            <v>2030000</v>
          </cell>
          <cell r="J13">
            <v>41153</v>
          </cell>
          <cell r="K13">
            <v>45016</v>
          </cell>
          <cell r="L13" t="str">
            <v>TJ-SP</v>
          </cell>
          <cell r="M13">
            <v>4</v>
          </cell>
          <cell r="N13" t="str">
            <v>R$</v>
          </cell>
          <cell r="O13">
            <v>3807727.95</v>
          </cell>
          <cell r="P13">
            <v>52</v>
          </cell>
        </row>
        <row r="14">
          <cell r="C14" t="str">
            <v>Imovel rural</v>
          </cell>
          <cell r="D14" t="str">
            <v>145993 (25713)</v>
          </cell>
          <cell r="E14" t="str">
            <v>145993 (25713)</v>
          </cell>
          <cell r="F14">
            <v>151</v>
          </cell>
          <cell r="G14" t="str">
            <v>30746/30799</v>
          </cell>
          <cell r="H14" t="str">
            <v>R$</v>
          </cell>
          <cell r="I14">
            <v>2162000</v>
          </cell>
          <cell r="J14">
            <v>41153</v>
          </cell>
          <cell r="K14">
            <v>45016</v>
          </cell>
          <cell r="L14" t="str">
            <v>TJ-SP</v>
          </cell>
          <cell r="M14">
            <v>4</v>
          </cell>
          <cell r="N14" t="str">
            <v>R$</v>
          </cell>
          <cell r="O14">
            <v>4055324.05</v>
          </cell>
          <cell r="P14">
            <v>52</v>
          </cell>
        </row>
        <row r="15">
          <cell r="C15" t="str">
            <v>Unidade de silos e armazens</v>
          </cell>
          <cell r="D15">
            <v>9846</v>
          </cell>
          <cell r="E15">
            <v>9846</v>
          </cell>
          <cell r="F15">
            <v>108</v>
          </cell>
          <cell r="G15" t="str">
            <v>21965/22032</v>
          </cell>
          <cell r="H15" t="str">
            <v>R$</v>
          </cell>
          <cell r="I15">
            <v>2107000</v>
          </cell>
          <cell r="J15">
            <v>40603</v>
          </cell>
          <cell r="K15">
            <v>45016</v>
          </cell>
          <cell r="L15" t="str">
            <v>TJ-SP</v>
          </cell>
          <cell r="M15">
            <v>4</v>
          </cell>
          <cell r="N15" t="str">
            <v>R$</v>
          </cell>
          <cell r="O15">
            <v>4274051.79</v>
          </cell>
          <cell r="P15">
            <v>23</v>
          </cell>
        </row>
        <row r="16">
          <cell r="C16" t="str">
            <v>Imovel comercial</v>
          </cell>
          <cell r="D16">
            <v>23697</v>
          </cell>
          <cell r="E16">
            <v>23697</v>
          </cell>
          <cell r="F16">
            <v>120</v>
          </cell>
          <cell r="G16" t="str">
            <v>24431/24494</v>
          </cell>
          <cell r="H16" t="str">
            <v>R$</v>
          </cell>
          <cell r="I16">
            <v>6003000</v>
          </cell>
          <cell r="J16">
            <v>40695</v>
          </cell>
          <cell r="K16">
            <v>45016</v>
          </cell>
          <cell r="L16" t="str">
            <v>TJ-SP</v>
          </cell>
          <cell r="M16">
            <v>4</v>
          </cell>
          <cell r="N16" t="str">
            <v>R$</v>
          </cell>
          <cell r="O16">
            <v>11942699.67</v>
          </cell>
          <cell r="P16">
            <v>31</v>
          </cell>
        </row>
        <row r="17">
          <cell r="C17" t="str">
            <v>Unidade de silos para cereais</v>
          </cell>
          <cell r="D17">
            <v>4479</v>
          </cell>
          <cell r="E17">
            <v>4479</v>
          </cell>
          <cell r="F17">
            <v>123</v>
          </cell>
          <cell r="G17" t="str">
            <v>24897/24955</v>
          </cell>
          <cell r="H17" t="str">
            <v>R$</v>
          </cell>
          <cell r="I17">
            <v>1221000</v>
          </cell>
          <cell r="J17">
            <v>40817</v>
          </cell>
          <cell r="K17">
            <v>45016</v>
          </cell>
          <cell r="L17" t="str">
            <v>TJ-SP</v>
          </cell>
          <cell r="M17">
            <v>4</v>
          </cell>
          <cell r="N17" t="str">
            <v>R$</v>
          </cell>
          <cell r="O17">
            <v>2402842.4</v>
          </cell>
          <cell r="P17">
            <v>24</v>
          </cell>
        </row>
        <row r="18">
          <cell r="C18" t="str">
            <v>Unidade de silos para cereais</v>
          </cell>
          <cell r="D18">
            <v>6193</v>
          </cell>
          <cell r="E18">
            <v>6193</v>
          </cell>
          <cell r="F18">
            <v>123</v>
          </cell>
          <cell r="G18" t="str">
            <v>24957/25019</v>
          </cell>
          <cell r="H18" t="str">
            <v>R$</v>
          </cell>
          <cell r="I18">
            <v>1654000</v>
          </cell>
          <cell r="J18">
            <v>40817</v>
          </cell>
          <cell r="K18">
            <v>45016</v>
          </cell>
          <cell r="L18" t="str">
            <v>TJ-SP</v>
          </cell>
          <cell r="M18">
            <v>4</v>
          </cell>
          <cell r="N18" t="str">
            <v>R$</v>
          </cell>
          <cell r="O18">
            <v>3254956.05</v>
          </cell>
          <cell r="P18">
            <v>31</v>
          </cell>
        </row>
        <row r="19">
          <cell r="C19" t="str">
            <v>Unidade de silos para cereais</v>
          </cell>
          <cell r="D19">
            <v>5377</v>
          </cell>
          <cell r="E19">
            <v>5377</v>
          </cell>
          <cell r="F19" t="str">
            <v>102/103</v>
          </cell>
          <cell r="G19" t="str">
            <v>20801/20878</v>
          </cell>
          <cell r="H19" t="str">
            <v>R$</v>
          </cell>
          <cell r="I19">
            <v>3423000</v>
          </cell>
          <cell r="J19">
            <v>40603</v>
          </cell>
          <cell r="K19">
            <v>45016</v>
          </cell>
          <cell r="L19" t="str">
            <v>TJ-SP</v>
          </cell>
          <cell r="M19">
            <v>4</v>
          </cell>
          <cell r="N19" t="str">
            <v>R$</v>
          </cell>
          <cell r="O19">
            <v>6943559.2199999997</v>
          </cell>
          <cell r="P19">
            <v>25</v>
          </cell>
        </row>
        <row r="20">
          <cell r="C20" t="str">
            <v>Terreno</v>
          </cell>
          <cell r="D20">
            <v>15927</v>
          </cell>
          <cell r="E20">
            <v>15927</v>
          </cell>
          <cell r="F20">
            <v>153</v>
          </cell>
          <cell r="G20" t="str">
            <v>31061/31084</v>
          </cell>
          <cell r="H20" t="str">
            <v>R$</v>
          </cell>
          <cell r="I20">
            <v>83000</v>
          </cell>
          <cell r="J20">
            <v>41333</v>
          </cell>
          <cell r="K20">
            <v>45016</v>
          </cell>
          <cell r="L20" t="str">
            <v>TJ-SP</v>
          </cell>
          <cell r="M20">
            <v>4</v>
          </cell>
          <cell r="N20" t="str">
            <v>R$</v>
          </cell>
          <cell r="O20">
            <v>150289.92000000001</v>
          </cell>
          <cell r="P20">
            <v>69</v>
          </cell>
        </row>
        <row r="21">
          <cell r="C21" t="str">
            <v>Terreno</v>
          </cell>
          <cell r="D21">
            <v>51</v>
          </cell>
          <cell r="E21">
            <v>51</v>
          </cell>
          <cell r="F21">
            <v>158</v>
          </cell>
          <cell r="G21" t="str">
            <v>32036/32068</v>
          </cell>
          <cell r="H21" t="str">
            <v>R$</v>
          </cell>
          <cell r="I21">
            <v>250000</v>
          </cell>
          <cell r="J21">
            <v>41394</v>
          </cell>
          <cell r="K21">
            <v>45016</v>
          </cell>
          <cell r="L21" t="str">
            <v>TJ-SP</v>
          </cell>
          <cell r="M21">
            <v>4</v>
          </cell>
          <cell r="N21" t="str">
            <v>R$</v>
          </cell>
          <cell r="O21">
            <v>447652.81</v>
          </cell>
          <cell r="P21">
            <v>63</v>
          </cell>
        </row>
        <row r="22">
          <cell r="C22" t="str">
            <v>Imovel rural</v>
          </cell>
          <cell r="D22">
            <v>2164</v>
          </cell>
          <cell r="E22">
            <v>2164</v>
          </cell>
          <cell r="F22">
            <v>154</v>
          </cell>
          <cell r="G22" t="str">
            <v>31275/31332</v>
          </cell>
          <cell r="H22" t="str">
            <v>R$</v>
          </cell>
          <cell r="I22">
            <v>3420000</v>
          </cell>
          <cell r="J22">
            <v>41306</v>
          </cell>
          <cell r="K22">
            <v>45016</v>
          </cell>
          <cell r="L22" t="str">
            <v>TJ-SP</v>
          </cell>
          <cell r="M22">
            <v>4</v>
          </cell>
          <cell r="N22" t="str">
            <v>R$</v>
          </cell>
          <cell r="O22">
            <v>6192668.9199999999</v>
          </cell>
          <cell r="P22">
            <v>92</v>
          </cell>
        </row>
        <row r="23">
          <cell r="C23" t="str">
            <v>Complexo comercial</v>
          </cell>
          <cell r="D23" t="str">
            <v>42485/42487/58840</v>
          </cell>
          <cell r="E23" t="str">
            <v>42485/42487/58840</v>
          </cell>
          <cell r="F23" t="str">
            <v>161/162</v>
          </cell>
          <cell r="G23" t="str">
            <v>32781/32905</v>
          </cell>
          <cell r="H23" t="str">
            <v>R$</v>
          </cell>
          <cell r="I23">
            <v>19025000</v>
          </cell>
          <cell r="J23">
            <v>41425</v>
          </cell>
          <cell r="K23">
            <v>45016</v>
          </cell>
          <cell r="L23" t="str">
            <v>TJ-SP</v>
          </cell>
          <cell r="M23">
            <v>4</v>
          </cell>
          <cell r="N23" t="str">
            <v>R$</v>
          </cell>
          <cell r="O23">
            <v>33866566.490000002</v>
          </cell>
          <cell r="P23">
            <v>69</v>
          </cell>
        </row>
        <row r="24"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 t="str">
            <v>-</v>
          </cell>
          <cell r="P24"/>
        </row>
        <row r="25">
          <cell r="C25"/>
          <cell r="D25"/>
          <cell r="E25"/>
          <cell r="F25"/>
          <cell r="G25"/>
          <cell r="H25" t="str">
            <v>R$</v>
          </cell>
          <cell r="I25">
            <v>74106000</v>
          </cell>
          <cell r="J25"/>
          <cell r="K25"/>
          <cell r="L25"/>
          <cell r="M25"/>
          <cell r="N25" t="str">
            <v>R$</v>
          </cell>
          <cell r="O25">
            <v>140928608.47</v>
          </cell>
          <cell r="P25"/>
        </row>
        <row r="26"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</row>
        <row r="28"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</row>
        <row r="30"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</row>
        <row r="31"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</row>
        <row r="32">
          <cell r="C32" t="str">
            <v>DADOS DO</v>
          </cell>
          <cell r="D32" t="str">
            <v>NÚMERO</v>
          </cell>
          <cell r="E32"/>
          <cell r="F32" t="str">
            <v>AVALIAÇÃO (3)</v>
          </cell>
          <cell r="G32"/>
          <cell r="H32"/>
          <cell r="I32"/>
          <cell r="J32" t="str">
            <v>Período</v>
          </cell>
          <cell r="K32"/>
          <cell r="L32" t="str">
            <v>Índice Monetário</v>
          </cell>
          <cell r="M32"/>
          <cell r="N32" t="str">
            <v>AVALIAÇÃO ATUALIZADO (1)</v>
          </cell>
          <cell r="O32"/>
          <cell r="P32" t="str">
            <v>ARRECADAÇÃO (3)</v>
          </cell>
        </row>
        <row r="33">
          <cell r="C33" t="str">
            <v>IMOVEL</v>
          </cell>
          <cell r="D33" t="str">
            <v>MATRICULA</v>
          </cell>
          <cell r="E33" t="str">
            <v>MATRICULA</v>
          </cell>
          <cell r="F33" t="str">
            <v>VOLUME (AM002)</v>
          </cell>
          <cell r="G33" t="str">
            <v>FLS</v>
          </cell>
          <cell r="H33" t="str">
            <v>VALOR</v>
          </cell>
          <cell r="I33"/>
          <cell r="J33" t="str">
            <v>de</v>
          </cell>
          <cell r="K33" t="str">
            <v>a</v>
          </cell>
          <cell r="L33"/>
          <cell r="M33"/>
          <cell r="N33"/>
          <cell r="O33"/>
          <cell r="P33" t="str">
            <v>VOLUME (principal)</v>
          </cell>
        </row>
        <row r="34">
          <cell r="C34" t="str">
            <v>Imovel comercial</v>
          </cell>
          <cell r="D34">
            <v>35948</v>
          </cell>
          <cell r="E34">
            <v>35948</v>
          </cell>
          <cell r="F34">
            <v>130</v>
          </cell>
          <cell r="G34" t="str">
            <v>26329/26381</v>
          </cell>
          <cell r="H34" t="str">
            <v>R$</v>
          </cell>
          <cell r="I34">
            <v>2730000</v>
          </cell>
          <cell r="J34">
            <v>40909</v>
          </cell>
          <cell r="K34">
            <v>45016</v>
          </cell>
          <cell r="L34" t="str">
            <v>TJ-SP</v>
          </cell>
          <cell r="M34">
            <v>4</v>
          </cell>
          <cell r="N34" t="str">
            <v>R$</v>
          </cell>
          <cell r="O34">
            <v>5297940.08</v>
          </cell>
          <cell r="P34">
            <v>83</v>
          </cell>
        </row>
        <row r="35">
          <cell r="C35" t="str">
            <v>Imovel comercial</v>
          </cell>
          <cell r="D35">
            <v>20496</v>
          </cell>
          <cell r="E35">
            <v>20496</v>
          </cell>
          <cell r="F35">
            <v>134</v>
          </cell>
          <cell r="G35" t="str">
            <v>27286/27331</v>
          </cell>
          <cell r="H35" t="str">
            <v>R$</v>
          </cell>
          <cell r="I35">
            <v>1740000</v>
          </cell>
          <cell r="J35">
            <v>40969</v>
          </cell>
          <cell r="K35">
            <v>45016</v>
          </cell>
          <cell r="L35" t="str">
            <v>TJ-SP</v>
          </cell>
          <cell r="M35">
            <v>4</v>
          </cell>
          <cell r="N35" t="str">
            <v>R$</v>
          </cell>
          <cell r="O35">
            <v>3346523.87</v>
          </cell>
          <cell r="P35">
            <v>59</v>
          </cell>
        </row>
        <row r="36">
          <cell r="C36" t="str">
            <v>Imovel comercial</v>
          </cell>
          <cell r="D36" t="str">
            <v>39606/39607</v>
          </cell>
          <cell r="E36">
            <v>39606</v>
          </cell>
          <cell r="F36">
            <v>145</v>
          </cell>
          <cell r="G36" t="str">
            <v>29513/29580</v>
          </cell>
          <cell r="H36" t="str">
            <v>R$</v>
          </cell>
          <cell r="I36">
            <v>11730000</v>
          </cell>
          <cell r="J36">
            <v>41091</v>
          </cell>
          <cell r="K36">
            <v>45016</v>
          </cell>
          <cell r="L36" t="str">
            <v>TJ-SP</v>
          </cell>
          <cell r="M36">
            <v>4</v>
          </cell>
          <cell r="N36" t="str">
            <v>R$</v>
          </cell>
          <cell r="O36">
            <v>22196335.329999998</v>
          </cell>
          <cell r="P36">
            <v>48</v>
          </cell>
        </row>
        <row r="37">
          <cell r="C37" t="str">
            <v>Complexo industrial e terreno</v>
          </cell>
          <cell r="D37" t="str">
            <v>15276/13891/21151/22253</v>
          </cell>
          <cell r="E37">
            <v>39607</v>
          </cell>
          <cell r="F37" t="str">
            <v>142/143</v>
          </cell>
          <cell r="G37" t="str">
            <v>28919/29015</v>
          </cell>
          <cell r="H37" t="str">
            <v>R$</v>
          </cell>
          <cell r="I37">
            <v>11650000</v>
          </cell>
          <cell r="J37">
            <v>41061</v>
          </cell>
          <cell r="K37">
            <v>45016</v>
          </cell>
          <cell r="L37" t="str">
            <v>TJ-SP</v>
          </cell>
          <cell r="M37">
            <v>4</v>
          </cell>
          <cell r="N37" t="str">
            <v>R$</v>
          </cell>
          <cell r="O37">
            <v>22102270.390000001</v>
          </cell>
          <cell r="P37">
            <v>35</v>
          </cell>
        </row>
        <row r="38">
          <cell r="C38"/>
          <cell r="D38"/>
          <cell r="E38">
            <v>15276</v>
          </cell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</row>
        <row r="39">
          <cell r="C39"/>
          <cell r="D39"/>
          <cell r="E39">
            <v>13891</v>
          </cell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</row>
        <row r="40">
          <cell r="C40"/>
          <cell r="D40"/>
          <cell r="E40">
            <v>21151</v>
          </cell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C41"/>
          <cell r="D41"/>
          <cell r="E41">
            <v>22253</v>
          </cell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</row>
        <row r="42">
          <cell r="C42" t="str">
            <v>Terreno rural</v>
          </cell>
          <cell r="D42" t="str">
            <v>2745/2746</v>
          </cell>
          <cell r="E42">
            <v>2745</v>
          </cell>
          <cell r="F42">
            <v>143</v>
          </cell>
          <cell r="G42" t="str">
            <v>29104/29158</v>
          </cell>
          <cell r="H42" t="str">
            <v>R$</v>
          </cell>
          <cell r="I42">
            <v>490000</v>
          </cell>
          <cell r="J42">
            <v>41061</v>
          </cell>
          <cell r="K42">
            <v>45016</v>
          </cell>
          <cell r="L42" t="str">
            <v>TJ-SP</v>
          </cell>
          <cell r="M42">
            <v>4</v>
          </cell>
          <cell r="N42" t="str">
            <v>R$</v>
          </cell>
          <cell r="O42">
            <v>929623.39</v>
          </cell>
          <cell r="P42">
            <v>39</v>
          </cell>
        </row>
        <row r="43">
          <cell r="C43"/>
          <cell r="D43"/>
          <cell r="E43">
            <v>2746</v>
          </cell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C44" t="str">
            <v>Imovel comercial</v>
          </cell>
          <cell r="D44" t="str">
            <v>360/13580</v>
          </cell>
          <cell r="E44">
            <v>360</v>
          </cell>
          <cell r="F44">
            <v>131</v>
          </cell>
          <cell r="G44" t="str">
            <v>26630/26722</v>
          </cell>
          <cell r="H44" t="str">
            <v>R$</v>
          </cell>
          <cell r="I44">
            <v>4130000</v>
          </cell>
          <cell r="J44">
            <v>40909</v>
          </cell>
          <cell r="K44">
            <v>45016</v>
          </cell>
          <cell r="L44" t="str">
            <v>TJ-SP</v>
          </cell>
          <cell r="M44">
            <v>4</v>
          </cell>
          <cell r="N44" t="str">
            <v>R$</v>
          </cell>
          <cell r="O44">
            <v>8014832.4299999997</v>
          </cell>
          <cell r="P44">
            <v>100</v>
          </cell>
        </row>
        <row r="45">
          <cell r="C45"/>
          <cell r="D45"/>
          <cell r="E45">
            <v>13580</v>
          </cell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</row>
        <row r="46">
          <cell r="C46" t="str">
            <v>Imovel comercial</v>
          </cell>
          <cell r="D46" t="str">
            <v>T 11142</v>
          </cell>
          <cell r="E46">
            <v>11142</v>
          </cell>
          <cell r="F46">
            <v>132</v>
          </cell>
          <cell r="G46" t="str">
            <v>26726/26776</v>
          </cell>
          <cell r="H46" t="str">
            <v>R$</v>
          </cell>
          <cell r="I46">
            <v>2640000</v>
          </cell>
          <cell r="J46">
            <v>40909</v>
          </cell>
          <cell r="K46">
            <v>45016</v>
          </cell>
          <cell r="L46" t="str">
            <v>TJ-SP</v>
          </cell>
          <cell r="M46">
            <v>4</v>
          </cell>
          <cell r="N46" t="str">
            <v>R$</v>
          </cell>
          <cell r="O46">
            <v>5123282.72</v>
          </cell>
          <cell r="P46">
            <v>59</v>
          </cell>
        </row>
        <row r="47">
          <cell r="C47" t="str">
            <v>Imovel comercial</v>
          </cell>
          <cell r="D47">
            <v>4379</v>
          </cell>
          <cell r="E47">
            <v>4379</v>
          </cell>
          <cell r="F47">
            <v>153</v>
          </cell>
          <cell r="G47" t="str">
            <v>31158/31214</v>
          </cell>
          <cell r="H47" t="str">
            <v>R$</v>
          </cell>
          <cell r="I47">
            <v>1424000</v>
          </cell>
          <cell r="J47">
            <v>41306</v>
          </cell>
          <cell r="K47">
            <v>45016</v>
          </cell>
          <cell r="L47" t="str">
            <v>TJ-SP</v>
          </cell>
          <cell r="M47">
            <v>4</v>
          </cell>
          <cell r="N47" t="str">
            <v>R$</v>
          </cell>
          <cell r="O47">
            <v>2578468</v>
          </cell>
          <cell r="P47">
            <v>15</v>
          </cell>
        </row>
        <row r="48">
          <cell r="C48" t="str">
            <v>Complexo industrial</v>
          </cell>
          <cell r="D48">
            <v>8112</v>
          </cell>
          <cell r="E48">
            <v>8112</v>
          </cell>
          <cell r="F48">
            <v>154</v>
          </cell>
          <cell r="G48" t="str">
            <v>31337/31421</v>
          </cell>
          <cell r="H48" t="str">
            <v>R$</v>
          </cell>
          <cell r="I48">
            <v>30350000</v>
          </cell>
          <cell r="J48">
            <v>41334</v>
          </cell>
          <cell r="K48">
            <v>45016</v>
          </cell>
          <cell r="L48" t="str">
            <v>TJ-SP</v>
          </cell>
          <cell r="M48">
            <v>4</v>
          </cell>
          <cell r="N48" t="str">
            <v>R$</v>
          </cell>
          <cell r="O48">
            <v>54671120.649999999</v>
          </cell>
          <cell r="P48">
            <v>49</v>
          </cell>
        </row>
        <row r="49">
          <cell r="C49" t="str">
            <v>Imovel comercial</v>
          </cell>
          <cell r="D49">
            <v>1453</v>
          </cell>
          <cell r="E49">
            <v>1453</v>
          </cell>
          <cell r="F49">
            <v>165</v>
          </cell>
          <cell r="G49" t="str">
            <v>33562/33642</v>
          </cell>
          <cell r="H49" t="str">
            <v>R$</v>
          </cell>
          <cell r="I49">
            <v>9520000</v>
          </cell>
          <cell r="J49">
            <v>41487</v>
          </cell>
          <cell r="K49">
            <v>45016</v>
          </cell>
          <cell r="L49" t="str">
            <v>TJ-SP</v>
          </cell>
          <cell r="M49">
            <v>4</v>
          </cell>
          <cell r="N49" t="str">
            <v>R$</v>
          </cell>
          <cell r="O49">
            <v>16862296.190000001</v>
          </cell>
          <cell r="P49">
            <v>32</v>
          </cell>
        </row>
        <row r="50">
          <cell r="C50"/>
          <cell r="D50"/>
          <cell r="E50"/>
          <cell r="F50"/>
          <cell r="G50"/>
          <cell r="H50" t="str">
            <v>R$</v>
          </cell>
          <cell r="I50">
            <v>76404000</v>
          </cell>
          <cell r="J50"/>
          <cell r="K50"/>
          <cell r="L50"/>
          <cell r="M50"/>
          <cell r="N50" t="str">
            <v>R$</v>
          </cell>
          <cell r="O50">
            <v>141122693.05000001</v>
          </cell>
          <cell r="P50"/>
        </row>
        <row r="51"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</row>
        <row r="52"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</row>
        <row r="53"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</row>
        <row r="59"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</row>
        <row r="60"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</row>
        <row r="61">
          <cell r="C61" t="str">
            <v>DADOS DO</v>
          </cell>
          <cell r="D61" t="str">
            <v>NÚMERO</v>
          </cell>
          <cell r="E61"/>
          <cell r="F61" t="str">
            <v>AVALIAÇÃO (2)</v>
          </cell>
          <cell r="G61"/>
          <cell r="H61"/>
          <cell r="I61"/>
          <cell r="J61" t="str">
            <v>Período</v>
          </cell>
          <cell r="K61"/>
          <cell r="L61" t="str">
            <v>Índice Monetário</v>
          </cell>
          <cell r="M61"/>
          <cell r="N61" t="str">
            <v>AVALIAÇÃO ATUALIZADO (1)</v>
          </cell>
          <cell r="O61"/>
          <cell r="P61" t="str">
            <v>ARRECADAÇÃO (3)</v>
          </cell>
        </row>
        <row r="62">
          <cell r="C62" t="str">
            <v>IMOVEL</v>
          </cell>
          <cell r="D62" t="str">
            <v>MATRICULA</v>
          </cell>
          <cell r="E62" t="str">
            <v>MATRICULA</v>
          </cell>
          <cell r="F62" t="str">
            <v>VOLUME (AM002)</v>
          </cell>
          <cell r="G62" t="str">
            <v>FLS</v>
          </cell>
          <cell r="H62" t="str">
            <v>VALOR</v>
          </cell>
          <cell r="I62"/>
          <cell r="J62" t="str">
            <v>de</v>
          </cell>
          <cell r="K62" t="str">
            <v>a</v>
          </cell>
          <cell r="L62"/>
          <cell r="M62"/>
          <cell r="N62"/>
          <cell r="O62"/>
          <cell r="P62" t="str">
            <v>VOLUME (principal)</v>
          </cell>
        </row>
        <row r="63">
          <cell r="C63" t="str">
            <v>Imóvel comercial</v>
          </cell>
          <cell r="D63">
            <v>26999</v>
          </cell>
          <cell r="E63">
            <v>26999</v>
          </cell>
          <cell r="F63">
            <v>160</v>
          </cell>
          <cell r="G63" t="str">
            <v>32458/32517</v>
          </cell>
          <cell r="H63" t="str">
            <v>R$</v>
          </cell>
          <cell r="I63">
            <v>7030000</v>
          </cell>
          <cell r="J63">
            <v>41425</v>
          </cell>
          <cell r="K63">
            <v>45016</v>
          </cell>
          <cell r="L63" t="str">
            <v>TJ-SP</v>
          </cell>
          <cell r="M63">
            <v>4</v>
          </cell>
          <cell r="N63" t="str">
            <v>R$</v>
          </cell>
          <cell r="O63">
            <v>12514163.6</v>
          </cell>
          <cell r="P63">
            <v>69</v>
          </cell>
        </row>
        <row r="64">
          <cell r="C64" t="str">
            <v>Unidade de silos e armazens</v>
          </cell>
          <cell r="D64">
            <v>1615</v>
          </cell>
          <cell r="E64">
            <v>1615</v>
          </cell>
          <cell r="F64">
            <v>164</v>
          </cell>
          <cell r="G64" t="str">
            <v>33283/33356</v>
          </cell>
          <cell r="H64" t="str">
            <v>R$</v>
          </cell>
          <cell r="I64">
            <v>4620000</v>
          </cell>
          <cell r="J64">
            <v>41487</v>
          </cell>
          <cell r="K64">
            <v>45016</v>
          </cell>
          <cell r="L64" t="str">
            <v>TJ-SP</v>
          </cell>
          <cell r="M64">
            <v>4</v>
          </cell>
          <cell r="N64" t="str">
            <v>R$</v>
          </cell>
          <cell r="O64">
            <v>8183173.1500000004</v>
          </cell>
          <cell r="P64">
            <v>17</v>
          </cell>
        </row>
        <row r="65">
          <cell r="C65" t="str">
            <v>Beneficiadora de algodão</v>
          </cell>
          <cell r="D65" t="str">
            <v>Equipamentos</v>
          </cell>
          <cell r="E65"/>
          <cell r="F65">
            <v>127</v>
          </cell>
          <cell r="G65" t="str">
            <v>25871/25903</v>
          </cell>
          <cell r="H65" t="str">
            <v>R$</v>
          </cell>
          <cell r="I65">
            <v>1500000</v>
          </cell>
          <cell r="J65">
            <v>40907</v>
          </cell>
          <cell r="K65">
            <v>45016</v>
          </cell>
          <cell r="L65" t="str">
            <v>TJ-SP</v>
          </cell>
          <cell r="M65">
            <v>4</v>
          </cell>
          <cell r="N65" t="str">
            <v>R$</v>
          </cell>
          <cell r="O65">
            <v>2925801.91</v>
          </cell>
          <cell r="P65" t="str">
            <v>-</v>
          </cell>
        </row>
        <row r="66">
          <cell r="C66" t="str">
            <v>Terrenos</v>
          </cell>
          <cell r="D66" t="str">
            <v>2569/60602/usucapião</v>
          </cell>
          <cell r="E66">
            <v>2569</v>
          </cell>
          <cell r="F66">
            <v>63</v>
          </cell>
          <cell r="G66" t="str">
            <v>12706/12846</v>
          </cell>
          <cell r="H66" t="str">
            <v>R$</v>
          </cell>
          <cell r="I66">
            <v>76900000</v>
          </cell>
          <cell r="J66">
            <v>40148</v>
          </cell>
          <cell r="K66">
            <v>45016</v>
          </cell>
          <cell r="L66" t="str">
            <v>TJ-SP</v>
          </cell>
          <cell r="M66">
            <v>4</v>
          </cell>
          <cell r="N66" t="str">
            <v>R$</v>
          </cell>
          <cell r="O66">
            <v>168947762.61000001</v>
          </cell>
          <cell r="P66">
            <v>83</v>
          </cell>
        </row>
        <row r="67">
          <cell r="C67"/>
          <cell r="D67"/>
          <cell r="E67">
            <v>60602</v>
          </cell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</row>
        <row r="68">
          <cell r="C68" t="str">
            <v>Imóvel comercial</v>
          </cell>
          <cell r="D68">
            <v>579</v>
          </cell>
          <cell r="E68">
            <v>579</v>
          </cell>
          <cell r="F68" t="str">
            <v>47/48</v>
          </cell>
          <cell r="G68" t="str">
            <v>9584/9632</v>
          </cell>
          <cell r="H68" t="str">
            <v>R$</v>
          </cell>
          <cell r="I68">
            <v>617000</v>
          </cell>
          <cell r="J68">
            <v>39753</v>
          </cell>
          <cell r="K68">
            <v>45016</v>
          </cell>
          <cell r="L68" t="str">
            <v>TJ-SP</v>
          </cell>
          <cell r="M68">
            <v>4</v>
          </cell>
          <cell r="N68" t="str">
            <v>R$</v>
          </cell>
          <cell r="O68">
            <v>1417369.86</v>
          </cell>
          <cell r="P68">
            <v>102</v>
          </cell>
        </row>
        <row r="69">
          <cell r="C69" t="str">
            <v>Unidade beneficiamento algodão</v>
          </cell>
          <cell r="D69">
            <v>10565</v>
          </cell>
          <cell r="E69">
            <v>10565</v>
          </cell>
          <cell r="F69">
            <v>149</v>
          </cell>
          <cell r="G69" t="str">
            <v>30338/30407</v>
          </cell>
          <cell r="H69" t="str">
            <v>R$</v>
          </cell>
          <cell r="I69">
            <v>5407000</v>
          </cell>
          <cell r="J69">
            <v>41153</v>
          </cell>
          <cell r="K69">
            <v>45016</v>
          </cell>
          <cell r="L69" t="str">
            <v>TJ-SP</v>
          </cell>
          <cell r="M69">
            <v>4</v>
          </cell>
          <cell r="N69" t="str">
            <v>R$</v>
          </cell>
          <cell r="O69">
            <v>10142061.59</v>
          </cell>
          <cell r="P69">
            <v>48</v>
          </cell>
        </row>
        <row r="70">
          <cell r="C70" t="str">
            <v>Imóvel residencial</v>
          </cell>
          <cell r="D70">
            <v>7047</v>
          </cell>
          <cell r="E70">
            <v>7047</v>
          </cell>
          <cell r="F70">
            <v>52</v>
          </cell>
          <cell r="G70" t="str">
            <v>10426/10462</v>
          </cell>
          <cell r="H70" t="str">
            <v>R$</v>
          </cell>
          <cell r="I70">
            <v>130000</v>
          </cell>
          <cell r="J70">
            <v>39995</v>
          </cell>
          <cell r="K70">
            <v>45016</v>
          </cell>
          <cell r="L70" t="str">
            <v>TJ-SP</v>
          </cell>
          <cell r="M70">
            <v>4</v>
          </cell>
          <cell r="N70" t="str">
            <v>R$</v>
          </cell>
          <cell r="O70">
            <v>288704.63</v>
          </cell>
          <cell r="P70">
            <v>66</v>
          </cell>
        </row>
        <row r="71">
          <cell r="C71"/>
          <cell r="D71"/>
          <cell r="E71"/>
          <cell r="F71"/>
          <cell r="G71"/>
          <cell r="H71" t="str">
            <v>R$</v>
          </cell>
          <cell r="I71">
            <v>96204000</v>
          </cell>
          <cell r="J71"/>
          <cell r="K71"/>
          <cell r="L71"/>
          <cell r="M71"/>
          <cell r="N71" t="str">
            <v>R$</v>
          </cell>
          <cell r="O71">
            <v>204419037.34</v>
          </cell>
          <cell r="P71"/>
        </row>
        <row r="72"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</row>
        <row r="73"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</row>
        <row r="74"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Pricing"/>
      <sheetName val="Base"/>
      <sheetName val="Versao"/>
    </sheetNames>
    <definedNames>
      <definedName name="CalculateINPC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9"/>
  <sheetViews>
    <sheetView tabSelected="1" topLeftCell="A12" zoomScaleNormal="100" workbookViewId="0">
      <pane xSplit="2" topLeftCell="AE1" activePane="topRight" state="frozen"/>
      <selection pane="topRight" activeCell="AN3" sqref="AN3:AN4"/>
    </sheetView>
  </sheetViews>
  <sheetFormatPr baseColWidth="8" defaultRowHeight="15"/>
  <cols>
    <col width="15.7109375" bestFit="1" customWidth="1" min="1" max="1"/>
    <col width="12" bestFit="1" customWidth="1" min="2" max="2"/>
    <col width="19" bestFit="1" customWidth="1" min="3" max="3"/>
    <col width="9.42578125" bestFit="1" customWidth="1" min="4" max="4"/>
    <col width="13.85546875" bestFit="1" customWidth="1" min="5" max="5"/>
    <col width="18.85546875" bestFit="1" customWidth="1" min="6" max="6"/>
    <col width="11.7109375" bestFit="1" customWidth="1" min="7" max="7"/>
    <col width="21.28515625" bestFit="1" customWidth="1" min="8" max="8"/>
    <col width="22" bestFit="1" customWidth="1" min="9" max="9"/>
    <col width="28.85546875" bestFit="1" customWidth="1" min="10" max="10"/>
    <col width="17.85546875" bestFit="1" customWidth="1" min="11" max="11"/>
    <col width="23.28515625" bestFit="1" customWidth="1" min="12" max="12"/>
    <col width="18.85546875" bestFit="1" customWidth="1" min="13" max="13"/>
    <col width="19.140625" bestFit="1" customWidth="1" min="14" max="14"/>
    <col width="23.5703125" bestFit="1" customWidth="1" min="15" max="15"/>
    <col width="20" bestFit="1" customWidth="1" min="16" max="16"/>
    <col width="24.7109375" bestFit="1" customWidth="1" min="17" max="17"/>
    <col width="27.5703125" bestFit="1" customWidth="1" min="18" max="18"/>
    <col width="30.140625" bestFit="1" customWidth="1" min="19" max="19"/>
    <col width="23.85546875" bestFit="1" customWidth="1" min="20" max="20"/>
    <col width="25.85546875" bestFit="1" customWidth="1" min="21" max="21"/>
    <col width="24.7109375" bestFit="1" customWidth="1" min="22" max="22"/>
    <col width="12.140625" bestFit="1" customWidth="1" min="23" max="23"/>
    <col width="17.7109375" bestFit="1" customWidth="1" min="24" max="24"/>
    <col width="17" bestFit="1" customWidth="1" min="25" max="25"/>
    <col width="15.140625" bestFit="1" customWidth="1" min="26" max="26"/>
    <col width="15.28515625" bestFit="1" customWidth="1" min="27" max="27"/>
    <col width="23" bestFit="1" customWidth="1" min="28" max="28"/>
    <col width="23.42578125" bestFit="1" customWidth="1" min="29" max="29"/>
    <col width="37.85546875" bestFit="1" customWidth="1" min="30" max="30"/>
    <col width="19.28515625" bestFit="1" customWidth="1" min="31" max="31"/>
    <col width="25.5703125" bestFit="1" customWidth="1" min="32" max="32"/>
    <col width="34.140625" bestFit="1" customWidth="1" min="33" max="33"/>
    <col width="16.85546875" bestFit="1" customWidth="1" min="34" max="34"/>
    <col width="16.85546875" bestFit="1" customWidth="1" style="48" min="35" max="35"/>
    <col width="16.140625" bestFit="1" customWidth="1" style="48" min="36" max="36"/>
    <col width="18.28515625" bestFit="1" customWidth="1" style="48" min="37" max="37"/>
    <col width="11" bestFit="1" customWidth="1" min="38" max="38"/>
    <col width="18.5703125" bestFit="1" customWidth="1" min="39" max="39"/>
    <col width="10.42578125" bestFit="1" customWidth="1" min="40" max="40"/>
  </cols>
  <sheetData>
    <row r="1" ht="15.75" customHeight="1">
      <c r="A1" s="1" t="inlineStr">
        <is>
          <t>Destinação</t>
        </is>
      </c>
      <c r="B1" s="2" t="inlineStr">
        <is>
          <t>Mat.</t>
        </is>
      </c>
      <c r="C1" s="2" t="inlineStr">
        <is>
          <t>Mat. Conjunto</t>
        </is>
      </c>
      <c r="D1" s="3" t="inlineStr">
        <is>
          <t>Tipo</t>
        </is>
      </c>
      <c r="E1" s="3" t="inlineStr">
        <is>
          <t>Tipologia</t>
        </is>
      </c>
      <c r="F1" s="4" t="inlineStr">
        <is>
          <t>Cidade</t>
        </is>
      </c>
      <c r="G1" s="3" t="inlineStr">
        <is>
          <t>Estado</t>
        </is>
      </c>
      <c r="H1" s="5" t="inlineStr">
        <is>
          <t>VF - Tombamento</t>
        </is>
      </c>
      <c r="I1" s="5" t="inlineStr">
        <is>
          <t>VM - Tombamento</t>
        </is>
      </c>
      <c r="J1" s="7" t="inlineStr">
        <is>
          <t>Resultado de localização</t>
        </is>
      </c>
      <c r="K1" s="7" t="inlineStr">
        <is>
          <t>Área Terreno</t>
        </is>
      </c>
      <c r="L1" s="7" t="inlineStr">
        <is>
          <t>Unid. Área Terreno</t>
        </is>
      </c>
      <c r="M1" s="7" t="inlineStr">
        <is>
          <t>Cidade</t>
        </is>
      </c>
      <c r="N1" s="7" t="inlineStr">
        <is>
          <t>Classe Imóvel</t>
        </is>
      </c>
      <c r="O1" s="7" t="inlineStr">
        <is>
          <t>Tipo do Imóvel</t>
        </is>
      </c>
      <c r="P1" s="7" t="inlineStr">
        <is>
          <t>Valor Avaliação</t>
        </is>
      </c>
      <c r="Q1" s="7" t="inlineStr">
        <is>
          <t>Valor Venda Forçada</t>
        </is>
      </c>
      <c r="R1" s="7" t="inlineStr">
        <is>
          <t>Valor Venda Forçada VP</t>
        </is>
      </c>
      <c r="S1" s="7" t="inlineStr">
        <is>
          <t>Laudo Avaliação LIDERATU</t>
        </is>
      </c>
      <c r="T1" s="7" t="inlineStr">
        <is>
          <t>LIDERATU ARQUIVO</t>
        </is>
      </c>
      <c r="U1" s="7" t="inlineStr">
        <is>
          <t>LAUDO-vm (SISTEMA)</t>
        </is>
      </c>
      <c r="V1" s="7" t="inlineStr">
        <is>
          <t>LAUDO-vf (SISTEMA)</t>
        </is>
      </c>
      <c r="W1" s="8" t="inlineStr">
        <is>
          <t>Nível</t>
        </is>
      </c>
      <c r="X1" s="8" t="inlineStr">
        <is>
          <t>VM ENFORCE</t>
        </is>
      </c>
      <c r="Y1" s="8" t="inlineStr">
        <is>
          <t>VF ENFORCE</t>
        </is>
      </c>
      <c r="Z1" s="7" t="inlineStr">
        <is>
          <t>VF LAUDO</t>
        </is>
      </c>
      <c r="AA1" s="9" t="inlineStr">
        <is>
          <t>DT LAUDO</t>
        </is>
      </c>
      <c r="AB1" s="8" t="inlineStr">
        <is>
          <t>OBS</t>
        </is>
      </c>
      <c r="AC1" s="6" t="inlineStr">
        <is>
          <t>Status (Tarefa Atual)</t>
        </is>
      </c>
      <c r="AD1" s="6" t="inlineStr">
        <is>
          <t>Data/Hora de Criação (Tarefa atual)</t>
        </is>
      </c>
      <c r="AE1" s="8" t="inlineStr">
        <is>
          <t>VF LAUDO - ATT</t>
        </is>
      </c>
      <c r="AF1" t="inlineStr">
        <is>
          <t>Status</t>
        </is>
      </c>
      <c r="AG1" t="inlineStr">
        <is>
          <t>Obs</t>
        </is>
      </c>
      <c r="AH1" t="inlineStr">
        <is>
          <t>Tabela GI</t>
        </is>
      </c>
      <c r="AI1" t="inlineStr">
        <is>
          <t>Proposta</t>
        </is>
      </c>
      <c r="AJ1" t="inlineStr">
        <is>
          <t>Natureza</t>
        </is>
      </c>
      <c r="AK1" s="48" t="inlineStr">
        <is>
          <t>Valor da Garantia</t>
        </is>
      </c>
      <c r="AL1" t="inlineStr">
        <is>
          <t>Comprador</t>
        </is>
      </c>
      <c r="AM1" t="inlineStr">
        <is>
          <t>Previsão de registro</t>
        </is>
      </c>
    </row>
    <row r="2">
      <c r="A2" s="10" t="inlineStr">
        <is>
          <t>BTG/Enforce</t>
        </is>
      </c>
      <c r="B2" s="11" t="n">
        <v>8112</v>
      </c>
      <c r="C2" s="11" t="n">
        <v>8112</v>
      </c>
      <c r="D2" s="11" t="inlineStr">
        <is>
          <t>Urbano</t>
        </is>
      </c>
      <c r="E2" s="10" t="inlineStr">
        <is>
          <t>Galpão</t>
        </is>
      </c>
      <c r="F2" s="10" t="inlineStr">
        <is>
          <t>Santos</t>
        </is>
      </c>
      <c r="G2" s="10" t="inlineStr">
        <is>
          <t>SP</t>
        </is>
      </c>
      <c r="H2" s="12" t="n">
        <v>15901140</v>
      </c>
      <c r="I2" s="12" t="n">
        <v>21201520</v>
      </c>
      <c r="J2" s="14" t="inlineStr">
        <is>
          <t>Localizado</t>
        </is>
      </c>
      <c r="K2" s="15" t="n">
        <v>42000</v>
      </c>
      <c r="L2" s="14" t="inlineStr">
        <is>
          <t>m2</t>
        </is>
      </c>
      <c r="M2" s="14" t="inlineStr">
        <is>
          <t>Santos</t>
        </is>
      </c>
      <c r="N2" s="14" t="inlineStr">
        <is>
          <t>Imóvel Urbano</t>
        </is>
      </c>
      <c r="O2" s="14" t="inlineStr">
        <is>
          <t>Galpão em zona urbana</t>
        </is>
      </c>
      <c r="P2" s="15" t="n">
        <v>21201520</v>
      </c>
      <c r="Q2" s="15" t="n">
        <v>15901140</v>
      </c>
      <c r="R2" s="15" t="n">
        <v>0</v>
      </c>
      <c r="S2" s="15" t="n">
        <v>16375000</v>
      </c>
      <c r="T2" s="15" t="n">
        <v>16375000</v>
      </c>
      <c r="U2" s="15">
        <f>VLOOKUP(B2,'[1]Listagem Imobiliária'!$A$121:$D$177,2,0)</f>
        <v/>
      </c>
      <c r="V2" s="15">
        <f>VLOOKUP(B2,'[1]Listagem Imobiliária'!$A$121:$D$177,4,0)</f>
        <v/>
      </c>
      <c r="W2" s="14" t="inlineStr">
        <is>
          <t>Nível 1</t>
        </is>
      </c>
      <c r="X2" s="15" t="n">
        <v>21201520</v>
      </c>
      <c r="Y2" s="15" t="n">
        <v>15901140</v>
      </c>
      <c r="Z2" s="15" t="n">
        <v>30350000</v>
      </c>
      <c r="AA2" s="13" t="n">
        <v>41334</v>
      </c>
      <c r="AB2" s="14" t="inlineStr">
        <is>
          <t>Nível 3 - Em andamento</t>
        </is>
      </c>
      <c r="AC2" s="13" t="inlineStr">
        <is>
          <t>Concluída</t>
        </is>
      </c>
      <c r="AD2" s="13" t="n">
        <v>45261.67569444444</v>
      </c>
      <c r="AE2" s="15">
        <f t="array" ref="AE2">IFERROR([2]!CalculateINPC(AD2,[1]DT_BASE!$C$3,-1)*AC2,0)</f>
        <v/>
      </c>
      <c r="AF2" s="30" t="inlineStr">
        <is>
          <t>Não Vendido</t>
        </is>
      </c>
      <c r="AG2" s="30" t="inlineStr">
        <is>
          <t>-</t>
        </is>
      </c>
      <c r="AH2" s="35" t="n">
        <v>25000000</v>
      </c>
      <c r="AJ2" s="48" t="inlineStr">
        <is>
          <t>EXPROPRIAÇÃO</t>
        </is>
      </c>
      <c r="AK2" s="48" t="n">
        <v>30350000</v>
      </c>
    </row>
    <row r="3">
      <c r="A3" s="10" t="inlineStr">
        <is>
          <t>BTG/Enforce</t>
        </is>
      </c>
      <c r="B3" s="11" t="n">
        <v>1756</v>
      </c>
      <c r="C3" s="11" t="inlineStr">
        <is>
          <t>1756/1757/1758/1759</t>
        </is>
      </c>
      <c r="D3" s="11" t="inlineStr">
        <is>
          <t>Rural</t>
        </is>
      </c>
      <c r="E3" s="10" t="inlineStr">
        <is>
          <t>Agroindustria</t>
        </is>
      </c>
      <c r="F3" s="10" t="inlineStr">
        <is>
          <t>Assis Chateaubriand</t>
        </is>
      </c>
      <c r="G3" s="10" t="inlineStr">
        <is>
          <t>PR</t>
        </is>
      </c>
      <c r="H3" s="12" t="n">
        <v>13197052</v>
      </c>
      <c r="I3" s="12" t="n">
        <v>15039375</v>
      </c>
      <c r="J3" s="14" t="inlineStr">
        <is>
          <t>Localizado</t>
        </is>
      </c>
      <c r="K3" s="15" t="n">
        <v>13587.75</v>
      </c>
      <c r="L3" s="14" t="inlineStr">
        <is>
          <t>ha</t>
        </is>
      </c>
      <c r="M3" s="14" t="inlineStr">
        <is>
          <t>Assis Chateaubriand</t>
        </is>
      </c>
      <c r="N3" s="14" t="inlineStr">
        <is>
          <t>Imóvel Urbano</t>
        </is>
      </c>
      <c r="O3" s="14" t="inlineStr">
        <is>
          <t>Agroindústria em zona urbana</t>
        </is>
      </c>
      <c r="P3" s="15" t="n">
        <v>15039375</v>
      </c>
      <c r="Q3" s="15" t="n">
        <v>13197052</v>
      </c>
      <c r="R3" s="15" t="n">
        <v>0</v>
      </c>
      <c r="S3" s="15" t="n">
        <v>14706000</v>
      </c>
      <c r="T3" s="15" t="n">
        <v>14706000</v>
      </c>
      <c r="U3" s="15">
        <f>VLOOKUP(B3,'[1]Listagem Imobiliária'!$A$121:$D$177,2,0)</f>
        <v/>
      </c>
      <c r="V3" s="15">
        <f>VLOOKUP(B3,'[1]Listagem Imobiliária'!$A$121:$D$177,4,0)</f>
        <v/>
      </c>
      <c r="W3" s="14" t="inlineStr">
        <is>
          <t>Nível 1</t>
        </is>
      </c>
      <c r="X3" s="15" t="n">
        <v>15039375</v>
      </c>
      <c r="Y3" s="15" t="n">
        <v>13197052</v>
      </c>
      <c r="Z3" s="15" t="n">
        <v>7935000</v>
      </c>
      <c r="AA3" s="13" t="n">
        <v>41091</v>
      </c>
      <c r="AB3" s="14" t="inlineStr">
        <is>
          <t>Nível 1 - Em andamento</t>
        </is>
      </c>
      <c r="AC3" s="13" t="inlineStr">
        <is>
          <t>Concluída</t>
        </is>
      </c>
      <c r="AD3" s="13" t="n">
        <v>45278.48888888889</v>
      </c>
      <c r="AE3" s="29" t="n">
        <v>0</v>
      </c>
      <c r="AF3" s="31" t="inlineStr">
        <is>
          <t>Vendido</t>
        </is>
      </c>
      <c r="AG3" s="31" t="inlineStr">
        <is>
          <t>Aguardando formalização</t>
        </is>
      </c>
      <c r="AH3" s="36" t="n"/>
      <c r="AI3" s="48" t="n">
        <v>3000000</v>
      </c>
      <c r="AM3" s="45" t="n"/>
      <c r="AN3" s="45" t="n"/>
    </row>
    <row r="4">
      <c r="A4" s="10" t="inlineStr">
        <is>
          <t>BTG/Enforce</t>
        </is>
      </c>
      <c r="B4" s="11" t="n">
        <v>25510</v>
      </c>
      <c r="C4" s="11" t="n">
        <v>25510</v>
      </c>
      <c r="D4" s="11" t="inlineStr">
        <is>
          <t>Rural</t>
        </is>
      </c>
      <c r="E4" s="10" t="inlineStr">
        <is>
          <t>Agroindustria</t>
        </is>
      </c>
      <c r="F4" s="10" t="inlineStr">
        <is>
          <t>Dourados</t>
        </is>
      </c>
      <c r="G4" s="10" t="inlineStr">
        <is>
          <t>MS</t>
        </is>
      </c>
      <c r="H4" s="12" t="n">
        <v>11395570</v>
      </c>
      <c r="I4" s="12" t="n">
        <v>13155059</v>
      </c>
      <c r="J4" s="14" t="inlineStr">
        <is>
          <t>Localizado</t>
        </is>
      </c>
      <c r="K4" s="15" t="n">
        <v>7.26</v>
      </c>
      <c r="L4" s="14" t="inlineStr">
        <is>
          <t>ha</t>
        </is>
      </c>
      <c r="M4" s="14" t="inlineStr">
        <is>
          <t>Dourados</t>
        </is>
      </c>
      <c r="N4" s="14" t="inlineStr">
        <is>
          <t>Imóvel Rural</t>
        </is>
      </c>
      <c r="O4" s="14" t="inlineStr">
        <is>
          <t>Silo em zona rural</t>
        </is>
      </c>
      <c r="P4" s="15" t="n">
        <v>13155059</v>
      </c>
      <c r="Q4" s="15" t="n">
        <v>11395570</v>
      </c>
      <c r="R4" s="15" t="n">
        <v>0</v>
      </c>
      <c r="S4" s="15" t="n">
        <v>10019000</v>
      </c>
      <c r="T4" s="15" t="n">
        <v>10019000</v>
      </c>
      <c r="U4" s="15">
        <f>VLOOKUP(B4,'[1]Listagem Imobiliária'!$A$121:$D$177,2,0)</f>
        <v/>
      </c>
      <c r="V4" s="15">
        <f>VLOOKUP(B4,'[1]Listagem Imobiliária'!$A$121:$D$177,4,0)</f>
        <v/>
      </c>
      <c r="W4" s="14" t="inlineStr">
        <is>
          <t>Nível 1</t>
        </is>
      </c>
      <c r="X4" s="15" t="n">
        <v>13155059</v>
      </c>
      <c r="Y4" s="15" t="n">
        <v>11395570</v>
      </c>
      <c r="Z4" s="15" t="n">
        <v>6590000</v>
      </c>
      <c r="AA4" s="13" t="n">
        <v>41153</v>
      </c>
      <c r="AB4" s="13" t="inlineStr">
        <is>
          <t>Em andamento</t>
        </is>
      </c>
      <c r="AC4" s="13" t="inlineStr">
        <is>
          <t>Concluída</t>
        </is>
      </c>
      <c r="AD4" s="13" t="n">
        <v>45278.49513888889</v>
      </c>
      <c r="AE4" s="15">
        <f t="array" ref="AE4">IFERROR([2]!CalculateINPC(AD4,[1]DT_BASE!$C$3,-1)*AC4,0)</f>
        <v/>
      </c>
      <c r="AF4" s="30" t="inlineStr">
        <is>
          <t>Não Vendido</t>
        </is>
      </c>
      <c r="AG4" s="30" t="inlineStr">
        <is>
          <t>Em aprovação (comitê)</t>
        </is>
      </c>
      <c r="AH4" s="35" t="n"/>
      <c r="AI4" s="48" t="n">
        <v>13000000</v>
      </c>
      <c r="AM4" s="45" t="n">
        <v>46107</v>
      </c>
      <c r="AN4" s="45" t="n"/>
    </row>
    <row r="5">
      <c r="A5" s="10" t="inlineStr">
        <is>
          <t>BTG/Enforce</t>
        </is>
      </c>
      <c r="B5" s="11" t="n">
        <v>58840</v>
      </c>
      <c r="C5" s="11" t="inlineStr">
        <is>
          <t>42485/42487/58840</t>
        </is>
      </c>
      <c r="D5" s="11" t="inlineStr">
        <is>
          <t>Urbano</t>
        </is>
      </c>
      <c r="E5" s="10" t="inlineStr">
        <is>
          <t>Prédio Comercial</t>
        </is>
      </c>
      <c r="F5" s="10" t="inlineStr">
        <is>
          <t>Vargem Grande Paulista</t>
        </is>
      </c>
      <c r="G5" s="10" t="inlineStr">
        <is>
          <t>SP</t>
        </is>
      </c>
      <c r="H5" s="12" t="n">
        <v>10516463</v>
      </c>
      <c r="I5" s="12" t="n">
        <v>13145579</v>
      </c>
      <c r="J5" s="14" t="inlineStr">
        <is>
          <t>Parcialmente Localizado</t>
        </is>
      </c>
      <c r="K5" s="15" t="n">
        <v>1407</v>
      </c>
      <c r="L5" s="14" t="inlineStr">
        <is>
          <t>m2</t>
        </is>
      </c>
      <c r="M5" s="14" t="inlineStr">
        <is>
          <t>Vargem Grande Paulista</t>
        </is>
      </c>
      <c r="N5" s="14" t="inlineStr">
        <is>
          <t>Imóvel Urbano</t>
        </is>
      </c>
      <c r="O5" s="14" t="inlineStr">
        <is>
          <t>Prédio comercial</t>
        </is>
      </c>
      <c r="P5" s="15" t="n">
        <v>13145579</v>
      </c>
      <c r="Q5" s="15" t="n">
        <v>10516463</v>
      </c>
      <c r="R5" s="15" t="n">
        <v>0</v>
      </c>
      <c r="S5" s="15" t="n">
        <v>0</v>
      </c>
      <c r="T5" s="15" t="n">
        <v>0</v>
      </c>
      <c r="U5" s="15">
        <f>VLOOKUP(B5,'[1]Listagem Imobiliária'!$A$121:$D$177,2,0)</f>
        <v/>
      </c>
      <c r="V5" s="15">
        <f>VLOOKUP(B5,'[1]Listagem Imobiliária'!$A$121:$D$177,4,0)</f>
        <v/>
      </c>
      <c r="W5" s="14" t="inlineStr">
        <is>
          <t>Nível 0</t>
        </is>
      </c>
      <c r="X5" s="15" t="n">
        <v>13145579</v>
      </c>
      <c r="Y5" s="15" t="n">
        <v>10516463</v>
      </c>
      <c r="Z5" s="15" t="n">
        <v>19025000</v>
      </c>
      <c r="AA5" s="13" t="n">
        <v>41425</v>
      </c>
      <c r="AB5" s="14" t="inlineStr">
        <is>
          <t>Diligência in loco</t>
        </is>
      </c>
      <c r="AC5" s="13" t="inlineStr">
        <is>
          <t>Concluída</t>
        </is>
      </c>
      <c r="AD5" s="13" t="n">
        <v>45264.47847222222</v>
      </c>
      <c r="AE5" s="15">
        <f t="array" ref="AE5">IFERROR([2]!CalculateINPC(AD5,[1]DT_BASE!$C$3,-1)*AC5,0)</f>
        <v/>
      </c>
      <c r="AF5" s="31" t="inlineStr">
        <is>
          <t>Proposta em Negociação</t>
        </is>
      </c>
      <c r="AG5" s="31" t="inlineStr">
        <is>
          <t>Proposta distante</t>
        </is>
      </c>
      <c r="AH5" s="36" t="n">
        <v>45000000</v>
      </c>
      <c r="AI5" s="48" t="n">
        <v>6000000</v>
      </c>
      <c r="AM5" s="46" t="n">
        <v>46204</v>
      </c>
    </row>
    <row r="6">
      <c r="A6" s="10" t="inlineStr">
        <is>
          <t>BTG/Enforce</t>
        </is>
      </c>
      <c r="B6" s="11" t="n">
        <v>23697</v>
      </c>
      <c r="C6" s="11" t="n">
        <v>23697</v>
      </c>
      <c r="D6" s="11" t="inlineStr">
        <is>
          <t>Rural</t>
        </is>
      </c>
      <c r="E6" s="10" t="inlineStr">
        <is>
          <t>Agroindustria</t>
        </is>
      </c>
      <c r="F6" s="10" t="inlineStr">
        <is>
          <t>Londrina</t>
        </is>
      </c>
      <c r="G6" s="10" t="inlineStr">
        <is>
          <t>PR</t>
        </is>
      </c>
      <c r="H6" s="12" t="n">
        <v>10154631</v>
      </c>
      <c r="I6" s="12" t="n">
        <v>11929082</v>
      </c>
      <c r="J6" s="14" t="e">
        <v>#N/A</v>
      </c>
      <c r="K6" s="15" t="e">
        <v>#N/A</v>
      </c>
      <c r="L6" s="14" t="e">
        <v>#N/A</v>
      </c>
      <c r="M6" s="14" t="e">
        <v>#N/A</v>
      </c>
      <c r="N6" s="14" t="e">
        <v>#N/A</v>
      </c>
      <c r="O6" s="14" t="e">
        <v>#N/A</v>
      </c>
      <c r="P6" s="15" t="e">
        <v>#N/A</v>
      </c>
      <c r="Q6" s="15" t="n">
        <v>0</v>
      </c>
      <c r="R6" s="15" t="e">
        <v>#N/A</v>
      </c>
      <c r="S6" s="15" t="n">
        <v>14301000</v>
      </c>
      <c r="T6" s="15" t="n">
        <v>14301000</v>
      </c>
      <c r="U6" s="15">
        <f>VLOOKUP(B6,'[1]Listagem Imobiliária'!$A$121:$D$177,2,0)</f>
        <v/>
      </c>
      <c r="V6" s="15">
        <f>VLOOKUP(B6,'[1]Listagem Imobiliária'!$A$121:$D$177,4,0)</f>
        <v/>
      </c>
      <c r="W6" s="14" t="inlineStr">
        <is>
          <t>Laudo - Lid.</t>
        </is>
      </c>
      <c r="X6" s="15" t="n">
        <v>14301000</v>
      </c>
      <c r="Y6" s="15" t="n">
        <v>9790000</v>
      </c>
      <c r="Z6" s="15" t="n">
        <v>6003000</v>
      </c>
      <c r="AA6" s="13" t="n">
        <v>40695</v>
      </c>
      <c r="AB6" s="14" t="inlineStr">
        <is>
          <t>Nível 1 - Em andamento</t>
        </is>
      </c>
      <c r="AC6" s="13" t="e">
        <v>#N/A</v>
      </c>
      <c r="AD6" s="13" t="e">
        <v>#N/A</v>
      </c>
      <c r="AE6" s="15">
        <f t="array" ref="AE6">IFERROR([2]!CalculateINPC(AD6,[1]DT_BASE!$C$3,-1)*AC6,0)</f>
        <v/>
      </c>
      <c r="AF6" s="33" t="inlineStr">
        <is>
          <t>Vendido</t>
        </is>
      </c>
      <c r="AG6" s="33" t="inlineStr">
        <is>
          <t>Vendido (Integrada)</t>
        </is>
      </c>
      <c r="AH6" s="37" t="inlineStr">
        <is>
          <t>-</t>
        </is>
      </c>
      <c r="AI6" s="48" t="n">
        <v>26000000</v>
      </c>
      <c r="AJ6" s="48" t="inlineStr">
        <is>
          <t>EXPROPRIAÇÃO</t>
        </is>
      </c>
      <c r="AK6" s="48" t="n">
        <v>60003000</v>
      </c>
      <c r="AL6" t="inlineStr">
        <is>
          <t>Cooperativa INTEGRADA</t>
        </is>
      </c>
    </row>
    <row r="7">
      <c r="A7" s="10" t="inlineStr">
        <is>
          <t>BTG/Enforce</t>
        </is>
      </c>
      <c r="B7" s="11" t="n">
        <v>39606</v>
      </c>
      <c r="C7" s="11" t="inlineStr">
        <is>
          <t>39606/69607</t>
        </is>
      </c>
      <c r="D7" s="11" t="inlineStr">
        <is>
          <t>Urbano</t>
        </is>
      </c>
      <c r="E7" s="10" t="inlineStr">
        <is>
          <t>Prédio Comercial</t>
        </is>
      </c>
      <c r="F7" s="10" t="inlineStr">
        <is>
          <t>Jacareí</t>
        </is>
      </c>
      <c r="G7" s="10" t="inlineStr">
        <is>
          <t>SP</t>
        </is>
      </c>
      <c r="H7" s="12" t="n">
        <v>7883985</v>
      </c>
      <c r="I7" s="12" t="n">
        <v>8836364</v>
      </c>
      <c r="J7" s="14" t="inlineStr">
        <is>
          <t>Localizado</t>
        </is>
      </c>
      <c r="K7" s="15" t="n">
        <v>3250</v>
      </c>
      <c r="L7" s="14" t="inlineStr">
        <is>
          <t>m2</t>
        </is>
      </c>
      <c r="M7" s="14" t="inlineStr">
        <is>
          <t>Jacareí</t>
        </is>
      </c>
      <c r="N7" s="14" t="inlineStr">
        <is>
          <t>Imóvel Urbano</t>
        </is>
      </c>
      <c r="O7" s="14" t="inlineStr">
        <is>
          <t>Prédio comercial</t>
        </is>
      </c>
      <c r="P7" s="15" t="n">
        <v>8836364</v>
      </c>
      <c r="Q7" s="15" t="n">
        <v>7883985</v>
      </c>
      <c r="R7" s="15" t="n">
        <v>0</v>
      </c>
      <c r="S7" s="15" t="n">
        <v>8640000</v>
      </c>
      <c r="T7" s="15" t="n">
        <v>8640000</v>
      </c>
      <c r="U7" s="15">
        <f>VLOOKUP(B7,'[1]Listagem Imobiliária'!$A$121:$D$177,2,0)</f>
        <v/>
      </c>
      <c r="V7" s="15">
        <f>VLOOKUP(B7,'[1]Listagem Imobiliária'!$A$121:$D$177,4,0)</f>
        <v/>
      </c>
      <c r="W7" s="14" t="inlineStr">
        <is>
          <t>Nível 1</t>
        </is>
      </c>
      <c r="X7" s="15" t="n">
        <v>8836364</v>
      </c>
      <c r="Y7" s="15" t="n">
        <v>7883985</v>
      </c>
      <c r="Z7" s="15" t="n">
        <v>11730000</v>
      </c>
      <c r="AA7" s="13" t="n">
        <v>41091</v>
      </c>
      <c r="AB7" s="14" t="inlineStr">
        <is>
          <t>Nível 3 - Em andamento</t>
        </is>
      </c>
      <c r="AC7" s="13" t="inlineStr">
        <is>
          <t>Concluída</t>
        </is>
      </c>
      <c r="AD7" s="13" t="n">
        <v>45264.48194444444</v>
      </c>
      <c r="AE7" s="15">
        <f t="array" ref="AE7">IFERROR([2]!CalculateINPC(AD7,[1]DT_BASE!$C$3,-1)*AC7,0)</f>
        <v/>
      </c>
      <c r="AF7" s="31" t="inlineStr">
        <is>
          <t>Proposta em Negociação</t>
        </is>
      </c>
      <c r="AG7" s="31" t="inlineStr">
        <is>
          <t>Proposta em negociação - tabela de GI</t>
        </is>
      </c>
      <c r="AH7" s="36" t="n">
        <v>22500000</v>
      </c>
      <c r="AI7" s="48" t="n">
        <v>13000000</v>
      </c>
      <c r="AJ7" s="48" t="inlineStr">
        <is>
          <t>EXPROPRIAÇÃO</t>
        </is>
      </c>
      <c r="AK7" s="48" t="n">
        <v>11730000</v>
      </c>
      <c r="AL7" t="inlineStr">
        <is>
          <t>Empresário da cidade</t>
        </is>
      </c>
    </row>
    <row r="8">
      <c r="A8" s="10" t="inlineStr">
        <is>
          <t>BTG/Enforce</t>
        </is>
      </c>
      <c r="B8" s="11" t="n">
        <v>2164</v>
      </c>
      <c r="C8" s="11" t="n">
        <v>2164</v>
      </c>
      <c r="D8" s="11" t="inlineStr">
        <is>
          <t>Rural</t>
        </is>
      </c>
      <c r="E8" s="10" t="inlineStr">
        <is>
          <t xml:space="preserve">Gleba </t>
        </is>
      </c>
      <c r="F8" s="10" t="inlineStr">
        <is>
          <t>Taciba</t>
        </is>
      </c>
      <c r="G8" s="10" t="inlineStr">
        <is>
          <t>SP</t>
        </is>
      </c>
      <c r="H8" s="12" t="n">
        <v>8838070</v>
      </c>
      <c r="I8" s="12" t="n">
        <v>9944383</v>
      </c>
      <c r="J8" s="14" t="inlineStr">
        <is>
          <t>Localizado</t>
        </is>
      </c>
      <c r="K8" s="15" t="n">
        <v>176.35</v>
      </c>
      <c r="L8" s="14" t="inlineStr">
        <is>
          <t>ha</t>
        </is>
      </c>
      <c r="M8" s="14" t="inlineStr">
        <is>
          <t>Taciba</t>
        </is>
      </c>
      <c r="N8" s="14" t="inlineStr">
        <is>
          <t>Imóvel Rural</t>
        </is>
      </c>
      <c r="O8" s="14" t="inlineStr">
        <is>
          <t>Fazenda</t>
        </is>
      </c>
      <c r="P8" s="15" t="n">
        <v>8775718.41</v>
      </c>
      <c r="Q8" s="15" t="n">
        <v>7569057.12</v>
      </c>
      <c r="R8" s="15" t="n">
        <v>7140619.93</v>
      </c>
      <c r="S8" s="15" t="n">
        <v>9802000</v>
      </c>
      <c r="T8" s="15" t="n">
        <v>9802000</v>
      </c>
      <c r="U8" s="15">
        <f>VLOOKUP(B8,'[1]Listagem Imobiliária'!$A$121:$D$177,2,0)</f>
        <v/>
      </c>
      <c r="V8" s="15">
        <f>VLOOKUP(B8,'[1]Listagem Imobiliária'!$A$121:$D$177,4,0)</f>
        <v/>
      </c>
      <c r="W8" s="14" t="inlineStr">
        <is>
          <t>Nível 1</t>
        </is>
      </c>
      <c r="X8" s="15" t="n">
        <v>8775718.41</v>
      </c>
      <c r="Y8" s="15" t="n">
        <v>7140619.93</v>
      </c>
      <c r="Z8" s="15" t="n">
        <v>3420000</v>
      </c>
      <c r="AA8" s="13" t="n">
        <v>41306</v>
      </c>
      <c r="AB8" s="13" t="n">
        <v>2025</v>
      </c>
      <c r="AC8" s="13" t="inlineStr">
        <is>
          <t>Concluída</t>
        </is>
      </c>
      <c r="AD8" s="13" t="n">
        <v>45769.5375</v>
      </c>
      <c r="AE8" s="15">
        <f t="array" ref="AE8">IFERROR([2]!CalculateINPC(AD8,[1]DT_BASE!$C$3,-1)*AC8,0)</f>
        <v/>
      </c>
      <c r="AF8" s="30" t="inlineStr">
        <is>
          <t>Não Vendido</t>
        </is>
      </c>
      <c r="AG8" s="30" t="inlineStr">
        <is>
          <t>Arrendatário plantou eucalipto</t>
        </is>
      </c>
      <c r="AH8" s="35" t="n"/>
      <c r="AJ8" s="48" t="inlineStr">
        <is>
          <t>EXPROPRIAÇÃO</t>
        </is>
      </c>
      <c r="AK8" s="48" t="n">
        <v>3420000</v>
      </c>
    </row>
    <row r="9">
      <c r="A9" s="10" t="inlineStr">
        <is>
          <t>BTG/Enforce</t>
        </is>
      </c>
      <c r="B9" s="11" t="n">
        <v>26999</v>
      </c>
      <c r="C9" s="11" t="n">
        <v>26999</v>
      </c>
      <c r="D9" s="11" t="inlineStr">
        <is>
          <t>Urbano</t>
        </is>
      </c>
      <c r="E9" s="10" t="inlineStr">
        <is>
          <t>Prédio Comercial</t>
        </is>
      </c>
      <c r="F9" s="10" t="inlineStr">
        <is>
          <t>Bragança Paulista</t>
        </is>
      </c>
      <c r="G9" s="10" t="inlineStr">
        <is>
          <t>SP</t>
        </is>
      </c>
      <c r="H9" s="12" t="n">
        <v>6484813</v>
      </c>
      <c r="I9" s="12" t="n">
        <v>8646417</v>
      </c>
      <c r="J9" s="14" t="inlineStr">
        <is>
          <t>Localizado</t>
        </is>
      </c>
      <c r="K9" s="15" t="n">
        <v>4036.77</v>
      </c>
      <c r="L9" s="14" t="inlineStr">
        <is>
          <t>m2</t>
        </is>
      </c>
      <c r="M9" s="14" t="inlineStr">
        <is>
          <t>Bragança Paulista</t>
        </is>
      </c>
      <c r="N9" s="14" t="inlineStr">
        <is>
          <t>Imóvel Urbano</t>
        </is>
      </c>
      <c r="O9" s="14" t="inlineStr">
        <is>
          <t>Prédio comercial</t>
        </is>
      </c>
      <c r="P9" s="15" t="n">
        <v>6484813</v>
      </c>
      <c r="Q9" s="15" t="n">
        <v>6484813</v>
      </c>
      <c r="R9" s="15" t="n">
        <v>0</v>
      </c>
      <c r="S9" s="15" t="n">
        <v>23199000</v>
      </c>
      <c r="T9" s="15" t="n">
        <v>23199000</v>
      </c>
      <c r="U9" s="15">
        <f>VLOOKUP(B9,'[1]Listagem Imobiliária'!$A$121:$D$177,2,0)</f>
        <v/>
      </c>
      <c r="V9" s="15">
        <f>VLOOKUP(B9,'[1]Listagem Imobiliária'!$A$121:$D$177,4,0)</f>
        <v/>
      </c>
      <c r="W9" s="14" t="inlineStr">
        <is>
          <t>Nível 1</t>
        </is>
      </c>
      <c r="X9" s="15" t="n">
        <v>6484813</v>
      </c>
      <c r="Y9" s="15" t="n">
        <v>6484813</v>
      </c>
      <c r="Z9" s="15" t="n">
        <v>7030000</v>
      </c>
      <c r="AA9" s="13" t="n">
        <v>41425</v>
      </c>
      <c r="AB9" s="14" t="inlineStr">
        <is>
          <t>Nível 3 - Em andamento</t>
        </is>
      </c>
      <c r="AC9" s="13" t="inlineStr">
        <is>
          <t>Concluída</t>
        </is>
      </c>
      <c r="AD9" s="13" t="n">
        <v>45265.60416666666</v>
      </c>
      <c r="AE9" s="15">
        <f t="array" ref="AE9">IFERROR([2]!CalculateINPC(AD9,[1]DT_BASE!$C$3,-1)*AC9,0)</f>
        <v/>
      </c>
      <c r="AF9" s="31" t="inlineStr">
        <is>
          <t>Proposta em Negociação</t>
        </is>
      </c>
      <c r="AG9" s="31" t="inlineStr">
        <is>
          <t>Proposta em negociação - tabela de GI</t>
        </is>
      </c>
      <c r="AH9" s="36" t="n">
        <v>13000000</v>
      </c>
      <c r="AI9" s="48" t="n">
        <v>10000000</v>
      </c>
      <c r="AJ9" s="48" t="inlineStr">
        <is>
          <t>EXPROPRIAÇÃO</t>
        </is>
      </c>
      <c r="AK9" s="48" t="n">
        <v>7030000</v>
      </c>
    </row>
    <row r="10">
      <c r="A10" s="10" t="inlineStr">
        <is>
          <t>BTG/Enforce</t>
        </is>
      </c>
      <c r="B10" s="11" t="n">
        <v>10565</v>
      </c>
      <c r="C10" s="11" t="n">
        <v>10565</v>
      </c>
      <c r="D10" s="11" t="inlineStr">
        <is>
          <t>Rural</t>
        </is>
      </c>
      <c r="E10" s="10" t="inlineStr">
        <is>
          <t>Agroindustria</t>
        </is>
      </c>
      <c r="F10" s="10" t="inlineStr">
        <is>
          <t>Fátima do Sul</t>
        </is>
      </c>
      <c r="G10" s="10" t="inlineStr">
        <is>
          <t>MS</t>
        </is>
      </c>
      <c r="H10" s="12" t="n">
        <v>5594484</v>
      </c>
      <c r="I10" s="12" t="n">
        <v>6971320</v>
      </c>
      <c r="J10" s="14" t="inlineStr">
        <is>
          <t>Localizado</t>
        </is>
      </c>
      <c r="K10" s="15" t="n">
        <v>13.43</v>
      </c>
      <c r="L10" s="14" t="inlineStr">
        <is>
          <t>ha</t>
        </is>
      </c>
      <c r="M10" s="14" t="inlineStr">
        <is>
          <t>Fátima do Sul</t>
        </is>
      </c>
      <c r="N10" s="14" t="inlineStr">
        <is>
          <t>Imóvel Rural</t>
        </is>
      </c>
      <c r="O10" s="14" t="inlineStr">
        <is>
          <t>Agroindústria em zona rural</t>
        </is>
      </c>
      <c r="P10" s="15" t="n">
        <v>6971320</v>
      </c>
      <c r="Q10" s="15" t="n">
        <v>5594484</v>
      </c>
      <c r="R10" s="15" t="n">
        <v>0</v>
      </c>
      <c r="S10" s="15" t="n">
        <v>2687000</v>
      </c>
      <c r="T10" s="15" t="n">
        <v>2687000</v>
      </c>
      <c r="U10" s="15">
        <f>VLOOKUP(B10,'[1]Listagem Imobiliária'!$A$121:$D$177,2,0)</f>
        <v/>
      </c>
      <c r="V10" s="15">
        <f>VLOOKUP(B10,'[1]Listagem Imobiliária'!$A$121:$D$177,4,0)</f>
        <v/>
      </c>
      <c r="W10" s="14" t="inlineStr">
        <is>
          <t>Nível 1</t>
        </is>
      </c>
      <c r="X10" s="15" t="n">
        <v>6971320</v>
      </c>
      <c r="Y10" s="15" t="n">
        <v>5594484</v>
      </c>
      <c r="Z10" s="15" t="n">
        <v>5407000</v>
      </c>
      <c r="AA10" s="13" t="n">
        <v>41153</v>
      </c>
      <c r="AB10" s="14" t="inlineStr">
        <is>
          <t>Nível 1 - Em andamento</t>
        </is>
      </c>
      <c r="AC10" s="13" t="inlineStr">
        <is>
          <t>Concluída</t>
        </is>
      </c>
      <c r="AD10" s="13" t="n">
        <v>45278.58333333334</v>
      </c>
      <c r="AE10" s="15">
        <f t="array" ref="AE10">IFERROR([2]!CalculateINPC(AD10,[1]DT_BASE!$C$3,-1)*AC10,0)</f>
        <v/>
      </c>
      <c r="AF10" s="30" t="inlineStr">
        <is>
          <t>Não Vendido</t>
        </is>
      </c>
      <c r="AG10" s="30" t="inlineStr">
        <is>
          <t>Sem proposta</t>
        </is>
      </c>
      <c r="AH10" s="35" t="n"/>
      <c r="AJ10" s="48" t="inlineStr">
        <is>
          <t>EXPROPRIAÇÃO</t>
        </is>
      </c>
      <c r="AK10" s="48" t="n">
        <v>5407000</v>
      </c>
    </row>
    <row r="11">
      <c r="A11" s="10" t="inlineStr">
        <is>
          <t>BTG/Enforce</t>
        </is>
      </c>
      <c r="B11" s="11" t="n">
        <v>145993</v>
      </c>
      <c r="C11" s="11" t="n">
        <v>145993</v>
      </c>
      <c r="D11" s="11" t="inlineStr">
        <is>
          <t>Rural</t>
        </is>
      </c>
      <c r="E11" s="10" t="inlineStr">
        <is>
          <t xml:space="preserve">Gleba </t>
        </is>
      </c>
      <c r="F11" s="10" t="inlineStr">
        <is>
          <t>Dourados</t>
        </is>
      </c>
      <c r="G11" s="10" t="inlineStr">
        <is>
          <t>MS</t>
        </is>
      </c>
      <c r="H11" s="12" t="n">
        <v>5253512</v>
      </c>
      <c r="I11" s="12" t="n">
        <v>6108735</v>
      </c>
      <c r="J11" s="14" t="inlineStr">
        <is>
          <t>Localizado</t>
        </is>
      </c>
      <c r="K11" s="15" t="n">
        <v>87.83</v>
      </c>
      <c r="L11" s="14" t="inlineStr">
        <is>
          <t>ha</t>
        </is>
      </c>
      <c r="M11" s="14" t="inlineStr">
        <is>
          <t>Dourados</t>
        </is>
      </c>
      <c r="N11" s="14" t="inlineStr">
        <is>
          <t>Imóvel Rural</t>
        </is>
      </c>
      <c r="O11" s="14" t="inlineStr">
        <is>
          <t>Fazenda</t>
        </is>
      </c>
      <c r="P11" s="15" t="n">
        <v>6108735</v>
      </c>
      <c r="Q11" s="15" t="n">
        <v>5253512</v>
      </c>
      <c r="R11" s="15" t="n">
        <v>4956143</v>
      </c>
      <c r="S11" s="15" t="n">
        <v>10154000</v>
      </c>
      <c r="T11" s="15" t="n">
        <v>10154000</v>
      </c>
      <c r="U11" s="15">
        <f>VLOOKUP(B11,'[1]Listagem Imobiliária'!$A$121:$D$177,2,0)</f>
        <v/>
      </c>
      <c r="V11" s="15">
        <f>VLOOKUP(B11,'[1]Listagem Imobiliária'!$A$121:$D$177,4,0)</f>
        <v/>
      </c>
      <c r="W11" s="14" t="inlineStr">
        <is>
          <t>Nível 1</t>
        </is>
      </c>
      <c r="X11" s="15" t="n">
        <v>6108735</v>
      </c>
      <c r="Y11" s="15" t="n">
        <v>4956143</v>
      </c>
      <c r="Z11" s="15" t="n">
        <v>2162000</v>
      </c>
      <c r="AA11" s="13" t="n">
        <v>41153</v>
      </c>
      <c r="AB11" s="14" t="inlineStr">
        <is>
          <t>Nível 1 - Em andamento</t>
        </is>
      </c>
      <c r="AC11" s="13" t="inlineStr">
        <is>
          <t>Concluída</t>
        </is>
      </c>
      <c r="AD11" s="13" t="n">
        <v>45275.72708333333</v>
      </c>
      <c r="AE11" s="15">
        <f t="array" ref="AE11">IFERROR([2]!CalculateINPC(AD11,[1]DT_BASE!$C$3,-1)*AC11,0)</f>
        <v/>
      </c>
      <c r="AF11" s="30" t="inlineStr">
        <is>
          <t>Não Vendido</t>
        </is>
      </c>
      <c r="AG11" s="30" t="inlineStr">
        <is>
          <t>Negociação em andamento</t>
        </is>
      </c>
      <c r="AH11" s="35" t="n"/>
      <c r="AM11" s="45" t="n">
        <v>46167</v>
      </c>
    </row>
    <row r="12">
      <c r="A12" s="10" t="inlineStr">
        <is>
          <t>BTG/Enforce</t>
        </is>
      </c>
      <c r="B12" s="11" t="n">
        <v>6896</v>
      </c>
      <c r="C12" s="11" t="n">
        <v>6896</v>
      </c>
      <c r="D12" s="11" t="inlineStr">
        <is>
          <t>Urbano</t>
        </is>
      </c>
      <c r="E12" s="10" t="inlineStr">
        <is>
          <t>Terreno</t>
        </is>
      </c>
      <c r="F12" s="10" t="inlineStr">
        <is>
          <t>Maringá</t>
        </is>
      </c>
      <c r="G12" s="10" t="inlineStr">
        <is>
          <t>PR</t>
        </is>
      </c>
      <c r="H12" s="12" t="n">
        <v>4881552</v>
      </c>
      <c r="I12" s="12" t="n">
        <v>6875426</v>
      </c>
      <c r="J12" s="14" t="inlineStr">
        <is>
          <t>Localizado</t>
        </is>
      </c>
      <c r="K12" s="15" t="n">
        <v>15000</v>
      </c>
      <c r="L12" s="14" t="inlineStr">
        <is>
          <t>m2</t>
        </is>
      </c>
      <c r="M12" s="14" t="inlineStr">
        <is>
          <t>Maringá</t>
        </is>
      </c>
      <c r="N12" s="14" t="inlineStr">
        <is>
          <t>Imóvel Urbano</t>
        </is>
      </c>
      <c r="O12" s="14" t="inlineStr">
        <is>
          <t>Terreno urbano</t>
        </is>
      </c>
      <c r="P12" s="15" t="n">
        <v>6875426</v>
      </c>
      <c r="Q12" s="15" t="n">
        <v>4881552</v>
      </c>
      <c r="R12" s="15" t="n">
        <v>0</v>
      </c>
      <c r="S12" s="15" t="n">
        <v>19467000</v>
      </c>
      <c r="T12" s="15" t="n"/>
      <c r="U12" s="15">
        <f>VLOOKUP(B12,'[1]Listagem Imobiliária'!$A$121:$D$177,2,0)</f>
        <v/>
      </c>
      <c r="V12" s="15">
        <f>VLOOKUP(B12,'[1]Listagem Imobiliária'!$A$121:$D$177,4,0)</f>
        <v/>
      </c>
      <c r="W12" s="14" t="inlineStr">
        <is>
          <t>Nível 1</t>
        </is>
      </c>
      <c r="X12" s="15" t="n">
        <v>6875426</v>
      </c>
      <c r="Y12" s="15" t="n">
        <v>4881552</v>
      </c>
      <c r="Z12" s="15" t="n">
        <v>9752000</v>
      </c>
      <c r="AA12" s="13" t="n">
        <v>40664</v>
      </c>
      <c r="AB12" s="14" t="inlineStr">
        <is>
          <t>Nível 3 - Em andamento</t>
        </is>
      </c>
      <c r="AC12" s="13" t="inlineStr">
        <is>
          <t>Concluída</t>
        </is>
      </c>
      <c r="AD12" s="13" t="n">
        <v>45261.67847222222</v>
      </c>
      <c r="AE12" s="15">
        <f t="array" ref="AE12">IFERROR([2]!CalculateINPC(AD12,[1]DT_BASE!$C$3,-1)*AC12,0)</f>
        <v/>
      </c>
      <c r="AF12" s="33" t="inlineStr">
        <is>
          <t>Vendido</t>
        </is>
      </c>
      <c r="AG12" s="33" t="inlineStr">
        <is>
          <t>Vendido</t>
        </is>
      </c>
      <c r="AH12" s="37" t="n">
        <v>18000000</v>
      </c>
      <c r="AI12" s="49" t="n">
        <v>18000000</v>
      </c>
      <c r="AJ12" s="50" t="n"/>
      <c r="AL12" t="inlineStr">
        <is>
          <t>MC Icorporações</t>
        </is>
      </c>
      <c r="AM12" s="46" t="n">
        <v>46204</v>
      </c>
    </row>
    <row r="13">
      <c r="A13" s="10" t="inlineStr">
        <is>
          <t>BTG/Enforce</t>
        </is>
      </c>
      <c r="B13" s="11" t="n">
        <v>1615</v>
      </c>
      <c r="C13" s="11" t="n">
        <v>1615</v>
      </c>
      <c r="D13" s="11" t="inlineStr">
        <is>
          <t>Rural</t>
        </is>
      </c>
      <c r="E13" s="10" t="inlineStr">
        <is>
          <t>Agroindustria</t>
        </is>
      </c>
      <c r="F13" s="10" t="inlineStr">
        <is>
          <t>Canoinhas</t>
        </is>
      </c>
      <c r="G13" s="10" t="inlineStr">
        <is>
          <t>SC</t>
        </is>
      </c>
      <c r="H13" s="12" t="n">
        <v>4741799</v>
      </c>
      <c r="I13" s="12" t="n">
        <v>5570395</v>
      </c>
      <c r="J13" s="14" t="inlineStr">
        <is>
          <t>Localizado</t>
        </is>
      </c>
      <c r="K13" s="15" t="n">
        <v>32920</v>
      </c>
      <c r="L13" s="14" t="inlineStr">
        <is>
          <t>ha</t>
        </is>
      </c>
      <c r="M13" s="14" t="inlineStr">
        <is>
          <t>Canoinhas</t>
        </is>
      </c>
      <c r="N13" s="14" t="inlineStr">
        <is>
          <t>Imóvel Urbano</t>
        </is>
      </c>
      <c r="O13" s="14" t="inlineStr">
        <is>
          <t>Agroindústria em zona urbana</t>
        </is>
      </c>
      <c r="P13" s="15" t="n">
        <v>5570395</v>
      </c>
      <c r="Q13" s="15" t="n">
        <v>4741799</v>
      </c>
      <c r="R13" s="15" t="n">
        <v>0</v>
      </c>
      <c r="S13" s="15" t="n">
        <v>9139000</v>
      </c>
      <c r="T13" s="15" t="n">
        <v>9139000</v>
      </c>
      <c r="U13" s="15">
        <f>VLOOKUP(B13,'[1]Listagem Imobiliária'!$A$121:$D$177,2,0)</f>
        <v/>
      </c>
      <c r="V13" s="15">
        <f>VLOOKUP(B13,'[1]Listagem Imobiliária'!$A$121:$D$177,4,0)</f>
        <v/>
      </c>
      <c r="W13" s="14" t="inlineStr">
        <is>
          <t>Nível 1</t>
        </is>
      </c>
      <c r="X13" s="15" t="n">
        <v>5570395</v>
      </c>
      <c r="Y13" s="15" t="n">
        <v>4741799</v>
      </c>
      <c r="Z13" s="15" t="n">
        <v>4620000</v>
      </c>
      <c r="AA13" s="13" t="n">
        <v>41487</v>
      </c>
      <c r="AB13" s="14" t="inlineStr">
        <is>
          <t>Nível 1 - Em andamento</t>
        </is>
      </c>
      <c r="AC13" s="13" t="inlineStr">
        <is>
          <t>Concluída</t>
        </is>
      </c>
      <c r="AD13" s="13" t="n">
        <v>45278.59236111111</v>
      </c>
      <c r="AE13" s="15">
        <f t="array" ref="AE13">IFERROR([2]!CalculateINPC(AD13,[1]DT_BASE!$C$3,-1)*AC13,0)</f>
        <v/>
      </c>
      <c r="AF13" s="34" t="inlineStr">
        <is>
          <t>Vendido</t>
        </is>
      </c>
      <c r="AG13" s="34" t="inlineStr">
        <is>
          <t>Em minuta</t>
        </is>
      </c>
      <c r="AH13" s="34" t="n"/>
      <c r="AI13" s="48" t="n">
        <v>7000000</v>
      </c>
      <c r="AL13" t="inlineStr">
        <is>
          <t>Cooperativa Agricola de Canoinhas</t>
        </is>
      </c>
      <c r="AM13" s="45" t="n">
        <v>46125</v>
      </c>
    </row>
    <row r="14">
      <c r="A14" s="10" t="inlineStr">
        <is>
          <t>BTG/Enforce</t>
        </is>
      </c>
      <c r="B14" s="11" t="n">
        <v>146005</v>
      </c>
      <c r="C14" s="11" t="n">
        <v>146005</v>
      </c>
      <c r="D14" s="11" t="inlineStr">
        <is>
          <t>Rural</t>
        </is>
      </c>
      <c r="E14" s="10" t="inlineStr">
        <is>
          <t xml:space="preserve">Gleba </t>
        </is>
      </c>
      <c r="F14" s="10" t="inlineStr">
        <is>
          <t>Dourados</t>
        </is>
      </c>
      <c r="G14" s="10" t="inlineStr">
        <is>
          <t>MS</t>
        </is>
      </c>
      <c r="H14" s="12" t="n">
        <v>4580161</v>
      </c>
      <c r="I14" s="12" t="n">
        <v>5325769</v>
      </c>
      <c r="J14" s="14" t="inlineStr">
        <is>
          <t>Localizado</t>
        </is>
      </c>
      <c r="K14" s="15" t="n">
        <v>86.67</v>
      </c>
      <c r="L14" s="14" t="inlineStr">
        <is>
          <t>ha</t>
        </is>
      </c>
      <c r="M14" s="14" t="inlineStr">
        <is>
          <t>Dourados</t>
        </is>
      </c>
      <c r="N14" s="14" t="inlineStr">
        <is>
          <t>Imóvel Rural</t>
        </is>
      </c>
      <c r="O14" s="14" t="inlineStr">
        <is>
          <t>Fazenda</t>
        </is>
      </c>
      <c r="P14" s="15" t="n">
        <v>5325769</v>
      </c>
      <c r="Q14" s="15" t="n">
        <v>4580161</v>
      </c>
      <c r="R14" s="15" t="n">
        <v>4320907</v>
      </c>
      <c r="S14" s="15" t="n">
        <v>9630000</v>
      </c>
      <c r="T14" s="15" t="n">
        <v>9630000</v>
      </c>
      <c r="U14" s="15">
        <f>VLOOKUP(B14,'[1]Listagem Imobiliária'!$A$121:$D$177,2,0)</f>
        <v/>
      </c>
      <c r="V14" s="15">
        <f>VLOOKUP(B14,'[1]Listagem Imobiliária'!$A$121:$D$177,4,0)</f>
        <v/>
      </c>
      <c r="W14" s="14" t="inlineStr">
        <is>
          <t>Nível 1</t>
        </is>
      </c>
      <c r="X14" s="15" t="n">
        <v>5325769</v>
      </c>
      <c r="Y14" s="15" t="n">
        <v>4320907</v>
      </c>
      <c r="Z14" s="15" t="n">
        <v>2030000</v>
      </c>
      <c r="AA14" s="13" t="n">
        <v>41153</v>
      </c>
      <c r="AB14" s="14" t="inlineStr">
        <is>
          <t>Nível 1 - Em andamento</t>
        </is>
      </c>
      <c r="AC14" s="13" t="inlineStr">
        <is>
          <t>Concluída</t>
        </is>
      </c>
      <c r="AD14" s="13" t="n">
        <v>45275.72708333333</v>
      </c>
      <c r="AE14" s="15">
        <f t="array" ref="AE14">IFERROR([2]!CalculateINPC(AD14,[1]DT_BASE!$C$3,-1)*AC14,0)</f>
        <v/>
      </c>
      <c r="AF14" s="30" t="inlineStr">
        <is>
          <t>Não Vendido</t>
        </is>
      </c>
      <c r="AG14" s="30" t="inlineStr">
        <is>
          <t>Negociação em andamento</t>
        </is>
      </c>
      <c r="AH14" s="30" t="n"/>
      <c r="AM14" s="45" t="n">
        <v>46167</v>
      </c>
    </row>
    <row r="15">
      <c r="A15" s="10" t="inlineStr">
        <is>
          <t>BTG/Enforce</t>
        </is>
      </c>
      <c r="B15" s="11" t="n">
        <v>4479</v>
      </c>
      <c r="C15" s="11" t="n">
        <v>4479</v>
      </c>
      <c r="D15" s="11" t="inlineStr">
        <is>
          <t>Rural</t>
        </is>
      </c>
      <c r="E15" s="10" t="inlineStr">
        <is>
          <t>Agroindustria</t>
        </is>
      </c>
      <c r="F15" s="10" t="inlineStr">
        <is>
          <t xml:space="preserve">Mauá da Serra </t>
        </is>
      </c>
      <c r="G15" s="10" t="inlineStr">
        <is>
          <t>PR</t>
        </is>
      </c>
      <c r="H15" s="12" t="n">
        <v>4319945</v>
      </c>
      <c r="I15" s="12" t="n">
        <v>4986949</v>
      </c>
      <c r="J15" s="14" t="inlineStr">
        <is>
          <t>Localizado</t>
        </is>
      </c>
      <c r="K15" s="15" t="n">
        <v>27104</v>
      </c>
      <c r="L15" s="14" t="inlineStr">
        <is>
          <t>ha</t>
        </is>
      </c>
      <c r="M15" s="14" t="inlineStr">
        <is>
          <t>Mauá da Serra</t>
        </is>
      </c>
      <c r="N15" s="14" t="inlineStr">
        <is>
          <t>Imóvel Urbano</t>
        </is>
      </c>
      <c r="O15" s="14" t="inlineStr">
        <is>
          <t>Agroindústria em zona urbana</t>
        </is>
      </c>
      <c r="P15" s="15" t="n">
        <v>4986949</v>
      </c>
      <c r="Q15" s="15" t="n">
        <v>4319945</v>
      </c>
      <c r="R15" s="15" t="n">
        <v>0</v>
      </c>
      <c r="S15" s="15" t="n">
        <v>2959000</v>
      </c>
      <c r="T15" s="15" t="n">
        <v>2959000</v>
      </c>
      <c r="U15" s="15">
        <f>VLOOKUP(B15,'[1]Listagem Imobiliária'!$A$121:$D$177,2,0)</f>
        <v/>
      </c>
      <c r="V15" s="15">
        <f>VLOOKUP(B15,'[1]Listagem Imobiliária'!$A$121:$D$177,4,0)</f>
        <v/>
      </c>
      <c r="W15" s="14" t="inlineStr">
        <is>
          <t>Nível 1</t>
        </is>
      </c>
      <c r="X15" s="15" t="n">
        <v>4986949</v>
      </c>
      <c r="Y15" s="15" t="n">
        <v>4319945</v>
      </c>
      <c r="Z15" s="15" t="n">
        <v>1221000</v>
      </c>
      <c r="AA15" s="13" t="n">
        <v>40817</v>
      </c>
      <c r="AB15" s="14" t="inlineStr">
        <is>
          <t>Nível 1 - Em andamento</t>
        </is>
      </c>
      <c r="AC15" s="13" t="inlineStr">
        <is>
          <t>Concluída</t>
        </is>
      </c>
      <c r="AD15" s="13" t="n">
        <v>45278.72916666666</v>
      </c>
      <c r="AE15" s="15">
        <f t="array" ref="AE15">IFERROR([2]!CalculateINPC(AD15,[1]DT_BASE!$C$3,-1)*AC15,0)</f>
        <v/>
      </c>
      <c r="AF15" s="33" t="inlineStr">
        <is>
          <t>Vendido</t>
        </is>
      </c>
      <c r="AG15" s="33" t="inlineStr">
        <is>
          <t>Vendido (Integrada)</t>
        </is>
      </c>
      <c r="AH15" s="33" t="n"/>
      <c r="AJ15" s="48" t="inlineStr">
        <is>
          <t>EXPROPRIAÇÃO</t>
        </is>
      </c>
      <c r="AK15" s="48" t="n">
        <v>1221000</v>
      </c>
      <c r="AL15" t="inlineStr">
        <is>
          <t>Cooperativa INTEGRADA</t>
        </is>
      </c>
    </row>
    <row r="16">
      <c r="A16" s="10" t="inlineStr">
        <is>
          <t>BTG/Enforce</t>
        </is>
      </c>
      <c r="B16" s="11" t="n">
        <v>9846</v>
      </c>
      <c r="C16" s="11" t="n">
        <v>9846</v>
      </c>
      <c r="D16" s="11" t="inlineStr">
        <is>
          <t>Rural</t>
        </is>
      </c>
      <c r="E16" s="10" t="inlineStr">
        <is>
          <t>Agroindustria</t>
        </is>
      </c>
      <c r="F16" s="10" t="inlineStr">
        <is>
          <t>Floraí</t>
        </is>
      </c>
      <c r="G16" s="10" t="inlineStr">
        <is>
          <t>PR</t>
        </is>
      </c>
      <c r="H16" s="12" t="n">
        <v>3803183</v>
      </c>
      <c r="I16" s="12" t="n">
        <v>4279250</v>
      </c>
      <c r="J16" s="14" t="inlineStr">
        <is>
          <t>Localizado</t>
        </is>
      </c>
      <c r="K16" s="15" t="n">
        <v>17430</v>
      </c>
      <c r="L16" s="14" t="inlineStr">
        <is>
          <t>ha</t>
        </is>
      </c>
      <c r="M16" s="14" t="inlineStr">
        <is>
          <t>Floraí</t>
        </is>
      </c>
      <c r="N16" s="14" t="inlineStr">
        <is>
          <t>Imóvel Urbano</t>
        </is>
      </c>
      <c r="O16" s="14" t="inlineStr">
        <is>
          <t>Agroindústria em zona urbana</t>
        </is>
      </c>
      <c r="P16" s="15" t="n">
        <v>4279250</v>
      </c>
      <c r="Q16" s="15" t="n">
        <v>3803183</v>
      </c>
      <c r="R16" s="15" t="n">
        <v>0</v>
      </c>
      <c r="S16" s="15" t="n">
        <v>4266000</v>
      </c>
      <c r="T16" s="15" t="n">
        <v>390000</v>
      </c>
      <c r="U16" s="15">
        <f>VLOOKUP(B16,'[1]Listagem Imobiliária'!$A$121:$D$177,2,0)</f>
        <v/>
      </c>
      <c r="V16" s="15">
        <f>VLOOKUP(B16,'[1]Listagem Imobiliária'!$A$121:$D$177,4,0)</f>
        <v/>
      </c>
      <c r="W16" s="14" t="inlineStr">
        <is>
          <t>Nível 1</t>
        </is>
      </c>
      <c r="X16" s="15" t="n">
        <v>4279250</v>
      </c>
      <c r="Y16" s="15" t="n">
        <v>3803183</v>
      </c>
      <c r="Z16" s="15" t="n">
        <v>2107000</v>
      </c>
      <c r="AA16" s="13" t="n">
        <v>40603</v>
      </c>
      <c r="AB16" s="14" t="inlineStr">
        <is>
          <t>Nível 1 - Em andamento</t>
        </is>
      </c>
      <c r="AC16" s="13" t="inlineStr">
        <is>
          <t>Concluída</t>
        </is>
      </c>
      <c r="AD16" s="13" t="n">
        <v>45278.71041666667</v>
      </c>
      <c r="AE16" s="15">
        <f t="array" ref="AE16">IFERROR([2]!CalculateINPC(AD16,[1]DT_BASE!$C$3,-1)*AC16,0)</f>
        <v/>
      </c>
      <c r="AF16" s="33" t="inlineStr">
        <is>
          <t>Vendido</t>
        </is>
      </c>
      <c r="AG16" s="33" t="inlineStr">
        <is>
          <t>Vendido (Integrada)</t>
        </is>
      </c>
      <c r="AH16" s="33" t="inlineStr">
        <is>
          <t>-</t>
        </is>
      </c>
      <c r="AL16" t="inlineStr">
        <is>
          <t>Cooperativa INTEGRADA</t>
        </is>
      </c>
      <c r="AM16" s="45" t="n">
        <v>46297</v>
      </c>
    </row>
    <row r="17">
      <c r="A17" s="10" t="inlineStr">
        <is>
          <t>BTG/Enforce</t>
        </is>
      </c>
      <c r="B17" s="11" t="n">
        <v>5377</v>
      </c>
      <c r="C17" s="11" t="n">
        <v>5377</v>
      </c>
      <c r="D17" s="11" t="inlineStr">
        <is>
          <t>Rural</t>
        </is>
      </c>
      <c r="E17" s="10" t="inlineStr">
        <is>
          <t>Agroindustria</t>
        </is>
      </c>
      <c r="F17" s="10" t="inlineStr">
        <is>
          <t>Rancho Alegre</t>
        </is>
      </c>
      <c r="G17" s="10" t="inlineStr">
        <is>
          <t>PR</t>
        </is>
      </c>
      <c r="H17" s="12" t="n">
        <v>3000578</v>
      </c>
      <c r="I17" s="12" t="n">
        <v>3376178</v>
      </c>
      <c r="J17" s="14" t="inlineStr">
        <is>
          <t>Localizado</t>
        </is>
      </c>
      <c r="K17" s="15" t="n">
        <v>76230</v>
      </c>
      <c r="L17" s="14" t="inlineStr">
        <is>
          <t>ha</t>
        </is>
      </c>
      <c r="M17" s="14" t="inlineStr">
        <is>
          <t>Rancho Alegre</t>
        </is>
      </c>
      <c r="N17" s="14" t="inlineStr">
        <is>
          <t>Imóvel Urbano</t>
        </is>
      </c>
      <c r="O17" s="14" t="inlineStr">
        <is>
          <t>Agroindústria em zona urbana</t>
        </is>
      </c>
      <c r="P17" s="15" t="n">
        <v>3376178</v>
      </c>
      <c r="Q17" s="15" t="n">
        <v>3000578</v>
      </c>
      <c r="R17" s="15" t="n">
        <v>0</v>
      </c>
      <c r="S17" s="15" t="n">
        <v>4758000</v>
      </c>
      <c r="T17" s="15" t="n">
        <v>4758000</v>
      </c>
      <c r="U17" s="15">
        <f>VLOOKUP(B17,'[1]Listagem Imobiliária'!$A$121:$D$177,2,0)</f>
        <v/>
      </c>
      <c r="V17" s="15">
        <f>VLOOKUP(B17,'[1]Listagem Imobiliária'!$A$121:$D$177,4,0)</f>
        <v/>
      </c>
      <c r="W17" s="14" t="inlineStr">
        <is>
          <t>Nível 1</t>
        </is>
      </c>
      <c r="X17" s="15" t="n">
        <v>3376178</v>
      </c>
      <c r="Y17" s="15" t="n">
        <v>3000578</v>
      </c>
      <c r="Z17" s="15" t="n">
        <v>3423000</v>
      </c>
      <c r="AA17" s="13" t="n">
        <v>40603</v>
      </c>
      <c r="AB17" s="14" t="inlineStr">
        <is>
          <t>Nível 1 - Em andamento</t>
        </is>
      </c>
      <c r="AC17" s="13" t="inlineStr">
        <is>
          <t>Concluída</t>
        </is>
      </c>
      <c r="AD17" s="13" t="n">
        <v>45278.71944444445</v>
      </c>
      <c r="AE17" s="15">
        <f t="array" ref="AE17">IFERROR([2]!CalculateINPC(AD17,[1]DT_BASE!$C$3,-1)*AC17,0)</f>
        <v/>
      </c>
      <c r="AF17" s="33" t="inlineStr">
        <is>
          <t>Vendido</t>
        </is>
      </c>
      <c r="AG17" s="33" t="inlineStr">
        <is>
          <t>Vendido (Integrada)</t>
        </is>
      </c>
      <c r="AH17" s="33" t="n"/>
      <c r="AL17" t="inlineStr">
        <is>
          <t>Cooperativa INTEGRADA</t>
        </is>
      </c>
      <c r="AM17" s="45" t="n">
        <v>46297</v>
      </c>
    </row>
    <row r="18">
      <c r="A18" s="10" t="inlineStr">
        <is>
          <t>BTG/Enforce</t>
        </is>
      </c>
      <c r="B18" s="11" t="n">
        <v>35948</v>
      </c>
      <c r="C18" s="11" t="n">
        <v>35948</v>
      </c>
      <c r="D18" s="11" t="inlineStr">
        <is>
          <t>Urbano</t>
        </is>
      </c>
      <c r="E18" s="10" t="inlineStr">
        <is>
          <t>Prédio Comercial</t>
        </is>
      </c>
      <c r="F18" s="10" t="inlineStr">
        <is>
          <t>Indaiatuba</t>
        </is>
      </c>
      <c r="G18" s="10" t="inlineStr">
        <is>
          <t>SP</t>
        </is>
      </c>
      <c r="H18" s="12" t="n">
        <v>2615352</v>
      </c>
      <c r="I18" s="12" t="n">
        <v>3076885</v>
      </c>
      <c r="J18" s="14" t="inlineStr">
        <is>
          <t>Localizado</t>
        </is>
      </c>
      <c r="K18" s="15" t="n">
        <v>2442</v>
      </c>
      <c r="L18" s="14" t="inlineStr">
        <is>
          <t>m2</t>
        </is>
      </c>
      <c r="M18" s="14" t="inlineStr">
        <is>
          <t>Indaiatuba</t>
        </is>
      </c>
      <c r="N18" s="14" t="inlineStr">
        <is>
          <t>Imóvel Urbano</t>
        </is>
      </c>
      <c r="O18" s="14" t="inlineStr">
        <is>
          <t>Prédio comercial</t>
        </is>
      </c>
      <c r="P18" s="15" t="n">
        <v>3076885</v>
      </c>
      <c r="Q18" s="15" t="n">
        <v>2615352</v>
      </c>
      <c r="R18" s="15" t="n">
        <v>0</v>
      </c>
      <c r="S18" s="15" t="n">
        <v>3886000</v>
      </c>
      <c r="T18" s="15" t="n">
        <v>3886000</v>
      </c>
      <c r="U18" s="15">
        <f>VLOOKUP(B18,'[1]Listagem Imobiliária'!$A$121:$D$177,2,0)</f>
        <v/>
      </c>
      <c r="V18" s="15">
        <f>VLOOKUP(B18,'[1]Listagem Imobiliária'!$A$121:$D$177,4,0)</f>
        <v/>
      </c>
      <c r="W18" s="14" t="inlineStr">
        <is>
          <t>Nível 1</t>
        </is>
      </c>
      <c r="X18" s="15" t="n">
        <v>3076885</v>
      </c>
      <c r="Y18" s="15" t="n">
        <v>2615352</v>
      </c>
      <c r="Z18" s="15" t="n">
        <v>2730000</v>
      </c>
      <c r="AA18" s="13" t="n">
        <v>40909</v>
      </c>
      <c r="AB18" s="14" t="inlineStr">
        <is>
          <t>Nível 3 - Em andamento</t>
        </is>
      </c>
      <c r="AC18" s="13" t="inlineStr">
        <is>
          <t>Concluída</t>
        </is>
      </c>
      <c r="AD18" s="13" t="n">
        <v>45261.68055555555</v>
      </c>
      <c r="AE18" s="15">
        <f t="array" ref="AE18">IFERROR([2]!CalculateINPC(AD18,[1]DT_BASE!$C$3,-1)*AC18,0)</f>
        <v/>
      </c>
      <c r="AF18" s="31" t="inlineStr">
        <is>
          <t>Proposta em Negociação</t>
        </is>
      </c>
      <c r="AG18" s="31" t="inlineStr">
        <is>
          <t>Proposta em negociação - tabela de GI</t>
        </is>
      </c>
      <c r="AH18" s="51" t="n">
        <v>5200000</v>
      </c>
      <c r="AI18" s="48" t="n">
        <v>3500000</v>
      </c>
      <c r="AL18" s="43" t="inlineStr">
        <is>
          <t>Investidor e Incorporadora</t>
        </is>
      </c>
      <c r="AM18" s="45" t="n">
        <v>46107</v>
      </c>
    </row>
    <row r="19">
      <c r="A19" s="10" t="inlineStr">
        <is>
          <t>BTG/Enforce</t>
        </is>
      </c>
      <c r="B19" s="11" t="n">
        <v>360</v>
      </c>
      <c r="C19" s="11" t="inlineStr">
        <is>
          <t>360/13580</t>
        </is>
      </c>
      <c r="D19" s="11" t="inlineStr">
        <is>
          <t>Urbano</t>
        </is>
      </c>
      <c r="E19" s="10" t="inlineStr">
        <is>
          <t>Barracão</t>
        </is>
      </c>
      <c r="F19" s="10" t="inlineStr">
        <is>
          <t>Piedade</t>
        </is>
      </c>
      <c r="G19" s="10" t="inlineStr">
        <is>
          <t>SP</t>
        </is>
      </c>
      <c r="H19" s="12" t="n">
        <v>2199235</v>
      </c>
      <c r="I19" s="12" t="n">
        <v>2749044</v>
      </c>
      <c r="J19" s="14" t="inlineStr">
        <is>
          <t>Parcialmente Localizado</t>
        </is>
      </c>
      <c r="K19" s="15" t="n">
        <v>3800</v>
      </c>
      <c r="L19" s="14" t="inlineStr">
        <is>
          <t>m2</t>
        </is>
      </c>
      <c r="M19" s="14" t="inlineStr">
        <is>
          <t>Piedade</t>
        </is>
      </c>
      <c r="N19" s="14" t="inlineStr">
        <is>
          <t>Imóvel Urbano</t>
        </is>
      </c>
      <c r="O19" s="14" t="inlineStr">
        <is>
          <t>Barracão</t>
        </is>
      </c>
      <c r="P19" s="15" t="n">
        <v>2199235</v>
      </c>
      <c r="Q19" s="15" t="n">
        <v>2199235</v>
      </c>
      <c r="R19" s="15" t="n">
        <v>0</v>
      </c>
      <c r="S19" s="15" t="n">
        <v>0</v>
      </c>
      <c r="T19" s="15" t="n">
        <v>0</v>
      </c>
      <c r="U19" s="15">
        <f>VLOOKUP(B19,'[1]Listagem Imobiliária'!$A$121:$D$177,2,0)</f>
        <v/>
      </c>
      <c r="V19" s="15">
        <f>VLOOKUP(B19,'[1]Listagem Imobiliária'!$A$121:$D$177,4,0)</f>
        <v/>
      </c>
      <c r="W19" s="14" t="inlineStr">
        <is>
          <t>Nível 0</t>
        </is>
      </c>
      <c r="X19" s="15" t="n">
        <v>2199235</v>
      </c>
      <c r="Y19" s="15" t="n">
        <v>2199235</v>
      </c>
      <c r="Z19" s="15" t="n">
        <v>4130000</v>
      </c>
      <c r="AA19" s="13" t="n">
        <v>40909</v>
      </c>
      <c r="AB19" s="14" t="inlineStr">
        <is>
          <t>Diligência in loco</t>
        </is>
      </c>
      <c r="AC19" s="13" t="inlineStr">
        <is>
          <t>Concluída</t>
        </is>
      </c>
      <c r="AD19" s="13" t="n">
        <v>45265.60486111111</v>
      </c>
      <c r="AE19" s="15">
        <f t="array" ref="AE19">IFERROR([2]!CalculateINPC(AD19,[1]DT_BASE!$C$3,-1)*AC19,0)</f>
        <v/>
      </c>
      <c r="AF19" s="30" t="inlineStr">
        <is>
          <t>Não Vendido</t>
        </is>
      </c>
      <c r="AG19" s="30" t="inlineStr">
        <is>
          <t>-</t>
        </is>
      </c>
      <c r="AH19" s="30" t="inlineStr">
        <is>
          <t>NÃO LIBERADO</t>
        </is>
      </c>
      <c r="AM19" s="45" t="n">
        <v>46107</v>
      </c>
    </row>
    <row r="20">
      <c r="A20" s="10" t="inlineStr">
        <is>
          <t>BTG/Enforce</t>
        </is>
      </c>
      <c r="B20" s="11" t="n">
        <v>2464</v>
      </c>
      <c r="C20" s="11" t="inlineStr">
        <is>
          <t>2464/4858</t>
        </is>
      </c>
      <c r="D20" s="11" t="inlineStr">
        <is>
          <t>Rural</t>
        </is>
      </c>
      <c r="E20" s="10" t="inlineStr">
        <is>
          <t xml:space="preserve">Gleba </t>
        </is>
      </c>
      <c r="F20" s="10" t="inlineStr">
        <is>
          <t>Assaí</t>
        </is>
      </c>
      <c r="G20" s="10" t="inlineStr">
        <is>
          <t>PR</t>
        </is>
      </c>
      <c r="H20" s="12" t="n">
        <v>2064553</v>
      </c>
      <c r="I20" s="12" t="n">
        <v>2572652</v>
      </c>
      <c r="J20" s="14" t="inlineStr">
        <is>
          <t>Localizado</t>
        </is>
      </c>
      <c r="K20" s="15" t="n">
        <v>591690</v>
      </c>
      <c r="L20" s="14" t="inlineStr">
        <is>
          <t>ha</t>
        </is>
      </c>
      <c r="M20" s="14" t="inlineStr">
        <is>
          <t>Assaí</t>
        </is>
      </c>
      <c r="N20" s="14" t="inlineStr">
        <is>
          <t>Imóvel Urbano</t>
        </is>
      </c>
      <c r="O20" s="14" t="inlineStr">
        <is>
          <t>Agroindústria em zona urbana</t>
        </is>
      </c>
      <c r="P20" s="15" t="n">
        <v>2572651.72</v>
      </c>
      <c r="Q20" s="15" t="n">
        <v>2064553.01</v>
      </c>
      <c r="R20" s="15" t="n">
        <v>0</v>
      </c>
      <c r="S20" s="15" t="n">
        <v>8079000</v>
      </c>
      <c r="T20" s="15" t="n">
        <v>8079000</v>
      </c>
      <c r="U20" s="15">
        <f>VLOOKUP(B20,'[1]Listagem Imobiliária'!$A$121:$D$177,2,0)</f>
        <v/>
      </c>
      <c r="V20" s="15">
        <f>VLOOKUP(B20,'[1]Listagem Imobiliária'!$A$121:$D$177,4,0)</f>
        <v/>
      </c>
      <c r="W20" s="14" t="inlineStr">
        <is>
          <t>Nível 1</t>
        </is>
      </c>
      <c r="X20" s="15" t="n">
        <v>2572651.72</v>
      </c>
      <c r="Y20" s="15" t="n">
        <v>2064553.01</v>
      </c>
      <c r="Z20" s="15" t="n">
        <v>3400000</v>
      </c>
      <c r="AA20" s="13" t="n">
        <v>40695</v>
      </c>
      <c r="AB20" s="13" t="inlineStr">
        <is>
          <t>Em andamento</t>
        </is>
      </c>
      <c r="AC20" s="13" t="inlineStr">
        <is>
          <t>Concluída</t>
        </is>
      </c>
      <c r="AD20" s="13" t="n">
        <v>45278.70069444444</v>
      </c>
      <c r="AE20" s="15">
        <f t="array" ref="AE20">IFERROR([2]!CalculateINPC(AD20,[1]DT_BASE!$C$3,-1)*AC20,0)</f>
        <v/>
      </c>
      <c r="AF20" s="30" t="inlineStr">
        <is>
          <t>Não Vendido</t>
        </is>
      </c>
      <c r="AG20" s="30" t="inlineStr">
        <is>
          <t>Negociação em andamento</t>
        </is>
      </c>
      <c r="AH20" s="30" t="n"/>
      <c r="AM20" s="45" t="n">
        <v>46138</v>
      </c>
    </row>
    <row r="21">
      <c r="A21" s="10" t="inlineStr">
        <is>
          <t>BTG/Enforce</t>
        </is>
      </c>
      <c r="B21" s="11" t="n">
        <v>6193</v>
      </c>
      <c r="C21" s="11" t="n">
        <v>6193</v>
      </c>
      <c r="D21" s="11" t="inlineStr">
        <is>
          <t>Rural</t>
        </is>
      </c>
      <c r="E21" s="10" t="inlineStr">
        <is>
          <t>Agroindustria</t>
        </is>
      </c>
      <c r="F21" s="10" t="inlineStr">
        <is>
          <t xml:space="preserve">Mauá da Serra </t>
        </is>
      </c>
      <c r="G21" s="10" t="inlineStr">
        <is>
          <t>PR</t>
        </is>
      </c>
      <c r="H21" s="12" t="n">
        <v>1640213</v>
      </c>
      <c r="I21" s="12" t="n">
        <v>1893464</v>
      </c>
      <c r="J21" s="14" t="inlineStr">
        <is>
          <t>Localizado</t>
        </is>
      </c>
      <c r="K21" s="15" t="n">
        <v>20000</v>
      </c>
      <c r="L21" s="14" t="inlineStr">
        <is>
          <t>ha</t>
        </is>
      </c>
      <c r="M21" s="14" t="inlineStr">
        <is>
          <t>Mauá da Serra</t>
        </is>
      </c>
      <c r="N21" s="14" t="inlineStr">
        <is>
          <t>Imóvel Urbano</t>
        </is>
      </c>
      <c r="O21" s="14" t="inlineStr">
        <is>
          <t>Agroindústria em zona urbana</t>
        </is>
      </c>
      <c r="P21" s="15" t="n">
        <v>1893464</v>
      </c>
      <c r="Q21" s="15" t="n">
        <v>1640213</v>
      </c>
      <c r="R21" s="15" t="n">
        <v>0</v>
      </c>
      <c r="S21" s="15" t="n">
        <v>3142000</v>
      </c>
      <c r="T21" s="15" t="n">
        <v>3142000</v>
      </c>
      <c r="U21" s="15">
        <f>VLOOKUP(B21,'[1]Listagem Imobiliária'!$A$121:$D$177,2,0)</f>
        <v/>
      </c>
      <c r="V21" s="15">
        <f>VLOOKUP(B21,'[1]Listagem Imobiliária'!$A$121:$D$177,4,0)</f>
        <v/>
      </c>
      <c r="W21" s="14" t="inlineStr">
        <is>
          <t>Nível 1</t>
        </is>
      </c>
      <c r="X21" s="15" t="n">
        <v>1893464</v>
      </c>
      <c r="Y21" s="15" t="n">
        <v>1640213</v>
      </c>
      <c r="Z21" s="15" t="n">
        <v>1654000</v>
      </c>
      <c r="AA21" s="13" t="n">
        <v>40817</v>
      </c>
      <c r="AB21" s="14" t="inlineStr">
        <is>
          <t>Nível 1 - Em andamento</t>
        </is>
      </c>
      <c r="AC21" s="13" t="inlineStr">
        <is>
          <t>Concluída</t>
        </is>
      </c>
      <c r="AD21" s="13" t="n">
        <v>45278.73611111111</v>
      </c>
      <c r="AE21" s="15">
        <f t="array" ref="AE21">IFERROR([2]!CalculateINPC(AD21,[1]DT_BASE!$C$3,-1)*AC21,0)</f>
        <v/>
      </c>
      <c r="AF21" s="33" t="inlineStr">
        <is>
          <t>Vendido</t>
        </is>
      </c>
      <c r="AG21" s="33" t="inlineStr">
        <is>
          <t>Vendido (Integrada)</t>
        </is>
      </c>
      <c r="AH21" s="33" t="n"/>
      <c r="AJ21" s="48" t="inlineStr">
        <is>
          <t>EXPROPRIAÇÃO</t>
        </is>
      </c>
      <c r="AK21" s="48" t="n">
        <v>1654000</v>
      </c>
      <c r="AL21" t="inlineStr">
        <is>
          <t>Cooperativa INTEGRADA</t>
        </is>
      </c>
    </row>
    <row r="22">
      <c r="A22" s="10" t="inlineStr">
        <is>
          <t>BTG/Enforce</t>
        </is>
      </c>
      <c r="B22" s="11" t="n">
        <v>25766</v>
      </c>
      <c r="C22" s="11" t="n">
        <v>20496</v>
      </c>
      <c r="D22" s="11" t="inlineStr">
        <is>
          <t>Urbano</t>
        </is>
      </c>
      <c r="E22" s="10" t="inlineStr">
        <is>
          <t>Galpão</t>
        </is>
      </c>
      <c r="F22" s="10" t="inlineStr">
        <is>
          <t>Itaberá</t>
        </is>
      </c>
      <c r="G22" s="10" t="inlineStr">
        <is>
          <t>SP</t>
        </is>
      </c>
      <c r="H22" s="12" t="n">
        <v>348520</v>
      </c>
      <c r="I22" s="12" t="n">
        <v>464693</v>
      </c>
      <c r="J22" s="14" t="inlineStr">
        <is>
          <t>Não Localizado</t>
        </is>
      </c>
      <c r="K22" s="15" t="n">
        <v>0</v>
      </c>
      <c r="L22" s="14" t="n">
        <v>0</v>
      </c>
      <c r="M22" s="14" t="inlineStr">
        <is>
          <t>Itapeva</t>
        </is>
      </c>
      <c r="N22" s="14" t="inlineStr">
        <is>
          <t>Imóvel Rural</t>
        </is>
      </c>
      <c r="O22" s="14" t="inlineStr">
        <is>
          <t>Fazenda</t>
        </is>
      </c>
      <c r="P22" s="15" t="n">
        <v>0</v>
      </c>
      <c r="Q22" s="15" t="n">
        <v>0</v>
      </c>
      <c r="R22" s="15" t="n">
        <v>0</v>
      </c>
      <c r="S22" s="15" t="inlineStr">
        <is>
          <t>Não encontrada</t>
        </is>
      </c>
      <c r="T22" s="15" t="n">
        <v>1537000</v>
      </c>
      <c r="U22" s="15" t="inlineStr">
        <is>
          <t>-</t>
        </is>
      </c>
      <c r="V22" s="15" t="inlineStr">
        <is>
          <t>-</t>
        </is>
      </c>
      <c r="W22" s="14" t="inlineStr">
        <is>
          <t>Laudo Lideratu</t>
        </is>
      </c>
      <c r="X22" s="15" t="n">
        <v>1537000</v>
      </c>
      <c r="Y22" s="15" t="n">
        <v>1537000</v>
      </c>
      <c r="Z22" s="15" t="n">
        <v>1740000</v>
      </c>
      <c r="AA22" s="13" t="n">
        <v>40969</v>
      </c>
      <c r="AB22" s="14" t="inlineStr">
        <is>
          <t>Discussão Matrícula - vl baixo</t>
        </is>
      </c>
      <c r="AC22" s="13" t="inlineStr">
        <is>
          <t>Concluída</t>
        </is>
      </c>
      <c r="AD22" s="13" t="n">
        <v>45120.46319444444</v>
      </c>
      <c r="AE22" s="15">
        <f t="array" ref="AE22">IFERROR([2]!CalculateINPC(AD22,[1]DT_BASE!$C$3,-1)*AC22,0)</f>
        <v/>
      </c>
      <c r="AF22" s="31" t="inlineStr">
        <is>
          <t>Proposta em Negociação</t>
        </is>
      </c>
      <c r="AG22" s="31" t="inlineStr">
        <is>
          <t>Proposta em negociação - tabela de GI</t>
        </is>
      </c>
      <c r="AH22" s="51" t="n">
        <v>2500000</v>
      </c>
      <c r="AI22" s="48" t="n">
        <v>2200000</v>
      </c>
      <c r="AL22" t="inlineStr">
        <is>
          <t>Investidor local e comodatário</t>
        </is>
      </c>
      <c r="AM22" s="45" t="n">
        <v>46087</v>
      </c>
    </row>
    <row r="23">
      <c r="A23" s="10" t="inlineStr">
        <is>
          <t>BTG/Enforce</t>
        </is>
      </c>
      <c r="B23" s="11" t="n">
        <v>2053</v>
      </c>
      <c r="C23" s="11" t="inlineStr">
        <is>
          <t>2053/9218</t>
        </is>
      </c>
      <c r="D23" s="11" t="inlineStr">
        <is>
          <t>Urbano</t>
        </is>
      </c>
      <c r="E23" s="10" t="inlineStr">
        <is>
          <t>Galpão industrial</t>
        </is>
      </c>
      <c r="F23" s="10" t="inlineStr">
        <is>
          <t>Curitibanos</t>
        </is>
      </c>
      <c r="G23" s="10" t="inlineStr">
        <is>
          <t>SC</t>
        </is>
      </c>
      <c r="H23" s="12" t="n">
        <v>1411200</v>
      </c>
      <c r="I23" s="12" t="n">
        <v>2016000</v>
      </c>
      <c r="J23" s="14" t="inlineStr">
        <is>
          <t>Localizado</t>
        </is>
      </c>
      <c r="K23" s="15" t="n">
        <v>10000</v>
      </c>
      <c r="L23" s="14" t="inlineStr">
        <is>
          <t>m2</t>
        </is>
      </c>
      <c r="M23" s="14" t="inlineStr">
        <is>
          <t>Curitibanos</t>
        </is>
      </c>
      <c r="N23" s="14" t="inlineStr">
        <is>
          <t>Imóvel Urbano</t>
        </is>
      </c>
      <c r="O23" s="14" t="inlineStr">
        <is>
          <t>Galpão em zona urbana</t>
        </is>
      </c>
      <c r="P23" s="15" t="n">
        <v>1411200</v>
      </c>
      <c r="Q23" s="15" t="n">
        <v>1411200</v>
      </c>
      <c r="R23" s="15" t="n">
        <v>0</v>
      </c>
      <c r="S23" s="15" t="n">
        <v>3910000</v>
      </c>
      <c r="T23" s="15" t="n"/>
      <c r="U23" s="15">
        <f>VLOOKUP(B23,'[1]Listagem Imobiliária'!$A$121:$D$177,2,0)</f>
        <v/>
      </c>
      <c r="V23" s="15">
        <f>VLOOKUP(B23,'[1]Listagem Imobiliária'!$A$121:$D$177,4,0)</f>
        <v/>
      </c>
      <c r="W23" s="14" t="inlineStr">
        <is>
          <t>Nível 1</t>
        </is>
      </c>
      <c r="X23" s="15" t="n">
        <v>1411200</v>
      </c>
      <c r="Y23" s="15" t="n">
        <v>1411200</v>
      </c>
      <c r="Z23" s="15" t="n">
        <v>4340000</v>
      </c>
      <c r="AA23" s="13" t="n">
        <v>41456</v>
      </c>
      <c r="AB23" s="13" t="inlineStr">
        <is>
          <t>Em andamento</t>
        </is>
      </c>
      <c r="AC23" s="13" t="inlineStr">
        <is>
          <t>Concluída</t>
        </is>
      </c>
      <c r="AD23" s="13" t="n">
        <v>45265.59791666667</v>
      </c>
      <c r="AE23" s="15">
        <f t="array" ref="AE23">IFERROR([2]!CalculateINPC(AD23,[1]DT_BASE!$C$3,-1)*AC23,0)</f>
        <v/>
      </c>
      <c r="AF23" s="30" t="inlineStr">
        <is>
          <t>Não Vendido</t>
        </is>
      </c>
      <c r="AG23" s="30" t="inlineStr">
        <is>
          <t>Proposta em negociação - tabela de GI</t>
        </is>
      </c>
      <c r="AH23" s="52" t="n">
        <v>10500000</v>
      </c>
      <c r="AI23" s="48" t="n">
        <v>4000000</v>
      </c>
      <c r="AM23" t="inlineStr">
        <is>
          <t>AGUARDANDO DEFINIÇÃO QUANTO AO PAGAMENTO DAS DÍVIDAS DA CAC</t>
        </is>
      </c>
    </row>
    <row r="24">
      <c r="A24" s="10" t="inlineStr">
        <is>
          <t>BTG/Enforce</t>
        </is>
      </c>
      <c r="B24" s="11" t="n">
        <v>11142</v>
      </c>
      <c r="C24" s="11" t="n">
        <v>11142</v>
      </c>
      <c r="D24" s="11" t="inlineStr">
        <is>
          <t>Urbano</t>
        </is>
      </c>
      <c r="E24" s="10" t="inlineStr">
        <is>
          <t>Terreno</t>
        </is>
      </c>
      <c r="F24" s="10" t="inlineStr">
        <is>
          <t>Piedade</t>
        </is>
      </c>
      <c r="G24" s="10" t="inlineStr">
        <is>
          <t>SP</t>
        </is>
      </c>
      <c r="H24" s="12" t="n">
        <v>1138106</v>
      </c>
      <c r="I24" s="12" t="n">
        <v>1517475</v>
      </c>
      <c r="J24" s="14" t="inlineStr">
        <is>
          <t>Parcialmente Localizado</t>
        </is>
      </c>
      <c r="K24" s="15" t="n">
        <v>1048</v>
      </c>
      <c r="L24" s="14" t="inlineStr">
        <is>
          <t>m2</t>
        </is>
      </c>
      <c r="M24" s="14" t="inlineStr">
        <is>
          <t>Piedade</t>
        </is>
      </c>
      <c r="N24" s="14" t="inlineStr">
        <is>
          <t>Imóvel Urbano</t>
        </is>
      </c>
      <c r="O24" s="14" t="inlineStr">
        <is>
          <t>Terreno urbano</t>
        </is>
      </c>
      <c r="P24" s="15" t="n">
        <v>1517475</v>
      </c>
      <c r="Q24" s="15" t="n">
        <v>1138106</v>
      </c>
      <c r="R24" s="15" t="n">
        <v>0</v>
      </c>
      <c r="S24" s="15" t="n">
        <v>1303000</v>
      </c>
      <c r="T24" s="15" t="n">
        <v>1303000</v>
      </c>
      <c r="U24" s="15">
        <f>VLOOKUP(B24,'[1]Listagem Imobiliária'!$A$121:$D$177,2,0)</f>
        <v/>
      </c>
      <c r="V24" s="15">
        <f>VLOOKUP(B24,'[1]Listagem Imobiliária'!$A$121:$D$177,4,0)</f>
        <v/>
      </c>
      <c r="W24" s="14" t="inlineStr">
        <is>
          <t>Nível 0</t>
        </is>
      </c>
      <c r="X24" s="15" t="n">
        <v>1517475</v>
      </c>
      <c r="Y24" s="15" t="n">
        <v>1138106</v>
      </c>
      <c r="Z24" s="15" t="n">
        <v>2640000</v>
      </c>
      <c r="AA24" s="13" t="n">
        <v>40909</v>
      </c>
      <c r="AB24" s="14" t="inlineStr">
        <is>
          <t>Diligência in loco</t>
        </is>
      </c>
      <c r="AC24" s="13" t="inlineStr">
        <is>
          <t>Concluída</t>
        </is>
      </c>
      <c r="AD24" s="13" t="n">
        <v>45261.68194444444</v>
      </c>
      <c r="AE24" s="15">
        <f t="array" ref="AE24">IFERROR([2]!CalculateINPC(AD24,[1]DT_BASE!$C$3,-1)*AC24,0)</f>
        <v/>
      </c>
      <c r="AF24" s="30" t="inlineStr">
        <is>
          <t>Não Vendido</t>
        </is>
      </c>
      <c r="AG24" s="30" t="inlineStr">
        <is>
          <t>-</t>
        </is>
      </c>
      <c r="AH24" s="30" t="inlineStr">
        <is>
          <t>NÃO LIBERADO</t>
        </is>
      </c>
      <c r="AM24" s="45" t="n">
        <v>46192</v>
      </c>
    </row>
    <row r="25">
      <c r="A25" s="10" t="inlineStr">
        <is>
          <t>BTG/Enforce</t>
        </is>
      </c>
      <c r="B25" s="11" t="n">
        <v>4379</v>
      </c>
      <c r="C25" s="11" t="n">
        <v>4379</v>
      </c>
      <c r="D25" s="11" t="inlineStr">
        <is>
          <t>Urbano</t>
        </is>
      </c>
      <c r="E25" s="10" t="inlineStr">
        <is>
          <t>Galpão</t>
        </is>
      </c>
      <c r="F25" s="10" t="inlineStr">
        <is>
          <t>Santo Anastácio</t>
        </is>
      </c>
      <c r="G25" s="10" t="inlineStr">
        <is>
          <t>SP</t>
        </is>
      </c>
      <c r="H25" s="12" t="n">
        <v>709340</v>
      </c>
      <c r="I25" s="12" t="n">
        <v>1013342</v>
      </c>
      <c r="J25" s="14" t="inlineStr">
        <is>
          <t>Localizado</t>
        </is>
      </c>
      <c r="K25" s="15" t="n">
        <v>3371.4</v>
      </c>
      <c r="L25" s="14" t="inlineStr">
        <is>
          <t>m2</t>
        </is>
      </c>
      <c r="M25" s="14" t="inlineStr">
        <is>
          <t>Santo Anastácio</t>
        </is>
      </c>
      <c r="N25" s="14" t="inlineStr">
        <is>
          <t>Imóvel Urbano</t>
        </is>
      </c>
      <c r="O25" s="14" t="inlineStr">
        <is>
          <t>Loja de rua</t>
        </is>
      </c>
      <c r="P25" s="15" t="n">
        <v>1013342</v>
      </c>
      <c r="Q25" s="15" t="n">
        <v>709340</v>
      </c>
      <c r="R25" s="15" t="n">
        <v>0</v>
      </c>
      <c r="S25" s="15" t="n">
        <v>1945000</v>
      </c>
      <c r="T25" s="15" t="n">
        <v>1945000</v>
      </c>
      <c r="U25" s="15">
        <f>VLOOKUP(B25,'[1]Listagem Imobiliária'!$A$121:$D$177,2,0)</f>
        <v/>
      </c>
      <c r="V25" s="15">
        <f>VLOOKUP(B25,'[1]Listagem Imobiliária'!$A$121:$D$177,4,0)</f>
        <v/>
      </c>
      <c r="W25" s="14" t="inlineStr">
        <is>
          <t>Nível 1</t>
        </is>
      </c>
      <c r="X25" s="15" t="n">
        <v>1013342</v>
      </c>
      <c r="Y25" s="15" t="n">
        <v>709340</v>
      </c>
      <c r="Z25" s="15" t="n">
        <v>1424000</v>
      </c>
      <c r="AA25" s="13" t="n">
        <v>41306</v>
      </c>
      <c r="AB25" s="13" t="inlineStr">
        <is>
          <t>Em andamento</t>
        </is>
      </c>
      <c r="AC25" s="13" t="inlineStr">
        <is>
          <t>Concluída</t>
        </is>
      </c>
      <c r="AD25" s="13" t="n">
        <v>45261.68402777778</v>
      </c>
      <c r="AE25" s="15">
        <f t="array" ref="AE25">IFERROR([2]!CalculateINPC(AD25,[1]DT_BASE!$C$3,-1)*AC25,0)</f>
        <v/>
      </c>
      <c r="AF25" s="30" t="inlineStr">
        <is>
          <t>Não Vendido</t>
        </is>
      </c>
      <c r="AG25" s="30" t="inlineStr">
        <is>
          <t>-</t>
        </is>
      </c>
      <c r="AH25" s="52" t="n">
        <v>1600000</v>
      </c>
      <c r="AJ25" s="48" t="inlineStr">
        <is>
          <t>EXPROPRIAÇÃO</t>
        </is>
      </c>
      <c r="AK25" s="48" t="n">
        <v>1424000</v>
      </c>
    </row>
    <row r="26">
      <c r="A26" s="10" t="inlineStr">
        <is>
          <t>BTG/Enforce</t>
        </is>
      </c>
      <c r="B26" s="11" t="n">
        <v>579</v>
      </c>
      <c r="C26" s="11" t="n">
        <v>579</v>
      </c>
      <c r="D26" s="11" t="inlineStr">
        <is>
          <t>Rural</t>
        </is>
      </c>
      <c r="E26" s="10" t="inlineStr">
        <is>
          <t>Galpão</t>
        </is>
      </c>
      <c r="F26" s="10" t="inlineStr">
        <is>
          <t>Estrela do Sul</t>
        </is>
      </c>
      <c r="G26" s="10" t="inlineStr">
        <is>
          <t>MG</t>
        </is>
      </c>
      <c r="H26" s="12" t="n">
        <v>456947</v>
      </c>
      <c r="I26" s="12" t="n">
        <v>527500</v>
      </c>
      <c r="J26" s="14" t="inlineStr">
        <is>
          <t>Localizado</t>
        </is>
      </c>
      <c r="K26" s="15" t="n">
        <v>5.1</v>
      </c>
      <c r="L26" s="14" t="inlineStr">
        <is>
          <t>ha</t>
        </is>
      </c>
      <c r="M26" s="14" t="inlineStr">
        <is>
          <t>Estrela do Sul</t>
        </is>
      </c>
      <c r="N26" s="14" t="inlineStr">
        <is>
          <t>Imóvel Rural</t>
        </is>
      </c>
      <c r="O26" s="14" t="inlineStr">
        <is>
          <t>Agroindústria em zona rural</t>
        </is>
      </c>
      <c r="P26" s="15" t="n">
        <v>527500</v>
      </c>
      <c r="Q26" s="15" t="n">
        <v>456947</v>
      </c>
      <c r="R26" s="15" t="n">
        <v>0</v>
      </c>
      <c r="S26" s="15" t="n">
        <v>2726000</v>
      </c>
      <c r="T26" s="15" t="n">
        <v>2726000</v>
      </c>
      <c r="U26" s="15">
        <f>VLOOKUP(B26,'[1]Listagem Imobiliária'!$A$121:$D$177,2,0)</f>
        <v/>
      </c>
      <c r="V26" s="15">
        <f>VLOOKUP(B26,'[1]Listagem Imobiliária'!$A$121:$D$177,4,0)</f>
        <v/>
      </c>
      <c r="W26" s="14" t="inlineStr">
        <is>
          <t>Nível 1</t>
        </is>
      </c>
      <c r="X26" s="15" t="n">
        <v>527500</v>
      </c>
      <c r="Y26" s="15" t="n">
        <v>456947</v>
      </c>
      <c r="Z26" s="15" t="n">
        <v>617000</v>
      </c>
      <c r="AA26" s="13" t="n">
        <v>39753</v>
      </c>
      <c r="AB26" s="14" t="inlineStr">
        <is>
          <t>Nível 1 - Em andamento</t>
        </is>
      </c>
      <c r="AC26" s="13" t="inlineStr">
        <is>
          <t>Concluída</t>
        </is>
      </c>
      <c r="AD26" s="13" t="n">
        <v>45275.72638888889</v>
      </c>
      <c r="AE26" s="15">
        <f t="array" ref="AE26">IFERROR([2]!CalculateINPC(AD26,[1]DT_BASE!$C$3,-1)*AC26,0)</f>
        <v/>
      </c>
      <c r="AF26" s="33" t="inlineStr">
        <is>
          <t>Vendido</t>
        </is>
      </c>
      <c r="AG26" s="33" t="inlineStr">
        <is>
          <t>Vendido</t>
        </is>
      </c>
      <c r="AH26" s="33" t="n"/>
      <c r="AI26" s="48" t="n">
        <v>900000</v>
      </c>
      <c r="AJ26" s="48" t="inlineStr">
        <is>
          <t>EXPROPRIAÇÃO</t>
        </is>
      </c>
      <c r="AK26" s="48" t="n">
        <v>617000</v>
      </c>
      <c r="AL26" t="inlineStr">
        <is>
          <t>Eucamed</t>
        </is>
      </c>
    </row>
    <row r="27">
      <c r="A27" s="10" t="inlineStr">
        <is>
          <t>BTG/Enforce</t>
        </is>
      </c>
      <c r="B27" s="11" t="n">
        <v>1453</v>
      </c>
      <c r="C27" s="11" t="n">
        <v>1453</v>
      </c>
      <c r="D27" s="11" t="inlineStr">
        <is>
          <t>Urbano</t>
        </is>
      </c>
      <c r="E27" s="10" t="inlineStr">
        <is>
          <t>Galpão</t>
        </is>
      </c>
      <c r="F27" s="10" t="inlineStr">
        <is>
          <t>São Joaquim</t>
        </is>
      </c>
      <c r="G27" s="10" t="inlineStr">
        <is>
          <t>SC</t>
        </is>
      </c>
      <c r="H27" s="12" t="n">
        <v>430072</v>
      </c>
      <c r="I27" s="12" t="n">
        <v>2558432</v>
      </c>
      <c r="J27" s="14" t="inlineStr">
        <is>
          <t>Localizado</t>
        </is>
      </c>
      <c r="K27" s="15" t="n">
        <v>0</v>
      </c>
      <c r="L27" s="14" t="inlineStr">
        <is>
          <t>ha</t>
        </is>
      </c>
      <c r="M27" s="14" t="inlineStr">
        <is>
          <t>São Joaquim</t>
        </is>
      </c>
      <c r="N27" s="14" t="inlineStr">
        <is>
          <t>Imóvel Urbano</t>
        </is>
      </c>
      <c r="O27" s="14" t="inlineStr">
        <is>
          <t>Agroindústria em zona urbana</t>
        </is>
      </c>
      <c r="P27" s="15" t="n">
        <v>2558432</v>
      </c>
      <c r="Q27" s="15" t="n">
        <v>430072</v>
      </c>
      <c r="R27" s="15" t="n">
        <v>0</v>
      </c>
      <c r="S27" s="15" t="n">
        <v>16766000</v>
      </c>
      <c r="T27" s="15" t="n">
        <v>16766000</v>
      </c>
      <c r="U27" s="15">
        <f>VLOOKUP(B27,'[1]Listagem Imobiliária'!$A$121:$D$177,2,0)</f>
        <v/>
      </c>
      <c r="V27" s="15">
        <f>VLOOKUP(B27,'[1]Listagem Imobiliária'!$A$121:$D$177,4,0)</f>
        <v/>
      </c>
      <c r="W27" s="14" t="inlineStr">
        <is>
          <t>Nível 1</t>
        </is>
      </c>
      <c r="X27" s="15" t="n">
        <v>2558432</v>
      </c>
      <c r="Y27" s="15" t="n">
        <v>430072</v>
      </c>
      <c r="Z27" s="15" t="n">
        <v>9520000</v>
      </c>
      <c r="AA27" s="13" t="n">
        <v>41487</v>
      </c>
      <c r="AB27" s="13" t="inlineStr">
        <is>
          <t>Em andamento</t>
        </is>
      </c>
      <c r="AC27" s="13" t="inlineStr">
        <is>
          <t>Concluída</t>
        </is>
      </c>
      <c r="AD27" s="13" t="n">
        <v>45278.56666666667</v>
      </c>
      <c r="AE27" s="15">
        <f t="array" ref="AE27">IFERROR([2]!CalculateINPC(AD27,[1]DT_BASE!$C$3,-1)*AC27,0)</f>
        <v/>
      </c>
      <c r="AF27" s="31" t="inlineStr">
        <is>
          <t>Proposta em Negociação</t>
        </is>
      </c>
      <c r="AG27" s="31" t="inlineStr">
        <is>
          <t>Proposta em negociação - tabela de GI</t>
        </is>
      </c>
      <c r="AH27" s="32" t="n">
        <v>12000000</v>
      </c>
      <c r="AI27" s="48" t="n">
        <v>8000000</v>
      </c>
      <c r="AJ27" s="48" t="inlineStr">
        <is>
          <t>EXPROPRIAÇÃO</t>
        </is>
      </c>
      <c r="AK27" s="48" t="n">
        <v>9520000</v>
      </c>
      <c r="AL27" s="44" t="inlineStr">
        <is>
          <t>Cooperativa INTEGRADA</t>
        </is>
      </c>
    </row>
    <row r="28">
      <c r="A28" s="10" t="inlineStr">
        <is>
          <t>BTG/Enforce</t>
        </is>
      </c>
      <c r="B28" s="11" t="n">
        <v>2629</v>
      </c>
      <c r="C28" s="11" t="n">
        <v>2629</v>
      </c>
      <c r="D28" s="11" t="inlineStr">
        <is>
          <t>Urbano</t>
        </is>
      </c>
      <c r="E28" s="10" t="inlineStr">
        <is>
          <t>Terreno</t>
        </is>
      </c>
      <c r="F28" s="10" t="inlineStr">
        <is>
          <t>Assaí</t>
        </is>
      </c>
      <c r="G28" s="10" t="inlineStr">
        <is>
          <t>PR</t>
        </is>
      </c>
      <c r="H28" s="12" t="n">
        <v>411641</v>
      </c>
      <c r="I28" s="12" t="n">
        <v>548855</v>
      </c>
      <c r="J28" s="14" t="inlineStr">
        <is>
          <t>Localizado</t>
        </is>
      </c>
      <c r="K28" s="15" t="n">
        <v>3717</v>
      </c>
      <c r="L28" s="14" t="inlineStr">
        <is>
          <t>m2</t>
        </is>
      </c>
      <c r="M28" s="14" t="inlineStr">
        <is>
          <t>Assaí</t>
        </is>
      </c>
      <c r="N28" s="14" t="inlineStr">
        <is>
          <t>Imóvel Urbano</t>
        </is>
      </c>
      <c r="O28" s="14" t="inlineStr">
        <is>
          <t>Galpão em zona urbana</t>
        </is>
      </c>
      <c r="P28" s="15" t="n">
        <v>548855</v>
      </c>
      <c r="Q28" s="15" t="n">
        <v>411641</v>
      </c>
      <c r="R28" s="15" t="n">
        <v>0</v>
      </c>
      <c r="S28" s="15" t="n">
        <v>680000</v>
      </c>
      <c r="T28" s="15" t="n">
        <v>680000</v>
      </c>
      <c r="U28" s="15">
        <f>VLOOKUP(B28,'[1]Listagem Imobiliária'!$A$121:$D$177,2,0)</f>
        <v/>
      </c>
      <c r="V28" s="15">
        <f>VLOOKUP(B28,'[1]Listagem Imobiliária'!$A$121:$D$177,4,0)</f>
        <v/>
      </c>
      <c r="W28" s="14" t="inlineStr">
        <is>
          <t>Nível 1</t>
        </is>
      </c>
      <c r="X28" s="15" t="n">
        <v>548855</v>
      </c>
      <c r="Y28" s="15" t="n">
        <v>411641</v>
      </c>
      <c r="Z28" s="15" t="n">
        <v>531000</v>
      </c>
      <c r="AA28" s="13" t="n">
        <v>40695</v>
      </c>
      <c r="AB28" s="13" t="inlineStr">
        <is>
          <t>Em andamento</t>
        </is>
      </c>
      <c r="AC28" s="13" t="inlineStr">
        <is>
          <t>Concluída</t>
        </is>
      </c>
      <c r="AD28" s="13" t="n">
        <v>45264.43402777778</v>
      </c>
      <c r="AE28" s="15">
        <f t="array" ref="AE28">IFERROR([2]!CalculateINPC(AD28,[1]DT_BASE!$C$3,-1)*AC28,0)</f>
        <v/>
      </c>
      <c r="AF28" s="30" t="inlineStr">
        <is>
          <t>Não Vendido</t>
        </is>
      </c>
      <c r="AG28" s="30" t="inlineStr">
        <is>
          <t>-</t>
        </is>
      </c>
      <c r="AH28" s="30" t="inlineStr">
        <is>
          <t>NÃO LIBERADO</t>
        </is>
      </c>
      <c r="AM28" s="45" t="n">
        <v>46138</v>
      </c>
    </row>
    <row r="29">
      <c r="A29" s="10" t="inlineStr">
        <is>
          <t>BTG/Enforce</t>
        </is>
      </c>
      <c r="B29" s="11" t="n">
        <v>3495</v>
      </c>
      <c r="C29" s="11" t="n">
        <v>3495</v>
      </c>
      <c r="D29" s="11" t="inlineStr">
        <is>
          <t>Rural</t>
        </is>
      </c>
      <c r="E29" s="10" t="inlineStr">
        <is>
          <t>-</t>
        </is>
      </c>
      <c r="F29" s="10" t="inlineStr">
        <is>
          <t>Tiros</t>
        </is>
      </c>
      <c r="G29" s="10" t="inlineStr">
        <is>
          <t>MG</t>
        </is>
      </c>
      <c r="H29" s="12" t="n">
        <v>0</v>
      </c>
      <c r="I29" s="12" t="n">
        <v>0</v>
      </c>
      <c r="J29" s="14" t="inlineStr">
        <is>
          <t>Parcialmente Localizado</t>
        </is>
      </c>
      <c r="K29" s="15" t="n">
        <v>687.75</v>
      </c>
      <c r="L29" s="14" t="inlineStr">
        <is>
          <t>ha</t>
        </is>
      </c>
      <c r="M29" s="14" t="inlineStr">
        <is>
          <t>Tiros</t>
        </is>
      </c>
      <c r="N29" s="14" t="inlineStr">
        <is>
          <t>Imóvel Rural</t>
        </is>
      </c>
      <c r="O29" s="14" t="inlineStr">
        <is>
          <t>Fazenda</t>
        </is>
      </c>
      <c r="P29" s="15" t="n">
        <v>10466757.01</v>
      </c>
      <c r="Q29" s="15" t="n">
        <v>7850067.76</v>
      </c>
      <c r="R29" s="15" t="n">
        <v>7405724.3</v>
      </c>
      <c r="S29" s="15" t="n">
        <v>4624596.2</v>
      </c>
      <c r="T29" s="15" t="inlineStr">
        <is>
          <t>-</t>
        </is>
      </c>
      <c r="U29" s="15" t="inlineStr">
        <is>
          <t>-</t>
        </is>
      </c>
      <c r="V29" s="15" t="inlineStr">
        <is>
          <t>-</t>
        </is>
      </c>
      <c r="W29" s="14" t="inlineStr">
        <is>
          <t>Laudo Jud./3</t>
        </is>
      </c>
      <c r="X29" s="15" t="n">
        <v>332540.4533333333</v>
      </c>
      <c r="Y29" s="15" t="n">
        <v>332540.4533333333</v>
      </c>
      <c r="Z29" s="15" t="n">
        <v>400000</v>
      </c>
      <c r="AA29" s="13" t="n">
        <v>39846</v>
      </c>
      <c r="AB29" s="14" t="inlineStr">
        <is>
          <t>Diligência in loco</t>
        </is>
      </c>
      <c r="AC29" s="13" t="inlineStr">
        <is>
          <t>Concluída</t>
        </is>
      </c>
      <c r="AD29" s="13" t="n">
        <v>45712.72916666666</v>
      </c>
      <c r="AE29" s="15">
        <f t="array" ref="AE29">IFERROR([2]!CalculateINPC(AD29,[1]DT_BASE!$C$3,-1)*AC29,0)</f>
        <v/>
      </c>
      <c r="AF29" s="30" t="inlineStr">
        <is>
          <t>Não Vendido</t>
        </is>
      </c>
      <c r="AG29" s="30" t="inlineStr">
        <is>
          <t>Sem proposta</t>
        </is>
      </c>
      <c r="AH29" s="30" t="n"/>
      <c r="AM29" s="45" t="n">
        <v>46107</v>
      </c>
    </row>
    <row r="30">
      <c r="A30" s="10" t="inlineStr">
        <is>
          <t>BTG/Enforce</t>
        </is>
      </c>
      <c r="B30" s="11" t="n">
        <v>7632</v>
      </c>
      <c r="C30" s="11" t="n">
        <v>7632</v>
      </c>
      <c r="D30" s="11" t="inlineStr">
        <is>
          <t>Urbano</t>
        </is>
      </c>
      <c r="E30" s="10" t="inlineStr">
        <is>
          <t xml:space="preserve">Gleba </t>
        </is>
      </c>
      <c r="F30" s="10" t="inlineStr">
        <is>
          <t>Assaí</t>
        </is>
      </c>
      <c r="G30" s="10" t="inlineStr">
        <is>
          <t>PR</t>
        </is>
      </c>
      <c r="H30" s="12" t="n">
        <v>316814</v>
      </c>
      <c r="I30" s="12" t="n">
        <v>316814</v>
      </c>
      <c r="J30" s="14" t="inlineStr">
        <is>
          <t>Localizado</t>
        </is>
      </c>
      <c r="K30" s="15" t="n">
        <v>115610</v>
      </c>
      <c r="L30" s="14" t="inlineStr">
        <is>
          <t>m2</t>
        </is>
      </c>
      <c r="M30" s="14" t="inlineStr">
        <is>
          <t>Assaí</t>
        </is>
      </c>
      <c r="N30" s="14" t="inlineStr">
        <is>
          <t>Imóvel Urbano</t>
        </is>
      </c>
      <c r="O30" s="14" t="inlineStr">
        <is>
          <t>Gleba urbana</t>
        </is>
      </c>
      <c r="P30" s="15" t="n">
        <v>316814</v>
      </c>
      <c r="Q30" s="15" t="n">
        <v>316814</v>
      </c>
      <c r="R30" s="15" t="n">
        <v>0</v>
      </c>
      <c r="S30" s="15" t="n">
        <v>1112000</v>
      </c>
      <c r="T30" s="15" t="n"/>
      <c r="U30" s="15">
        <f>VLOOKUP(B30,'[1]Listagem Imobiliária'!$A$121:$D$177,2,0)</f>
        <v/>
      </c>
      <c r="V30" s="15">
        <f>VLOOKUP(B30,'[1]Listagem Imobiliária'!$A$121:$D$177,4,0)</f>
        <v/>
      </c>
      <c r="W30" s="14" t="inlineStr">
        <is>
          <t>Nível 1</t>
        </is>
      </c>
      <c r="X30" s="15" t="n">
        <v>316814</v>
      </c>
      <c r="Y30" s="15" t="n">
        <v>316814</v>
      </c>
      <c r="Z30" s="15" t="n">
        <v>335186.42</v>
      </c>
      <c r="AA30" s="13" t="n">
        <v>40695</v>
      </c>
      <c r="AB30" s="13" t="inlineStr">
        <is>
          <t>Em andamento</t>
        </is>
      </c>
      <c r="AC30" s="13" t="inlineStr">
        <is>
          <t>Concluída</t>
        </is>
      </c>
      <c r="AD30" s="13" t="n">
        <v>45264.43819444445</v>
      </c>
      <c r="AE30" s="15">
        <f t="array" ref="AE30">IFERROR([2]!CalculateINPC(AD30,[1]DT_BASE!$C$3,-1)*AC30,0)</f>
        <v/>
      </c>
      <c r="AF30" s="30" t="inlineStr">
        <is>
          <t>Não Vendido</t>
        </is>
      </c>
      <c r="AG30" s="30" t="inlineStr">
        <is>
          <t>-</t>
        </is>
      </c>
      <c r="AH30" s="30" t="inlineStr">
        <is>
          <t>NÃO LIBERADO</t>
        </is>
      </c>
      <c r="AM30" s="47" t="inlineStr">
        <is>
          <t>25/05/2026</t>
        </is>
      </c>
    </row>
    <row r="31">
      <c r="A31" s="10" t="inlineStr">
        <is>
          <t>BTG/Enforce</t>
        </is>
      </c>
      <c r="B31" s="11" t="inlineStr">
        <is>
          <t>8701 (6%)</t>
        </is>
      </c>
      <c r="C31" s="11" t="n">
        <v>8701</v>
      </c>
      <c r="D31" s="11" t="inlineStr">
        <is>
          <t>Rural</t>
        </is>
      </c>
      <c r="E31" s="10" t="inlineStr">
        <is>
          <t xml:space="preserve">Gleba </t>
        </is>
      </c>
      <c r="F31" s="10" t="inlineStr">
        <is>
          <t>Guaira</t>
        </is>
      </c>
      <c r="G31" s="10" t="inlineStr">
        <is>
          <t>PR</t>
        </is>
      </c>
      <c r="H31" s="12" t="n">
        <v>3689957</v>
      </c>
      <c r="I31" s="12" t="n">
        <v>6910057</v>
      </c>
      <c r="J31" s="14" t="inlineStr">
        <is>
          <t>Localizado</t>
        </is>
      </c>
      <c r="K31" s="15" t="n">
        <v>55.66</v>
      </c>
      <c r="L31" s="14" t="inlineStr">
        <is>
          <t>ha</t>
        </is>
      </c>
      <c r="M31" s="14" t="inlineStr">
        <is>
          <t>Guaíra</t>
        </is>
      </c>
      <c r="N31" s="14" t="inlineStr">
        <is>
          <t>Imóvel Rural</t>
        </is>
      </c>
      <c r="O31" s="14" t="inlineStr">
        <is>
          <t>Fazenda</t>
        </is>
      </c>
      <c r="P31" s="15" t="n">
        <v>6528837.26</v>
      </c>
      <c r="Q31" s="15" t="n">
        <v>5557672.72</v>
      </c>
      <c r="R31" s="15" t="n">
        <v>5243087.47</v>
      </c>
      <c r="S31" s="15" t="n">
        <v>8994000</v>
      </c>
      <c r="T31" s="15" t="n"/>
      <c r="U31" s="15">
        <f>VLOOKUP(B31,'[1]Listagem Imobiliária'!$A$121:$D$177,2,0)</f>
        <v/>
      </c>
      <c r="V31" s="15">
        <f>VLOOKUP(B31,'[1]Listagem Imobiliária'!$A$121:$D$177,4,0)</f>
        <v/>
      </c>
      <c r="W31" s="14" t="inlineStr">
        <is>
          <t>Nível 1</t>
        </is>
      </c>
      <c r="X31" s="15" t="n">
        <v>391730.2356</v>
      </c>
      <c r="Y31" s="15" t="n">
        <v>314585.2482</v>
      </c>
      <c r="Z31" s="15" t="n">
        <v>40000000</v>
      </c>
      <c r="AA31" s="13" t="n">
        <v>34030</v>
      </c>
      <c r="AB31" s="13" t="n">
        <v>2025</v>
      </c>
      <c r="AC31" s="13" t="inlineStr">
        <is>
          <t>Concluída</t>
        </is>
      </c>
      <c r="AD31" s="13" t="n">
        <v>45764.68402777778</v>
      </c>
      <c r="AE31" s="16">
        <f t="array" ref="AE31">IFERROR([2]!CalculateINPC(AD31,[1]DT_BASE!$C$3,-1)*AC31,0)/2750000</f>
        <v/>
      </c>
      <c r="AF31" s="30" t="inlineStr">
        <is>
          <t>Não Vendido</t>
        </is>
      </c>
      <c r="AG31" s="30" t="inlineStr">
        <is>
          <t>Aguardando formalização</t>
        </is>
      </c>
      <c r="AH31" s="30" t="n"/>
      <c r="AI31" s="48" t="n">
        <v>350000</v>
      </c>
      <c r="AM31" s="47" t="inlineStr">
        <is>
          <t>19/03/2026</t>
        </is>
      </c>
    </row>
    <row r="32">
      <c r="A32" s="10" t="inlineStr">
        <is>
          <t>BTG/Enforce</t>
        </is>
      </c>
      <c r="B32" s="11" t="n">
        <v>3222</v>
      </c>
      <c r="C32" s="11" t="n">
        <v>3222</v>
      </c>
      <c r="D32" s="11" t="inlineStr">
        <is>
          <t>Urbano</t>
        </is>
      </c>
      <c r="E32" s="10" t="inlineStr">
        <is>
          <t>Chácara Urbana</t>
        </is>
      </c>
      <c r="F32" s="10" t="inlineStr">
        <is>
          <t>Assaí</t>
        </is>
      </c>
      <c r="G32" s="10" t="inlineStr">
        <is>
          <t>PR</t>
        </is>
      </c>
      <c r="H32" s="12" t="n">
        <v>303218</v>
      </c>
      <c r="I32" s="12" t="n">
        <v>404291</v>
      </c>
      <c r="J32" s="14" t="inlineStr">
        <is>
          <t>Localizado</t>
        </is>
      </c>
      <c r="K32" s="15" t="n">
        <v>7006</v>
      </c>
      <c r="L32" s="14" t="inlineStr">
        <is>
          <t>ha</t>
        </is>
      </c>
      <c r="M32" s="14" t="inlineStr">
        <is>
          <t>Assaí</t>
        </is>
      </c>
      <c r="N32" s="14" t="inlineStr">
        <is>
          <t>Imóvel Urbano</t>
        </is>
      </c>
      <c r="O32" s="14" t="inlineStr">
        <is>
          <t>Agroindústria em zona urbana</t>
        </is>
      </c>
      <c r="P32" s="15" t="n">
        <v>404291</v>
      </c>
      <c r="Q32" s="15" t="n">
        <v>303218</v>
      </c>
      <c r="R32" s="15" t="n">
        <v>0</v>
      </c>
      <c r="S32" s="15" t="n">
        <v>811000</v>
      </c>
      <c r="T32" s="15" t="n">
        <v>811000</v>
      </c>
      <c r="U32" s="15">
        <f>VLOOKUP(B32,'[1]Listagem Imobiliária'!$A$121:$D$177,2,0)</f>
        <v/>
      </c>
      <c r="V32" s="15">
        <f>VLOOKUP(B32,'[1]Listagem Imobiliária'!$A$121:$D$177,4,0)</f>
        <v/>
      </c>
      <c r="W32" s="14" t="inlineStr">
        <is>
          <t>Nível 1</t>
        </is>
      </c>
      <c r="X32" s="15" t="n">
        <v>404291</v>
      </c>
      <c r="Y32" s="15" t="n">
        <v>303218</v>
      </c>
      <c r="Z32" s="15" t="n">
        <v>522000</v>
      </c>
      <c r="AA32" s="13" t="n">
        <v>40695</v>
      </c>
      <c r="AB32" s="13" t="inlineStr">
        <is>
          <t>Em andamento</t>
        </is>
      </c>
      <c r="AC32" s="13" t="inlineStr">
        <is>
          <t>Concluída</t>
        </is>
      </c>
      <c r="AD32" s="13" t="n">
        <v>45278.64791666667</v>
      </c>
      <c r="AE32" s="15">
        <f t="array" ref="AE32">IFERROR([2]!CalculateINPC(AD32,[1]DT_BASE!$C$3,-1)*AC32,0)</f>
        <v/>
      </c>
      <c r="AF32" s="30" t="inlineStr">
        <is>
          <t>Não Vendido</t>
        </is>
      </c>
      <c r="AG32" s="30" t="inlineStr">
        <is>
          <t>Proposta em negociação - tabela de GI</t>
        </is>
      </c>
      <c r="AH32" s="52" t="n">
        <v>1980000</v>
      </c>
      <c r="AI32" s="48" t="n">
        <v>1500000</v>
      </c>
      <c r="AM32" s="47" t="inlineStr">
        <is>
          <t>26/04/2026</t>
        </is>
      </c>
    </row>
    <row r="33">
      <c r="A33" s="10" t="inlineStr">
        <is>
          <t>BTG/Enforce</t>
        </is>
      </c>
      <c r="B33" s="11" t="n">
        <v>7047</v>
      </c>
      <c r="C33" s="11" t="n">
        <v>7047</v>
      </c>
      <c r="D33" s="11" t="inlineStr">
        <is>
          <t>Urbano</t>
        </is>
      </c>
      <c r="E33" s="10" t="inlineStr">
        <is>
          <t>Casa residencial</t>
        </is>
      </c>
      <c r="F33" s="10" t="inlineStr">
        <is>
          <t>Tatuí</t>
        </is>
      </c>
      <c r="G33" s="10" t="inlineStr">
        <is>
          <t>SP</t>
        </is>
      </c>
      <c r="H33" s="12" t="n">
        <v>198303</v>
      </c>
      <c r="I33" s="12" t="n">
        <v>283290</v>
      </c>
      <c r="J33" s="14" t="inlineStr">
        <is>
          <t>Localizado</t>
        </is>
      </c>
      <c r="K33" s="15" t="n">
        <v>250</v>
      </c>
      <c r="L33" s="14" t="inlineStr">
        <is>
          <t>m2</t>
        </is>
      </c>
      <c r="M33" s="14" t="inlineStr">
        <is>
          <t>Tatuí</t>
        </is>
      </c>
      <c r="N33" s="14" t="inlineStr">
        <is>
          <t>Imóvel Urbano</t>
        </is>
      </c>
      <c r="O33" s="14" t="inlineStr">
        <is>
          <t>Casa Residencial</t>
        </is>
      </c>
      <c r="P33" s="15" t="n">
        <v>283290</v>
      </c>
      <c r="Q33" s="15" t="n">
        <v>198303</v>
      </c>
      <c r="R33" s="15" t="n">
        <v>0</v>
      </c>
      <c r="S33" s="15" t="n">
        <v>290000</v>
      </c>
      <c r="T33" s="15" t="n">
        <v>290000</v>
      </c>
      <c r="U33" s="15">
        <f>VLOOKUP(B33,'[1]Listagem Imobiliária'!$A$121:$D$177,2,0)</f>
        <v/>
      </c>
      <c r="V33" s="15">
        <f>VLOOKUP(B33,'[1]Listagem Imobiliária'!$A$121:$D$177,4,0)</f>
        <v/>
      </c>
      <c r="W33" s="14" t="inlineStr">
        <is>
          <t>Nível 1</t>
        </is>
      </c>
      <c r="X33" s="15" t="n">
        <v>283290</v>
      </c>
      <c r="Y33" s="15" t="n">
        <v>198303</v>
      </c>
      <c r="Z33" s="15" t="n">
        <v>130000</v>
      </c>
      <c r="AA33" s="13" t="n">
        <v>39995</v>
      </c>
      <c r="AB33" s="13" t="inlineStr">
        <is>
          <t>Em andamento</t>
        </is>
      </c>
      <c r="AC33" s="13" t="inlineStr">
        <is>
          <t>Concluída</t>
        </is>
      </c>
      <c r="AD33" s="13" t="n">
        <v>45264.44722222222</v>
      </c>
      <c r="AE33" s="15">
        <f t="array" ref="AE33">IFERROR([2]!CalculateINPC(AD33,[1]DT_BASE!$C$3,-1)*AC33,0)</f>
        <v/>
      </c>
      <c r="AF33" s="30" t="inlineStr">
        <is>
          <t>Não Vendido</t>
        </is>
      </c>
      <c r="AG33" s="30" t="inlineStr">
        <is>
          <t>-</t>
        </is>
      </c>
      <c r="AH33" s="30" t="inlineStr">
        <is>
          <t>NÃO LIBERADO</t>
        </is>
      </c>
      <c r="AJ33" s="48" t="inlineStr">
        <is>
          <t>EXPROPRIAÇÃO</t>
        </is>
      </c>
      <c r="AK33" s="48" t="n">
        <v>130000</v>
      </c>
    </row>
    <row r="34">
      <c r="A34" s="10" t="inlineStr">
        <is>
          <t>BTG/Enforce</t>
        </is>
      </c>
      <c r="B34" s="11" t="n">
        <v>51</v>
      </c>
      <c r="C34" s="11" t="n">
        <v>51</v>
      </c>
      <c r="D34" s="11" t="inlineStr">
        <is>
          <t>Urbano</t>
        </is>
      </c>
      <c r="E34" s="10" t="inlineStr">
        <is>
          <t>Chácara Urbana</t>
        </is>
      </c>
      <c r="F34" s="10" t="inlineStr">
        <is>
          <t>São Roque</t>
        </is>
      </c>
      <c r="G34" s="10" t="inlineStr">
        <is>
          <t>SP</t>
        </is>
      </c>
      <c r="H34" s="12" t="n">
        <v>0</v>
      </c>
      <c r="I34" s="12" t="n">
        <v>0</v>
      </c>
      <c r="J34" s="14" t="inlineStr">
        <is>
          <t>Parcialmente Localizado</t>
        </is>
      </c>
      <c r="K34" s="15" t="n">
        <v>580800</v>
      </c>
      <c r="L34" s="14" t="inlineStr">
        <is>
          <t>m2</t>
        </is>
      </c>
      <c r="M34" s="14" t="inlineStr">
        <is>
          <t>São Roque</t>
        </is>
      </c>
      <c r="N34" s="14" t="inlineStr">
        <is>
          <t>Imóvel Urbano</t>
        </is>
      </c>
      <c r="O34" s="14" t="inlineStr">
        <is>
          <t>Terreno urbano</t>
        </is>
      </c>
      <c r="P34" s="15" t="n">
        <v>0</v>
      </c>
      <c r="Q34" s="15" t="n">
        <v>0</v>
      </c>
      <c r="R34" s="15" t="n">
        <v>0</v>
      </c>
      <c r="S34" s="15" t="n">
        <v>10730000</v>
      </c>
      <c r="T34" s="15" t="n">
        <v>2640000</v>
      </c>
      <c r="U34" s="15">
        <f>VLOOKUP(B34,'[1]Listagem Imobiliária'!$A$121:$D$177,2,0)</f>
        <v/>
      </c>
      <c r="V34" s="15">
        <f>VLOOKUP(B34,'[1]Listagem Imobiliária'!$A$121:$D$177,4,0)</f>
        <v/>
      </c>
      <c r="W34" s="14" t="inlineStr">
        <is>
          <t>Laudo Jud./3</t>
        </is>
      </c>
      <c r="X34" s="15" t="n">
        <v>164135.6925</v>
      </c>
      <c r="Y34" s="15" t="n">
        <v>164135.6925</v>
      </c>
      <c r="Z34" s="15">
        <f>VLOOKUP(B34,'[1]Av. Judicial'!C:P,6,0)</f>
        <v/>
      </c>
      <c r="AA34" s="13">
        <f>VLOOKUP(B34,'[1]Av. Judicial'!C:P,7,0)</f>
        <v/>
      </c>
      <c r="AB34" s="14" t="inlineStr">
        <is>
          <t>Diligência in loco - vl baixo</t>
        </is>
      </c>
      <c r="AC34" s="13" t="inlineStr">
        <is>
          <t>Concluída</t>
        </is>
      </c>
      <c r="AD34" s="13" t="n">
        <v>45264.45694444444</v>
      </c>
      <c r="AE34" s="15">
        <f t="array" ref="AE34">IFERROR([2]!CalculateINPC(AD34,[1]DT_BASE!$C$3,-1)*AC34,0)</f>
        <v/>
      </c>
      <c r="AF34" s="30" t="inlineStr">
        <is>
          <t>Não Vendido</t>
        </is>
      </c>
      <c r="AG34" s="30" t="inlineStr">
        <is>
          <t>-</t>
        </is>
      </c>
      <c r="AH34" s="30" t="inlineStr">
        <is>
          <t>NÃO LIBERADO</t>
        </is>
      </c>
      <c r="AM34" s="47" t="inlineStr">
        <is>
          <t>26/06/2026</t>
        </is>
      </c>
    </row>
    <row r="35">
      <c r="A35" s="10" t="inlineStr">
        <is>
          <t>BTG/Enforce</t>
        </is>
      </c>
      <c r="B35" s="11" t="n">
        <v>147628</v>
      </c>
      <c r="C35" s="11" t="n">
        <v>147628</v>
      </c>
      <c r="D35" s="11" t="inlineStr">
        <is>
          <t>Urbano</t>
        </is>
      </c>
      <c r="E35" s="10" t="inlineStr">
        <is>
          <t>Apartamento</t>
        </is>
      </c>
      <c r="F35" s="10" t="inlineStr">
        <is>
          <t>Rio de Janeiro</t>
        </is>
      </c>
      <c r="G35" s="10" t="inlineStr">
        <is>
          <t>RJ</t>
        </is>
      </c>
      <c r="H35" s="12" t="n">
        <v>86673</v>
      </c>
      <c r="I35" s="12" t="n">
        <v>173345</v>
      </c>
      <c r="J35" s="14" t="inlineStr">
        <is>
          <t>Localizado</t>
        </is>
      </c>
      <c r="K35" s="15" t="n">
        <v>0</v>
      </c>
      <c r="L35" s="14" t="inlineStr">
        <is>
          <t>m2</t>
        </is>
      </c>
      <c r="M35" s="14" t="inlineStr">
        <is>
          <t>Rio de Janeiro</t>
        </is>
      </c>
      <c r="N35" s="14" t="inlineStr">
        <is>
          <t>Imóvel Urbano</t>
        </is>
      </c>
      <c r="O35" s="14" t="inlineStr">
        <is>
          <t>Apartamento Padrão</t>
        </is>
      </c>
      <c r="P35" s="15" t="n">
        <v>173345</v>
      </c>
      <c r="Q35" s="15" t="n">
        <v>86673</v>
      </c>
      <c r="R35" s="15" t="n">
        <v>0</v>
      </c>
      <c r="S35" s="15" t="n">
        <v>216000</v>
      </c>
      <c r="T35" s="15" t="n"/>
      <c r="U35" s="15">
        <f>VLOOKUP(B35,'[1]Listagem Imobiliária'!$A$121:$D$177,2,0)</f>
        <v/>
      </c>
      <c r="V35" s="15">
        <f>VLOOKUP(B35,'[1]Listagem Imobiliária'!$A$121:$D$177,4,0)</f>
        <v/>
      </c>
      <c r="W35" s="14" t="inlineStr">
        <is>
          <t>Nível 1</t>
        </is>
      </c>
      <c r="X35" s="15" t="n">
        <v>173345</v>
      </c>
      <c r="Y35" s="15" t="n">
        <v>86673</v>
      </c>
      <c r="Z35" s="15" t="n">
        <v>49500</v>
      </c>
      <c r="AA35" s="13" t="n">
        <v>39295</v>
      </c>
      <c r="AB35" s="13" t="inlineStr">
        <is>
          <t>Em andamento</t>
        </is>
      </c>
      <c r="AC35" s="13" t="inlineStr">
        <is>
          <t>Concluída</t>
        </is>
      </c>
      <c r="AD35" s="13" t="n">
        <v>45264.45416666667</v>
      </c>
      <c r="AE35" s="15">
        <f t="array" ref="AE35">IFERROR([2]!CalculateINPC(AD35,[1]DT_BASE!$C$3,-1)*AC35,0)</f>
        <v/>
      </c>
      <c r="AF35" s="30" t="inlineStr">
        <is>
          <t>Não Vendido</t>
        </is>
      </c>
      <c r="AG35" s="30" t="inlineStr">
        <is>
          <t>-</t>
        </is>
      </c>
      <c r="AH35" s="30" t="inlineStr">
        <is>
          <t>NÃO LIBERADO</t>
        </is>
      </c>
      <c r="AM35" s="47" t="inlineStr">
        <is>
          <t>13/04/2026</t>
        </is>
      </c>
    </row>
    <row r="36">
      <c r="A36" s="10" t="inlineStr">
        <is>
          <t>BTG/Enforce</t>
        </is>
      </c>
      <c r="B36" s="11" t="n">
        <v>11444</v>
      </c>
      <c r="C36" s="11" t="n">
        <v>11444</v>
      </c>
      <c r="D36" s="11" t="inlineStr">
        <is>
          <t>Urbano</t>
        </is>
      </c>
      <c r="E36" s="10" t="inlineStr">
        <is>
          <t>Prédio Comercial</t>
        </is>
      </c>
      <c r="F36" s="10" t="inlineStr">
        <is>
          <t>Guarapuava</t>
        </is>
      </c>
      <c r="G36" s="10" t="inlineStr">
        <is>
          <t>PR</t>
        </is>
      </c>
      <c r="H36" s="12" t="n">
        <v>0</v>
      </c>
      <c r="I36" s="12" t="n">
        <v>0</v>
      </c>
      <c r="J36" s="14" t="inlineStr">
        <is>
          <t>Parcialmente Localizado</t>
        </is>
      </c>
      <c r="K36" s="15" t="n">
        <v>698.75</v>
      </c>
      <c r="L36" s="14" t="inlineStr">
        <is>
          <t>m2</t>
        </is>
      </c>
      <c r="M36" s="14" t="inlineStr">
        <is>
          <t>Guarapuava</t>
        </is>
      </c>
      <c r="N36" s="14" t="inlineStr">
        <is>
          <t>Imóvel Urbano</t>
        </is>
      </c>
      <c r="O36" s="14" t="inlineStr">
        <is>
          <t>Prédio comercial</t>
        </is>
      </c>
      <c r="P36" s="15" t="n">
        <v>0</v>
      </c>
      <c r="Q36" s="15" t="n">
        <v>0</v>
      </c>
      <c r="R36" s="15" t="n">
        <v>0</v>
      </c>
      <c r="S36" s="15" t="n">
        <v>1063000</v>
      </c>
      <c r="T36" s="15" t="n"/>
      <c r="U36" s="15">
        <f>VLOOKUP(B36,'[1]Listagem Imobiliária'!$A$121:$D$177,2,0)</f>
        <v/>
      </c>
      <c r="V36" s="15">
        <f>VLOOKUP(B36,'[1]Listagem Imobiliária'!$A$121:$D$177,4,0)</f>
        <v/>
      </c>
      <c r="W36" s="14" t="inlineStr">
        <is>
          <t>Laudo Jud./3</t>
        </is>
      </c>
      <c r="X36" s="15" t="n">
        <v>86186.75660000001</v>
      </c>
      <c r="Y36" s="15" t="n">
        <v>86186.75660000001</v>
      </c>
      <c r="Z36" s="15" t="n">
        <v>111000</v>
      </c>
      <c r="AA36" s="13" t="n">
        <v>40330</v>
      </c>
      <c r="AB36" s="14" t="inlineStr">
        <is>
          <t>Nível 1 - Em andamento</t>
        </is>
      </c>
      <c r="AC36" s="13" t="inlineStr">
        <is>
          <t>Concluída</t>
        </is>
      </c>
      <c r="AD36" s="13" t="n">
        <v>45281.45972222222</v>
      </c>
      <c r="AE36" s="15">
        <f t="array" ref="AE36">IFERROR([2]!CalculateINPC(AD36,[1]DT_BASE!$C$3,-1)*AC36,0)</f>
        <v/>
      </c>
      <c r="AF36" s="30" t="inlineStr">
        <is>
          <t>Não Vendido</t>
        </is>
      </c>
      <c r="AG36" s="30" t="inlineStr">
        <is>
          <t>-</t>
        </is>
      </c>
      <c r="AH36" s="30" t="inlineStr">
        <is>
          <t>NÃO LIBERADO</t>
        </is>
      </c>
      <c r="AM36" s="47" t="inlineStr">
        <is>
          <t>19/03/2026</t>
        </is>
      </c>
    </row>
    <row r="37">
      <c r="A37" s="10" t="inlineStr">
        <is>
          <t>BTG/Enforce</t>
        </is>
      </c>
      <c r="B37" s="11" t="n">
        <v>15927</v>
      </c>
      <c r="C37" s="11" t="n">
        <v>15927</v>
      </c>
      <c r="D37" s="11" t="inlineStr">
        <is>
          <t>Urbano</t>
        </is>
      </c>
      <c r="E37" s="10" t="inlineStr">
        <is>
          <t>Chácara Urbana</t>
        </is>
      </c>
      <c r="F37" s="10" t="inlineStr">
        <is>
          <t>São Roque</t>
        </is>
      </c>
      <c r="G37" s="10" t="inlineStr">
        <is>
          <t>SP</t>
        </is>
      </c>
      <c r="H37" s="12" t="n">
        <v>0</v>
      </c>
      <c r="I37" s="12" t="n">
        <v>0</v>
      </c>
      <c r="J37" s="14" t="inlineStr">
        <is>
          <t>Localizado</t>
        </is>
      </c>
      <c r="K37" s="15" t="n">
        <v>12000</v>
      </c>
      <c r="L37" s="14" t="inlineStr">
        <is>
          <t>m2</t>
        </is>
      </c>
      <c r="M37" s="14" t="inlineStr">
        <is>
          <t>São Roque</t>
        </is>
      </c>
      <c r="N37" s="14" t="inlineStr">
        <is>
          <t>Imóvel Urbano</t>
        </is>
      </c>
      <c r="O37" s="14" t="inlineStr">
        <is>
          <t>Chácara urbana</t>
        </is>
      </c>
      <c r="P37" s="15" t="n">
        <v>0</v>
      </c>
      <c r="Q37" s="15" t="n">
        <v>0</v>
      </c>
      <c r="R37" s="15" t="n">
        <v>0</v>
      </c>
      <c r="S37" s="15" t="n">
        <v>390000</v>
      </c>
      <c r="T37" s="15" t="n">
        <v>2640000</v>
      </c>
      <c r="U37" s="15">
        <f>VLOOKUP(B37,'[1]Listagem Imobiliária'!$A$121:$D$177,2,0)</f>
        <v/>
      </c>
      <c r="V37" s="15">
        <f>VLOOKUP(B37,'[1]Listagem Imobiliária'!$A$121:$D$177,4,0)</f>
        <v/>
      </c>
      <c r="W37" s="17" t="inlineStr">
        <is>
          <t>Nível 1</t>
        </is>
      </c>
      <c r="X37" s="18" t="inlineStr">
        <is>
          <t>-</t>
        </is>
      </c>
      <c r="Y37" s="18" t="inlineStr">
        <is>
          <t>-</t>
        </is>
      </c>
      <c r="Z37" s="18">
        <f>VLOOKUP(B37,'[1]Av. Judicial'!C:P,6,0)</f>
        <v/>
      </c>
      <c r="AA37" s="19">
        <f>VLOOKUP(B37,'[1]Av. Judicial'!C:P,7,0)</f>
        <v/>
      </c>
      <c r="AB37" s="17" t="inlineStr">
        <is>
          <t>Área de preservação</t>
        </is>
      </c>
      <c r="AC37" s="13" t="inlineStr">
        <is>
          <t>Concluída</t>
        </is>
      </c>
      <c r="AD37" s="13" t="n">
        <v>45264.45902777778</v>
      </c>
      <c r="AE37" s="18">
        <f t="array" ref="AE37">IFERROR([2]!CalculateINPC(AD37,[1]DT_BASE!$C$3,-1)*AC37,0)</f>
        <v/>
      </c>
      <c r="AF37" s="30" t="inlineStr">
        <is>
          <t>Não Vendido</t>
        </is>
      </c>
      <c r="AG37" s="30" t="inlineStr">
        <is>
          <t>-</t>
        </is>
      </c>
      <c r="AH37" s="30" t="inlineStr">
        <is>
          <t>-</t>
        </is>
      </c>
      <c r="AM37" s="47" t="inlineStr">
        <is>
          <t>26/06/2026</t>
        </is>
      </c>
    </row>
    <row r="38">
      <c r="A38" s="20" t="inlineStr">
        <is>
          <t>BTG/Enforce</t>
        </is>
      </c>
      <c r="B38" s="21" t="inlineStr">
        <is>
          <t>Posse</t>
        </is>
      </c>
      <c r="C38" s="21" t="inlineStr">
        <is>
          <t>-</t>
        </is>
      </c>
      <c r="D38" s="21" t="inlineStr">
        <is>
          <t>Urbano</t>
        </is>
      </c>
      <c r="E38" s="20" t="inlineStr">
        <is>
          <t>-</t>
        </is>
      </c>
      <c r="F38" s="20" t="inlineStr">
        <is>
          <t>São Paulo</t>
        </is>
      </c>
      <c r="G38" s="20" t="inlineStr">
        <is>
          <t>SP</t>
        </is>
      </c>
      <c r="H38" s="22" t="inlineStr">
        <is>
          <t>-</t>
        </is>
      </c>
      <c r="I38" s="22" t="inlineStr">
        <is>
          <t>-</t>
        </is>
      </c>
      <c r="J38" s="24" t="e">
        <v>#N/A</v>
      </c>
      <c r="K38" s="25" t="e">
        <v>#N/A</v>
      </c>
      <c r="L38" s="24" t="e">
        <v>#N/A</v>
      </c>
      <c r="M38" s="24" t="e">
        <v>#N/A</v>
      </c>
      <c r="N38" s="24" t="e">
        <v>#N/A</v>
      </c>
      <c r="O38" s="24" t="e">
        <v>#N/A</v>
      </c>
      <c r="P38" s="25" t="e">
        <v>#N/A</v>
      </c>
      <c r="Q38" s="25" t="n">
        <v>0</v>
      </c>
      <c r="R38" s="25" t="e">
        <v>#N/A</v>
      </c>
      <c r="S38" s="25" t="inlineStr">
        <is>
          <t>-</t>
        </is>
      </c>
      <c r="T38" s="25" t="inlineStr">
        <is>
          <t>-</t>
        </is>
      </c>
      <c r="U38" s="25" t="inlineStr">
        <is>
          <t>-</t>
        </is>
      </c>
      <c r="V38" s="25" t="inlineStr">
        <is>
          <t>-</t>
        </is>
      </c>
      <c r="W38" s="26" t="inlineStr">
        <is>
          <t>-</t>
        </is>
      </c>
      <c r="X38" s="27" t="inlineStr">
        <is>
          <t>-</t>
        </is>
      </c>
      <c r="Y38" s="27" t="inlineStr">
        <is>
          <t>-</t>
        </is>
      </c>
      <c r="Z38" s="27" t="inlineStr">
        <is>
          <t>-</t>
        </is>
      </c>
      <c r="AA38" s="28" t="inlineStr">
        <is>
          <t>-</t>
        </is>
      </c>
      <c r="AB38" s="26" t="inlineStr">
        <is>
          <t>Posse</t>
        </is>
      </c>
      <c r="AC38" s="23" t="e">
        <v>#N/A</v>
      </c>
      <c r="AD38" s="23" t="e">
        <v>#N/A</v>
      </c>
      <c r="AE38" s="27" t="inlineStr">
        <is>
          <t>-</t>
        </is>
      </c>
      <c r="AF38" s="30" t="inlineStr">
        <is>
          <t>Não Vendido</t>
        </is>
      </c>
      <c r="AG38" s="30" t="inlineStr">
        <is>
          <t>-</t>
        </is>
      </c>
      <c r="AH38" s="30" t="inlineStr">
        <is>
          <t>-</t>
        </is>
      </c>
    </row>
    <row r="39">
      <c r="A39" s="10" t="inlineStr">
        <is>
          <t>BTG/Enforce</t>
        </is>
      </c>
      <c r="B39" s="11" t="inlineStr">
        <is>
          <t>Equipamentos</t>
        </is>
      </c>
      <c r="C39" s="11" t="inlineStr">
        <is>
          <t>-</t>
        </is>
      </c>
      <c r="D39" s="11" t="inlineStr">
        <is>
          <t>Rural</t>
        </is>
      </c>
      <c r="E39" s="10" t="inlineStr">
        <is>
          <t>-</t>
        </is>
      </c>
      <c r="F39" s="10" t="inlineStr">
        <is>
          <t>Chapadão Do Céu</t>
        </is>
      </c>
      <c r="G39" s="10" t="inlineStr">
        <is>
          <t>GO</t>
        </is>
      </c>
      <c r="H39" s="12" t="inlineStr">
        <is>
          <t>-</t>
        </is>
      </c>
      <c r="I39" s="12" t="inlineStr">
        <is>
          <t>-</t>
        </is>
      </c>
      <c r="J39" s="14" t="e">
        <v>#N/A</v>
      </c>
      <c r="K39" s="15" t="e">
        <v>#N/A</v>
      </c>
      <c r="L39" s="14" t="e">
        <v>#N/A</v>
      </c>
      <c r="M39" s="14" t="e">
        <v>#N/A</v>
      </c>
      <c r="N39" s="14" t="e">
        <v>#N/A</v>
      </c>
      <c r="O39" s="14" t="e">
        <v>#N/A</v>
      </c>
      <c r="P39" s="15" t="e">
        <v>#N/A</v>
      </c>
      <c r="Q39" s="15" t="e">
        <v>#N/A</v>
      </c>
      <c r="R39" s="15" t="e">
        <v>#N/A</v>
      </c>
      <c r="S39" s="15" t="inlineStr">
        <is>
          <t>-</t>
        </is>
      </c>
      <c r="T39" s="15" t="inlineStr">
        <is>
          <t>-</t>
        </is>
      </c>
      <c r="U39" s="15" t="inlineStr">
        <is>
          <t>-</t>
        </is>
      </c>
      <c r="V39" s="15" t="inlineStr">
        <is>
          <t>-</t>
        </is>
      </c>
      <c r="W39" s="14" t="inlineStr">
        <is>
          <t>Laudo - Rural</t>
        </is>
      </c>
      <c r="X39" s="15" t="n">
        <v>0</v>
      </c>
      <c r="Y39" s="15" t="n">
        <v>3900000</v>
      </c>
      <c r="Z39" s="15" t="n">
        <v>1500000</v>
      </c>
      <c r="AA39" s="13" t="n">
        <v>40907</v>
      </c>
      <c r="AB39" s="14" t="inlineStr">
        <is>
          <t>Equipe rural - 2 Laudos</t>
        </is>
      </c>
      <c r="AC39" s="13" t="e">
        <v>#N/A</v>
      </c>
      <c r="AD39" s="13" t="e">
        <v>#N/A</v>
      </c>
      <c r="AE39" s="15">
        <f t="array" ref="AE39">IFERROR([2]!CalculateINPC(AD39,[1]DT_BASE!$C$3,-1)*AC39,0)</f>
        <v/>
      </c>
      <c r="AF39" s="30" t="inlineStr">
        <is>
          <t>Não Vendido</t>
        </is>
      </c>
      <c r="AG39" s="30" t="inlineStr">
        <is>
          <t>Negociação em andamento</t>
        </is>
      </c>
      <c r="AH39" s="52" t="n">
        <v>2500000</v>
      </c>
      <c r="AI39" s="48" t="n">
        <v>2200000</v>
      </c>
      <c r="AL39" s="43" t="inlineStr">
        <is>
          <t>Investidor local e comodatário</t>
        </is>
      </c>
      <c r="AM39" s="47" t="inlineStr">
        <is>
          <t>06/03/2026</t>
        </is>
      </c>
    </row>
  </sheetData>
  <autoFilter ref="A1:AJ39"/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Vinicius Ibiapina</dc:creator>
  <dcterms:created xsi:type="dcterms:W3CDTF">2026-03-13T22:12:47Z</dcterms:created>
  <dcterms:modified xsi:type="dcterms:W3CDTF">2026-06-09T23:57:41Z</dcterms:modified>
  <cp:lastModifiedBy>Vinicius Ibiapina</cp:lastModifiedBy>
</cp:coreProperties>
</file>