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nforcegestaoativos.sharepoint.com/OLRJ/03 - Gestão da Célula/Gestão de Portfólio/"/>
    </mc:Choice>
  </mc:AlternateContent>
  <xr:revisionPtr revIDLastSave="413" documentId="11_E4458177EDF0C71528DD9E12B90999A16861A83E" xr6:coauthVersionLast="47" xr6:coauthVersionMax="47" xr10:uidLastSave="{31BFF3D1-294F-41BD-9218-2E2BA62E01D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Sheet1!$G$2:$Q$91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P1" i="1"/>
  <c r="O1" i="1"/>
  <c r="N1" i="1"/>
</calcChain>
</file>

<file path=xl/sharedStrings.xml><?xml version="1.0" encoding="utf-8"?>
<sst xmlns="http://schemas.openxmlformats.org/spreadsheetml/2006/main" count="858" uniqueCount="125">
  <si>
    <t>Egesa</t>
  </si>
  <si>
    <t>Noivo</t>
  </si>
  <si>
    <t>Cordeiro</t>
  </si>
  <si>
    <t>Marquezam</t>
  </si>
  <si>
    <t>LOT</t>
  </si>
  <si>
    <t>Metodista</t>
  </si>
  <si>
    <t>São Simão</t>
  </si>
  <si>
    <t>AgroZ</t>
  </si>
  <si>
    <t>Tonon</t>
  </si>
  <si>
    <t>Tinto</t>
  </si>
  <si>
    <t>Sweet Fruits</t>
  </si>
  <si>
    <t>Magagnin</t>
  </si>
  <si>
    <t>Rontan</t>
  </si>
  <si>
    <t>UST</t>
  </si>
  <si>
    <t>Gocil</t>
  </si>
  <si>
    <t>Talismã</t>
  </si>
  <si>
    <t>Zaltron</t>
  </si>
  <si>
    <t>Trentini</t>
  </si>
  <si>
    <t>Seara</t>
  </si>
  <si>
    <t>Cozac</t>
  </si>
  <si>
    <t>Cotia</t>
  </si>
  <si>
    <t>Caso</t>
  </si>
  <si>
    <t>Saída Imob?</t>
  </si>
  <si>
    <t>-</t>
  </si>
  <si>
    <t>Sim</t>
  </si>
  <si>
    <t>Não</t>
  </si>
  <si>
    <t>AF - Fluxo Adimplente</t>
  </si>
  <si>
    <t>Hipoteca</t>
  </si>
  <si>
    <t>Em processo de venda?</t>
  </si>
  <si>
    <t>PRJ em construção</t>
  </si>
  <si>
    <t>PRJ em homologação</t>
  </si>
  <si>
    <t>Acordo mendonça</t>
  </si>
  <si>
    <t>Deal em costrução</t>
  </si>
  <si>
    <t>Ainda não arrematado</t>
  </si>
  <si>
    <t>Período de opção</t>
  </si>
  <si>
    <t>AF consolidada</t>
  </si>
  <si>
    <t>Mat.</t>
  </si>
  <si>
    <t>Cidade</t>
  </si>
  <si>
    <t>UF</t>
  </si>
  <si>
    <t>VF - Internalização</t>
  </si>
  <si>
    <t>Tipologia</t>
  </si>
  <si>
    <t>Recebido</t>
  </si>
  <si>
    <t>A Receber</t>
  </si>
  <si>
    <t>Status Venda/Proposta</t>
  </si>
  <si>
    <t>8701 (6%)</t>
  </si>
  <si>
    <t>(relacionada)</t>
  </si>
  <si>
    <t>Vendido</t>
  </si>
  <si>
    <t>Maringá</t>
  </si>
  <si>
    <t>PR</t>
  </si>
  <si>
    <t>Santos</t>
  </si>
  <si>
    <t>SP</t>
  </si>
  <si>
    <t>Vargem Grande Paulista</t>
  </si>
  <si>
    <t>Jacareí</t>
  </si>
  <si>
    <t>Bragança Paulista</t>
  </si>
  <si>
    <t>Indaiatuba</t>
  </si>
  <si>
    <t>Piedade</t>
  </si>
  <si>
    <t>Itaberá</t>
  </si>
  <si>
    <t>Curitibanos</t>
  </si>
  <si>
    <t>SC</t>
  </si>
  <si>
    <t>Santo Anastácio</t>
  </si>
  <si>
    <t>São Joaquim</t>
  </si>
  <si>
    <t>Assaí</t>
  </si>
  <si>
    <t>Tatuí</t>
  </si>
  <si>
    <t>São Roque</t>
  </si>
  <si>
    <t>Rio de Janeiro</t>
  </si>
  <si>
    <t>RJ</t>
  </si>
  <si>
    <t>Guarapuava</t>
  </si>
  <si>
    <t>Londrina</t>
  </si>
  <si>
    <t>Floraí</t>
  </si>
  <si>
    <t>Rancho Alegre</t>
  </si>
  <si>
    <t xml:space="preserve">Mauá da Serra </t>
  </si>
  <si>
    <t>Estrela do Sul</t>
  </si>
  <si>
    <t>MG</t>
  </si>
  <si>
    <t>Canoinhas</t>
  </si>
  <si>
    <t>Dourados</t>
  </si>
  <si>
    <t>MS</t>
  </si>
  <si>
    <t>Assis Chateaubriand</t>
  </si>
  <si>
    <t>Guaira</t>
  </si>
  <si>
    <t>Taciba</t>
  </si>
  <si>
    <t>Fátima do Sul</t>
  </si>
  <si>
    <t>Tiros</t>
  </si>
  <si>
    <t>conjunto</t>
  </si>
  <si>
    <t>Proposta</t>
  </si>
  <si>
    <t>Terreno</t>
  </si>
  <si>
    <t>Galpão</t>
  </si>
  <si>
    <t>Prédio Comercial</t>
  </si>
  <si>
    <t>Barracão</t>
  </si>
  <si>
    <t>Galpão industrial</t>
  </si>
  <si>
    <t xml:space="preserve">Gleba </t>
  </si>
  <si>
    <t>Chácara Urbana</t>
  </si>
  <si>
    <t>Casa residencial</t>
  </si>
  <si>
    <t>Apartamento</t>
  </si>
  <si>
    <t>Agroindustria</t>
  </si>
  <si>
    <t>Comercial</t>
  </si>
  <si>
    <t>Residencial</t>
  </si>
  <si>
    <t>Ribeirão Preto</t>
  </si>
  <si>
    <t>Ilha Comprida</t>
  </si>
  <si>
    <t>Obs</t>
  </si>
  <si>
    <t>Recebível imobiliário de empreendimento</t>
  </si>
  <si>
    <t>Porto Alegre</t>
  </si>
  <si>
    <t>RS</t>
  </si>
  <si>
    <t>Empreendimento vertical</t>
  </si>
  <si>
    <t>Recebível financeiro</t>
  </si>
  <si>
    <t>Gleba urbana/rural</t>
  </si>
  <si>
    <t>Avaliação antiga, precisa ser reavaliado agora que estamos internalizando</t>
  </si>
  <si>
    <t>Vl. Venda/proposta</t>
  </si>
  <si>
    <t>Chapadão Do Céu</t>
  </si>
  <si>
    <t>GO</t>
  </si>
  <si>
    <t>Equipamentos</t>
  </si>
  <si>
    <t>Equipamento Rural</t>
  </si>
  <si>
    <t>Equipamentos + Terreno</t>
  </si>
  <si>
    <t>Comodatáirio plantou ecalipto</t>
  </si>
  <si>
    <t>Proposta pelos 8 aptos (78780 até 78787) em R$ 880,00. Estamos tentando chegar em R$ 1M</t>
  </si>
  <si>
    <t>Proposta de R$ 200K pelos 2 imóveis, estamos tentando chegar em R$ 240K (102753 e 102754)</t>
  </si>
  <si>
    <t>(Relacionadas 6660, 11055 e 11054), Póssivel proposta de 12M/13M pelas 3 matrículas</t>
  </si>
  <si>
    <t>Entrave regulatório - uso e ocupação</t>
  </si>
  <si>
    <t>Proposta de 10M por parte do terreno (parte ocupada pelo supermercado)</t>
  </si>
  <si>
    <t>(Relacionado 58.840, 42.485 e 42.487)Proposta de 10M por parte do terreno (parte ocupada pelo supermercado)</t>
  </si>
  <si>
    <t>Proposta aprovada, Inquilino anterir discutindo preferência</t>
  </si>
  <si>
    <t>Restrição de ocupação e uso - negociação com vizinhos</t>
  </si>
  <si>
    <t>Proposta aprovada pelo Alex</t>
  </si>
  <si>
    <t>(Relacionada a 360) Proposta aprovada pelo Alex</t>
  </si>
  <si>
    <t>Proposta de 5,3M não aprovada - Em negociação para majoração</t>
  </si>
  <si>
    <t>Aguardando desocupação do comodatário - Venda:(restante em 24 parcelas mensais corrigidas a IPCA)</t>
  </si>
  <si>
    <t>Estamos tentando majorar para 1,5M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</si>
</sst>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4" fontId="1" fillId="3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4" fontId="1" fillId="3" borderId="0" xfId="0" applyNumberFormat="1" applyFont="1" applyFill="1" applyAlignment="1">
      <alignment vertic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91"/>
  <sheetViews>
    <sheetView showGridLines="0" tabSelected="1" topLeftCell="C1" workbookViewId="0">
      <pane ySplit="2" topLeftCell="A3" activePane="bottomLeft" state="frozen"/>
      <selection pane="bottomLeft" activeCell="N61" sqref="N61"/>
    </sheetView>
  </sheetViews>
  <sheetFormatPr defaultRowHeight="15" x14ac:dyDescent="0.25"/>
  <cols>
    <col min="2" max="2" width="12" bestFit="1" customWidth="1"/>
    <col min="3" max="3" width="21" style="5" bestFit="1" customWidth="1"/>
    <col min="4" max="4" width="25" style="5" customWidth="1"/>
    <col min="5" max="6" width="5.140625" customWidth="1"/>
    <col min="7" max="7" width="10" style="5" bestFit="1" customWidth="1"/>
    <col min="8" max="8" width="19.28515625" bestFit="1" customWidth="1"/>
    <col min="9" max="9" width="22.5703125" bestFit="1" customWidth="1"/>
    <col min="10" max="10" width="4" bestFit="1" customWidth="1"/>
    <col min="11" max="11" width="24" bestFit="1" customWidth="1"/>
    <col min="12" max="12" width="17.5703125" bestFit="1" customWidth="1"/>
    <col min="13" max="13" width="21.7109375" style="5" customWidth="1"/>
    <col min="14" max="14" width="21.7109375" style="11" customWidth="1"/>
    <col min="15" max="16" width="12.7109375" style="11" bestFit="1" customWidth="1"/>
    <col min="17" max="17" width="15.140625" style="12" customWidth="1"/>
    <col min="18" max="18" width="11.7109375" bestFit="1" customWidth="1"/>
  </cols>
  <sheetData>
    <row r="1" spans="2:17" x14ac:dyDescent="0.25">
      <c r="L1" s="11">
        <f>SUM(L3:L90)</f>
        <v>255936237.75729999</v>
      </c>
      <c r="N1" s="11">
        <f>SUM(N3:N90)</f>
        <v>120150000</v>
      </c>
      <c r="O1" s="11">
        <f>SUM(O3:O90)</f>
        <v>53650000</v>
      </c>
      <c r="P1" s="11">
        <f>SUM(P3:P90)</f>
        <v>21143113</v>
      </c>
    </row>
    <row r="2" spans="2:17" x14ac:dyDescent="0.25">
      <c r="B2" s="1" t="s">
        <v>21</v>
      </c>
      <c r="C2" s="4" t="s">
        <v>22</v>
      </c>
      <c r="D2" s="4" t="s">
        <v>28</v>
      </c>
      <c r="G2" s="4" t="s">
        <v>21</v>
      </c>
      <c r="H2" s="4" t="s">
        <v>36</v>
      </c>
      <c r="I2" s="4" t="s">
        <v>37</v>
      </c>
      <c r="J2" s="4" t="s">
        <v>38</v>
      </c>
      <c r="K2" s="4" t="s">
        <v>40</v>
      </c>
      <c r="L2" s="4" t="s">
        <v>39</v>
      </c>
      <c r="M2" s="7" t="s">
        <v>43</v>
      </c>
      <c r="N2" s="7" t="s">
        <v>105</v>
      </c>
      <c r="O2" s="13" t="s">
        <v>41</v>
      </c>
      <c r="P2" s="13" t="s">
        <v>42</v>
      </c>
      <c r="Q2" s="16" t="s">
        <v>97</v>
      </c>
    </row>
    <row r="3" spans="2:17" x14ac:dyDescent="0.25">
      <c r="B3" s="2" t="s">
        <v>0</v>
      </c>
      <c r="C3" s="5" t="s">
        <v>29</v>
      </c>
      <c r="D3" s="5" t="s">
        <v>23</v>
      </c>
      <c r="G3" s="14" t="s">
        <v>5</v>
      </c>
      <c r="H3" t="s">
        <v>102</v>
      </c>
      <c r="I3" s="5" t="s">
        <v>99</v>
      </c>
      <c r="J3" s="5" t="s">
        <v>100</v>
      </c>
      <c r="K3" s="5" t="s">
        <v>101</v>
      </c>
      <c r="L3" s="11">
        <v>90400000</v>
      </c>
      <c r="M3" s="5" t="s">
        <v>23</v>
      </c>
      <c r="N3" s="11" t="s">
        <v>23</v>
      </c>
      <c r="O3" s="11" t="s">
        <v>23</v>
      </c>
      <c r="P3" s="11" t="s">
        <v>23</v>
      </c>
      <c r="Q3" s="12" t="s">
        <v>98</v>
      </c>
    </row>
    <row r="4" spans="2:17" x14ac:dyDescent="0.25">
      <c r="B4" s="3" t="s">
        <v>1</v>
      </c>
      <c r="C4" s="5" t="s">
        <v>29</v>
      </c>
      <c r="D4" s="5" t="s">
        <v>23</v>
      </c>
      <c r="G4" s="15" t="s">
        <v>12</v>
      </c>
      <c r="H4" s="5">
        <v>63688</v>
      </c>
      <c r="I4" s="5" t="s">
        <v>62</v>
      </c>
      <c r="J4" s="5" t="s">
        <v>50</v>
      </c>
      <c r="K4" s="5" t="s">
        <v>103</v>
      </c>
      <c r="L4" s="17">
        <v>9900000</v>
      </c>
      <c r="M4" s="5" t="s">
        <v>23</v>
      </c>
      <c r="N4" s="11" t="s">
        <v>23</v>
      </c>
      <c r="O4" s="11" t="s">
        <v>23</v>
      </c>
      <c r="P4" s="11" t="s">
        <v>23</v>
      </c>
      <c r="Q4" s="12" t="s">
        <v>104</v>
      </c>
    </row>
    <row r="5" spans="2:17" x14ac:dyDescent="0.25">
      <c r="B5" s="3" t="s">
        <v>2</v>
      </c>
      <c r="C5" s="5" t="s">
        <v>29</v>
      </c>
      <c r="D5" s="5" t="s">
        <v>23</v>
      </c>
      <c r="G5" s="8" t="s">
        <v>19</v>
      </c>
      <c r="H5" s="5">
        <v>72157</v>
      </c>
      <c r="I5" s="5" t="s">
        <v>95</v>
      </c>
      <c r="J5" s="5" t="s">
        <v>50</v>
      </c>
      <c r="K5" s="5" t="s">
        <v>93</v>
      </c>
      <c r="L5" s="11">
        <v>1781000</v>
      </c>
      <c r="M5" s="5" t="s">
        <v>46</v>
      </c>
      <c r="N5" s="11">
        <v>2416079.0499999998</v>
      </c>
      <c r="O5" s="11">
        <v>2416079.0499999998</v>
      </c>
      <c r="P5" s="11">
        <v>0</v>
      </c>
      <c r="Q5" s="12" t="s">
        <v>23</v>
      </c>
    </row>
    <row r="6" spans="2:17" x14ac:dyDescent="0.25">
      <c r="B6" s="3" t="s">
        <v>3</v>
      </c>
      <c r="C6" s="5" t="s">
        <v>29</v>
      </c>
      <c r="D6" s="5" t="s">
        <v>23</v>
      </c>
      <c r="G6" s="8" t="s">
        <v>19</v>
      </c>
      <c r="H6" s="5">
        <v>62872</v>
      </c>
      <c r="I6" s="5" t="s">
        <v>95</v>
      </c>
      <c r="J6" s="5" t="s">
        <v>50</v>
      </c>
      <c r="K6" s="5" t="s">
        <v>93</v>
      </c>
      <c r="L6" s="11">
        <v>701000</v>
      </c>
      <c r="M6" s="5" t="s">
        <v>46</v>
      </c>
      <c r="N6" s="11">
        <v>683920.95</v>
      </c>
      <c r="O6" s="11">
        <v>683920.95</v>
      </c>
      <c r="P6" s="11">
        <v>0</v>
      </c>
      <c r="Q6" s="12" t="s">
        <v>23</v>
      </c>
    </row>
    <row r="7" spans="2:17" x14ac:dyDescent="0.25">
      <c r="B7" s="3" t="s">
        <v>4</v>
      </c>
      <c r="C7" s="5" t="s">
        <v>30</v>
      </c>
      <c r="D7" s="5" t="s">
        <v>23</v>
      </c>
      <c r="G7" s="8" t="s">
        <v>19</v>
      </c>
      <c r="H7" s="5">
        <v>83398</v>
      </c>
      <c r="I7" s="5" t="s">
        <v>95</v>
      </c>
      <c r="J7" s="5" t="s">
        <v>50</v>
      </c>
      <c r="K7" s="5" t="s">
        <v>93</v>
      </c>
      <c r="L7" s="11">
        <v>228500</v>
      </c>
      <c r="M7" s="5" t="s">
        <v>46</v>
      </c>
      <c r="N7" s="11">
        <v>250000</v>
      </c>
      <c r="O7" s="11">
        <v>250000</v>
      </c>
      <c r="P7" s="11">
        <v>0</v>
      </c>
      <c r="Q7" s="12" t="s">
        <v>23</v>
      </c>
    </row>
    <row r="8" spans="2:17" x14ac:dyDescent="0.25">
      <c r="B8" s="3" t="s">
        <v>5</v>
      </c>
      <c r="C8" s="6" t="s">
        <v>24</v>
      </c>
      <c r="D8" s="6" t="s">
        <v>24</v>
      </c>
      <c r="G8" s="8" t="s">
        <v>19</v>
      </c>
      <c r="H8" s="5">
        <v>23299</v>
      </c>
      <c r="I8" s="5" t="s">
        <v>95</v>
      </c>
      <c r="J8" s="5" t="s">
        <v>50</v>
      </c>
      <c r="K8" s="5" t="s">
        <v>93</v>
      </c>
      <c r="L8" s="11">
        <v>4796000</v>
      </c>
      <c r="M8" s="5" t="s">
        <v>23</v>
      </c>
      <c r="N8" s="11" t="s">
        <v>23</v>
      </c>
      <c r="O8" s="11" t="s">
        <v>23</v>
      </c>
      <c r="P8" s="11" t="s">
        <v>23</v>
      </c>
      <c r="Q8" s="12" t="s">
        <v>23</v>
      </c>
    </row>
    <row r="9" spans="2:17" x14ac:dyDescent="0.25">
      <c r="B9" s="3" t="s">
        <v>6</v>
      </c>
      <c r="C9" s="5" t="s">
        <v>25</v>
      </c>
      <c r="D9" s="5" t="s">
        <v>23</v>
      </c>
      <c r="G9" s="8" t="s">
        <v>19</v>
      </c>
      <c r="H9" s="5">
        <v>48207</v>
      </c>
      <c r="I9" s="5" t="s">
        <v>95</v>
      </c>
      <c r="J9" s="5" t="s">
        <v>50</v>
      </c>
      <c r="K9" s="5" t="s">
        <v>94</v>
      </c>
      <c r="L9" s="11">
        <v>2460000</v>
      </c>
      <c r="M9" s="5" t="s">
        <v>23</v>
      </c>
      <c r="N9" s="11" t="s">
        <v>23</v>
      </c>
      <c r="O9" s="11" t="s">
        <v>23</v>
      </c>
      <c r="P9" s="11" t="s">
        <v>23</v>
      </c>
      <c r="Q9" s="12" t="s">
        <v>23</v>
      </c>
    </row>
    <row r="10" spans="2:17" x14ac:dyDescent="0.25">
      <c r="B10" s="2" t="s">
        <v>7</v>
      </c>
      <c r="C10" s="6" t="s">
        <v>24</v>
      </c>
      <c r="D10" s="5" t="s">
        <v>31</v>
      </c>
      <c r="G10" s="8" t="s">
        <v>19</v>
      </c>
      <c r="H10" s="5">
        <v>32744</v>
      </c>
      <c r="I10" s="5" t="s">
        <v>95</v>
      </c>
      <c r="J10" s="5" t="s">
        <v>50</v>
      </c>
      <c r="K10" s="5" t="s">
        <v>94</v>
      </c>
      <c r="L10" s="11">
        <v>1645000</v>
      </c>
      <c r="M10" s="5" t="s">
        <v>23</v>
      </c>
      <c r="N10" s="11" t="s">
        <v>23</v>
      </c>
      <c r="O10" s="11" t="s">
        <v>23</v>
      </c>
      <c r="P10" s="11" t="s">
        <v>23</v>
      </c>
      <c r="Q10" s="12" t="s">
        <v>23</v>
      </c>
    </row>
    <row r="11" spans="2:17" x14ac:dyDescent="0.25">
      <c r="B11" s="3" t="s">
        <v>8</v>
      </c>
      <c r="C11" s="5" t="s">
        <v>32</v>
      </c>
      <c r="D11" s="5" t="s">
        <v>23</v>
      </c>
      <c r="G11" s="8" t="s">
        <v>19</v>
      </c>
      <c r="H11" s="5">
        <v>5104</v>
      </c>
      <c r="I11" s="5" t="s">
        <v>95</v>
      </c>
      <c r="J11" s="5" t="s">
        <v>50</v>
      </c>
      <c r="K11" s="5" t="s">
        <v>93</v>
      </c>
      <c r="L11" s="11">
        <v>732000</v>
      </c>
      <c r="M11" s="5" t="s">
        <v>23</v>
      </c>
      <c r="N11" s="11" t="s">
        <v>23</v>
      </c>
      <c r="O11" s="11" t="s">
        <v>23</v>
      </c>
      <c r="P11" s="11" t="s">
        <v>23</v>
      </c>
      <c r="Q11" s="12" t="s">
        <v>23</v>
      </c>
    </row>
    <row r="12" spans="2:17" x14ac:dyDescent="0.25">
      <c r="B12" s="3" t="s">
        <v>9</v>
      </c>
      <c r="C12" s="5" t="s">
        <v>25</v>
      </c>
      <c r="D12" s="5" t="s">
        <v>23</v>
      </c>
      <c r="G12" s="8" t="s">
        <v>19</v>
      </c>
      <c r="H12" s="5">
        <v>76858</v>
      </c>
      <c r="I12" s="5" t="s">
        <v>95</v>
      </c>
      <c r="J12" s="5" t="s">
        <v>50</v>
      </c>
      <c r="K12" s="5" t="s">
        <v>93</v>
      </c>
      <c r="L12" s="11">
        <v>470000</v>
      </c>
      <c r="M12" s="5" t="s">
        <v>23</v>
      </c>
      <c r="N12" s="11" t="s">
        <v>23</v>
      </c>
      <c r="O12" s="11" t="s">
        <v>23</v>
      </c>
      <c r="P12" s="11" t="s">
        <v>23</v>
      </c>
      <c r="Q12" s="12" t="s">
        <v>23</v>
      </c>
    </row>
    <row r="13" spans="2:17" x14ac:dyDescent="0.25">
      <c r="B13" s="3" t="s">
        <v>10</v>
      </c>
      <c r="C13" s="5" t="s">
        <v>25</v>
      </c>
      <c r="D13" s="5" t="s">
        <v>23</v>
      </c>
      <c r="G13" s="8" t="s">
        <v>19</v>
      </c>
      <c r="H13" s="5">
        <v>3417</v>
      </c>
      <c r="I13" s="5" t="s">
        <v>95</v>
      </c>
      <c r="J13" s="5" t="s">
        <v>50</v>
      </c>
      <c r="K13" s="5" t="s">
        <v>94</v>
      </c>
      <c r="L13" s="11">
        <v>446000</v>
      </c>
      <c r="M13" s="5" t="s">
        <v>23</v>
      </c>
      <c r="N13" s="11" t="s">
        <v>23</v>
      </c>
      <c r="O13" s="11" t="s">
        <v>23</v>
      </c>
      <c r="P13" s="11" t="s">
        <v>23</v>
      </c>
      <c r="Q13" s="12" t="s">
        <v>23</v>
      </c>
    </row>
    <row r="14" spans="2:17" x14ac:dyDescent="0.25">
      <c r="B14" s="2" t="s">
        <v>11</v>
      </c>
      <c r="C14" s="6" t="s">
        <v>24</v>
      </c>
      <c r="D14" s="5" t="s">
        <v>33</v>
      </c>
      <c r="G14" s="8" t="s">
        <v>19</v>
      </c>
      <c r="H14" s="5">
        <v>5103</v>
      </c>
      <c r="I14" s="5" t="s">
        <v>95</v>
      </c>
      <c r="J14" s="5" t="s">
        <v>50</v>
      </c>
      <c r="K14" s="5" t="s">
        <v>93</v>
      </c>
      <c r="L14" s="11">
        <v>391000</v>
      </c>
      <c r="M14" s="5" t="s">
        <v>23</v>
      </c>
      <c r="N14" s="11" t="s">
        <v>23</v>
      </c>
      <c r="O14" s="11" t="s">
        <v>23</v>
      </c>
      <c r="P14" s="11" t="s">
        <v>23</v>
      </c>
      <c r="Q14" s="12" t="s">
        <v>23</v>
      </c>
    </row>
    <row r="15" spans="2:17" x14ac:dyDescent="0.25">
      <c r="B15" s="3" t="s">
        <v>12</v>
      </c>
      <c r="C15" s="6" t="s">
        <v>24</v>
      </c>
      <c r="D15" s="6" t="s">
        <v>35</v>
      </c>
      <c r="G15" s="8" t="s">
        <v>19</v>
      </c>
      <c r="H15" s="5">
        <v>52218</v>
      </c>
      <c r="I15" s="5" t="s">
        <v>95</v>
      </c>
      <c r="J15" s="5" t="s">
        <v>50</v>
      </c>
      <c r="K15" s="5" t="s">
        <v>94</v>
      </c>
      <c r="L15" s="11">
        <v>459000</v>
      </c>
      <c r="M15" s="5" t="s">
        <v>23</v>
      </c>
      <c r="N15" s="11" t="s">
        <v>23</v>
      </c>
      <c r="O15" s="11" t="s">
        <v>23</v>
      </c>
      <c r="P15" s="11" t="s">
        <v>23</v>
      </c>
      <c r="Q15" s="12" t="s">
        <v>23</v>
      </c>
    </row>
    <row r="16" spans="2:17" x14ac:dyDescent="0.25">
      <c r="B16" s="3" t="s">
        <v>13</v>
      </c>
      <c r="C16" s="5" t="s">
        <v>27</v>
      </c>
      <c r="D16" s="5" t="s">
        <v>23</v>
      </c>
      <c r="G16" s="8" t="s">
        <v>19</v>
      </c>
      <c r="H16" s="5">
        <v>149</v>
      </c>
      <c r="I16" s="5" t="s">
        <v>95</v>
      </c>
      <c r="J16" s="5" t="s">
        <v>50</v>
      </c>
      <c r="K16" s="5" t="s">
        <v>94</v>
      </c>
      <c r="L16" s="11">
        <v>76000</v>
      </c>
      <c r="M16" s="5" t="s">
        <v>23</v>
      </c>
      <c r="N16" s="11" t="s">
        <v>23</v>
      </c>
      <c r="O16" s="11" t="s">
        <v>23</v>
      </c>
      <c r="P16" s="11" t="s">
        <v>23</v>
      </c>
      <c r="Q16" s="12" t="s">
        <v>23</v>
      </c>
    </row>
    <row r="17" spans="2:17" x14ac:dyDescent="0.25">
      <c r="B17" s="3" t="s">
        <v>14</v>
      </c>
      <c r="C17" s="6" t="s">
        <v>24</v>
      </c>
      <c r="D17" s="5" t="s">
        <v>34</v>
      </c>
      <c r="G17" s="8" t="s">
        <v>19</v>
      </c>
      <c r="H17" s="5">
        <v>78782</v>
      </c>
      <c r="I17" s="5" t="s">
        <v>95</v>
      </c>
      <c r="J17" s="5" t="s">
        <v>50</v>
      </c>
      <c r="K17" s="5" t="s">
        <v>94</v>
      </c>
      <c r="L17" s="11">
        <v>237000</v>
      </c>
      <c r="M17" s="5" t="s">
        <v>82</v>
      </c>
      <c r="N17" s="11" t="s">
        <v>23</v>
      </c>
      <c r="O17" s="11" t="s">
        <v>23</v>
      </c>
      <c r="P17" s="11" t="s">
        <v>23</v>
      </c>
      <c r="Q17" s="12" t="s">
        <v>112</v>
      </c>
    </row>
    <row r="18" spans="2:17" x14ac:dyDescent="0.25">
      <c r="B18" s="2" t="s">
        <v>15</v>
      </c>
      <c r="C18" s="5" t="s">
        <v>26</v>
      </c>
      <c r="D18" s="5" t="s">
        <v>23</v>
      </c>
      <c r="G18" s="8" t="s">
        <v>19</v>
      </c>
      <c r="H18" s="5">
        <v>59250</v>
      </c>
      <c r="I18" s="5" t="s">
        <v>95</v>
      </c>
      <c r="J18" s="5" t="s">
        <v>50</v>
      </c>
      <c r="K18" s="5" t="s">
        <v>94</v>
      </c>
      <c r="L18" s="11">
        <v>165000</v>
      </c>
      <c r="M18" s="5" t="s">
        <v>23</v>
      </c>
      <c r="N18" s="11" t="s">
        <v>23</v>
      </c>
      <c r="O18" s="11" t="s">
        <v>23</v>
      </c>
      <c r="P18" s="11" t="s">
        <v>23</v>
      </c>
      <c r="Q18" s="12" t="s">
        <v>23</v>
      </c>
    </row>
    <row r="19" spans="2:17" x14ac:dyDescent="0.25">
      <c r="B19" s="3" t="s">
        <v>16</v>
      </c>
      <c r="C19" s="5" t="s">
        <v>26</v>
      </c>
      <c r="D19" s="5" t="s">
        <v>23</v>
      </c>
      <c r="G19" s="8" t="s">
        <v>19</v>
      </c>
      <c r="H19" s="5">
        <v>78780</v>
      </c>
      <c r="I19" s="5" t="s">
        <v>95</v>
      </c>
      <c r="J19" s="5" t="s">
        <v>50</v>
      </c>
      <c r="K19" s="5" t="s">
        <v>94</v>
      </c>
      <c r="L19" s="11">
        <v>142000</v>
      </c>
      <c r="M19" s="5" t="s">
        <v>82</v>
      </c>
      <c r="N19" s="11" t="s">
        <v>23</v>
      </c>
      <c r="O19" s="11" t="s">
        <v>23</v>
      </c>
      <c r="P19" s="11" t="s">
        <v>23</v>
      </c>
      <c r="Q19" s="12" t="s">
        <v>23</v>
      </c>
    </row>
    <row r="20" spans="2:17" x14ac:dyDescent="0.25">
      <c r="B20" s="3" t="s">
        <v>17</v>
      </c>
      <c r="C20" s="5" t="s">
        <v>26</v>
      </c>
      <c r="D20" s="5" t="s">
        <v>23</v>
      </c>
      <c r="G20" s="8" t="s">
        <v>19</v>
      </c>
      <c r="H20" s="5">
        <v>78781</v>
      </c>
      <c r="I20" s="5" t="s">
        <v>95</v>
      </c>
      <c r="J20" s="5" t="s">
        <v>50</v>
      </c>
      <c r="K20" s="5" t="s">
        <v>94</v>
      </c>
      <c r="L20" s="11">
        <v>141000</v>
      </c>
      <c r="M20" s="5" t="s">
        <v>82</v>
      </c>
      <c r="N20" s="11" t="s">
        <v>23</v>
      </c>
      <c r="O20" s="11" t="s">
        <v>23</v>
      </c>
      <c r="P20" s="11" t="s">
        <v>23</v>
      </c>
      <c r="Q20" s="12" t="s">
        <v>23</v>
      </c>
    </row>
    <row r="21" spans="2:17" x14ac:dyDescent="0.25">
      <c r="B21" s="3" t="s">
        <v>18</v>
      </c>
      <c r="C21" s="5" t="s">
        <v>25</v>
      </c>
      <c r="D21" s="5" t="s">
        <v>23</v>
      </c>
      <c r="G21" s="8" t="s">
        <v>19</v>
      </c>
      <c r="H21" s="5">
        <v>78783</v>
      </c>
      <c r="I21" s="5" t="s">
        <v>95</v>
      </c>
      <c r="J21" s="5" t="s">
        <v>50</v>
      </c>
      <c r="K21" s="5" t="s">
        <v>94</v>
      </c>
      <c r="L21" s="11">
        <v>142000</v>
      </c>
      <c r="M21" s="5" t="s">
        <v>82</v>
      </c>
      <c r="N21" s="11" t="s">
        <v>23</v>
      </c>
      <c r="O21" s="11" t="s">
        <v>23</v>
      </c>
      <c r="P21" s="11" t="s">
        <v>23</v>
      </c>
      <c r="Q21" s="12" t="s">
        <v>23</v>
      </c>
    </row>
    <row r="22" spans="2:17" x14ac:dyDescent="0.25">
      <c r="B22" s="3" t="s">
        <v>19</v>
      </c>
      <c r="C22" s="6" t="s">
        <v>24</v>
      </c>
      <c r="D22" s="6" t="s">
        <v>24</v>
      </c>
      <c r="G22" s="8" t="s">
        <v>19</v>
      </c>
      <c r="H22" s="5">
        <v>78784</v>
      </c>
      <c r="I22" s="5" t="s">
        <v>95</v>
      </c>
      <c r="J22" s="5" t="s">
        <v>50</v>
      </c>
      <c r="K22" s="5" t="s">
        <v>94</v>
      </c>
      <c r="L22" s="11">
        <v>142000</v>
      </c>
      <c r="M22" s="5" t="s">
        <v>82</v>
      </c>
      <c r="N22" s="11" t="s">
        <v>23</v>
      </c>
      <c r="O22" s="11" t="s">
        <v>23</v>
      </c>
      <c r="P22" s="11" t="s">
        <v>23</v>
      </c>
      <c r="Q22" s="12" t="s">
        <v>23</v>
      </c>
    </row>
    <row r="23" spans="2:17" x14ac:dyDescent="0.25">
      <c r="B23" s="3" t="s">
        <v>20</v>
      </c>
      <c r="C23" s="6" t="s">
        <v>24</v>
      </c>
      <c r="D23" s="6" t="s">
        <v>24</v>
      </c>
      <c r="G23" s="8" t="s">
        <v>19</v>
      </c>
      <c r="H23" s="5">
        <v>78785</v>
      </c>
      <c r="I23" s="5" t="s">
        <v>95</v>
      </c>
      <c r="J23" s="5" t="s">
        <v>50</v>
      </c>
      <c r="K23" s="5" t="s">
        <v>94</v>
      </c>
      <c r="L23" s="11">
        <v>142000</v>
      </c>
      <c r="M23" s="5" t="s">
        <v>82</v>
      </c>
      <c r="N23" s="11" t="s">
        <v>23</v>
      </c>
      <c r="O23" s="11" t="s">
        <v>23</v>
      </c>
      <c r="P23" s="11" t="s">
        <v>23</v>
      </c>
      <c r="Q23" s="12" t="s">
        <v>23</v>
      </c>
    </row>
    <row r="24" spans="2:17" x14ac:dyDescent="0.25">
      <c r="G24" s="8" t="s">
        <v>19</v>
      </c>
      <c r="H24" s="5">
        <v>78786</v>
      </c>
      <c r="I24" s="5" t="s">
        <v>95</v>
      </c>
      <c r="J24" s="5" t="s">
        <v>50</v>
      </c>
      <c r="K24" s="5" t="s">
        <v>94</v>
      </c>
      <c r="L24" s="11">
        <v>142000</v>
      </c>
      <c r="M24" s="5" t="s">
        <v>82</v>
      </c>
      <c r="N24" s="11" t="s">
        <v>23</v>
      </c>
      <c r="O24" s="11" t="s">
        <v>23</v>
      </c>
      <c r="P24" s="11" t="s">
        <v>23</v>
      </c>
      <c r="Q24" s="12" t="s">
        <v>23</v>
      </c>
    </row>
    <row r="25" spans="2:17" x14ac:dyDescent="0.25">
      <c r="G25" s="8" t="s">
        <v>19</v>
      </c>
      <c r="H25" s="5">
        <v>78787</v>
      </c>
      <c r="I25" s="5" t="s">
        <v>95</v>
      </c>
      <c r="J25" s="5" t="s">
        <v>50</v>
      </c>
      <c r="K25" s="5" t="s">
        <v>94</v>
      </c>
      <c r="L25" s="11">
        <v>142000</v>
      </c>
      <c r="M25" s="5" t="s">
        <v>82</v>
      </c>
      <c r="N25" s="11" t="s">
        <v>23</v>
      </c>
      <c r="O25" s="11" t="s">
        <v>23</v>
      </c>
      <c r="P25" s="11" t="s">
        <v>23</v>
      </c>
      <c r="Q25" s="12" t="s">
        <v>23</v>
      </c>
    </row>
    <row r="26" spans="2:17" x14ac:dyDescent="0.25">
      <c r="G26" s="8" t="s">
        <v>19</v>
      </c>
      <c r="H26" s="5">
        <v>59252</v>
      </c>
      <c r="I26" s="5" t="s">
        <v>95</v>
      </c>
      <c r="J26" s="5" t="s">
        <v>50</v>
      </c>
      <c r="K26" s="5" t="s">
        <v>94</v>
      </c>
      <c r="L26" s="11">
        <v>142000</v>
      </c>
      <c r="M26" s="5" t="s">
        <v>23</v>
      </c>
      <c r="N26" s="11" t="s">
        <v>23</v>
      </c>
      <c r="O26" s="11" t="s">
        <v>23</v>
      </c>
      <c r="P26" s="11" t="s">
        <v>23</v>
      </c>
      <c r="Q26" s="12" t="s">
        <v>23</v>
      </c>
    </row>
    <row r="27" spans="2:17" x14ac:dyDescent="0.25">
      <c r="G27" s="8" t="s">
        <v>19</v>
      </c>
      <c r="H27" s="5">
        <v>59251</v>
      </c>
      <c r="I27" s="5" t="s">
        <v>95</v>
      </c>
      <c r="J27" s="5" t="s">
        <v>50</v>
      </c>
      <c r="K27" s="5" t="s">
        <v>94</v>
      </c>
      <c r="L27" s="11">
        <v>142000</v>
      </c>
      <c r="M27" s="5" t="s">
        <v>23</v>
      </c>
      <c r="N27" s="11" t="s">
        <v>23</v>
      </c>
      <c r="O27" s="11" t="s">
        <v>23</v>
      </c>
      <c r="P27" s="11" t="s">
        <v>23</v>
      </c>
      <c r="Q27" s="12" t="s">
        <v>23</v>
      </c>
    </row>
    <row r="28" spans="2:17" x14ac:dyDescent="0.25">
      <c r="G28" s="8" t="s">
        <v>19</v>
      </c>
      <c r="H28" s="5">
        <v>102753</v>
      </c>
      <c r="I28" s="5" t="s">
        <v>95</v>
      </c>
      <c r="J28" s="5" t="s">
        <v>50</v>
      </c>
      <c r="K28" s="5" t="s">
        <v>94</v>
      </c>
      <c r="L28" s="11">
        <v>118000</v>
      </c>
      <c r="M28" s="5" t="s">
        <v>82</v>
      </c>
      <c r="N28" s="11" t="s">
        <v>23</v>
      </c>
      <c r="O28" s="11" t="s">
        <v>23</v>
      </c>
      <c r="P28" s="11" t="s">
        <v>23</v>
      </c>
      <c r="Q28" s="12" t="s">
        <v>113</v>
      </c>
    </row>
    <row r="29" spans="2:17" x14ac:dyDescent="0.25">
      <c r="G29" s="8" t="s">
        <v>19</v>
      </c>
      <c r="H29" s="5">
        <v>102754</v>
      </c>
      <c r="I29" s="5" t="s">
        <v>95</v>
      </c>
      <c r="J29" s="5" t="s">
        <v>50</v>
      </c>
      <c r="K29" s="5" t="s">
        <v>94</v>
      </c>
      <c r="L29" s="11">
        <v>118000</v>
      </c>
      <c r="M29" s="5" t="s">
        <v>82</v>
      </c>
      <c r="N29" s="11" t="s">
        <v>23</v>
      </c>
      <c r="O29" s="11" t="s">
        <v>23</v>
      </c>
      <c r="P29" s="11" t="s">
        <v>23</v>
      </c>
      <c r="Q29" s="11" t="s">
        <v>23</v>
      </c>
    </row>
    <row r="30" spans="2:17" x14ac:dyDescent="0.25">
      <c r="G30" s="8" t="s">
        <v>19</v>
      </c>
      <c r="H30" s="5">
        <v>36052</v>
      </c>
      <c r="I30" s="5" t="s">
        <v>95</v>
      </c>
      <c r="J30" s="5" t="s">
        <v>50</v>
      </c>
      <c r="K30" s="5" t="s">
        <v>93</v>
      </c>
      <c r="L30" s="11">
        <v>122000</v>
      </c>
      <c r="M30" s="5" t="s">
        <v>23</v>
      </c>
      <c r="N30" s="11" t="s">
        <v>23</v>
      </c>
      <c r="O30" s="11" t="s">
        <v>23</v>
      </c>
      <c r="P30" s="11" t="s">
        <v>23</v>
      </c>
      <c r="Q30" s="12" t="s">
        <v>23</v>
      </c>
    </row>
    <row r="31" spans="2:17" x14ac:dyDescent="0.25">
      <c r="G31" s="8" t="s">
        <v>19</v>
      </c>
      <c r="H31" s="5">
        <v>36053</v>
      </c>
      <c r="I31" s="5" t="s">
        <v>95</v>
      </c>
      <c r="J31" s="5" t="s">
        <v>50</v>
      </c>
      <c r="K31" s="5" t="s">
        <v>93</v>
      </c>
      <c r="L31" s="11">
        <v>105000</v>
      </c>
      <c r="M31" s="5" t="s">
        <v>23</v>
      </c>
      <c r="N31" s="11" t="s">
        <v>23</v>
      </c>
      <c r="O31" s="11" t="s">
        <v>23</v>
      </c>
      <c r="P31" s="11" t="s">
        <v>23</v>
      </c>
      <c r="Q31" s="12" t="s">
        <v>23</v>
      </c>
    </row>
    <row r="32" spans="2:17" x14ac:dyDescent="0.25">
      <c r="G32" s="8" t="s">
        <v>19</v>
      </c>
      <c r="H32" s="5">
        <v>96154</v>
      </c>
      <c r="I32" s="5" t="s">
        <v>95</v>
      </c>
      <c r="J32" s="5" t="s">
        <v>50</v>
      </c>
      <c r="K32" s="5" t="s">
        <v>94</v>
      </c>
      <c r="L32" s="11">
        <v>131000</v>
      </c>
      <c r="M32" s="5" t="s">
        <v>23</v>
      </c>
      <c r="N32" s="11" t="s">
        <v>23</v>
      </c>
      <c r="O32" s="11" t="s">
        <v>23</v>
      </c>
      <c r="P32" s="11" t="s">
        <v>23</v>
      </c>
      <c r="Q32" s="12" t="s">
        <v>23</v>
      </c>
    </row>
    <row r="33" spans="7:18" x14ac:dyDescent="0.25">
      <c r="G33" s="8" t="s">
        <v>19</v>
      </c>
      <c r="H33" s="5">
        <v>96155</v>
      </c>
      <c r="I33" s="5" t="s">
        <v>95</v>
      </c>
      <c r="J33" s="5" t="s">
        <v>50</v>
      </c>
      <c r="K33" s="5" t="s">
        <v>94</v>
      </c>
      <c r="L33" s="11">
        <v>131000</v>
      </c>
      <c r="M33" s="5" t="s">
        <v>23</v>
      </c>
      <c r="N33" s="11" t="s">
        <v>23</v>
      </c>
      <c r="O33" s="11" t="s">
        <v>23</v>
      </c>
      <c r="P33" s="11" t="s">
        <v>23</v>
      </c>
      <c r="Q33" s="12" t="s">
        <v>23</v>
      </c>
    </row>
    <row r="34" spans="7:18" x14ac:dyDescent="0.25">
      <c r="G34" s="8" t="s">
        <v>19</v>
      </c>
      <c r="H34" s="5">
        <v>96157</v>
      </c>
      <c r="I34" s="5" t="s">
        <v>95</v>
      </c>
      <c r="J34" s="5" t="s">
        <v>50</v>
      </c>
      <c r="K34" s="5" t="s">
        <v>94</v>
      </c>
      <c r="L34" s="11">
        <v>65000</v>
      </c>
      <c r="M34" s="5" t="s">
        <v>23</v>
      </c>
      <c r="N34" s="11" t="s">
        <v>23</v>
      </c>
      <c r="O34" s="11" t="s">
        <v>23</v>
      </c>
      <c r="P34" s="11" t="s">
        <v>23</v>
      </c>
      <c r="Q34" s="12" t="s">
        <v>23</v>
      </c>
    </row>
    <row r="35" spans="7:18" x14ac:dyDescent="0.25">
      <c r="G35" s="8" t="s">
        <v>19</v>
      </c>
      <c r="H35" s="5">
        <v>96156</v>
      </c>
      <c r="I35" s="5" t="s">
        <v>95</v>
      </c>
      <c r="J35" s="5" t="s">
        <v>50</v>
      </c>
      <c r="K35" s="5" t="s">
        <v>94</v>
      </c>
      <c r="L35" s="11">
        <v>65000</v>
      </c>
      <c r="M35" s="5" t="s">
        <v>23</v>
      </c>
      <c r="N35" s="11" t="s">
        <v>23</v>
      </c>
      <c r="O35" s="11" t="s">
        <v>23</v>
      </c>
      <c r="P35" s="11" t="s">
        <v>23</v>
      </c>
      <c r="Q35" s="12" t="s">
        <v>23</v>
      </c>
    </row>
    <row r="36" spans="7:18" x14ac:dyDescent="0.25">
      <c r="G36" s="8" t="s">
        <v>19</v>
      </c>
      <c r="H36" s="5">
        <v>96158</v>
      </c>
      <c r="I36" s="5" t="s">
        <v>95</v>
      </c>
      <c r="J36" s="5" t="s">
        <v>50</v>
      </c>
      <c r="K36" s="5" t="s">
        <v>93</v>
      </c>
      <c r="L36" s="11">
        <v>101000</v>
      </c>
      <c r="M36" s="5" t="s">
        <v>23</v>
      </c>
      <c r="N36" s="11" t="s">
        <v>23</v>
      </c>
      <c r="O36" s="11" t="s">
        <v>23</v>
      </c>
      <c r="P36" s="11" t="s">
        <v>23</v>
      </c>
      <c r="Q36" s="12" t="s">
        <v>23</v>
      </c>
    </row>
    <row r="37" spans="7:18" x14ac:dyDescent="0.25">
      <c r="G37" s="8" t="s">
        <v>19</v>
      </c>
      <c r="H37" s="5">
        <v>116945</v>
      </c>
      <c r="I37" s="5" t="s">
        <v>96</v>
      </c>
      <c r="J37" s="5" t="s">
        <v>50</v>
      </c>
      <c r="K37" s="5" t="s">
        <v>94</v>
      </c>
      <c r="L37" s="11">
        <v>0</v>
      </c>
      <c r="M37" s="5" t="s">
        <v>23</v>
      </c>
      <c r="N37" s="11" t="s">
        <v>23</v>
      </c>
      <c r="O37" s="11" t="s">
        <v>23</v>
      </c>
      <c r="P37" s="11" t="s">
        <v>23</v>
      </c>
      <c r="Q37" s="12" t="s">
        <v>23</v>
      </c>
    </row>
    <row r="38" spans="7:18" x14ac:dyDescent="0.25">
      <c r="G38" s="8" t="s">
        <v>19</v>
      </c>
      <c r="H38" s="5">
        <v>116946</v>
      </c>
      <c r="I38" s="5" t="s">
        <v>96</v>
      </c>
      <c r="J38" s="5" t="s">
        <v>50</v>
      </c>
      <c r="K38" s="5" t="s">
        <v>94</v>
      </c>
      <c r="L38" s="11">
        <v>0</v>
      </c>
      <c r="M38" s="5" t="s">
        <v>23</v>
      </c>
      <c r="N38" s="11" t="s">
        <v>23</v>
      </c>
      <c r="O38" s="11" t="s">
        <v>23</v>
      </c>
      <c r="P38" s="11" t="s">
        <v>23</v>
      </c>
      <c r="Q38" s="12" t="s">
        <v>23</v>
      </c>
    </row>
    <row r="39" spans="7:18" x14ac:dyDescent="0.25">
      <c r="G39" s="8" t="s">
        <v>19</v>
      </c>
      <c r="H39" s="5">
        <v>6660</v>
      </c>
      <c r="I39" s="5" t="s">
        <v>95</v>
      </c>
      <c r="J39" s="5" t="s">
        <v>50</v>
      </c>
      <c r="K39" s="5" t="s">
        <v>93</v>
      </c>
      <c r="L39" s="11">
        <v>641129.68999999994</v>
      </c>
      <c r="M39" s="5" t="s">
        <v>23</v>
      </c>
      <c r="N39" s="11" t="s">
        <v>23</v>
      </c>
      <c r="O39" s="11" t="s">
        <v>23</v>
      </c>
      <c r="P39" s="11" t="s">
        <v>23</v>
      </c>
      <c r="Q39" s="12" t="s">
        <v>114</v>
      </c>
    </row>
    <row r="40" spans="7:18" x14ac:dyDescent="0.25">
      <c r="G40" s="8" t="s">
        <v>19</v>
      </c>
      <c r="H40" s="5">
        <v>11055</v>
      </c>
      <c r="I40" s="5" t="s">
        <v>95</v>
      </c>
      <c r="J40" s="5" t="s">
        <v>50</v>
      </c>
      <c r="K40" s="5" t="s">
        <v>93</v>
      </c>
      <c r="L40" s="11">
        <v>610712.44333333336</v>
      </c>
      <c r="M40" s="5" t="s">
        <v>23</v>
      </c>
      <c r="N40" s="11" t="s">
        <v>23</v>
      </c>
      <c r="O40" s="11" t="s">
        <v>23</v>
      </c>
      <c r="P40" s="11" t="s">
        <v>23</v>
      </c>
      <c r="Q40" s="12" t="s">
        <v>114</v>
      </c>
    </row>
    <row r="41" spans="7:18" x14ac:dyDescent="0.25">
      <c r="G41" s="8" t="s">
        <v>19</v>
      </c>
      <c r="H41" s="5">
        <v>11054</v>
      </c>
      <c r="I41" s="5" t="s">
        <v>95</v>
      </c>
      <c r="J41" s="5" t="s">
        <v>50</v>
      </c>
      <c r="K41" s="5" t="s">
        <v>93</v>
      </c>
      <c r="L41" s="11">
        <v>245759.53333333333</v>
      </c>
      <c r="M41" s="5" t="s">
        <v>23</v>
      </c>
      <c r="N41" s="11" t="s">
        <v>23</v>
      </c>
      <c r="O41" s="11" t="s">
        <v>23</v>
      </c>
      <c r="P41" s="11" t="s">
        <v>23</v>
      </c>
      <c r="Q41" s="12" t="s">
        <v>114</v>
      </c>
    </row>
    <row r="42" spans="7:18" x14ac:dyDescent="0.25">
      <c r="G42" s="8" t="s">
        <v>19</v>
      </c>
      <c r="H42" s="5">
        <v>6529</v>
      </c>
      <c r="I42" s="5" t="s">
        <v>95</v>
      </c>
      <c r="J42" s="5" t="s">
        <v>50</v>
      </c>
      <c r="K42" s="5" t="s">
        <v>94</v>
      </c>
      <c r="L42" s="11">
        <v>293000</v>
      </c>
      <c r="M42" s="5" t="s">
        <v>23</v>
      </c>
      <c r="N42" s="11" t="s">
        <v>23</v>
      </c>
      <c r="O42" s="11" t="s">
        <v>23</v>
      </c>
      <c r="P42" s="11" t="s">
        <v>23</v>
      </c>
      <c r="Q42" s="12" t="s">
        <v>23</v>
      </c>
    </row>
    <row r="43" spans="7:18" x14ac:dyDescent="0.25">
      <c r="G43" s="8" t="s">
        <v>19</v>
      </c>
      <c r="H43" s="5">
        <v>53194</v>
      </c>
      <c r="I43" s="5" t="s">
        <v>95</v>
      </c>
      <c r="J43" s="5" t="s">
        <v>50</v>
      </c>
      <c r="K43" s="5" t="s">
        <v>94</v>
      </c>
      <c r="L43" s="11">
        <v>290000</v>
      </c>
      <c r="M43" s="5" t="s">
        <v>23</v>
      </c>
      <c r="N43" s="11" t="s">
        <v>23</v>
      </c>
      <c r="O43" s="11" t="s">
        <v>23</v>
      </c>
      <c r="P43" s="11" t="s">
        <v>23</v>
      </c>
      <c r="Q43" s="12" t="s">
        <v>23</v>
      </c>
    </row>
    <row r="44" spans="7:18" x14ac:dyDescent="0.25">
      <c r="G44" s="8" t="s">
        <v>19</v>
      </c>
      <c r="H44" s="5">
        <v>6549</v>
      </c>
      <c r="I44" s="5" t="s">
        <v>95</v>
      </c>
      <c r="J44" s="5" t="s">
        <v>50</v>
      </c>
      <c r="K44" s="5" t="s">
        <v>94</v>
      </c>
      <c r="L44" s="11">
        <v>0</v>
      </c>
      <c r="M44" s="5" t="s">
        <v>23</v>
      </c>
      <c r="N44" s="11" t="s">
        <v>23</v>
      </c>
      <c r="O44" s="11" t="s">
        <v>23</v>
      </c>
      <c r="P44" s="11" t="s">
        <v>23</v>
      </c>
      <c r="Q44" s="12" t="s">
        <v>23</v>
      </c>
    </row>
    <row r="45" spans="7:18" x14ac:dyDescent="0.25">
      <c r="G45" s="8" t="s">
        <v>19</v>
      </c>
      <c r="H45" s="5">
        <v>96153</v>
      </c>
      <c r="I45" s="5" t="s">
        <v>95</v>
      </c>
      <c r="J45" s="5" t="s">
        <v>50</v>
      </c>
      <c r="K45" s="5" t="s">
        <v>94</v>
      </c>
      <c r="L45" s="11">
        <v>131000</v>
      </c>
      <c r="M45" s="5" t="s">
        <v>23</v>
      </c>
      <c r="N45" s="11" t="s">
        <v>23</v>
      </c>
      <c r="O45" s="11" t="s">
        <v>23</v>
      </c>
      <c r="P45" s="11" t="s">
        <v>23</v>
      </c>
      <c r="Q45" s="12" t="s">
        <v>23</v>
      </c>
    </row>
    <row r="46" spans="7:18" x14ac:dyDescent="0.25">
      <c r="G46" s="9" t="s">
        <v>20</v>
      </c>
      <c r="H46" s="10">
        <v>579</v>
      </c>
      <c r="I46" s="5" t="s">
        <v>71</v>
      </c>
      <c r="J46" s="5" t="s">
        <v>72</v>
      </c>
      <c r="K46" s="5" t="s">
        <v>84</v>
      </c>
      <c r="L46" s="11">
        <v>456947</v>
      </c>
      <c r="M46" s="5" t="s">
        <v>46</v>
      </c>
      <c r="N46" s="11">
        <v>900000</v>
      </c>
      <c r="O46" s="11">
        <v>900000</v>
      </c>
      <c r="P46" s="11">
        <v>0</v>
      </c>
      <c r="Q46" s="12" t="s">
        <v>23</v>
      </c>
    </row>
    <row r="47" spans="7:18" x14ac:dyDescent="0.25">
      <c r="G47" s="9" t="s">
        <v>20</v>
      </c>
      <c r="H47" s="10">
        <v>1615</v>
      </c>
      <c r="I47" s="5" t="s">
        <v>73</v>
      </c>
      <c r="J47" s="5" t="s">
        <v>58</v>
      </c>
      <c r="K47" s="5" t="s">
        <v>92</v>
      </c>
      <c r="L47" s="11">
        <v>4741799</v>
      </c>
      <c r="M47" s="5" t="s">
        <v>46</v>
      </c>
      <c r="N47" s="11">
        <v>7000000</v>
      </c>
      <c r="O47" s="11">
        <v>7000000</v>
      </c>
      <c r="P47" s="11">
        <v>0</v>
      </c>
      <c r="Q47" s="12" t="s">
        <v>23</v>
      </c>
      <c r="R47" s="12"/>
    </row>
    <row r="48" spans="7:18" x14ac:dyDescent="0.25">
      <c r="G48" s="9" t="s">
        <v>20</v>
      </c>
      <c r="H48" s="10">
        <v>23697</v>
      </c>
      <c r="I48" s="5" t="s">
        <v>67</v>
      </c>
      <c r="J48" s="5" t="s">
        <v>48</v>
      </c>
      <c r="K48" s="5" t="s">
        <v>92</v>
      </c>
      <c r="L48" s="11">
        <v>9790000</v>
      </c>
      <c r="M48" s="5" t="s">
        <v>46</v>
      </c>
      <c r="N48" s="11">
        <v>26000000</v>
      </c>
      <c r="O48" s="11">
        <v>10400000</v>
      </c>
      <c r="P48" s="11">
        <v>21143113</v>
      </c>
      <c r="Q48" s="12" t="s">
        <v>23</v>
      </c>
    </row>
    <row r="49" spans="7:17" x14ac:dyDescent="0.25">
      <c r="G49" s="9" t="s">
        <v>20</v>
      </c>
      <c r="H49" s="10">
        <v>25510</v>
      </c>
      <c r="I49" s="5" t="s">
        <v>74</v>
      </c>
      <c r="J49" s="5" t="s">
        <v>75</v>
      </c>
      <c r="K49" s="5" t="s">
        <v>92</v>
      </c>
      <c r="L49" s="11">
        <v>11395570</v>
      </c>
      <c r="M49" s="5" t="s">
        <v>46</v>
      </c>
      <c r="N49" s="11">
        <v>12500000</v>
      </c>
      <c r="O49" s="11">
        <v>12500000</v>
      </c>
      <c r="P49" s="11">
        <v>0</v>
      </c>
      <c r="Q49" s="12" t="s">
        <v>23</v>
      </c>
    </row>
    <row r="50" spans="7:17" x14ac:dyDescent="0.25">
      <c r="G50" s="9" t="s">
        <v>20</v>
      </c>
      <c r="H50" s="10">
        <v>6896</v>
      </c>
      <c r="I50" s="5" t="s">
        <v>47</v>
      </c>
      <c r="J50" s="5" t="s">
        <v>48</v>
      </c>
      <c r="K50" s="5" t="s">
        <v>83</v>
      </c>
      <c r="L50" s="11">
        <v>4881552</v>
      </c>
      <c r="M50" s="5" t="s">
        <v>46</v>
      </c>
      <c r="N50" s="11">
        <v>18000000</v>
      </c>
      <c r="O50" s="11">
        <v>18000000</v>
      </c>
      <c r="P50" s="11">
        <v>0</v>
      </c>
      <c r="Q50" s="12" t="s">
        <v>23</v>
      </c>
    </row>
    <row r="51" spans="7:17" x14ac:dyDescent="0.25">
      <c r="G51" s="9" t="s">
        <v>20</v>
      </c>
      <c r="H51" s="10">
        <v>8112</v>
      </c>
      <c r="I51" s="5" t="s">
        <v>49</v>
      </c>
      <c r="J51" s="5" t="s">
        <v>50</v>
      </c>
      <c r="K51" s="5" t="s">
        <v>84</v>
      </c>
      <c r="L51" s="11">
        <v>15901140</v>
      </c>
      <c r="M51" s="5" t="s">
        <v>23</v>
      </c>
      <c r="N51" s="11" t="s">
        <v>23</v>
      </c>
      <c r="O51" s="11" t="s">
        <v>23</v>
      </c>
      <c r="P51" s="11" t="s">
        <v>23</v>
      </c>
      <c r="Q51" s="12" t="s">
        <v>115</v>
      </c>
    </row>
    <row r="52" spans="7:17" x14ac:dyDescent="0.25">
      <c r="G52" s="9" t="s">
        <v>20</v>
      </c>
      <c r="H52" s="10">
        <v>58840</v>
      </c>
      <c r="I52" s="5" t="s">
        <v>51</v>
      </c>
      <c r="J52" s="5" t="s">
        <v>50</v>
      </c>
      <c r="K52" s="5" t="s">
        <v>85</v>
      </c>
      <c r="L52" s="11">
        <v>10516463</v>
      </c>
      <c r="M52" s="5" t="s">
        <v>82</v>
      </c>
      <c r="N52" s="11" t="s">
        <v>23</v>
      </c>
      <c r="O52" s="11" t="s">
        <v>23</v>
      </c>
      <c r="P52" s="11" t="s">
        <v>23</v>
      </c>
      <c r="Q52" s="12" t="s">
        <v>116</v>
      </c>
    </row>
    <row r="53" spans="7:17" x14ac:dyDescent="0.25">
      <c r="G53" s="9" t="s">
        <v>20</v>
      </c>
      <c r="H53" s="10">
        <v>39606</v>
      </c>
      <c r="I53" s="5" t="s">
        <v>52</v>
      </c>
      <c r="J53" s="5" t="s">
        <v>50</v>
      </c>
      <c r="K53" s="5" t="s">
        <v>85</v>
      </c>
      <c r="L53" s="11">
        <v>7883985</v>
      </c>
      <c r="M53" s="5" t="s">
        <v>82</v>
      </c>
      <c r="N53" s="11">
        <v>12000000</v>
      </c>
      <c r="O53" s="11" t="s">
        <v>23</v>
      </c>
      <c r="P53" s="11" t="s">
        <v>23</v>
      </c>
      <c r="Q53" s="18" t="s">
        <v>118</v>
      </c>
    </row>
    <row r="54" spans="7:17" x14ac:dyDescent="0.25">
      <c r="G54" s="9" t="s">
        <v>20</v>
      </c>
      <c r="H54" s="10">
        <v>26999</v>
      </c>
      <c r="I54" s="5" t="s">
        <v>53</v>
      </c>
      <c r="J54" s="5" t="s">
        <v>50</v>
      </c>
      <c r="K54" s="5" t="s">
        <v>85</v>
      </c>
      <c r="L54" s="11">
        <v>6484813</v>
      </c>
      <c r="M54" s="5" t="s">
        <v>23</v>
      </c>
      <c r="N54" s="11" t="s">
        <v>23</v>
      </c>
      <c r="O54" s="11" t="s">
        <v>23</v>
      </c>
      <c r="P54" s="11" t="s">
        <v>23</v>
      </c>
      <c r="Q54" s="12" t="s">
        <v>119</v>
      </c>
    </row>
    <row r="55" spans="7:17" x14ac:dyDescent="0.25">
      <c r="G55" s="9" t="s">
        <v>20</v>
      </c>
      <c r="H55" s="10">
        <v>35948</v>
      </c>
      <c r="I55" s="5" t="s">
        <v>54</v>
      </c>
      <c r="J55" s="5" t="s">
        <v>50</v>
      </c>
      <c r="K55" s="5" t="s">
        <v>85</v>
      </c>
      <c r="L55" s="11">
        <v>2615352</v>
      </c>
      <c r="M55" s="5" t="s">
        <v>23</v>
      </c>
      <c r="N55" s="11" t="s">
        <v>23</v>
      </c>
      <c r="O55" s="11" t="s">
        <v>23</v>
      </c>
      <c r="P55" s="11" t="s">
        <v>23</v>
      </c>
      <c r="Q55" s="12" t="s">
        <v>23</v>
      </c>
    </row>
    <row r="56" spans="7:17" x14ac:dyDescent="0.25">
      <c r="G56" s="9" t="s">
        <v>20</v>
      </c>
      <c r="H56" s="10">
        <v>360</v>
      </c>
      <c r="I56" s="5" t="s">
        <v>55</v>
      </c>
      <c r="J56" s="5" t="s">
        <v>50</v>
      </c>
      <c r="K56" s="5" t="s">
        <v>86</v>
      </c>
      <c r="L56" s="11">
        <v>2199235</v>
      </c>
      <c r="M56" s="5" t="s">
        <v>82</v>
      </c>
      <c r="N56" s="11">
        <v>4000000</v>
      </c>
      <c r="O56" s="11" t="s">
        <v>23</v>
      </c>
      <c r="P56" s="11" t="s">
        <v>23</v>
      </c>
      <c r="Q56" s="12" t="s">
        <v>120</v>
      </c>
    </row>
    <row r="57" spans="7:17" x14ac:dyDescent="0.25">
      <c r="G57" s="9" t="s">
        <v>20</v>
      </c>
      <c r="H57" s="10">
        <v>25766</v>
      </c>
      <c r="I57" s="5" t="s">
        <v>56</v>
      </c>
      <c r="J57" s="5" t="s">
        <v>50</v>
      </c>
      <c r="K57" s="5" t="s">
        <v>84</v>
      </c>
      <c r="L57" s="11">
        <v>1537000</v>
      </c>
      <c r="M57" s="5" t="s">
        <v>23</v>
      </c>
      <c r="N57" s="11" t="s">
        <v>23</v>
      </c>
      <c r="O57" s="11" t="s">
        <v>23</v>
      </c>
      <c r="P57" s="11" t="s">
        <v>23</v>
      </c>
      <c r="Q57" s="12" t="s">
        <v>23</v>
      </c>
    </row>
    <row r="58" spans="7:17" x14ac:dyDescent="0.25">
      <c r="G58" s="9" t="s">
        <v>20</v>
      </c>
      <c r="H58" s="10">
        <v>2053</v>
      </c>
      <c r="I58" s="5" t="s">
        <v>57</v>
      </c>
      <c r="J58" s="5" t="s">
        <v>58</v>
      </c>
      <c r="K58" s="5" t="s">
        <v>87</v>
      </c>
      <c r="L58" s="11">
        <v>1411200</v>
      </c>
      <c r="M58" s="5" t="s">
        <v>82</v>
      </c>
      <c r="N58" s="11">
        <v>5300000</v>
      </c>
      <c r="O58" s="11" t="s">
        <v>23</v>
      </c>
      <c r="P58" s="11" t="s">
        <v>23</v>
      </c>
      <c r="Q58" s="12" t="s">
        <v>122</v>
      </c>
    </row>
    <row r="59" spans="7:17" x14ac:dyDescent="0.25">
      <c r="G59" s="9" t="s">
        <v>20</v>
      </c>
      <c r="H59" s="10">
        <v>11142</v>
      </c>
      <c r="I59" s="5" t="s">
        <v>55</v>
      </c>
      <c r="J59" s="5" t="s">
        <v>50</v>
      </c>
      <c r="K59" s="5" t="s">
        <v>83</v>
      </c>
      <c r="L59" s="11">
        <v>1138106</v>
      </c>
      <c r="M59" s="5" t="s">
        <v>82</v>
      </c>
      <c r="N59" s="11" t="s">
        <v>81</v>
      </c>
      <c r="O59" s="11" t="s">
        <v>23</v>
      </c>
      <c r="P59" s="11" t="s">
        <v>23</v>
      </c>
      <c r="Q59" s="12" t="s">
        <v>23</v>
      </c>
    </row>
    <row r="60" spans="7:17" x14ac:dyDescent="0.25">
      <c r="G60" s="9" t="s">
        <v>20</v>
      </c>
      <c r="H60" s="10">
        <v>4379</v>
      </c>
      <c r="I60" s="5" t="s">
        <v>59</v>
      </c>
      <c r="J60" s="5" t="s">
        <v>50</v>
      </c>
      <c r="K60" s="5" t="s">
        <v>84</v>
      </c>
      <c r="L60" s="11">
        <v>709340</v>
      </c>
      <c r="M60" s="5" t="s">
        <v>23</v>
      </c>
      <c r="N60" s="11" t="s">
        <v>23</v>
      </c>
      <c r="O60" s="11" t="s">
        <v>23</v>
      </c>
      <c r="P60" s="11" t="s">
        <v>23</v>
      </c>
      <c r="Q60" s="12" t="s">
        <v>23</v>
      </c>
    </row>
    <row r="61" spans="7:17" x14ac:dyDescent="0.25">
      <c r="G61" s="9" t="s">
        <v>20</v>
      </c>
      <c r="H61" s="10">
        <v>1453</v>
      </c>
      <c r="I61" s="5" t="s">
        <v>60</v>
      </c>
      <c r="J61" s="5" t="s">
        <v>58</v>
      </c>
      <c r="K61" s="5" t="s">
        <v>84</v>
      </c>
      <c r="L61" s="11">
        <v>430072</v>
      </c>
      <c r="M61" s="5" t="s">
        <v>46</v>
      </c>
      <c r="N61" s="11">
        <v>7500000</v>
      </c>
      <c r="O61" s="11">
        <v>1500000</v>
      </c>
      <c r="P61" s="11" t="s">
        <v>23</v>
      </c>
      <c r="Q61" s="12" t="s">
        <v>123</v>
      </c>
    </row>
    <row r="62" spans="7:17" x14ac:dyDescent="0.25">
      <c r="G62" s="9" t="s">
        <v>20</v>
      </c>
      <c r="H62" s="10">
        <v>2629</v>
      </c>
      <c r="I62" s="5" t="s">
        <v>61</v>
      </c>
      <c r="J62" s="5" t="s">
        <v>48</v>
      </c>
      <c r="K62" s="5" t="s">
        <v>83</v>
      </c>
      <c r="L62" s="11">
        <v>411641</v>
      </c>
      <c r="M62" s="5" t="s">
        <v>82</v>
      </c>
      <c r="N62" s="11">
        <v>800000</v>
      </c>
      <c r="O62" s="11" t="s">
        <v>23</v>
      </c>
      <c r="P62" s="11" t="s">
        <v>23</v>
      </c>
      <c r="Q62" s="12" t="s">
        <v>23</v>
      </c>
    </row>
    <row r="63" spans="7:17" x14ac:dyDescent="0.25">
      <c r="G63" s="9" t="s">
        <v>20</v>
      </c>
      <c r="H63" s="10">
        <v>7632</v>
      </c>
      <c r="I63" s="5" t="s">
        <v>61</v>
      </c>
      <c r="J63" s="5" t="s">
        <v>48</v>
      </c>
      <c r="K63" s="5" t="s">
        <v>88</v>
      </c>
      <c r="L63" s="11">
        <v>316814</v>
      </c>
      <c r="M63" s="5" t="s">
        <v>82</v>
      </c>
      <c r="N63" s="11">
        <v>1300000</v>
      </c>
      <c r="O63" s="11" t="s">
        <v>23</v>
      </c>
      <c r="P63" s="11" t="s">
        <v>23</v>
      </c>
      <c r="Q63" s="12" t="s">
        <v>124</v>
      </c>
    </row>
    <row r="64" spans="7:17" x14ac:dyDescent="0.25">
      <c r="G64" s="9" t="s">
        <v>20</v>
      </c>
      <c r="H64" s="10">
        <v>3222</v>
      </c>
      <c r="I64" s="5" t="s">
        <v>61</v>
      </c>
      <c r="J64" s="5" t="s">
        <v>48</v>
      </c>
      <c r="K64" s="5" t="s">
        <v>89</v>
      </c>
      <c r="L64" s="11">
        <v>303218</v>
      </c>
      <c r="M64" s="5" t="s">
        <v>23</v>
      </c>
      <c r="N64" s="11" t="s">
        <v>23</v>
      </c>
      <c r="O64" s="11" t="s">
        <v>23</v>
      </c>
      <c r="P64" s="11" t="s">
        <v>23</v>
      </c>
      <c r="Q64" s="12" t="s">
        <v>23</v>
      </c>
    </row>
    <row r="65" spans="7:17" x14ac:dyDescent="0.25">
      <c r="G65" s="9" t="s">
        <v>20</v>
      </c>
      <c r="H65" s="10">
        <v>7047</v>
      </c>
      <c r="I65" s="5" t="s">
        <v>62</v>
      </c>
      <c r="J65" s="5" t="s">
        <v>50</v>
      </c>
      <c r="K65" s="5" t="s">
        <v>90</v>
      </c>
      <c r="L65" s="11">
        <v>198303</v>
      </c>
      <c r="M65" s="5" t="s">
        <v>23</v>
      </c>
      <c r="N65" s="11" t="s">
        <v>23</v>
      </c>
      <c r="O65" s="11" t="s">
        <v>23</v>
      </c>
      <c r="P65" s="11" t="s">
        <v>23</v>
      </c>
      <c r="Q65" s="12" t="s">
        <v>23</v>
      </c>
    </row>
    <row r="66" spans="7:17" x14ac:dyDescent="0.25">
      <c r="G66" s="9" t="s">
        <v>20</v>
      </c>
      <c r="H66" s="10">
        <v>51</v>
      </c>
      <c r="I66" s="5" t="s">
        <v>63</v>
      </c>
      <c r="J66" s="5" t="s">
        <v>50</v>
      </c>
      <c r="K66" s="5" t="s">
        <v>89</v>
      </c>
      <c r="L66" s="11">
        <v>164135.6925</v>
      </c>
      <c r="M66" s="5" t="s">
        <v>23</v>
      </c>
      <c r="N66" s="11" t="s">
        <v>23</v>
      </c>
      <c r="O66" s="11" t="s">
        <v>23</v>
      </c>
      <c r="P66" s="11" t="s">
        <v>23</v>
      </c>
      <c r="Q66" s="12" t="s">
        <v>23</v>
      </c>
    </row>
    <row r="67" spans="7:17" x14ac:dyDescent="0.25">
      <c r="G67" s="9" t="s">
        <v>20</v>
      </c>
      <c r="H67" s="10">
        <v>147628</v>
      </c>
      <c r="I67" s="5" t="s">
        <v>64</v>
      </c>
      <c r="J67" s="5" t="s">
        <v>65</v>
      </c>
      <c r="K67" s="5" t="s">
        <v>91</v>
      </c>
      <c r="L67" s="11">
        <v>86673</v>
      </c>
      <c r="M67" s="5" t="s">
        <v>23</v>
      </c>
      <c r="N67" s="11" t="s">
        <v>23</v>
      </c>
      <c r="O67" s="11" t="s">
        <v>23</v>
      </c>
      <c r="P67" s="11" t="s">
        <v>23</v>
      </c>
      <c r="Q67" s="12" t="s">
        <v>23</v>
      </c>
    </row>
    <row r="68" spans="7:17" x14ac:dyDescent="0.25">
      <c r="G68" s="9" t="s">
        <v>20</v>
      </c>
      <c r="H68" s="10">
        <v>11444</v>
      </c>
      <c r="I68" s="5" t="s">
        <v>66</v>
      </c>
      <c r="J68" s="5" t="s">
        <v>48</v>
      </c>
      <c r="K68" s="5" t="s">
        <v>85</v>
      </c>
      <c r="L68" s="11">
        <v>86186.756600000008</v>
      </c>
      <c r="M68" s="5" t="s">
        <v>23</v>
      </c>
      <c r="N68" s="11" t="s">
        <v>23</v>
      </c>
      <c r="O68" s="11" t="s">
        <v>23</v>
      </c>
      <c r="P68" s="11" t="s">
        <v>23</v>
      </c>
      <c r="Q68" s="12" t="s">
        <v>23</v>
      </c>
    </row>
    <row r="69" spans="7:17" x14ac:dyDescent="0.25">
      <c r="G69" s="9" t="s">
        <v>20</v>
      </c>
      <c r="H69" s="10">
        <v>39607</v>
      </c>
      <c r="I69" s="5" t="s">
        <v>52</v>
      </c>
      <c r="J69" s="5" t="s">
        <v>50</v>
      </c>
      <c r="K69" s="5" t="s">
        <v>85</v>
      </c>
      <c r="L69" s="11" t="s">
        <v>45</v>
      </c>
      <c r="M69" s="5" t="s">
        <v>23</v>
      </c>
      <c r="N69" s="11" t="s">
        <v>23</v>
      </c>
      <c r="O69" s="11" t="s">
        <v>23</v>
      </c>
      <c r="P69" s="11" t="s">
        <v>23</v>
      </c>
      <c r="Q69" s="12" t="s">
        <v>23</v>
      </c>
    </row>
    <row r="70" spans="7:17" x14ac:dyDescent="0.25">
      <c r="G70" s="9" t="s">
        <v>20</v>
      </c>
      <c r="H70" s="10">
        <v>9218</v>
      </c>
      <c r="I70" s="5" t="s">
        <v>57</v>
      </c>
      <c r="J70" s="5" t="s">
        <v>58</v>
      </c>
      <c r="K70" s="5" t="s">
        <v>87</v>
      </c>
      <c r="L70" s="11" t="s">
        <v>45</v>
      </c>
      <c r="M70" s="5" t="s">
        <v>82</v>
      </c>
      <c r="N70" s="11" t="s">
        <v>81</v>
      </c>
      <c r="O70" s="11" t="s">
        <v>23</v>
      </c>
      <c r="P70" s="11" t="s">
        <v>23</v>
      </c>
      <c r="Q70" s="12" t="s">
        <v>23</v>
      </c>
    </row>
    <row r="71" spans="7:17" x14ac:dyDescent="0.25">
      <c r="G71" s="9" t="s">
        <v>20</v>
      </c>
      <c r="H71" s="10">
        <v>13580</v>
      </c>
      <c r="I71" s="5" t="s">
        <v>55</v>
      </c>
      <c r="J71" s="5" t="s">
        <v>50</v>
      </c>
      <c r="K71" s="5" t="s">
        <v>86</v>
      </c>
      <c r="L71" s="11" t="s">
        <v>45</v>
      </c>
      <c r="M71" s="5" t="s">
        <v>82</v>
      </c>
      <c r="N71" s="11" t="s">
        <v>81</v>
      </c>
      <c r="O71" s="11" t="s">
        <v>23</v>
      </c>
      <c r="P71" s="11" t="s">
        <v>23</v>
      </c>
      <c r="Q71" s="12" t="s">
        <v>121</v>
      </c>
    </row>
    <row r="72" spans="7:17" x14ac:dyDescent="0.25">
      <c r="G72" s="9" t="s">
        <v>20</v>
      </c>
      <c r="H72" s="10">
        <v>42485</v>
      </c>
      <c r="I72" s="5" t="s">
        <v>51</v>
      </c>
      <c r="J72" s="5" t="s">
        <v>50</v>
      </c>
      <c r="K72" s="5" t="s">
        <v>85</v>
      </c>
      <c r="L72" s="11" t="s">
        <v>45</v>
      </c>
      <c r="M72" s="5" t="s">
        <v>82</v>
      </c>
      <c r="N72" s="11" t="s">
        <v>23</v>
      </c>
      <c r="O72" s="11" t="s">
        <v>23</v>
      </c>
      <c r="P72" s="11" t="s">
        <v>23</v>
      </c>
      <c r="Q72" s="12" t="s">
        <v>117</v>
      </c>
    </row>
    <row r="73" spans="7:17" x14ac:dyDescent="0.25">
      <c r="G73" s="9" t="s">
        <v>20</v>
      </c>
      <c r="H73" s="10">
        <v>42487</v>
      </c>
      <c r="I73" s="5" t="s">
        <v>51</v>
      </c>
      <c r="J73" s="5" t="s">
        <v>50</v>
      </c>
      <c r="K73" s="5" t="s">
        <v>85</v>
      </c>
      <c r="L73" s="11" t="s">
        <v>45</v>
      </c>
      <c r="M73" s="5" t="s">
        <v>82</v>
      </c>
      <c r="N73" s="11" t="s">
        <v>23</v>
      </c>
      <c r="O73" s="11" t="s">
        <v>23</v>
      </c>
      <c r="P73" s="11" t="s">
        <v>23</v>
      </c>
      <c r="Q73" s="12" t="s">
        <v>117</v>
      </c>
    </row>
    <row r="74" spans="7:17" x14ac:dyDescent="0.25">
      <c r="G74" s="9" t="s">
        <v>20</v>
      </c>
      <c r="H74" s="10">
        <v>15927</v>
      </c>
      <c r="I74" s="5" t="s">
        <v>63</v>
      </c>
      <c r="J74" s="5" t="s">
        <v>50</v>
      </c>
      <c r="K74" s="5" t="s">
        <v>89</v>
      </c>
      <c r="L74" s="11" t="s">
        <v>23</v>
      </c>
      <c r="M74" s="5" t="s">
        <v>23</v>
      </c>
      <c r="N74" s="11" t="s">
        <v>23</v>
      </c>
      <c r="O74" s="11" t="s">
        <v>23</v>
      </c>
      <c r="P74" s="11" t="s">
        <v>23</v>
      </c>
      <c r="Q74" s="12" t="s">
        <v>23</v>
      </c>
    </row>
    <row r="75" spans="7:17" x14ac:dyDescent="0.25">
      <c r="G75" s="9" t="s">
        <v>20</v>
      </c>
      <c r="H75" s="10">
        <v>1756</v>
      </c>
      <c r="I75" s="5" t="s">
        <v>76</v>
      </c>
      <c r="J75" s="5" t="s">
        <v>48</v>
      </c>
      <c r="K75" s="5" t="s">
        <v>92</v>
      </c>
      <c r="L75" s="11">
        <v>13197052</v>
      </c>
      <c r="M75" s="5" t="s">
        <v>82</v>
      </c>
      <c r="N75" s="11">
        <v>9500000</v>
      </c>
      <c r="O75" s="11" t="s">
        <v>23</v>
      </c>
      <c r="P75" s="11" t="s">
        <v>23</v>
      </c>
      <c r="Q75" s="12" t="s">
        <v>110</v>
      </c>
    </row>
    <row r="76" spans="7:17" x14ac:dyDescent="0.25">
      <c r="G76" s="9" t="s">
        <v>20</v>
      </c>
      <c r="H76" s="10" t="s">
        <v>44</v>
      </c>
      <c r="I76" s="5" t="s">
        <v>77</v>
      </c>
      <c r="J76" s="5" t="s">
        <v>48</v>
      </c>
      <c r="K76" s="5" t="s">
        <v>88</v>
      </c>
      <c r="L76" s="11">
        <v>314585.24819999997</v>
      </c>
      <c r="M76" s="5" t="s">
        <v>23</v>
      </c>
      <c r="N76" s="11" t="s">
        <v>23</v>
      </c>
      <c r="O76" s="11" t="s">
        <v>23</v>
      </c>
      <c r="P76" s="11" t="s">
        <v>23</v>
      </c>
      <c r="Q76" s="12" t="s">
        <v>23</v>
      </c>
    </row>
    <row r="77" spans="7:17" x14ac:dyDescent="0.25">
      <c r="G77" s="9" t="s">
        <v>20</v>
      </c>
      <c r="H77" s="10">
        <v>145993</v>
      </c>
      <c r="I77" s="5" t="s">
        <v>74</v>
      </c>
      <c r="J77" s="5" t="s">
        <v>75</v>
      </c>
      <c r="K77" s="5" t="s">
        <v>88</v>
      </c>
      <c r="L77" s="11">
        <v>4956143</v>
      </c>
      <c r="M77" s="5" t="s">
        <v>82</v>
      </c>
      <c r="N77" s="11">
        <v>12000000</v>
      </c>
      <c r="O77" s="11" t="s">
        <v>23</v>
      </c>
      <c r="P77" s="11" t="s">
        <v>23</v>
      </c>
      <c r="Q77" s="12" t="s">
        <v>23</v>
      </c>
    </row>
    <row r="78" spans="7:17" x14ac:dyDescent="0.25">
      <c r="G78" s="9" t="s">
        <v>20</v>
      </c>
      <c r="H78" s="10">
        <v>146005</v>
      </c>
      <c r="I78" s="5" t="s">
        <v>74</v>
      </c>
      <c r="J78" s="5" t="s">
        <v>75</v>
      </c>
      <c r="K78" s="5" t="s">
        <v>88</v>
      </c>
      <c r="L78" s="11">
        <v>4320907</v>
      </c>
      <c r="M78" s="5" t="s">
        <v>82</v>
      </c>
      <c r="N78" s="11" t="s">
        <v>81</v>
      </c>
      <c r="O78" s="11" t="s">
        <v>23</v>
      </c>
      <c r="P78" s="11" t="s">
        <v>23</v>
      </c>
      <c r="Q78" s="12" t="s">
        <v>23</v>
      </c>
    </row>
    <row r="79" spans="7:17" x14ac:dyDescent="0.25">
      <c r="G79" s="9" t="s">
        <v>20</v>
      </c>
      <c r="H79" s="10">
        <v>2464</v>
      </c>
      <c r="I79" s="5" t="s">
        <v>61</v>
      </c>
      <c r="J79" s="5" t="s">
        <v>48</v>
      </c>
      <c r="K79" s="5" t="s">
        <v>88</v>
      </c>
      <c r="L79" s="11">
        <v>2064553.01</v>
      </c>
      <c r="M79" s="5" t="s">
        <v>23</v>
      </c>
      <c r="N79" s="11" t="s">
        <v>23</v>
      </c>
      <c r="O79" s="11" t="s">
        <v>23</v>
      </c>
      <c r="P79" s="11" t="s">
        <v>23</v>
      </c>
      <c r="Q79" s="12" t="s">
        <v>23</v>
      </c>
    </row>
    <row r="80" spans="7:17" x14ac:dyDescent="0.25">
      <c r="G80" s="9" t="s">
        <v>20</v>
      </c>
      <c r="H80" s="10">
        <v>2164</v>
      </c>
      <c r="I80" s="5" t="s">
        <v>78</v>
      </c>
      <c r="J80" s="5" t="s">
        <v>50</v>
      </c>
      <c r="K80" s="5" t="s">
        <v>88</v>
      </c>
      <c r="L80" s="11">
        <v>7140619.9299999997</v>
      </c>
      <c r="M80" s="5" t="s">
        <v>23</v>
      </c>
      <c r="N80" s="11" t="s">
        <v>23</v>
      </c>
      <c r="O80" s="11" t="s">
        <v>23</v>
      </c>
      <c r="P80" s="11" t="s">
        <v>23</v>
      </c>
      <c r="Q80" s="12" t="s">
        <v>111</v>
      </c>
    </row>
    <row r="81" spans="7:17" x14ac:dyDescent="0.25">
      <c r="G81" s="9" t="s">
        <v>20</v>
      </c>
      <c r="H81" s="10">
        <v>10565</v>
      </c>
      <c r="I81" s="5" t="s">
        <v>79</v>
      </c>
      <c r="J81" s="5" t="s">
        <v>75</v>
      </c>
      <c r="K81" s="5" t="s">
        <v>92</v>
      </c>
      <c r="L81" s="11">
        <v>5594484</v>
      </c>
      <c r="M81" s="5" t="s">
        <v>23</v>
      </c>
      <c r="N81" s="11" t="s">
        <v>23</v>
      </c>
      <c r="O81" s="11" t="s">
        <v>23</v>
      </c>
      <c r="P81" s="11" t="s">
        <v>23</v>
      </c>
      <c r="Q81" s="12" t="s">
        <v>23</v>
      </c>
    </row>
    <row r="82" spans="7:17" x14ac:dyDescent="0.25">
      <c r="G82" s="9" t="s">
        <v>20</v>
      </c>
      <c r="H82" s="10">
        <v>3495</v>
      </c>
      <c r="I82" s="5" t="s">
        <v>80</v>
      </c>
      <c r="J82" s="5" t="s">
        <v>72</v>
      </c>
      <c r="K82" s="5" t="s">
        <v>23</v>
      </c>
      <c r="L82" s="11">
        <v>332540.45333333331</v>
      </c>
      <c r="M82" s="5" t="s">
        <v>23</v>
      </c>
      <c r="N82" s="11" t="s">
        <v>23</v>
      </c>
      <c r="O82" s="11" t="s">
        <v>23</v>
      </c>
      <c r="P82" s="11" t="s">
        <v>23</v>
      </c>
      <c r="Q82" s="12" t="s">
        <v>23</v>
      </c>
    </row>
    <row r="83" spans="7:17" x14ac:dyDescent="0.25">
      <c r="G83" s="9" t="s">
        <v>20</v>
      </c>
      <c r="H83" s="10">
        <v>1757</v>
      </c>
      <c r="I83" s="5" t="s">
        <v>76</v>
      </c>
      <c r="J83" s="5" t="s">
        <v>48</v>
      </c>
      <c r="K83" s="5" t="s">
        <v>92</v>
      </c>
      <c r="L83" s="11" t="s">
        <v>45</v>
      </c>
      <c r="M83" s="5" t="s">
        <v>23</v>
      </c>
      <c r="N83" s="11" t="s">
        <v>23</v>
      </c>
      <c r="O83" s="11" t="s">
        <v>23</v>
      </c>
      <c r="P83" s="11" t="s">
        <v>23</v>
      </c>
      <c r="Q83" s="12" t="s">
        <v>23</v>
      </c>
    </row>
    <row r="84" spans="7:17" x14ac:dyDescent="0.25">
      <c r="G84" s="9" t="s">
        <v>20</v>
      </c>
      <c r="H84" s="10">
        <v>1758</v>
      </c>
      <c r="I84" s="5" t="s">
        <v>76</v>
      </c>
      <c r="J84" s="5" t="s">
        <v>48</v>
      </c>
      <c r="K84" s="5" t="s">
        <v>92</v>
      </c>
      <c r="L84" s="11" t="s">
        <v>45</v>
      </c>
      <c r="M84" s="5" t="s">
        <v>23</v>
      </c>
      <c r="N84" s="11" t="s">
        <v>23</v>
      </c>
      <c r="O84" s="11" t="s">
        <v>23</v>
      </c>
      <c r="P84" s="11" t="s">
        <v>23</v>
      </c>
      <c r="Q84" s="12" t="s">
        <v>23</v>
      </c>
    </row>
    <row r="85" spans="7:17" x14ac:dyDescent="0.25">
      <c r="G85" s="9" t="s">
        <v>20</v>
      </c>
      <c r="H85" s="10">
        <v>1759</v>
      </c>
      <c r="I85" s="5" t="s">
        <v>76</v>
      </c>
      <c r="J85" s="5" t="s">
        <v>48</v>
      </c>
      <c r="K85" s="5" t="s">
        <v>92</v>
      </c>
      <c r="L85" s="11" t="s">
        <v>45</v>
      </c>
      <c r="M85" s="5" t="s">
        <v>23</v>
      </c>
      <c r="N85" s="11" t="s">
        <v>23</v>
      </c>
      <c r="O85" s="11" t="s">
        <v>23</v>
      </c>
      <c r="P85" s="11" t="s">
        <v>23</v>
      </c>
      <c r="Q85" s="12" t="s">
        <v>23</v>
      </c>
    </row>
    <row r="86" spans="7:17" x14ac:dyDescent="0.25">
      <c r="G86" s="9" t="s">
        <v>20</v>
      </c>
      <c r="H86" s="10">
        <v>4858</v>
      </c>
      <c r="I86" s="5" t="s">
        <v>61</v>
      </c>
      <c r="J86" s="5" t="s">
        <v>48</v>
      </c>
      <c r="K86" s="5" t="s">
        <v>88</v>
      </c>
      <c r="L86" s="11" t="s">
        <v>45</v>
      </c>
      <c r="M86" s="5" t="s">
        <v>23</v>
      </c>
      <c r="N86" s="11" t="s">
        <v>23</v>
      </c>
      <c r="O86" s="11" t="s">
        <v>23</v>
      </c>
      <c r="P86" s="11" t="s">
        <v>23</v>
      </c>
      <c r="Q86" s="12" t="s">
        <v>23</v>
      </c>
    </row>
    <row r="87" spans="7:17" x14ac:dyDescent="0.25">
      <c r="G87" s="9" t="s">
        <v>20</v>
      </c>
      <c r="H87" s="5" t="s">
        <v>108</v>
      </c>
      <c r="I87" s="5" t="s">
        <v>106</v>
      </c>
      <c r="J87" s="5" t="s">
        <v>107</v>
      </c>
      <c r="K87" s="5" t="s">
        <v>109</v>
      </c>
      <c r="L87" s="11">
        <v>3900000</v>
      </c>
      <c r="M87" s="5" t="s">
        <v>23</v>
      </c>
      <c r="N87" s="11" t="s">
        <v>23</v>
      </c>
      <c r="O87" s="11" t="s">
        <v>23</v>
      </c>
      <c r="P87" s="11" t="s">
        <v>23</v>
      </c>
      <c r="Q87" s="12" t="s">
        <v>23</v>
      </c>
    </row>
    <row r="88" spans="7:17" x14ac:dyDescent="0.25">
      <c r="G88" s="9" t="s">
        <v>20</v>
      </c>
      <c r="H88" s="10">
        <v>9846</v>
      </c>
      <c r="I88" s="5" t="s">
        <v>68</v>
      </c>
      <c r="J88" s="5" t="s">
        <v>48</v>
      </c>
      <c r="K88" s="5" t="s">
        <v>92</v>
      </c>
      <c r="L88" s="11">
        <v>3803183</v>
      </c>
      <c r="M88" s="5" t="s">
        <v>46</v>
      </c>
      <c r="N88" s="11" t="s">
        <v>81</v>
      </c>
      <c r="O88" s="11" t="s">
        <v>81</v>
      </c>
      <c r="P88" s="11" t="s">
        <v>81</v>
      </c>
      <c r="Q88" s="12" t="s">
        <v>23</v>
      </c>
    </row>
    <row r="89" spans="7:17" x14ac:dyDescent="0.25">
      <c r="G89" s="9" t="s">
        <v>20</v>
      </c>
      <c r="H89" s="10">
        <v>5377</v>
      </c>
      <c r="I89" s="5" t="s">
        <v>69</v>
      </c>
      <c r="J89" s="5" t="s">
        <v>48</v>
      </c>
      <c r="K89" s="5" t="s">
        <v>92</v>
      </c>
      <c r="L89" s="11">
        <v>3000578</v>
      </c>
      <c r="M89" s="5" t="s">
        <v>46</v>
      </c>
      <c r="N89" s="11" t="s">
        <v>81</v>
      </c>
      <c r="O89" s="11" t="s">
        <v>81</v>
      </c>
      <c r="P89" s="11" t="s">
        <v>81</v>
      </c>
      <c r="Q89" s="12" t="s">
        <v>23</v>
      </c>
    </row>
    <row r="90" spans="7:17" x14ac:dyDescent="0.25">
      <c r="G90" s="9" t="s">
        <v>20</v>
      </c>
      <c r="H90" s="10">
        <v>4479</v>
      </c>
      <c r="I90" s="5" t="s">
        <v>70</v>
      </c>
      <c r="J90" s="5" t="s">
        <v>48</v>
      </c>
      <c r="K90" s="5" t="s">
        <v>92</v>
      </c>
      <c r="L90" s="11">
        <v>4319945</v>
      </c>
      <c r="M90" s="5" t="s">
        <v>46</v>
      </c>
      <c r="N90" s="11" t="s">
        <v>81</v>
      </c>
      <c r="O90" s="11" t="s">
        <v>81</v>
      </c>
      <c r="P90" s="11" t="s">
        <v>81</v>
      </c>
      <c r="Q90" s="12" t="s">
        <v>23</v>
      </c>
    </row>
    <row r="91" spans="7:17" x14ac:dyDescent="0.25">
      <c r="G91" s="9" t="s">
        <v>20</v>
      </c>
      <c r="H91" s="10">
        <v>6193</v>
      </c>
      <c r="I91" s="5" t="s">
        <v>70</v>
      </c>
      <c r="J91" s="5" t="s">
        <v>48</v>
      </c>
      <c r="K91" s="5" t="s">
        <v>92</v>
      </c>
      <c r="L91" s="11">
        <v>1640213</v>
      </c>
      <c r="M91" s="5" t="s">
        <v>46</v>
      </c>
      <c r="N91" s="11" t="s">
        <v>81</v>
      </c>
      <c r="O91" s="11" t="s">
        <v>81</v>
      </c>
      <c r="P91" s="11" t="s">
        <v>81</v>
      </c>
      <c r="Q91" s="12" t="s">
        <v>23</v>
      </c>
    </row>
  </sheetData>
  <autoFilter ref="G2:Q9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7f53a-8a84-4349-9709-08f0d84e43f4" xsi:nil="true"/>
    <lcf76f155ced4ddcb4097134ff3c332f xmlns="200b2cdf-1bb8-4faf-8feb-d68fcb63a9c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EFF0E09F50D04BA9C17A2F79C5A90E" ma:contentTypeVersion="18" ma:contentTypeDescription="Crie um novo documento." ma:contentTypeScope="" ma:versionID="562afeb2884e1e568842f71055702bd9">
  <xsd:schema xmlns:xsd="http://www.w3.org/2001/XMLSchema" xmlns:xs="http://www.w3.org/2001/XMLSchema" xmlns:p="http://schemas.microsoft.com/office/2006/metadata/properties" xmlns:ns2="200b2cdf-1bb8-4faf-8feb-d68fcb63a9c2" xmlns:ns3="b917f53a-8a84-4349-9709-08f0d84e43f4" targetNamespace="http://schemas.microsoft.com/office/2006/metadata/properties" ma:root="true" ma:fieldsID="3e662c7f53f1064e1eed617a7e77060d" ns2:_="" ns3:_="">
    <xsd:import namespace="200b2cdf-1bb8-4faf-8feb-d68fcb63a9c2"/>
    <xsd:import namespace="b917f53a-8a84-4349-9709-08f0d84e43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b2cdf-1bb8-4faf-8feb-d68fcb63a9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e5a49b-f864-452b-a84b-ad103185a8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7f53a-8a84-4349-9709-08f0d84e43f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4a381b6-8da5-405f-92bf-74765322f4c7}" ma:internalName="TaxCatchAll" ma:showField="CatchAllData" ma:web="b917f53a-8a84-4349-9709-08f0d84e43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F85635-185B-4E4A-B69B-C71653F7C84E}">
  <ds:schemaRefs>
    <ds:schemaRef ds:uri="http://schemas.microsoft.com/office/2006/metadata/properties"/>
    <ds:schemaRef ds:uri="http://schemas.microsoft.com/office/infopath/2007/PartnerControls"/>
    <ds:schemaRef ds:uri="b917f53a-8a84-4349-9709-08f0d84e43f4"/>
    <ds:schemaRef ds:uri="200b2cdf-1bb8-4faf-8feb-d68fcb63a9c2"/>
  </ds:schemaRefs>
</ds:datastoreItem>
</file>

<file path=customXml/itemProps2.xml><?xml version="1.0" encoding="utf-8"?>
<ds:datastoreItem xmlns:ds="http://schemas.openxmlformats.org/officeDocument/2006/customXml" ds:itemID="{7625AAC9-24F4-4DC7-BE19-9E848A67A1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7FC3FB-0B24-4326-BDC6-AA1BA5510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b2cdf-1bb8-4faf-8feb-d68fcb63a9c2"/>
    <ds:schemaRef ds:uri="b917f53a-8a84-4349-9709-08f0d84e43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681ae13-6fe1-4c77-a6fc-3aa1f86682f9}" enabled="0" method="" siteId="{c681ae13-6fe1-4c77-a6fc-3aa1f86682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Mendes</dc:creator>
  <cp:lastModifiedBy>Renan Solimeo</cp:lastModifiedBy>
  <dcterms:created xsi:type="dcterms:W3CDTF">2015-06-05T18:17:20Z</dcterms:created>
  <dcterms:modified xsi:type="dcterms:W3CDTF">2026-07-06T17:54:04Z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0x01010062EFF0E09F50D04BA9C17A2F79C5A90E</vt:lpwstr>
  </property>
  <property fmtid="{D5CDD505-2E9C-101B-9397-08002B2CF9AE}" pid="3" name="MediaServiceImageTags">
    <vt:lpwstr/>
  </property>
</Properties>
</file>